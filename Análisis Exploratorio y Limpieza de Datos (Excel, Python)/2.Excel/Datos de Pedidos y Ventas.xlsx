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r.pina\Desktop\PLAN PIÑA\NUCLIO\Portfolio\Análisis Exploratorio y Limpieza de Datos (Excel, Python)\2.Excel\"/>
    </mc:Choice>
  </mc:AlternateContent>
  <xr:revisionPtr revIDLastSave="0" documentId="13_ncr:1_{E68B3B43-5FC4-4F66-8120-EB6990C4D8A4}" xr6:coauthVersionLast="47" xr6:coauthVersionMax="47" xr10:uidLastSave="{00000000-0000-0000-0000-000000000000}"/>
  <bookViews>
    <workbookView xWindow="-25320" yWindow="-7500" windowWidth="25440" windowHeight="15270" activeTab="4" xr2:uid="{00000000-000D-0000-FFFF-FFFF00000000}"/>
  </bookViews>
  <sheets>
    <sheet name="Conclusiones" sheetId="8" r:id="rId1"/>
    <sheet name="Tablas" sheetId="5" r:id="rId2"/>
    <sheet name="Graficos" sheetId="6" r:id="rId3"/>
    <sheet name="TD - Datos generales" sheetId="4" r:id="rId4"/>
    <sheet name="Datos generales" sheetId="1" r:id="rId5"/>
    <sheet name="Ventas" sheetId="2" r:id="rId6"/>
    <sheet name="Pedidos" sheetId="3" r:id="rId7"/>
  </sheets>
  <definedNames>
    <definedName name="_xlnm._FilterDatabase" localSheetId="4" hidden="1">'Datos generales'!$A$1:$P$2001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 a="1"/>
  <c r="Q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" i="2"/>
  <c r="N30" i="5"/>
  <c r="N29" i="5"/>
  <c r="H28" i="5"/>
  <c r="I28" i="5"/>
  <c r="J28" i="5"/>
  <c r="K28" i="5"/>
  <c r="L28" i="5"/>
  <c r="M28" i="5"/>
  <c r="N28" i="5"/>
  <c r="H29" i="5"/>
  <c r="I29" i="5"/>
  <c r="J29" i="5"/>
  <c r="K29" i="5"/>
  <c r="L29" i="5"/>
  <c r="M29" i="5"/>
  <c r="H30" i="5"/>
  <c r="I30" i="5"/>
  <c r="J30" i="5"/>
  <c r="K30" i="5"/>
  <c r="L30" i="5"/>
  <c r="M30" i="5"/>
  <c r="D28" i="5"/>
  <c r="E28" i="5"/>
  <c r="F28" i="5"/>
  <c r="G28" i="5"/>
  <c r="D29" i="5"/>
  <c r="E29" i="5"/>
  <c r="F29" i="5"/>
  <c r="G29" i="5"/>
  <c r="D30" i="5"/>
  <c r="E30" i="5"/>
  <c r="F30" i="5"/>
  <c r="G30" i="5"/>
  <c r="C28" i="5"/>
  <c r="C29" i="5"/>
  <c r="C30" i="5"/>
  <c r="Y16" i="5"/>
  <c r="Y15" i="5"/>
  <c r="Y14" i="5"/>
  <c r="Y13" i="5"/>
  <c r="Y12" i="5"/>
  <c r="Y11" i="5"/>
  <c r="Y10" i="5"/>
  <c r="Y9" i="5"/>
  <c r="W16" i="5"/>
  <c r="W15" i="5"/>
  <c r="W14" i="5"/>
  <c r="W13" i="5"/>
  <c r="W12" i="5"/>
  <c r="W11" i="5"/>
  <c r="W10" i="5"/>
  <c r="W9" i="5"/>
  <c r="U16" i="5"/>
  <c r="U15" i="5"/>
  <c r="U14" i="5"/>
  <c r="U13" i="5"/>
  <c r="U12" i="5"/>
  <c r="U11" i="5"/>
  <c r="U10" i="5"/>
  <c r="U9" i="5"/>
  <c r="S16" i="5"/>
  <c r="S15" i="5"/>
  <c r="S14" i="5"/>
  <c r="S13" i="5"/>
  <c r="S12" i="5"/>
  <c r="S11" i="5"/>
  <c r="S10" i="5"/>
  <c r="S9" i="5"/>
  <c r="Q16" i="5"/>
  <c r="Q15" i="5"/>
  <c r="Q14" i="5"/>
  <c r="Q13" i="5"/>
  <c r="Q12" i="5"/>
  <c r="Q11" i="5"/>
  <c r="Q10" i="5"/>
  <c r="Q9" i="5"/>
  <c r="O16" i="5"/>
  <c r="O15" i="5"/>
  <c r="O14" i="5"/>
  <c r="O13" i="5"/>
  <c r="O12" i="5"/>
  <c r="O11" i="5"/>
  <c r="O10" i="5"/>
  <c r="O9" i="5"/>
  <c r="M16" i="5"/>
  <c r="M15" i="5"/>
  <c r="M14" i="5"/>
  <c r="M13" i="5"/>
  <c r="M12" i="5"/>
  <c r="M11" i="5"/>
  <c r="M10" i="5"/>
  <c r="M9" i="5"/>
  <c r="I16" i="5"/>
  <c r="I15" i="5"/>
  <c r="I14" i="5"/>
  <c r="I13" i="5"/>
  <c r="I12" i="5"/>
  <c r="I11" i="5"/>
  <c r="I10" i="5"/>
  <c r="I9" i="5"/>
  <c r="G16" i="5"/>
  <c r="G15" i="5"/>
  <c r="G14" i="5"/>
  <c r="G13" i="5"/>
  <c r="G12" i="5"/>
  <c r="G11" i="5"/>
  <c r="G10" i="5"/>
  <c r="G9" i="5"/>
  <c r="E16" i="5"/>
  <c r="E15" i="5"/>
  <c r="E14" i="5"/>
  <c r="E13" i="5"/>
  <c r="E12" i="5"/>
  <c r="E11" i="5"/>
  <c r="E10" i="5"/>
  <c r="E9" i="5"/>
  <c r="C16" i="5"/>
  <c r="C15" i="5"/>
  <c r="C14" i="5"/>
  <c r="C13" i="5"/>
  <c r="C12" i="5"/>
  <c r="C11" i="5"/>
  <c r="C10" i="5"/>
  <c r="C9" i="5"/>
  <c r="K16" i="5"/>
  <c r="K15" i="5"/>
  <c r="K14" i="5"/>
  <c r="K13" i="5"/>
  <c r="K12" i="5"/>
  <c r="K11" i="5"/>
  <c r="K10" i="5"/>
  <c r="K9" i="5"/>
  <c r="Q3" i="1" a="1"/>
  <c r="Q3" i="1" s="1"/>
  <c r="Q4" i="1" a="1"/>
  <c r="Q4" i="1"/>
  <c r="Q5" i="1" a="1"/>
  <c r="Q5" i="1" s="1"/>
  <c r="Q6" i="1" a="1"/>
  <c r="Q6" i="1"/>
  <c r="Q7" i="1" a="1"/>
  <c r="Q7" i="1" s="1"/>
  <c r="Q8" i="1" a="1"/>
  <c r="Q8" i="1"/>
  <c r="Q9" i="1" a="1"/>
  <c r="Q9" i="1" s="1"/>
  <c r="Q10" i="1" a="1"/>
  <c r="Q10" i="1"/>
  <c r="Q11" i="1" a="1"/>
  <c r="Q11" i="1" s="1"/>
  <c r="Q12" i="1" a="1"/>
  <c r="Q12" i="1"/>
  <c r="Q13" i="1" a="1"/>
  <c r="Q13" i="1" s="1"/>
  <c r="Q14" i="1" a="1"/>
  <c r="Q14" i="1"/>
  <c r="Q15" i="1" a="1"/>
  <c r="Q15" i="1" s="1"/>
  <c r="Q16" i="1" a="1"/>
  <c r="Q16" i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/>
  <c r="Q55" i="1" a="1"/>
  <c r="Q55" i="1" s="1"/>
  <c r="Q56" i="1" a="1"/>
  <c r="Q56" i="1" s="1"/>
  <c r="Q57" i="1" a="1"/>
  <c r="Q57" i="1" s="1"/>
  <c r="Q58" i="1" a="1"/>
  <c r="Q58" i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/>
  <c r="Q127" i="1" a="1"/>
  <c r="Q127" i="1" s="1"/>
  <c r="Q128" i="1" a="1"/>
  <c r="Q128" i="1" s="1"/>
  <c r="Q129" i="1" a="1"/>
  <c r="Q129" i="1" s="1"/>
  <c r="Q130" i="1" a="1"/>
  <c r="Q130" i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/>
  <c r="Q139" i="1" a="1"/>
  <c r="Q139" i="1" s="1"/>
  <c r="Q140" i="1" a="1"/>
  <c r="Q140" i="1" s="1"/>
  <c r="Q141" i="1" a="1"/>
  <c r="Q141" i="1" s="1"/>
  <c r="Q142" i="1" a="1"/>
  <c r="Q142" i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/>
  <c r="Q306" i="1" a="1"/>
  <c r="Q306" i="1" s="1"/>
  <c r="Q307" i="1" a="1"/>
  <c r="Q307" i="1"/>
  <c r="Q308" i="1" a="1"/>
  <c r="Q308" i="1" s="1"/>
  <c r="Q309" i="1" a="1"/>
  <c r="Q309" i="1"/>
  <c r="Q310" i="1" a="1"/>
  <c r="Q310" i="1" s="1"/>
  <c r="Q311" i="1" a="1"/>
  <c r="Q311" i="1"/>
  <c r="Q312" i="1" a="1"/>
  <c r="Q312" i="1" s="1"/>
  <c r="Q313" i="1" a="1"/>
  <c r="Q313" i="1"/>
  <c r="Q314" i="1" a="1"/>
  <c r="Q314" i="1" s="1"/>
  <c r="Q315" i="1" a="1"/>
  <c r="Q315" i="1"/>
  <c r="Q316" i="1" a="1"/>
  <c r="Q316" i="1" s="1"/>
  <c r="Q317" i="1" a="1"/>
  <c r="Q317" i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 s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/>
  <c r="Q475" i="1" a="1"/>
  <c r="Q475" i="1"/>
  <c r="Q476" i="1" a="1"/>
  <c r="Q476" i="1"/>
  <c r="Q477" i="1" a="1"/>
  <c r="Q477" i="1"/>
  <c r="Q478" i="1" a="1"/>
  <c r="Q478" i="1"/>
  <c r="Q479" i="1" a="1"/>
  <c r="Q479" i="1"/>
  <c r="Q480" i="1" a="1"/>
  <c r="Q480" i="1"/>
  <c r="Q481" i="1" a="1"/>
  <c r="Q481" i="1"/>
  <c r="Q482" i="1" a="1"/>
  <c r="Q482" i="1"/>
  <c r="Q483" i="1" a="1"/>
  <c r="Q483" i="1"/>
  <c r="Q484" i="1" a="1"/>
  <c r="Q484" i="1"/>
  <c r="Q485" i="1" a="1"/>
  <c r="Q485" i="1"/>
  <c r="Q486" i="1" a="1"/>
  <c r="Q486" i="1"/>
  <c r="Q487" i="1" a="1"/>
  <c r="Q487" i="1"/>
  <c r="Q488" i="1" a="1"/>
  <c r="Q488" i="1"/>
  <c r="Q489" i="1" a="1"/>
  <c r="Q489" i="1"/>
  <c r="Q490" i="1" a="1"/>
  <c r="Q490" i="1"/>
  <c r="Q491" i="1" a="1"/>
  <c r="Q491" i="1"/>
  <c r="Q492" i="1" a="1"/>
  <c r="Q492" i="1"/>
  <c r="Q493" i="1" a="1"/>
  <c r="Q493" i="1"/>
  <c r="Q494" i="1" a="1"/>
  <c r="Q494" i="1"/>
  <c r="Q495" i="1" a="1"/>
  <c r="Q495" i="1"/>
  <c r="Q496" i="1" a="1"/>
  <c r="Q496" i="1"/>
  <c r="Q497" i="1" a="1"/>
  <c r="Q497" i="1"/>
  <c r="Q498" i="1" a="1"/>
  <c r="Q498" i="1"/>
  <c r="Q499" i="1" a="1"/>
  <c r="Q499" i="1"/>
  <c r="Q500" i="1" a="1"/>
  <c r="Q500" i="1"/>
  <c r="Q501" i="1" a="1"/>
  <c r="Q501" i="1"/>
  <c r="Q502" i="1" a="1"/>
  <c r="Q502" i="1"/>
  <c r="Q503" i="1" a="1"/>
  <c r="Q503" i="1"/>
  <c r="Q504" i="1" a="1"/>
  <c r="Q504" i="1"/>
  <c r="Q505" i="1" a="1"/>
  <c r="Q505" i="1"/>
  <c r="Q506" i="1" a="1"/>
  <c r="Q506" i="1"/>
  <c r="Q507" i="1" a="1"/>
  <c r="Q507" i="1"/>
  <c r="Q508" i="1" a="1"/>
  <c r="Q508" i="1"/>
  <c r="Q509" i="1" a="1"/>
  <c r="Q509" i="1"/>
  <c r="Q510" i="1" a="1"/>
  <c r="Q510" i="1"/>
  <c r="Q511" i="1" a="1"/>
  <c r="Q511" i="1"/>
  <c r="Q512" i="1" a="1"/>
  <c r="Q512" i="1"/>
  <c r="Q513" i="1" a="1"/>
  <c r="Q513" i="1"/>
  <c r="Q514" i="1" a="1"/>
  <c r="Q514" i="1"/>
  <c r="Q515" i="1" a="1"/>
  <c r="Q515" i="1"/>
  <c r="Q516" i="1" a="1"/>
  <c r="Q516" i="1"/>
  <c r="Q517" i="1" a="1"/>
  <c r="Q517" i="1"/>
  <c r="Q518" i="1" a="1"/>
  <c r="Q518" i="1"/>
  <c r="Q519" i="1" a="1"/>
  <c r="Q519" i="1"/>
  <c r="Q520" i="1" a="1"/>
  <c r="Q520" i="1"/>
  <c r="Q521" i="1" a="1"/>
  <c r="Q521" i="1"/>
  <c r="Q522" i="1" a="1"/>
  <c r="Q522" i="1"/>
  <c r="Q523" i="1" a="1"/>
  <c r="Q523" i="1"/>
  <c r="Q524" i="1" a="1"/>
  <c r="Q524" i="1"/>
  <c r="Q525" i="1" a="1"/>
  <c r="Q525" i="1"/>
  <c r="Q526" i="1" a="1"/>
  <c r="Q526" i="1"/>
  <c r="Q527" i="1" a="1"/>
  <c r="Q527" i="1"/>
  <c r="Q528" i="1" a="1"/>
  <c r="Q528" i="1"/>
  <c r="Q529" i="1" a="1"/>
  <c r="Q529" i="1"/>
  <c r="Q530" i="1" a="1"/>
  <c r="Q530" i="1"/>
  <c r="Q531" i="1" a="1"/>
  <c r="Q531" i="1"/>
  <c r="Q532" i="1" a="1"/>
  <c r="Q532" i="1"/>
  <c r="Q533" i="1" a="1"/>
  <c r="Q533" i="1"/>
  <c r="Q534" i="1" a="1"/>
  <c r="Q534" i="1"/>
  <c r="Q535" i="1" a="1"/>
  <c r="Q535" i="1"/>
  <c r="Q536" i="1" a="1"/>
  <c r="Q536" i="1" s="1"/>
  <c r="Q537" i="1" a="1"/>
  <c r="Q537" i="1"/>
  <c r="Q538" i="1" a="1"/>
  <c r="Q538" i="1" s="1"/>
  <c r="Q539" i="1" a="1"/>
  <c r="Q539" i="1"/>
  <c r="Q540" i="1" a="1"/>
  <c r="Q540" i="1" s="1"/>
  <c r="Q541" i="1" a="1"/>
  <c r="Q541" i="1"/>
  <c r="Q542" i="1" a="1"/>
  <c r="Q542" i="1" s="1"/>
  <c r="Q543" i="1" a="1"/>
  <c r="Q543" i="1"/>
  <c r="Q544" i="1" a="1"/>
  <c r="Q544" i="1" s="1"/>
  <c r="Q545" i="1" a="1"/>
  <c r="Q545" i="1"/>
  <c r="Q546" i="1" a="1"/>
  <c r="Q546" i="1" s="1"/>
  <c r="Q547" i="1" a="1"/>
  <c r="Q547" i="1"/>
  <c r="Q548" i="1" a="1"/>
  <c r="Q548" i="1" s="1"/>
  <c r="Q549" i="1" a="1"/>
  <c r="Q549" i="1"/>
  <c r="Q550" i="1" a="1"/>
  <c r="Q550" i="1" s="1"/>
  <c r="Q551" i="1" a="1"/>
  <c r="Q551" i="1"/>
  <c r="Q552" i="1" a="1"/>
  <c r="Q552" i="1" s="1"/>
  <c r="Q553" i="1" a="1"/>
  <c r="Q553" i="1"/>
  <c r="Q554" i="1" a="1"/>
  <c r="Q554" i="1" s="1"/>
  <c r="Q555" i="1" a="1"/>
  <c r="Q555" i="1"/>
  <c r="Q556" i="1" a="1"/>
  <c r="Q556" i="1" s="1"/>
  <c r="Q557" i="1" a="1"/>
  <c r="Q557" i="1"/>
  <c r="Q558" i="1" a="1"/>
  <c r="Q558" i="1" s="1"/>
  <c r="Q559" i="1" a="1"/>
  <c r="Q559" i="1"/>
  <c r="Q560" i="1" a="1"/>
  <c r="Q560" i="1" s="1"/>
  <c r="Q561" i="1" a="1"/>
  <c r="Q561" i="1"/>
  <c r="Q562" i="1" a="1"/>
  <c r="Q562" i="1" s="1"/>
  <c r="Q563" i="1" a="1"/>
  <c r="Q563" i="1"/>
  <c r="Q564" i="1" a="1"/>
  <c r="Q564" i="1" s="1"/>
  <c r="Q565" i="1" a="1"/>
  <c r="Q565" i="1"/>
  <c r="Q566" i="1" a="1"/>
  <c r="Q566" i="1" s="1"/>
  <c r="Q567" i="1" a="1"/>
  <c r="Q567" i="1"/>
  <c r="Q568" i="1" a="1"/>
  <c r="Q568" i="1" s="1"/>
  <c r="Q569" i="1" a="1"/>
  <c r="Q569" i="1" s="1"/>
  <c r="Q570" i="1" a="1"/>
  <c r="Q570" i="1" s="1"/>
  <c r="Q571" i="1" a="1"/>
  <c r="Q571" i="1"/>
  <c r="Q572" i="1" a="1"/>
  <c r="Q572" i="1" s="1"/>
  <c r="Q573" i="1" a="1"/>
  <c r="Q573" i="1" s="1"/>
  <c r="Q574" i="1" a="1"/>
  <c r="Q574" i="1" s="1"/>
  <c r="Q575" i="1" a="1"/>
  <c r="Q575" i="1"/>
  <c r="Q576" i="1" a="1"/>
  <c r="Q576" i="1" s="1"/>
  <c r="Q577" i="1" a="1"/>
  <c r="Q577" i="1" s="1"/>
  <c r="Q578" i="1" a="1"/>
  <c r="Q578" i="1" s="1"/>
  <c r="Q579" i="1" a="1"/>
  <c r="Q579" i="1"/>
  <c r="Q580" i="1" a="1"/>
  <c r="Q580" i="1" s="1"/>
  <c r="Q581" i="1" a="1"/>
  <c r="Q581" i="1" s="1"/>
  <c r="Q582" i="1" a="1"/>
  <c r="Q582" i="1" s="1"/>
  <c r="Q583" i="1" a="1"/>
  <c r="Q583" i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/>
  <c r="Q600" i="1" a="1"/>
  <c r="Q600" i="1" s="1"/>
  <c r="Q601" i="1" a="1"/>
  <c r="Q601" i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/>
  <c r="Q608" i="1" a="1"/>
  <c r="Q608" i="1" s="1"/>
  <c r="Q609" i="1" a="1"/>
  <c r="Q609" i="1"/>
  <c r="Q610" i="1" a="1"/>
  <c r="Q610" i="1" s="1"/>
  <c r="Q611" i="1" a="1"/>
  <c r="Q611" i="1"/>
  <c r="Q612" i="1" a="1"/>
  <c r="Q612" i="1" s="1"/>
  <c r="Q613" i="1" a="1"/>
  <c r="Q613" i="1" s="1"/>
  <c r="Q614" i="1" a="1"/>
  <c r="Q614" i="1" s="1"/>
  <c r="Q615" i="1" a="1"/>
  <c r="Q615" i="1"/>
  <c r="Q616" i="1" a="1"/>
  <c r="Q616" i="1" s="1"/>
  <c r="Q617" i="1" a="1"/>
  <c r="Q617" i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/>
  <c r="Q624" i="1" a="1"/>
  <c r="Q624" i="1" s="1"/>
  <c r="Q625" i="1" a="1"/>
  <c r="Q625" i="1"/>
  <c r="Q626" i="1" a="1"/>
  <c r="Q626" i="1" s="1"/>
  <c r="Q627" i="1" a="1"/>
  <c r="Q627" i="1" s="1"/>
  <c r="Q628" i="1" a="1"/>
  <c r="Q628" i="1" s="1"/>
  <c r="Q629" i="1" a="1"/>
  <c r="Q629" i="1" s="1"/>
  <c r="Q630" i="1" a="1"/>
  <c r="Q630" i="1" s="1"/>
  <c r="Q631" i="1" a="1"/>
  <c r="Q631" i="1"/>
  <c r="Q632" i="1" a="1"/>
  <c r="Q632" i="1" s="1"/>
  <c r="Q633" i="1" a="1"/>
  <c r="Q633" i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/>
  <c r="Q640" i="1" a="1"/>
  <c r="Q640" i="1" s="1"/>
  <c r="Q641" i="1" a="1"/>
  <c r="Q641" i="1"/>
  <c r="Q642" i="1" a="1"/>
  <c r="Q642" i="1" s="1"/>
  <c r="Q643" i="1" a="1"/>
  <c r="Q643" i="1"/>
  <c r="Q644" i="1" a="1"/>
  <c r="Q644" i="1" s="1"/>
  <c r="Q645" i="1" a="1"/>
  <c r="Q645" i="1" s="1"/>
  <c r="Q646" i="1" a="1"/>
  <c r="Q646" i="1" s="1"/>
  <c r="Q647" i="1" a="1"/>
  <c r="Q647" i="1"/>
  <c r="Q648" i="1" a="1"/>
  <c r="Q648" i="1" s="1"/>
  <c r="Q649" i="1" a="1"/>
  <c r="Q649" i="1" s="1"/>
  <c r="Q650" i="1" a="1"/>
  <c r="Q650" i="1" s="1"/>
  <c r="Q651" i="1" a="1"/>
  <c r="Q651" i="1"/>
  <c r="Q652" i="1" a="1"/>
  <c r="Q652" i="1" s="1"/>
  <c r="Q653" i="1" a="1"/>
  <c r="Q653" i="1" s="1"/>
  <c r="Q654" i="1" a="1"/>
  <c r="Q654" i="1" s="1"/>
  <c r="Q655" i="1" a="1"/>
  <c r="Q655" i="1"/>
  <c r="Q656" i="1" a="1"/>
  <c r="Q656" i="1" s="1"/>
  <c r="Q657" i="1" a="1"/>
  <c r="Q657" i="1" s="1"/>
  <c r="Q658" i="1" a="1"/>
  <c r="Q658" i="1" s="1"/>
  <c r="Q659" i="1" a="1"/>
  <c r="Q659" i="1"/>
  <c r="Q660" i="1" a="1"/>
  <c r="Q660" i="1" s="1"/>
  <c r="Q661" i="1" a="1"/>
  <c r="Q661" i="1" s="1"/>
  <c r="Q662" i="1" a="1"/>
  <c r="Q662" i="1" s="1"/>
  <c r="Q663" i="1" a="1"/>
  <c r="Q663" i="1"/>
  <c r="Q664" i="1" a="1"/>
  <c r="Q664" i="1" s="1"/>
  <c r="Q665" i="1" a="1"/>
  <c r="Q665" i="1" s="1"/>
  <c r="Q666" i="1" a="1"/>
  <c r="Q666" i="1" s="1"/>
  <c r="Q667" i="1" a="1"/>
  <c r="Q667" i="1"/>
  <c r="Q668" i="1" a="1"/>
  <c r="Q668" i="1" s="1"/>
  <c r="Q669" i="1" a="1"/>
  <c r="Q669" i="1" s="1"/>
  <c r="Q670" i="1" a="1"/>
  <c r="Q670" i="1" s="1"/>
  <c r="Q671" i="1" a="1"/>
  <c r="Q671" i="1"/>
  <c r="Q672" i="1" a="1"/>
  <c r="Q672" i="1" s="1"/>
  <c r="Q673" i="1" a="1"/>
  <c r="Q673" i="1" s="1"/>
  <c r="Q674" i="1" a="1"/>
  <c r="Q674" i="1" s="1"/>
  <c r="Q675" i="1" a="1"/>
  <c r="Q675" i="1"/>
  <c r="Q676" i="1" a="1"/>
  <c r="Q676" i="1" s="1"/>
  <c r="Q677" i="1" a="1"/>
  <c r="Q677" i="1" s="1"/>
  <c r="Q678" i="1" a="1"/>
  <c r="Q678" i="1" s="1"/>
  <c r="Q679" i="1" a="1"/>
  <c r="Q679" i="1"/>
  <c r="Q680" i="1" a="1"/>
  <c r="Q680" i="1" s="1"/>
  <c r="Q681" i="1" a="1"/>
  <c r="Q681" i="1" s="1"/>
  <c r="Q682" i="1" a="1"/>
  <c r="Q682" i="1" s="1"/>
  <c r="Q683" i="1" a="1"/>
  <c r="Q683" i="1"/>
  <c r="Q684" i="1" a="1"/>
  <c r="Q684" i="1" s="1"/>
  <c r="Q685" i="1" a="1"/>
  <c r="Q685" i="1" s="1"/>
  <c r="Q686" i="1" a="1"/>
  <c r="Q686" i="1" s="1"/>
  <c r="Q687" i="1" a="1"/>
  <c r="Q687" i="1"/>
  <c r="Q688" i="1" a="1"/>
  <c r="Q688" i="1" s="1"/>
  <c r="Q689" i="1" a="1"/>
  <c r="Q689" i="1" s="1"/>
  <c r="Q690" i="1" a="1"/>
  <c r="Q690" i="1" s="1"/>
  <c r="Q691" i="1" a="1"/>
  <c r="Q691" i="1"/>
  <c r="Q692" i="1" a="1"/>
  <c r="Q692" i="1" s="1"/>
  <c r="Q693" i="1" a="1"/>
  <c r="Q693" i="1" s="1"/>
  <c r="Q694" i="1" a="1"/>
  <c r="Q694" i="1" s="1"/>
  <c r="Q695" i="1" a="1"/>
  <c r="Q695" i="1"/>
  <c r="Q696" i="1" a="1"/>
  <c r="Q696" i="1" s="1"/>
  <c r="Q697" i="1" a="1"/>
  <c r="Q697" i="1" s="1"/>
  <c r="Q698" i="1" a="1"/>
  <c r="Q698" i="1" s="1"/>
  <c r="Q699" i="1" a="1"/>
  <c r="Q699" i="1"/>
  <c r="Q700" i="1" a="1"/>
  <c r="Q700" i="1" s="1"/>
  <c r="Q701" i="1" a="1"/>
  <c r="Q701" i="1" s="1"/>
  <c r="Q702" i="1" a="1"/>
  <c r="Q702" i="1" s="1"/>
  <c r="Q703" i="1" a="1"/>
  <c r="Q703" i="1"/>
  <c r="Q704" i="1" a="1"/>
  <c r="Q704" i="1" s="1"/>
  <c r="Q705" i="1" a="1"/>
  <c r="Q705" i="1" s="1"/>
  <c r="Q706" i="1" a="1"/>
  <c r="Q706" i="1" s="1"/>
  <c r="Q707" i="1" a="1"/>
  <c r="Q707" i="1"/>
  <c r="Q708" i="1" a="1"/>
  <c r="Q708" i="1" s="1"/>
  <c r="Q709" i="1" a="1"/>
  <c r="Q709" i="1" s="1"/>
  <c r="Q710" i="1" a="1"/>
  <c r="Q710" i="1" s="1"/>
  <c r="Q711" i="1" a="1"/>
  <c r="Q711" i="1"/>
  <c r="Q712" i="1" a="1"/>
  <c r="Q712" i="1" s="1"/>
  <c r="Q713" i="1" a="1"/>
  <c r="Q713" i="1" s="1"/>
  <c r="Q714" i="1" a="1"/>
  <c r="Q714" i="1" s="1"/>
  <c r="Q715" i="1" a="1"/>
  <c r="Q715" i="1"/>
  <c r="Q716" i="1" a="1"/>
  <c r="Q716" i="1" s="1"/>
  <c r="Q717" i="1" a="1"/>
  <c r="Q717" i="1" s="1"/>
  <c r="Q718" i="1" a="1"/>
  <c r="Q718" i="1" s="1"/>
  <c r="Q719" i="1" a="1"/>
  <c r="Q719" i="1"/>
  <c r="Q720" i="1" a="1"/>
  <c r="Q720" i="1" s="1"/>
  <c r="Q721" i="1" a="1"/>
  <c r="Q721" i="1" s="1"/>
  <c r="Q722" i="1" a="1"/>
  <c r="Q722" i="1" s="1"/>
  <c r="Q723" i="1" a="1"/>
  <c r="Q723" i="1"/>
  <c r="Q724" i="1" a="1"/>
  <c r="Q724" i="1" s="1"/>
  <c r="Q725" i="1" a="1"/>
  <c r="Q725" i="1" s="1"/>
  <c r="Q726" i="1" a="1"/>
  <c r="Q726" i="1" s="1"/>
  <c r="Q727" i="1" a="1"/>
  <c r="Q727" i="1"/>
  <c r="Q728" i="1" a="1"/>
  <c r="Q728" i="1" s="1"/>
  <c r="Q729" i="1" a="1"/>
  <c r="Q729" i="1" s="1"/>
  <c r="Q730" i="1" a="1"/>
  <c r="Q730" i="1" s="1"/>
  <c r="Q731" i="1" a="1"/>
  <c r="Q731" i="1"/>
  <c r="Q732" i="1" a="1"/>
  <c r="Q732" i="1" s="1"/>
  <c r="Q733" i="1" a="1"/>
  <c r="Q733" i="1" s="1"/>
  <c r="Q734" i="1" a="1"/>
  <c r="Q734" i="1" s="1"/>
  <c r="Q735" i="1" a="1"/>
  <c r="Q735" i="1"/>
  <c r="Q736" i="1" a="1"/>
  <c r="Q736" i="1" s="1"/>
  <c r="Q737" i="1" a="1"/>
  <c r="Q737" i="1" s="1"/>
  <c r="Q738" i="1" a="1"/>
  <c r="Q738" i="1" s="1"/>
  <c r="Q739" i="1" a="1"/>
  <c r="Q739" i="1"/>
  <c r="Q740" i="1" a="1"/>
  <c r="Q740" i="1" s="1"/>
  <c r="Q741" i="1" a="1"/>
  <c r="Q741" i="1" s="1"/>
  <c r="Q742" i="1" a="1"/>
  <c r="Q742" i="1" s="1"/>
  <c r="Q743" i="1" a="1"/>
  <c r="Q743" i="1"/>
  <c r="Q744" i="1" a="1"/>
  <c r="Q744" i="1" s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/>
  <c r="Q752" i="1" a="1"/>
  <c r="Q752" i="1" s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/>
  <c r="Q760" i="1" a="1"/>
  <c r="Q760" i="1" s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/>
  <c r="Q768" i="1" a="1"/>
  <c r="Q768" i="1" s="1"/>
  <c r="Q769" i="1" a="1"/>
  <c r="Q769" i="1" s="1"/>
  <c r="Q770" i="1" a="1"/>
  <c r="Q770" i="1" s="1"/>
  <c r="Q771" i="1" a="1"/>
  <c r="Q771" i="1" s="1"/>
  <c r="Q772" i="1" a="1"/>
  <c r="Q772" i="1" s="1"/>
  <c r="Q773" i="1" a="1"/>
  <c r="Q773" i="1" s="1"/>
  <c r="Q774" i="1" a="1"/>
  <c r="Q774" i="1" s="1"/>
  <c r="Q775" i="1" a="1"/>
  <c r="Q775" i="1"/>
  <c r="Q776" i="1" a="1"/>
  <c r="Q776" i="1" s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/>
  <c r="Q784" i="1" a="1"/>
  <c r="Q784" i="1" s="1"/>
  <c r="Q785" i="1" a="1"/>
  <c r="Q785" i="1" s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/>
  <c r="Q792" i="1" a="1"/>
  <c r="Q792" i="1" s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/>
  <c r="Q800" i="1" a="1"/>
  <c r="Q800" i="1" s="1"/>
  <c r="Q801" i="1" a="1"/>
  <c r="Q801" i="1" s="1"/>
  <c r="Q802" i="1" a="1"/>
  <c r="Q802" i="1" s="1"/>
  <c r="Q803" i="1" a="1"/>
  <c r="Q803" i="1" s="1"/>
  <c r="Q804" i="1" a="1"/>
  <c r="Q804" i="1" s="1"/>
  <c r="Q805" i="1" a="1"/>
  <c r="Q805" i="1" s="1"/>
  <c r="Q806" i="1" a="1"/>
  <c r="Q806" i="1" s="1"/>
  <c r="Q807" i="1" a="1"/>
  <c r="Q807" i="1"/>
  <c r="Q808" i="1" a="1"/>
  <c r="Q808" i="1" s="1"/>
  <c r="Q809" i="1" a="1"/>
  <c r="Q809" i="1" s="1"/>
  <c r="Q810" i="1" a="1"/>
  <c r="Q810" i="1" s="1"/>
  <c r="Q811" i="1" a="1"/>
  <c r="Q811" i="1" s="1"/>
  <c r="Q812" i="1" a="1"/>
  <c r="Q812" i="1" s="1"/>
  <c r="Q813" i="1" a="1"/>
  <c r="Q813" i="1" s="1"/>
  <c r="Q814" i="1" a="1"/>
  <c r="Q814" i="1" s="1"/>
  <c r="Q815" i="1" a="1"/>
  <c r="Q815" i="1"/>
  <c r="Q816" i="1" a="1"/>
  <c r="Q816" i="1" s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/>
  <c r="Q824" i="1" a="1"/>
  <c r="Q824" i="1" s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 s="1"/>
  <c r="Q831" i="1" a="1"/>
  <c r="Q831" i="1"/>
  <c r="Q832" i="1" a="1"/>
  <c r="Q832" i="1" s="1"/>
  <c r="Q833" i="1" a="1"/>
  <c r="Q833" i="1" s="1"/>
  <c r="Q834" i="1" a="1"/>
  <c r="Q834" i="1" s="1"/>
  <c r="Q835" i="1" a="1"/>
  <c r="Q835" i="1" s="1"/>
  <c r="Q836" i="1" a="1"/>
  <c r="Q836" i="1" s="1"/>
  <c r="Q837" i="1" a="1"/>
  <c r="Q837" i="1" s="1"/>
  <c r="Q838" i="1" a="1"/>
  <c r="Q838" i="1" s="1"/>
  <c r="Q839" i="1" a="1"/>
  <c r="Q839" i="1"/>
  <c r="Q840" i="1" a="1"/>
  <c r="Q840" i="1" s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 s="1"/>
  <c r="Q847" i="1" a="1"/>
  <c r="Q847" i="1"/>
  <c r="Q848" i="1" a="1"/>
  <c r="Q848" i="1" s="1"/>
  <c r="Q849" i="1" a="1"/>
  <c r="Q849" i="1" s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/>
  <c r="Q864" i="1" a="1"/>
  <c r="Q864" i="1" s="1"/>
  <c r="Q865" i="1" a="1"/>
  <c r="Q865" i="1" s="1"/>
  <c r="Q866" i="1" a="1"/>
  <c r="Q866" i="1" s="1"/>
  <c r="Q867" i="1" a="1"/>
  <c r="Q867" i="1"/>
  <c r="Q868" i="1" a="1"/>
  <c r="Q868" i="1" s="1"/>
  <c r="Q869" i="1" a="1"/>
  <c r="Q869" i="1" s="1"/>
  <c r="Q870" i="1" a="1"/>
  <c r="Q870" i="1" s="1"/>
  <c r="Q871" i="1" a="1"/>
  <c r="Q871" i="1"/>
  <c r="Q872" i="1" a="1"/>
  <c r="Q872" i="1" s="1"/>
  <c r="Q873" i="1" a="1"/>
  <c r="Q873" i="1" s="1"/>
  <c r="Q874" i="1" a="1"/>
  <c r="Q874" i="1" s="1"/>
  <c r="Q875" i="1" a="1"/>
  <c r="Q875" i="1"/>
  <c r="Q876" i="1" a="1"/>
  <c r="Q876" i="1"/>
  <c r="Q877" i="1" a="1"/>
  <c r="Q877" i="1" s="1"/>
  <c r="Q878" i="1" a="1"/>
  <c r="Q878" i="1"/>
  <c r="Q879" i="1" a="1"/>
  <c r="Q879" i="1" s="1"/>
  <c r="Q880" i="1" a="1"/>
  <c r="Q880" i="1"/>
  <c r="Q881" i="1" a="1"/>
  <c r="Q881" i="1" s="1"/>
  <c r="Q882" i="1" a="1"/>
  <c r="Q882" i="1"/>
  <c r="Q883" i="1" a="1"/>
  <c r="Q883" i="1" s="1"/>
  <c r="Q884" i="1" a="1"/>
  <c r="Q884" i="1"/>
  <c r="Q885" i="1" a="1"/>
  <c r="Q885" i="1" s="1"/>
  <c r="Q886" i="1" a="1"/>
  <c r="Q886" i="1"/>
  <c r="Q887" i="1" a="1"/>
  <c r="Q887" i="1" s="1"/>
  <c r="Q888" i="1" a="1"/>
  <c r="Q888" i="1"/>
  <c r="Q889" i="1" a="1"/>
  <c r="Q889" i="1" s="1"/>
  <c r="Q890" i="1" a="1"/>
  <c r="Q890" i="1"/>
  <c r="Q891" i="1" a="1"/>
  <c r="Q891" i="1" s="1"/>
  <c r="Q892" i="1" a="1"/>
  <c r="Q892" i="1"/>
  <c r="Q893" i="1" a="1"/>
  <c r="Q893" i="1" s="1"/>
  <c r="Q894" i="1" a="1"/>
  <c r="Q894" i="1"/>
  <c r="Q895" i="1" a="1"/>
  <c r="Q895" i="1" s="1"/>
  <c r="Q896" i="1" a="1"/>
  <c r="Q896" i="1"/>
  <c r="Q897" i="1" a="1"/>
  <c r="Q897" i="1" s="1"/>
  <c r="Q898" i="1" a="1"/>
  <c r="Q898" i="1"/>
  <c r="Q899" i="1" a="1"/>
  <c r="Q899" i="1" s="1"/>
  <c r="Q900" i="1" a="1"/>
  <c r="Q900" i="1"/>
  <c r="Q901" i="1" a="1"/>
  <c r="Q901" i="1" s="1"/>
  <c r="Q902" i="1" a="1"/>
  <c r="Q902" i="1"/>
  <c r="Q903" i="1" a="1"/>
  <c r="Q903" i="1" s="1"/>
  <c r="Q904" i="1" a="1"/>
  <c r="Q904" i="1"/>
  <c r="Q905" i="1" a="1"/>
  <c r="Q905" i="1" s="1"/>
  <c r="Q906" i="1" a="1"/>
  <c r="Q906" i="1"/>
  <c r="Q907" i="1" a="1"/>
  <c r="Q907" i="1" s="1"/>
  <c r="Q908" i="1" a="1"/>
  <c r="Q908" i="1"/>
  <c r="Q909" i="1" a="1"/>
  <c r="Q909" i="1" s="1"/>
  <c r="Q910" i="1" a="1"/>
  <c r="Q910" i="1"/>
  <c r="Q911" i="1" a="1"/>
  <c r="Q911" i="1" s="1"/>
  <c r="Q912" i="1" a="1"/>
  <c r="Q912" i="1"/>
  <c r="Q913" i="1" a="1"/>
  <c r="Q913" i="1" s="1"/>
  <c r="Q914" i="1" a="1"/>
  <c r="Q914" i="1"/>
  <c r="Q915" i="1" a="1"/>
  <c r="Q915" i="1" s="1"/>
  <c r="Q916" i="1" a="1"/>
  <c r="Q916" i="1"/>
  <c r="Q917" i="1" a="1"/>
  <c r="Q917" i="1" s="1"/>
  <c r="Q918" i="1" a="1"/>
  <c r="Q918" i="1"/>
  <c r="Q919" i="1" a="1"/>
  <c r="Q919" i="1" s="1"/>
  <c r="Q920" i="1" a="1"/>
  <c r="Q920" i="1"/>
  <c r="Q921" i="1" a="1"/>
  <c r="Q921" i="1" s="1"/>
  <c r="Q922" i="1" a="1"/>
  <c r="Q922" i="1"/>
  <c r="Q923" i="1" a="1"/>
  <c r="Q923" i="1" s="1"/>
  <c r="Q924" i="1" a="1"/>
  <c r="Q924" i="1"/>
  <c r="Q925" i="1" a="1"/>
  <c r="Q925" i="1" s="1"/>
  <c r="Q926" i="1" a="1"/>
  <c r="Q926" i="1"/>
  <c r="Q927" i="1" a="1"/>
  <c r="Q927" i="1" s="1"/>
  <c r="Q928" i="1" a="1"/>
  <c r="Q928" i="1"/>
  <c r="Q929" i="1" a="1"/>
  <c r="Q929" i="1" s="1"/>
  <c r="Q930" i="1" a="1"/>
  <c r="Q930" i="1"/>
  <c r="Q931" i="1" a="1"/>
  <c r="Q931" i="1" s="1"/>
  <c r="Q932" i="1" a="1"/>
  <c r="Q932" i="1"/>
  <c r="Q933" i="1" a="1"/>
  <c r="Q933" i="1" s="1"/>
  <c r="Q934" i="1" a="1"/>
  <c r="Q934" i="1"/>
  <c r="Q935" i="1" a="1"/>
  <c r="Q935" i="1" s="1"/>
  <c r="Q936" i="1" a="1"/>
  <c r="Q936" i="1" s="1"/>
  <c r="Q937" i="1" a="1"/>
  <c r="Q937" i="1" s="1"/>
  <c r="Q938" i="1" a="1"/>
  <c r="Q938" i="1" s="1"/>
  <c r="Q939" i="1" a="1"/>
  <c r="Q939" i="1" s="1"/>
  <c r="Q940" i="1" a="1"/>
  <c r="Q940" i="1"/>
  <c r="Q941" i="1" a="1"/>
  <c r="Q941" i="1" s="1"/>
  <c r="Q942" i="1" a="1"/>
  <c r="Q942" i="1"/>
  <c r="Q943" i="1" a="1"/>
  <c r="Q943" i="1" s="1"/>
  <c r="Q944" i="1" a="1"/>
  <c r="Q944" i="1" s="1"/>
  <c r="Q945" i="1" a="1"/>
  <c r="Q945" i="1" s="1"/>
  <c r="Q946" i="1" a="1"/>
  <c r="Q946" i="1" s="1"/>
  <c r="Q947" i="1" a="1"/>
  <c r="Q947" i="1" s="1"/>
  <c r="Q948" i="1" a="1"/>
  <c r="Q948" i="1"/>
  <c r="Q949" i="1" a="1"/>
  <c r="Q949" i="1" s="1"/>
  <c r="Q950" i="1" a="1"/>
  <c r="Q950" i="1"/>
  <c r="Q951" i="1" a="1"/>
  <c r="Q951" i="1" s="1"/>
  <c r="Q952" i="1" a="1"/>
  <c r="Q952" i="1" s="1"/>
  <c r="Q953" i="1" a="1"/>
  <c r="Q953" i="1" s="1"/>
  <c r="Q954" i="1" a="1"/>
  <c r="Q954" i="1" s="1"/>
  <c r="Q955" i="1" a="1"/>
  <c r="Q955" i="1" s="1"/>
  <c r="Q956" i="1" a="1"/>
  <c r="Q956" i="1"/>
  <c r="Q957" i="1" a="1"/>
  <c r="Q957" i="1" s="1"/>
  <c r="Q958" i="1" a="1"/>
  <c r="Q958" i="1"/>
  <c r="Q959" i="1" a="1"/>
  <c r="Q959" i="1" s="1"/>
  <c r="Q960" i="1" a="1"/>
  <c r="Q960" i="1" s="1"/>
  <c r="Q961" i="1" a="1"/>
  <c r="Q961" i="1" s="1"/>
  <c r="Q962" i="1" a="1"/>
  <c r="Q962" i="1" s="1"/>
  <c r="Q963" i="1" a="1"/>
  <c r="Q963" i="1" s="1"/>
  <c r="Q964" i="1" a="1"/>
  <c r="Q964" i="1"/>
  <c r="Q965" i="1" a="1"/>
  <c r="Q965" i="1" s="1"/>
  <c r="Q966" i="1" a="1"/>
  <c r="Q966" i="1"/>
  <c r="Q967" i="1" a="1"/>
  <c r="Q967" i="1" s="1"/>
  <c r="Q968" i="1" a="1"/>
  <c r="Q968" i="1" s="1"/>
  <c r="Q969" i="1" a="1"/>
  <c r="Q969" i="1" s="1"/>
  <c r="Q970" i="1" a="1"/>
  <c r="Q970" i="1" s="1"/>
  <c r="Q971" i="1" a="1"/>
  <c r="Q971" i="1" s="1"/>
  <c r="Q972" i="1" a="1"/>
  <c r="Q972" i="1"/>
  <c r="Q973" i="1" a="1"/>
  <c r="Q973" i="1" s="1"/>
  <c r="Q974" i="1" a="1"/>
  <c r="Q974" i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/>
  <c r="Q981" i="1" a="1"/>
  <c r="Q981" i="1" s="1"/>
  <c r="Q982" i="1" a="1"/>
  <c r="Q982" i="1"/>
  <c r="Q983" i="1" a="1"/>
  <c r="Q983" i="1" s="1"/>
  <c r="Q984" i="1" a="1"/>
  <c r="Q984" i="1" s="1"/>
  <c r="Q985" i="1" a="1"/>
  <c r="Q985" i="1" s="1"/>
  <c r="Q986" i="1" a="1"/>
  <c r="Q986" i="1" s="1"/>
  <c r="Q987" i="1" a="1"/>
  <c r="Q987" i="1" s="1"/>
  <c r="Q988" i="1" a="1"/>
  <c r="Q988" i="1"/>
  <c r="Q989" i="1" a="1"/>
  <c r="Q989" i="1" s="1"/>
  <c r="Q990" i="1" a="1"/>
  <c r="Q990" i="1"/>
  <c r="Q991" i="1" a="1"/>
  <c r="Q991" i="1" s="1"/>
  <c r="Q992" i="1" a="1"/>
  <c r="Q992" i="1" s="1"/>
  <c r="Q993" i="1" a="1"/>
  <c r="Q993" i="1" s="1"/>
  <c r="Q994" i="1" a="1"/>
  <c r="Q994" i="1" s="1"/>
  <c r="Q995" i="1" a="1"/>
  <c r="Q995" i="1" s="1"/>
  <c r="Q996" i="1" a="1"/>
  <c r="Q996" i="1"/>
  <c r="Q997" i="1" a="1"/>
  <c r="Q997" i="1" s="1"/>
  <c r="Q998" i="1" a="1"/>
  <c r="Q998" i="1"/>
  <c r="Q999" i="1" a="1"/>
  <c r="Q999" i="1" s="1"/>
  <c r="Q1000" i="1" a="1"/>
  <c r="Q1000" i="1" s="1"/>
  <c r="Q1001" i="1" a="1"/>
  <c r="Q1001" i="1" s="1"/>
  <c r="Q1002" i="1" a="1"/>
  <c r="Q1002" i="1" s="1"/>
  <c r="Q1003" i="1" a="1"/>
  <c r="Q1003" i="1" s="1"/>
  <c r="Q1004" i="1" a="1"/>
  <c r="Q1004" i="1"/>
  <c r="Q1005" i="1" a="1"/>
  <c r="Q1005" i="1" s="1"/>
  <c r="Q1006" i="1" a="1"/>
  <c r="Q1006" i="1"/>
  <c r="Q1007" i="1" a="1"/>
  <c r="Q1007" i="1" s="1"/>
  <c r="Q1008" i="1" a="1"/>
  <c r="Q1008" i="1" s="1"/>
  <c r="Q1009" i="1" a="1"/>
  <c r="Q1009" i="1" s="1"/>
  <c r="Q1010" i="1" a="1"/>
  <c r="Q1010" i="1" s="1"/>
  <c r="Q1011" i="1" a="1"/>
  <c r="Q1011" i="1" s="1"/>
  <c r="Q1012" i="1" a="1"/>
  <c r="Q1012" i="1"/>
  <c r="Q1013" i="1" a="1"/>
  <c r="Q1013" i="1" s="1"/>
  <c r="Q1014" i="1" a="1"/>
  <c r="Q1014" i="1"/>
  <c r="Q1015" i="1" a="1"/>
  <c r="Q1015" i="1" s="1"/>
  <c r="Q1016" i="1" a="1"/>
  <c r="Q1016" i="1" s="1"/>
  <c r="Q1017" i="1" a="1"/>
  <c r="Q1017" i="1" s="1"/>
  <c r="Q1018" i="1" a="1"/>
  <c r="Q1018" i="1" s="1"/>
  <c r="Q1019" i="1" a="1"/>
  <c r="Q1019" i="1" s="1"/>
  <c r="Q1020" i="1" a="1"/>
  <c r="Q1020" i="1"/>
  <c r="Q1021" i="1" a="1"/>
  <c r="Q1021" i="1" s="1"/>
  <c r="Q1022" i="1" a="1"/>
  <c r="Q1022" i="1"/>
  <c r="Q1023" i="1" a="1"/>
  <c r="Q1023" i="1" s="1"/>
  <c r="Q1024" i="1" a="1"/>
  <c r="Q1024" i="1" s="1"/>
  <c r="Q1025" i="1" a="1"/>
  <c r="Q1025" i="1" s="1"/>
  <c r="Q1026" i="1" a="1"/>
  <c r="Q1026" i="1" s="1"/>
  <c r="Q1027" i="1" a="1"/>
  <c r="Q1027" i="1" s="1"/>
  <c r="Q1028" i="1" a="1"/>
  <c r="Q1028" i="1"/>
  <c r="Q1029" i="1" a="1"/>
  <c r="Q1029" i="1" s="1"/>
  <c r="Q1030" i="1" a="1"/>
  <c r="Q1030" i="1"/>
  <c r="Q1031" i="1" a="1"/>
  <c r="Q1031" i="1" s="1"/>
  <c r="Q1032" i="1" a="1"/>
  <c r="Q1032" i="1" s="1"/>
  <c r="Q1033" i="1" a="1"/>
  <c r="Q1033" i="1" s="1"/>
  <c r="Q1034" i="1" a="1"/>
  <c r="Q1034" i="1" s="1"/>
  <c r="Q1035" i="1" a="1"/>
  <c r="Q1035" i="1" s="1"/>
  <c r="Q1036" i="1" a="1"/>
  <c r="Q1036" i="1"/>
  <c r="Q1037" i="1" a="1"/>
  <c r="Q1037" i="1" s="1"/>
  <c r="Q1038" i="1" a="1"/>
  <c r="Q1038" i="1"/>
  <c r="Q1039" i="1" a="1"/>
  <c r="Q1039" i="1" s="1"/>
  <c r="Q1040" i="1" a="1"/>
  <c r="Q1040" i="1" s="1"/>
  <c r="Q1041" i="1" a="1"/>
  <c r="Q1041" i="1" s="1"/>
  <c r="Q1042" i="1" a="1"/>
  <c r="Q1042" i="1" s="1"/>
  <c r="Q1043" i="1" a="1"/>
  <c r="Q1043" i="1" s="1"/>
  <c r="Q1044" i="1" a="1"/>
  <c r="Q1044" i="1"/>
  <c r="Q1045" i="1" a="1"/>
  <c r="Q1045" i="1" s="1"/>
  <c r="Q1046" i="1" a="1"/>
  <c r="Q1046" i="1"/>
  <c r="Q1047" i="1" a="1"/>
  <c r="Q1047" i="1" s="1"/>
  <c r="Q1048" i="1" a="1"/>
  <c r="Q1048" i="1" s="1"/>
  <c r="Q1049" i="1" a="1"/>
  <c r="Q1049" i="1" s="1"/>
  <c r="Q1050" i="1" a="1"/>
  <c r="Q1050" i="1" s="1"/>
  <c r="Q1051" i="1" a="1"/>
  <c r="Q1051" i="1" s="1"/>
  <c r="Q1052" i="1" a="1"/>
  <c r="Q1052" i="1"/>
  <c r="Q1053" i="1" a="1"/>
  <c r="Q1053" i="1" s="1"/>
  <c r="Q1054" i="1" a="1"/>
  <c r="Q1054" i="1"/>
  <c r="Q1055" i="1" a="1"/>
  <c r="Q1055" i="1" s="1"/>
  <c r="Q1056" i="1" a="1"/>
  <c r="Q1056" i="1" s="1"/>
  <c r="Q1057" i="1" a="1"/>
  <c r="Q1057" i="1" s="1"/>
  <c r="Q1058" i="1" a="1"/>
  <c r="Q1058" i="1" s="1"/>
  <c r="Q1059" i="1" a="1"/>
  <c r="Q1059" i="1" s="1"/>
  <c r="Q1060" i="1" a="1"/>
  <c r="Q1060" i="1"/>
  <c r="Q1061" i="1" a="1"/>
  <c r="Q1061" i="1" s="1"/>
  <c r="Q1062" i="1" a="1"/>
  <c r="Q1062" i="1"/>
  <c r="Q1063" i="1" a="1"/>
  <c r="Q1063" i="1" s="1"/>
  <c r="Q1064" i="1" a="1"/>
  <c r="Q1064" i="1" s="1"/>
  <c r="Q1065" i="1" a="1"/>
  <c r="Q1065" i="1" s="1"/>
  <c r="Q1066" i="1" a="1"/>
  <c r="Q1066" i="1" s="1"/>
  <c r="Q1067" i="1" a="1"/>
  <c r="Q1067" i="1" s="1"/>
  <c r="Q1068" i="1" a="1"/>
  <c r="Q1068" i="1"/>
  <c r="Q1069" i="1" a="1"/>
  <c r="Q1069" i="1" s="1"/>
  <c r="Q1070" i="1" a="1"/>
  <c r="Q1070" i="1"/>
  <c r="Q1071" i="1" a="1"/>
  <c r="Q1071" i="1" s="1"/>
  <c r="Q1072" i="1" a="1"/>
  <c r="Q1072" i="1" s="1"/>
  <c r="Q1073" i="1" a="1"/>
  <c r="Q1073" i="1" s="1"/>
  <c r="Q1074" i="1" a="1"/>
  <c r="Q1074" i="1" s="1"/>
  <c r="Q1075" i="1" a="1"/>
  <c r="Q1075" i="1" s="1"/>
  <c r="Q1076" i="1" a="1"/>
  <c r="Q1076" i="1"/>
  <c r="Q1077" i="1" a="1"/>
  <c r="Q1077" i="1" s="1"/>
  <c r="Q1078" i="1" a="1"/>
  <c r="Q1078" i="1"/>
  <c r="Q1079" i="1" a="1"/>
  <c r="Q1079" i="1" s="1"/>
  <c r="Q1080" i="1" a="1"/>
  <c r="Q1080" i="1" s="1"/>
  <c r="Q1081" i="1" a="1"/>
  <c r="Q1081" i="1" s="1"/>
  <c r="Q1082" i="1" a="1"/>
  <c r="Q1082" i="1" s="1"/>
  <c r="Q1083" i="1" a="1"/>
  <c r="Q1083" i="1" s="1"/>
  <c r="Q1084" i="1" a="1"/>
  <c r="Q1084" i="1"/>
  <c r="Q1085" i="1" a="1"/>
  <c r="Q1085" i="1" s="1"/>
  <c r="Q1086" i="1" a="1"/>
  <c r="Q1086" i="1"/>
  <c r="Q1087" i="1" a="1"/>
  <c r="Q1087" i="1" s="1"/>
  <c r="Q1088" i="1" a="1"/>
  <c r="Q1088" i="1" s="1"/>
  <c r="Q1089" i="1" a="1"/>
  <c r="Q1089" i="1" s="1"/>
  <c r="Q1090" i="1" a="1"/>
  <c r="Q1090" i="1" s="1"/>
  <c r="Q1091" i="1" a="1"/>
  <c r="Q1091" i="1" s="1"/>
  <c r="Q1092" i="1" a="1"/>
  <c r="Q1092" i="1"/>
  <c r="Q1093" i="1" a="1"/>
  <c r="Q1093" i="1" s="1"/>
  <c r="Q1094" i="1" a="1"/>
  <c r="Q1094" i="1"/>
  <c r="Q1095" i="1" a="1"/>
  <c r="Q1095" i="1" s="1"/>
  <c r="Q1096" i="1" a="1"/>
  <c r="Q1096" i="1" s="1"/>
  <c r="Q1097" i="1" a="1"/>
  <c r="Q1097" i="1" s="1"/>
  <c r="Q1098" i="1" a="1"/>
  <c r="Q1098" i="1" s="1"/>
  <c r="Q1099" i="1" a="1"/>
  <c r="Q1099" i="1" s="1"/>
  <c r="Q1100" i="1" a="1"/>
  <c r="Q1100" i="1"/>
  <c r="Q1101" i="1" a="1"/>
  <c r="Q1101" i="1" s="1"/>
  <c r="Q1102" i="1" a="1"/>
  <c r="Q1102" i="1"/>
  <c r="Q1103" i="1" a="1"/>
  <c r="Q1103" i="1" s="1"/>
  <c r="Q1104" i="1" a="1"/>
  <c r="Q1104" i="1" s="1"/>
  <c r="Q1105" i="1" a="1"/>
  <c r="Q1105" i="1" s="1"/>
  <c r="Q1106" i="1" a="1"/>
  <c r="Q1106" i="1" s="1"/>
  <c r="Q1107" i="1" a="1"/>
  <c r="Q1107" i="1" s="1"/>
  <c r="Q1108" i="1" a="1"/>
  <c r="Q1108" i="1"/>
  <c r="Q1109" i="1" a="1"/>
  <c r="Q1109" i="1" s="1"/>
  <c r="Q1110" i="1" a="1"/>
  <c r="Q1110" i="1"/>
  <c r="Q1111" i="1" a="1"/>
  <c r="Q1111" i="1" s="1"/>
  <c r="Q1112" i="1" a="1"/>
  <c r="Q1112" i="1" s="1"/>
  <c r="Q1113" i="1" a="1"/>
  <c r="Q1113" i="1" s="1"/>
  <c r="Q1114" i="1" a="1"/>
  <c r="Q1114" i="1" s="1"/>
  <c r="Q1115" i="1" a="1"/>
  <c r="Q1115" i="1" s="1"/>
  <c r="Q1116" i="1" a="1"/>
  <c r="Q1116" i="1"/>
  <c r="Q1117" i="1" a="1"/>
  <c r="Q1117" i="1" s="1"/>
  <c r="Q1118" i="1" a="1"/>
  <c r="Q1118" i="1"/>
  <c r="Q1119" i="1" a="1"/>
  <c r="Q1119" i="1" s="1"/>
  <c r="Q1120" i="1" a="1"/>
  <c r="Q1120" i="1" s="1"/>
  <c r="Q1121" i="1" a="1"/>
  <c r="Q1121" i="1" s="1"/>
  <c r="Q1122" i="1" a="1"/>
  <c r="Q1122" i="1" s="1"/>
  <c r="Q1123" i="1" a="1"/>
  <c r="Q1123" i="1" s="1"/>
  <c r="Q1124" i="1" a="1"/>
  <c r="Q1124" i="1"/>
  <c r="Q1125" i="1" a="1"/>
  <c r="Q1125" i="1" s="1"/>
  <c r="Q1126" i="1" a="1"/>
  <c r="Q1126" i="1"/>
  <c r="Q1127" i="1" a="1"/>
  <c r="Q1127" i="1" s="1"/>
  <c r="Q1128" i="1" a="1"/>
  <c r="Q1128" i="1" s="1"/>
  <c r="Q1129" i="1" a="1"/>
  <c r="Q1129" i="1" s="1"/>
  <c r="Q1130" i="1" a="1"/>
  <c r="Q1130" i="1" s="1"/>
  <c r="Q1131" i="1" a="1"/>
  <c r="Q1131" i="1" s="1"/>
  <c r="Q1132" i="1" a="1"/>
  <c r="Q1132" i="1"/>
  <c r="Q1133" i="1" a="1"/>
  <c r="Q1133" i="1" s="1"/>
  <c r="Q1134" i="1" a="1"/>
  <c r="Q1134" i="1"/>
  <c r="Q1135" i="1" a="1"/>
  <c r="Q1135" i="1" s="1"/>
  <c r="Q1136" i="1" a="1"/>
  <c r="Q1136" i="1" s="1"/>
  <c r="Q1137" i="1" a="1"/>
  <c r="Q1137" i="1" s="1"/>
  <c r="Q1138" i="1" a="1"/>
  <c r="Q1138" i="1" s="1"/>
  <c r="Q1139" i="1" a="1"/>
  <c r="Q1139" i="1" s="1"/>
  <c r="Q1140" i="1" a="1"/>
  <c r="Q1140" i="1"/>
  <c r="Q1141" i="1" a="1"/>
  <c r="Q1141" i="1" s="1"/>
  <c r="Q1142" i="1" a="1"/>
  <c r="Q1142" i="1"/>
  <c r="Q1143" i="1" a="1"/>
  <c r="Q1143" i="1" s="1"/>
  <c r="Q1144" i="1" a="1"/>
  <c r="Q1144" i="1" s="1"/>
  <c r="Q1145" i="1" a="1"/>
  <c r="Q1145" i="1" s="1"/>
  <c r="Q1146" i="1" a="1"/>
  <c r="Q1146" i="1" s="1"/>
  <c r="Q1147" i="1" a="1"/>
  <c r="Q1147" i="1" s="1"/>
  <c r="Q1148" i="1" a="1"/>
  <c r="Q1148" i="1"/>
  <c r="Q1149" i="1" a="1"/>
  <c r="Q1149" i="1" s="1"/>
  <c r="Q1150" i="1" a="1"/>
  <c r="Q1150" i="1"/>
  <c r="Q1151" i="1" a="1"/>
  <c r="Q1151" i="1" s="1"/>
  <c r="Q1152" i="1" a="1"/>
  <c r="Q1152" i="1" s="1"/>
  <c r="Q1153" i="1" a="1"/>
  <c r="Q1153" i="1" s="1"/>
  <c r="Q1154" i="1" a="1"/>
  <c r="Q1154" i="1" s="1"/>
  <c r="Q1155" i="1" a="1"/>
  <c r="Q1155" i="1" s="1"/>
  <c r="Q1156" i="1" a="1"/>
  <c r="Q1156" i="1"/>
  <c r="Q1157" i="1" a="1"/>
  <c r="Q1157" i="1" s="1"/>
  <c r="Q1158" i="1" a="1"/>
  <c r="Q1158" i="1"/>
  <c r="Q1159" i="1" a="1"/>
  <c r="Q1159" i="1" s="1"/>
  <c r="Q1160" i="1" a="1"/>
  <c r="Q1160" i="1" s="1"/>
  <c r="Q1161" i="1" a="1"/>
  <c r="Q1161" i="1" s="1"/>
  <c r="Q1162" i="1" a="1"/>
  <c r="Q1162" i="1" s="1"/>
  <c r="Q1163" i="1" a="1"/>
  <c r="Q1163" i="1" s="1"/>
  <c r="Q1164" i="1" a="1"/>
  <c r="Q1164" i="1"/>
  <c r="Q1165" i="1" a="1"/>
  <c r="Q1165" i="1" s="1"/>
  <c r="Q1166" i="1" a="1"/>
  <c r="Q1166" i="1"/>
  <c r="Q1167" i="1" a="1"/>
  <c r="Q1167" i="1" s="1"/>
  <c r="Q1168" i="1" a="1"/>
  <c r="Q1168" i="1" s="1"/>
  <c r="Q1169" i="1" a="1"/>
  <c r="Q1169" i="1" s="1"/>
  <c r="Q1170" i="1" a="1"/>
  <c r="Q1170" i="1" s="1"/>
  <c r="Q1171" i="1" a="1"/>
  <c r="Q1171" i="1" s="1"/>
  <c r="Q1172" i="1" a="1"/>
  <c r="Q1172" i="1"/>
  <c r="Q1173" i="1" a="1"/>
  <c r="Q1173" i="1" s="1"/>
  <c r="Q1174" i="1" a="1"/>
  <c r="Q1174" i="1"/>
  <c r="Q1175" i="1" a="1"/>
  <c r="Q1175" i="1" s="1"/>
  <c r="Q1176" i="1" a="1"/>
  <c r="Q1176" i="1" s="1"/>
  <c r="Q1177" i="1" a="1"/>
  <c r="Q1177" i="1" s="1"/>
  <c r="Q1178" i="1" a="1"/>
  <c r="Q1178" i="1" s="1"/>
  <c r="Q1179" i="1" a="1"/>
  <c r="Q1179" i="1" s="1"/>
  <c r="Q1180" i="1" a="1"/>
  <c r="Q1180" i="1"/>
  <c r="Q1181" i="1" a="1"/>
  <c r="Q1181" i="1" s="1"/>
  <c r="Q1182" i="1" a="1"/>
  <c r="Q1182" i="1"/>
  <c r="Q1183" i="1" a="1"/>
  <c r="Q1183" i="1" s="1"/>
  <c r="Q1184" i="1" a="1"/>
  <c r="Q1184" i="1" s="1"/>
  <c r="Q1185" i="1" a="1"/>
  <c r="Q1185" i="1" s="1"/>
  <c r="Q1186" i="1" a="1"/>
  <c r="Q1186" i="1" s="1"/>
  <c r="Q1187" i="1" a="1"/>
  <c r="Q1187" i="1" s="1"/>
  <c r="Q1188" i="1" a="1"/>
  <c r="Q1188" i="1"/>
  <c r="Q1189" i="1" a="1"/>
  <c r="Q1189" i="1" s="1"/>
  <c r="Q1190" i="1" a="1"/>
  <c r="Q1190" i="1"/>
  <c r="Q1191" i="1" a="1"/>
  <c r="Q1191" i="1" s="1"/>
  <c r="Q1192" i="1" a="1"/>
  <c r="Q1192" i="1" s="1"/>
  <c r="Q1193" i="1" a="1"/>
  <c r="Q1193" i="1" s="1"/>
  <c r="Q1194" i="1" a="1"/>
  <c r="Q1194" i="1" s="1"/>
  <c r="Q1195" i="1" a="1"/>
  <c r="Q1195" i="1" s="1"/>
  <c r="Q1196" i="1" a="1"/>
  <c r="Q1196" i="1"/>
  <c r="Q1197" i="1" a="1"/>
  <c r="Q1197" i="1" s="1"/>
  <c r="Q1198" i="1" a="1"/>
  <c r="Q1198" i="1"/>
  <c r="Q1199" i="1" a="1"/>
  <c r="Q1199" i="1" s="1"/>
  <c r="Q1200" i="1" a="1"/>
  <c r="Q1200" i="1" s="1"/>
  <c r="Q1201" i="1" a="1"/>
  <c r="Q1201" i="1" s="1"/>
  <c r="Q1202" i="1" a="1"/>
  <c r="Q1202" i="1" s="1"/>
  <c r="Q1203" i="1" a="1"/>
  <c r="Q1203" i="1" s="1"/>
  <c r="Q1204" i="1" a="1"/>
  <c r="Q1204" i="1"/>
  <c r="Q1205" i="1" a="1"/>
  <c r="Q1205" i="1" s="1"/>
  <c r="Q1206" i="1" a="1"/>
  <c r="Q1206" i="1"/>
  <c r="Q1207" i="1" a="1"/>
  <c r="Q1207" i="1" s="1"/>
  <c r="Q1208" i="1" a="1"/>
  <c r="Q1208" i="1" s="1"/>
  <c r="Q1209" i="1" a="1"/>
  <c r="Q1209" i="1" s="1"/>
  <c r="Q1210" i="1" a="1"/>
  <c r="Q1210" i="1" s="1"/>
  <c r="Q1211" i="1" a="1"/>
  <c r="Q1211" i="1" s="1"/>
  <c r="Q1212" i="1" a="1"/>
  <c r="Q1212" i="1"/>
  <c r="Q1213" i="1" a="1"/>
  <c r="Q1213" i="1" s="1"/>
  <c r="Q1214" i="1" a="1"/>
  <c r="Q1214" i="1"/>
  <c r="Q1215" i="1" a="1"/>
  <c r="Q1215" i="1" s="1"/>
  <c r="Q1216" i="1" a="1"/>
  <c r="Q1216" i="1" s="1"/>
  <c r="Q1217" i="1" a="1"/>
  <c r="Q1217" i="1" s="1"/>
  <c r="Q1218" i="1" a="1"/>
  <c r="Q1218" i="1" s="1"/>
  <c r="Q1219" i="1" a="1"/>
  <c r="Q1219" i="1" s="1"/>
  <c r="Q1220" i="1" a="1"/>
  <c r="Q1220" i="1"/>
  <c r="Q1221" i="1" a="1"/>
  <c r="Q1221" i="1" s="1"/>
  <c r="Q1222" i="1" a="1"/>
  <c r="Q1222" i="1"/>
  <c r="Q1223" i="1" a="1"/>
  <c r="Q1223" i="1" s="1"/>
  <c r="Q1224" i="1" a="1"/>
  <c r="Q1224" i="1" s="1"/>
  <c r="Q1225" i="1" a="1"/>
  <c r="Q1225" i="1" s="1"/>
  <c r="Q1226" i="1" a="1"/>
  <c r="Q1226" i="1" s="1"/>
  <c r="Q1227" i="1" a="1"/>
  <c r="Q1227" i="1" s="1"/>
  <c r="Q1228" i="1" a="1"/>
  <c r="Q1228" i="1"/>
  <c r="Q1229" i="1" a="1"/>
  <c r="Q1229" i="1" s="1"/>
  <c r="Q1230" i="1" a="1"/>
  <c r="Q1230" i="1"/>
  <c r="Q1231" i="1" a="1"/>
  <c r="Q1231" i="1" s="1"/>
  <c r="Q1232" i="1" a="1"/>
  <c r="Q1232" i="1" s="1"/>
  <c r="Q1233" i="1" a="1"/>
  <c r="Q1233" i="1" s="1"/>
  <c r="Q1234" i="1" a="1"/>
  <c r="Q1234" i="1" s="1"/>
  <c r="Q1235" i="1" a="1"/>
  <c r="Q1235" i="1" s="1"/>
  <c r="Q1236" i="1" a="1"/>
  <c r="Q1236" i="1"/>
  <c r="Q1237" i="1" a="1"/>
  <c r="Q1237" i="1" s="1"/>
  <c r="Q1238" i="1" a="1"/>
  <c r="Q1238" i="1"/>
  <c r="Q1239" i="1" a="1"/>
  <c r="Q1239" i="1" s="1"/>
  <c r="Q1240" i="1" a="1"/>
  <c r="Q1240" i="1" s="1"/>
  <c r="Q1241" i="1" a="1"/>
  <c r="Q1241" i="1" s="1"/>
  <c r="Q1242" i="1" a="1"/>
  <c r="Q1242" i="1" s="1"/>
  <c r="Q1243" i="1" a="1"/>
  <c r="Q1243" i="1" s="1"/>
  <c r="Q1244" i="1" a="1"/>
  <c r="Q1244" i="1"/>
  <c r="Q1245" i="1" a="1"/>
  <c r="Q1245" i="1" s="1"/>
  <c r="Q1246" i="1" a="1"/>
  <c r="Q1246" i="1"/>
  <c r="Q1247" i="1" a="1"/>
  <c r="Q1247" i="1" s="1"/>
  <c r="Q1248" i="1" a="1"/>
  <c r="Q1248" i="1" s="1"/>
  <c r="Q1249" i="1" a="1"/>
  <c r="Q1249" i="1" s="1"/>
  <c r="Q1250" i="1" a="1"/>
  <c r="Q1250" i="1" s="1"/>
  <c r="Q1251" i="1" a="1"/>
  <c r="Q1251" i="1" s="1"/>
  <c r="Q1252" i="1" a="1"/>
  <c r="Q1252" i="1"/>
  <c r="Q1253" i="1" a="1"/>
  <c r="Q1253" i="1" s="1"/>
  <c r="Q1254" i="1" a="1"/>
  <c r="Q1254" i="1"/>
  <c r="Q1255" i="1" a="1"/>
  <c r="Q1255" i="1" s="1"/>
  <c r="Q1256" i="1" a="1"/>
  <c r="Q1256" i="1" s="1"/>
  <c r="Q1257" i="1" a="1"/>
  <c r="Q1257" i="1" s="1"/>
  <c r="Q1258" i="1" a="1"/>
  <c r="Q1258" i="1" s="1"/>
  <c r="Q1259" i="1" a="1"/>
  <c r="Q1259" i="1" s="1"/>
  <c r="Q1260" i="1" a="1"/>
  <c r="Q1260" i="1"/>
  <c r="Q1261" i="1" a="1"/>
  <c r="Q1261" i="1" s="1"/>
  <c r="Q1262" i="1" a="1"/>
  <c r="Q1262" i="1"/>
  <c r="Q1263" i="1" a="1"/>
  <c r="Q1263" i="1" s="1"/>
  <c r="Q1264" i="1" a="1"/>
  <c r="Q1264" i="1" s="1"/>
  <c r="Q1265" i="1" a="1"/>
  <c r="Q1265" i="1" s="1"/>
  <c r="Q1266" i="1" a="1"/>
  <c r="Q1266" i="1" s="1"/>
  <c r="Q1267" i="1" a="1"/>
  <c r="Q1267" i="1" s="1"/>
  <c r="Q1268" i="1" a="1"/>
  <c r="Q1268" i="1"/>
  <c r="Q1269" i="1" a="1"/>
  <c r="Q1269" i="1" s="1"/>
  <c r="Q1270" i="1" a="1"/>
  <c r="Q1270" i="1"/>
  <c r="Q1271" i="1" a="1"/>
  <c r="Q1271" i="1" s="1"/>
  <c r="Q1272" i="1" a="1"/>
  <c r="Q1272" i="1" s="1"/>
  <c r="Q1273" i="1" a="1"/>
  <c r="Q1273" i="1" s="1"/>
  <c r="Q1274" i="1" a="1"/>
  <c r="Q1274" i="1" s="1"/>
  <c r="Q1275" i="1" a="1"/>
  <c r="Q1275" i="1" s="1"/>
  <c r="Q1276" i="1" a="1"/>
  <c r="Q1276" i="1"/>
  <c r="Q1277" i="1" a="1"/>
  <c r="Q1277" i="1" s="1"/>
  <c r="Q1278" i="1" a="1"/>
  <c r="Q1278" i="1"/>
  <c r="Q1279" i="1" a="1"/>
  <c r="Q1279" i="1" s="1"/>
  <c r="Q1280" i="1" a="1"/>
  <c r="Q1280" i="1" s="1"/>
  <c r="Q1281" i="1" a="1"/>
  <c r="Q1281" i="1" s="1"/>
  <c r="Q1282" i="1" a="1"/>
  <c r="Q1282" i="1" s="1"/>
  <c r="Q1283" i="1" a="1"/>
  <c r="Q1283" i="1" s="1"/>
  <c r="Q1284" i="1" a="1"/>
  <c r="Q1284" i="1"/>
  <c r="Q1285" i="1" a="1"/>
  <c r="Q1285" i="1" s="1"/>
  <c r="Q1286" i="1" a="1"/>
  <c r="Q1286" i="1"/>
  <c r="Q1287" i="1" a="1"/>
  <c r="Q1287" i="1" s="1"/>
  <c r="Q1288" i="1" a="1"/>
  <c r="Q1288" i="1" s="1"/>
  <c r="Q1289" i="1" a="1"/>
  <c r="Q1289" i="1" s="1"/>
  <c r="Q1290" i="1" a="1"/>
  <c r="Q1290" i="1" s="1"/>
  <c r="Q1291" i="1" a="1"/>
  <c r="Q1291" i="1" s="1"/>
  <c r="Q1292" i="1" a="1"/>
  <c r="Q1292" i="1"/>
  <c r="Q1293" i="1" a="1"/>
  <c r="Q1293" i="1" s="1"/>
  <c r="Q1294" i="1" a="1"/>
  <c r="Q1294" i="1"/>
  <c r="Q1295" i="1" a="1"/>
  <c r="Q1295" i="1" s="1"/>
  <c r="Q1296" i="1" a="1"/>
  <c r="Q1296" i="1" s="1"/>
  <c r="Q1297" i="1" a="1"/>
  <c r="Q1297" i="1" s="1"/>
  <c r="Q1298" i="1" a="1"/>
  <c r="Q1298" i="1" s="1"/>
  <c r="Q1299" i="1" a="1"/>
  <c r="Q1299" i="1" s="1"/>
  <c r="Q1300" i="1" a="1"/>
  <c r="Q1300" i="1"/>
  <c r="Q1301" i="1" a="1"/>
  <c r="Q1301" i="1" s="1"/>
  <c r="Q1302" i="1" a="1"/>
  <c r="Q1302" i="1"/>
  <c r="Q1303" i="1" a="1"/>
  <c r="Q1303" i="1" s="1"/>
  <c r="Q1304" i="1" a="1"/>
  <c r="Q1304" i="1" s="1"/>
  <c r="Q1305" i="1" a="1"/>
  <c r="Q1305" i="1" s="1"/>
  <c r="Q1306" i="1" a="1"/>
  <c r="Q1306" i="1" s="1"/>
  <c r="Q1307" i="1" a="1"/>
  <c r="Q1307" i="1" s="1"/>
  <c r="Q1308" i="1" a="1"/>
  <c r="Q1308" i="1"/>
  <c r="Q1309" i="1" a="1"/>
  <c r="Q1309" i="1" s="1"/>
  <c r="Q1310" i="1" a="1"/>
  <c r="Q1310" i="1"/>
  <c r="Q1311" i="1" a="1"/>
  <c r="Q1311" i="1" s="1"/>
  <c r="Q1312" i="1" a="1"/>
  <c r="Q1312" i="1" s="1"/>
  <c r="Q1313" i="1" a="1"/>
  <c r="Q1313" i="1" s="1"/>
  <c r="Q1314" i="1" a="1"/>
  <c r="Q1314" i="1" s="1"/>
  <c r="Q1315" i="1" a="1"/>
  <c r="Q1315" i="1" s="1"/>
  <c r="Q1316" i="1" a="1"/>
  <c r="Q1316" i="1"/>
  <c r="Q1317" i="1" a="1"/>
  <c r="Q1317" i="1" s="1"/>
  <c r="Q1318" i="1" a="1"/>
  <c r="Q1318" i="1"/>
  <c r="Q1319" i="1" a="1"/>
  <c r="Q1319" i="1" s="1"/>
  <c r="Q1320" i="1" a="1"/>
  <c r="Q1320" i="1" s="1"/>
  <c r="Q1321" i="1" a="1"/>
  <c r="Q1321" i="1" s="1"/>
  <c r="Q1322" i="1" a="1"/>
  <c r="Q1322" i="1" s="1"/>
  <c r="Q1323" i="1" a="1"/>
  <c r="Q1323" i="1" s="1"/>
  <c r="Q1324" i="1" a="1"/>
  <c r="Q1324" i="1"/>
  <c r="Q1325" i="1" a="1"/>
  <c r="Q1325" i="1" s="1"/>
  <c r="Q1326" i="1" a="1"/>
  <c r="Q1326" i="1"/>
  <c r="Q1327" i="1" a="1"/>
  <c r="Q1327" i="1" s="1"/>
  <c r="Q1328" i="1" a="1"/>
  <c r="Q1328" i="1" s="1"/>
  <c r="Q1329" i="1" a="1"/>
  <c r="Q1329" i="1" s="1"/>
  <c r="Q1330" i="1" a="1"/>
  <c r="Q1330" i="1" s="1"/>
  <c r="Q1331" i="1" a="1"/>
  <c r="Q1331" i="1" s="1"/>
  <c r="Q1332" i="1" a="1"/>
  <c r="Q1332" i="1"/>
  <c r="Q1333" i="1" a="1"/>
  <c r="Q1333" i="1" s="1"/>
  <c r="Q1334" i="1" a="1"/>
  <c r="Q1334" i="1"/>
  <c r="Q1335" i="1" a="1"/>
  <c r="Q1335" i="1" s="1"/>
  <c r="Q1336" i="1" a="1"/>
  <c r="Q1336" i="1" s="1"/>
  <c r="Q1337" i="1" a="1"/>
  <c r="Q1337" i="1" s="1"/>
  <c r="Q1338" i="1" a="1"/>
  <c r="Q1338" i="1" s="1"/>
  <c r="Q1339" i="1" a="1"/>
  <c r="Q1339" i="1" s="1"/>
  <c r="Q1340" i="1" a="1"/>
  <c r="Q1340" i="1"/>
  <c r="Q1341" i="1" a="1"/>
  <c r="Q1341" i="1" s="1"/>
  <c r="Q1342" i="1" a="1"/>
  <c r="Q1342" i="1"/>
  <c r="Q1343" i="1" a="1"/>
  <c r="Q1343" i="1" s="1"/>
  <c r="Q1344" i="1" a="1"/>
  <c r="Q1344" i="1" s="1"/>
  <c r="Q1345" i="1" a="1"/>
  <c r="Q1345" i="1" s="1"/>
  <c r="Q1346" i="1" a="1"/>
  <c r="Q1346" i="1" s="1"/>
  <c r="Q1347" i="1" a="1"/>
  <c r="Q1347" i="1" s="1"/>
  <c r="Q1348" i="1" a="1"/>
  <c r="Q1348" i="1"/>
  <c r="Q1349" i="1" a="1"/>
  <c r="Q1349" i="1" s="1"/>
  <c r="Q1350" i="1" a="1"/>
  <c r="Q1350" i="1"/>
  <c r="Q1351" i="1" a="1"/>
  <c r="Q1351" i="1" s="1"/>
  <c r="Q1352" i="1" a="1"/>
  <c r="Q1352" i="1" s="1"/>
  <c r="Q1353" i="1" a="1"/>
  <c r="Q1353" i="1" s="1"/>
  <c r="Q1354" i="1" a="1"/>
  <c r="Q1354" i="1" s="1"/>
  <c r="Q1355" i="1" a="1"/>
  <c r="Q1355" i="1" s="1"/>
  <c r="Q1356" i="1" a="1"/>
  <c r="Q1356" i="1"/>
  <c r="Q1357" i="1" a="1"/>
  <c r="Q1357" i="1" s="1"/>
  <c r="Q1358" i="1" a="1"/>
  <c r="Q1358" i="1"/>
  <c r="Q1359" i="1" a="1"/>
  <c r="Q1359" i="1" s="1"/>
  <c r="Q1360" i="1" a="1"/>
  <c r="Q1360" i="1" s="1"/>
  <c r="Q1361" i="1" a="1"/>
  <c r="Q1361" i="1" s="1"/>
  <c r="Q1362" i="1" a="1"/>
  <c r="Q1362" i="1" s="1"/>
  <c r="Q1363" i="1" a="1"/>
  <c r="Q1363" i="1" s="1"/>
  <c r="Q1364" i="1" a="1"/>
  <c r="Q1364" i="1"/>
  <c r="Q1365" i="1" a="1"/>
  <c r="Q1365" i="1" s="1"/>
  <c r="Q1366" i="1" a="1"/>
  <c r="Q1366" i="1"/>
  <c r="Q1367" i="1" a="1"/>
  <c r="Q1367" i="1" s="1"/>
  <c r="Q1368" i="1" a="1"/>
  <c r="Q1368" i="1" s="1"/>
  <c r="Q1369" i="1" a="1"/>
  <c r="Q1369" i="1" s="1"/>
  <c r="Q1370" i="1" a="1"/>
  <c r="Q1370" i="1" s="1"/>
  <c r="Q1371" i="1" a="1"/>
  <c r="Q1371" i="1" s="1"/>
  <c r="Q1372" i="1" a="1"/>
  <c r="Q1372" i="1"/>
  <c r="Q1373" i="1" a="1"/>
  <c r="Q1373" i="1" s="1"/>
  <c r="Q1374" i="1" a="1"/>
  <c r="Q1374" i="1"/>
  <c r="Q1375" i="1" a="1"/>
  <c r="Q1375" i="1" s="1"/>
  <c r="Q1376" i="1" a="1"/>
  <c r="Q1376" i="1" s="1"/>
  <c r="Q1377" i="1" a="1"/>
  <c r="Q1377" i="1" s="1"/>
  <c r="Q1378" i="1" a="1"/>
  <c r="Q1378" i="1" s="1"/>
  <c r="Q1379" i="1" a="1"/>
  <c r="Q1379" i="1" s="1"/>
  <c r="Q1380" i="1" a="1"/>
  <c r="Q1380" i="1"/>
  <c r="Q1381" i="1" a="1"/>
  <c r="Q1381" i="1" s="1"/>
  <c r="Q1382" i="1" a="1"/>
  <c r="Q1382" i="1"/>
  <c r="Q1383" i="1" a="1"/>
  <c r="Q1383" i="1" s="1"/>
  <c r="Q1384" i="1" a="1"/>
  <c r="Q1384" i="1" s="1"/>
  <c r="Q1385" i="1" a="1"/>
  <c r="Q1385" i="1" s="1"/>
  <c r="Q1386" i="1" a="1"/>
  <c r="Q1386" i="1" s="1"/>
  <c r="Q1387" i="1" a="1"/>
  <c r="Q1387" i="1" s="1"/>
  <c r="Q1388" i="1" a="1"/>
  <c r="Q1388" i="1"/>
  <c r="Q1389" i="1" a="1"/>
  <c r="Q1389" i="1" s="1"/>
  <c r="Q1390" i="1" a="1"/>
  <c r="Q1390" i="1"/>
  <c r="Q1391" i="1" a="1"/>
  <c r="Q1391" i="1" s="1"/>
  <c r="Q1392" i="1" a="1"/>
  <c r="Q1392" i="1" s="1"/>
  <c r="Q1393" i="1" a="1"/>
  <c r="Q1393" i="1" s="1"/>
  <c r="Q1394" i="1" a="1"/>
  <c r="Q1394" i="1" s="1"/>
  <c r="Q1395" i="1" a="1"/>
  <c r="Q1395" i="1" s="1"/>
  <c r="Q1396" i="1" a="1"/>
  <c r="Q1396" i="1"/>
  <c r="Q1397" i="1" a="1"/>
  <c r="Q1397" i="1" s="1"/>
  <c r="Q1398" i="1" a="1"/>
  <c r="Q1398" i="1"/>
  <c r="Q1399" i="1" a="1"/>
  <c r="Q1399" i="1" s="1"/>
  <c r="Q1400" i="1" a="1"/>
  <c r="Q1400" i="1" s="1"/>
  <c r="Q1401" i="1" a="1"/>
  <c r="Q1401" i="1" s="1"/>
  <c r="Q1402" i="1" a="1"/>
  <c r="Q1402" i="1" s="1"/>
  <c r="Q1403" i="1" a="1"/>
  <c r="Q1403" i="1" s="1"/>
  <c r="Q1404" i="1" a="1"/>
  <c r="Q1404" i="1"/>
  <c r="Q1405" i="1" a="1"/>
  <c r="Q1405" i="1" s="1"/>
  <c r="Q1406" i="1" a="1"/>
  <c r="Q1406" i="1"/>
  <c r="Q1407" i="1" a="1"/>
  <c r="Q1407" i="1" s="1"/>
  <c r="Q1408" i="1" a="1"/>
  <c r="Q1408" i="1" s="1"/>
  <c r="Q1409" i="1" a="1"/>
  <c r="Q1409" i="1" s="1"/>
  <c r="Q1410" i="1" a="1"/>
  <c r="Q1410" i="1" s="1"/>
  <c r="Q1411" i="1" a="1"/>
  <c r="Q1411" i="1" s="1"/>
  <c r="Q1412" i="1" a="1"/>
  <c r="Q1412" i="1"/>
  <c r="Q1413" i="1" a="1"/>
  <c r="Q1413" i="1" s="1"/>
  <c r="Q1414" i="1" a="1"/>
  <c r="Q1414" i="1"/>
  <c r="Q1415" i="1" a="1"/>
  <c r="Q1415" i="1" s="1"/>
  <c r="Q1416" i="1" a="1"/>
  <c r="Q1416" i="1" s="1"/>
  <c r="Q1417" i="1" a="1"/>
  <c r="Q1417" i="1" s="1"/>
  <c r="Q1418" i="1" a="1"/>
  <c r="Q1418" i="1" s="1"/>
  <c r="Q1419" i="1" a="1"/>
  <c r="Q1419" i="1" s="1"/>
  <c r="Q1420" i="1" a="1"/>
  <c r="Q1420" i="1"/>
  <c r="Q1421" i="1" a="1"/>
  <c r="Q1421" i="1" s="1"/>
  <c r="Q1422" i="1" a="1"/>
  <c r="Q1422" i="1"/>
  <c r="Q1423" i="1" a="1"/>
  <c r="Q1423" i="1" s="1"/>
  <c r="Q1424" i="1" a="1"/>
  <c r="Q1424" i="1" s="1"/>
  <c r="Q1425" i="1" a="1"/>
  <c r="Q1425" i="1" s="1"/>
  <c r="Q1426" i="1" a="1"/>
  <c r="Q1426" i="1" s="1"/>
  <c r="Q1427" i="1" a="1"/>
  <c r="Q1427" i="1" s="1"/>
  <c r="Q1428" i="1" a="1"/>
  <c r="Q1428" i="1"/>
  <c r="Q1429" i="1" a="1"/>
  <c r="Q1429" i="1" s="1"/>
  <c r="Q1430" i="1" a="1"/>
  <c r="Q1430" i="1"/>
  <c r="Q1431" i="1" a="1"/>
  <c r="Q1431" i="1" s="1"/>
  <c r="Q1432" i="1" a="1"/>
  <c r="Q1432" i="1" s="1"/>
  <c r="Q1433" i="1" a="1"/>
  <c r="Q1433" i="1" s="1"/>
  <c r="Q1434" i="1" a="1"/>
  <c r="Q1434" i="1" s="1"/>
  <c r="Q1435" i="1" a="1"/>
  <c r="Q1435" i="1" s="1"/>
  <c r="Q1436" i="1" a="1"/>
  <c r="Q1436" i="1"/>
  <c r="Q1437" i="1" a="1"/>
  <c r="Q1437" i="1" s="1"/>
  <c r="Q1438" i="1" a="1"/>
  <c r="Q1438" i="1"/>
  <c r="Q1439" i="1" a="1"/>
  <c r="Q1439" i="1" s="1"/>
  <c r="Q1440" i="1" a="1"/>
  <c r="Q1440" i="1" s="1"/>
  <c r="Q1441" i="1" a="1"/>
  <c r="Q1441" i="1" s="1"/>
  <c r="Q1442" i="1" a="1"/>
  <c r="Q1442" i="1" s="1"/>
  <c r="Q1443" i="1" a="1"/>
  <c r="Q1443" i="1" s="1"/>
  <c r="Q1444" i="1" a="1"/>
  <c r="Q1444" i="1"/>
  <c r="Q1445" i="1" a="1"/>
  <c r="Q1445" i="1" s="1"/>
  <c r="Q1446" i="1" a="1"/>
  <c r="Q1446" i="1"/>
  <c r="Q1447" i="1" a="1"/>
  <c r="Q1447" i="1" s="1"/>
  <c r="Q1448" i="1" a="1"/>
  <c r="Q1448" i="1" s="1"/>
  <c r="Q1449" i="1" a="1"/>
  <c r="Q1449" i="1" s="1"/>
  <c r="Q1450" i="1" a="1"/>
  <c r="Q1450" i="1" s="1"/>
  <c r="Q1451" i="1" a="1"/>
  <c r="Q1451" i="1" s="1"/>
  <c r="Q1452" i="1" a="1"/>
  <c r="Q1452" i="1"/>
  <c r="Q1453" i="1" a="1"/>
  <c r="Q1453" i="1" s="1"/>
  <c r="Q1454" i="1" a="1"/>
  <c r="Q1454" i="1"/>
  <c r="Q1455" i="1" a="1"/>
  <c r="Q1455" i="1" s="1"/>
  <c r="Q1456" i="1" a="1"/>
  <c r="Q1456" i="1" s="1"/>
  <c r="Q1457" i="1" a="1"/>
  <c r="Q1457" i="1" s="1"/>
  <c r="Q1458" i="1" a="1"/>
  <c r="Q1458" i="1" s="1"/>
  <c r="Q1459" i="1" a="1"/>
  <c r="Q1459" i="1" s="1"/>
  <c r="Q1460" i="1" a="1"/>
  <c r="Q1460" i="1"/>
  <c r="Q1461" i="1" a="1"/>
  <c r="Q1461" i="1" s="1"/>
  <c r="Q1462" i="1" a="1"/>
  <c r="Q1462" i="1"/>
  <c r="Q1463" i="1" a="1"/>
  <c r="Q1463" i="1" s="1"/>
  <c r="Q1464" i="1" a="1"/>
  <c r="Q1464" i="1" s="1"/>
  <c r="Q1465" i="1" a="1"/>
  <c r="Q1465" i="1" s="1"/>
  <c r="Q1466" i="1" a="1"/>
  <c r="Q1466" i="1" s="1"/>
  <c r="Q1467" i="1" a="1"/>
  <c r="Q1467" i="1" s="1"/>
  <c r="Q1468" i="1" a="1"/>
  <c r="Q1468" i="1"/>
  <c r="Q1469" i="1" a="1"/>
  <c r="Q1469" i="1" s="1"/>
  <c r="Q1470" i="1" a="1"/>
  <c r="Q1470" i="1"/>
  <c r="Q1471" i="1" a="1"/>
  <c r="Q1471" i="1" s="1"/>
  <c r="Q1472" i="1" a="1"/>
  <c r="Q1472" i="1" s="1"/>
  <c r="Q1473" i="1" a="1"/>
  <c r="Q1473" i="1" s="1"/>
  <c r="Q1474" i="1" a="1"/>
  <c r="Q1474" i="1" s="1"/>
  <c r="Q1475" i="1" a="1"/>
  <c r="Q1475" i="1" s="1"/>
  <c r="Q1476" i="1" a="1"/>
  <c r="Q1476" i="1"/>
  <c r="Q1477" i="1" a="1"/>
  <c r="Q1477" i="1" s="1"/>
  <c r="Q1478" i="1" a="1"/>
  <c r="Q1478" i="1"/>
  <c r="Q1479" i="1" a="1"/>
  <c r="Q1479" i="1" s="1"/>
  <c r="Q1480" i="1" a="1"/>
  <c r="Q1480" i="1" s="1"/>
  <c r="Q1481" i="1" a="1"/>
  <c r="Q1481" i="1" s="1"/>
  <c r="Q1482" i="1" a="1"/>
  <c r="Q1482" i="1" s="1"/>
  <c r="Q1483" i="1" a="1"/>
  <c r="Q1483" i="1" s="1"/>
  <c r="Q1484" i="1" a="1"/>
  <c r="Q1484" i="1"/>
  <c r="Q1485" i="1" a="1"/>
  <c r="Q1485" i="1" s="1"/>
  <c r="Q1486" i="1" a="1"/>
  <c r="Q1486" i="1"/>
  <c r="Q1487" i="1" a="1"/>
  <c r="Q1487" i="1" s="1"/>
  <c r="Q1488" i="1" a="1"/>
  <c r="Q1488" i="1" s="1"/>
  <c r="Q1489" i="1" a="1"/>
  <c r="Q1489" i="1" s="1"/>
  <c r="Q1490" i="1" a="1"/>
  <c r="Q1490" i="1" s="1"/>
  <c r="Q1491" i="1" a="1"/>
  <c r="Q1491" i="1" s="1"/>
  <c r="Q1492" i="1" a="1"/>
  <c r="Q1492" i="1"/>
  <c r="Q1493" i="1" a="1"/>
  <c r="Q1493" i="1" s="1"/>
  <c r="Q1494" i="1" a="1"/>
  <c r="Q1494" i="1"/>
  <c r="Q1495" i="1" a="1"/>
  <c r="Q1495" i="1" s="1"/>
  <c r="Q1496" i="1" a="1"/>
  <c r="Q1496" i="1" s="1"/>
  <c r="Q1497" i="1" a="1"/>
  <c r="Q1497" i="1" s="1"/>
  <c r="Q1498" i="1" a="1"/>
  <c r="Q1498" i="1" s="1"/>
  <c r="Q1499" i="1" a="1"/>
  <c r="Q1499" i="1" s="1"/>
  <c r="Q1500" i="1" a="1"/>
  <c r="Q1500" i="1"/>
  <c r="Q1501" i="1" a="1"/>
  <c r="Q1501" i="1" s="1"/>
  <c r="Q1502" i="1" a="1"/>
  <c r="Q1502" i="1"/>
  <c r="Q1503" i="1" a="1"/>
  <c r="Q1503" i="1" s="1"/>
  <c r="Q1504" i="1" a="1"/>
  <c r="Q1504" i="1" s="1"/>
  <c r="Q1505" i="1" a="1"/>
  <c r="Q1505" i="1" s="1"/>
  <c r="Q1506" i="1" a="1"/>
  <c r="Q1506" i="1" s="1"/>
  <c r="Q1507" i="1" a="1"/>
  <c r="Q1507" i="1" s="1"/>
  <c r="Q1508" i="1" a="1"/>
  <c r="Q1508" i="1"/>
  <c r="Q1509" i="1" a="1"/>
  <c r="Q1509" i="1" s="1"/>
  <c r="Q1510" i="1" a="1"/>
  <c r="Q1510" i="1"/>
  <c r="Q1511" i="1" a="1"/>
  <c r="Q1511" i="1" s="1"/>
  <c r="Q1512" i="1" a="1"/>
  <c r="Q1512" i="1" s="1"/>
  <c r="Q1513" i="1" a="1"/>
  <c r="Q1513" i="1" s="1"/>
  <c r="Q1514" i="1" a="1"/>
  <c r="Q1514" i="1" s="1"/>
  <c r="Q1515" i="1" a="1"/>
  <c r="Q1515" i="1" s="1"/>
  <c r="Q1516" i="1" a="1"/>
  <c r="Q1516" i="1"/>
  <c r="Q1517" i="1" a="1"/>
  <c r="Q1517" i="1" s="1"/>
  <c r="Q1518" i="1" a="1"/>
  <c r="Q1518" i="1"/>
  <c r="Q1519" i="1" a="1"/>
  <c r="Q1519" i="1" s="1"/>
  <c r="Q1520" i="1" a="1"/>
  <c r="Q1520" i="1"/>
  <c r="Q1521" i="1" a="1"/>
  <c r="Q1521" i="1" s="1"/>
  <c r="Q1522" i="1" a="1"/>
  <c r="Q1522" i="1"/>
  <c r="Q1523" i="1" a="1"/>
  <c r="Q1523" i="1" s="1"/>
  <c r="Q1524" i="1" a="1"/>
  <c r="Q1524" i="1"/>
  <c r="Q1525" i="1" a="1"/>
  <c r="Q1525" i="1" s="1"/>
  <c r="Q1526" i="1" a="1"/>
  <c r="Q1526" i="1"/>
  <c r="Q1527" i="1" a="1"/>
  <c r="Q1527" i="1" s="1"/>
  <c r="Q1528" i="1" a="1"/>
  <c r="Q1528" i="1"/>
  <c r="Q1529" i="1" a="1"/>
  <c r="Q1529" i="1" s="1"/>
  <c r="Q1530" i="1" a="1"/>
  <c r="Q1530" i="1"/>
  <c r="Q1531" i="1" a="1"/>
  <c r="Q1531" i="1" s="1"/>
  <c r="Q1532" i="1" a="1"/>
  <c r="Q1532" i="1"/>
  <c r="Q1533" i="1" a="1"/>
  <c r="Q1533" i="1" s="1"/>
  <c r="Q1534" i="1" a="1"/>
  <c r="Q1534" i="1"/>
  <c r="Q1535" i="1" a="1"/>
  <c r="Q1535" i="1" s="1"/>
  <c r="Q1536" i="1" a="1"/>
  <c r="Q1536" i="1"/>
  <c r="Q1537" i="1" a="1"/>
  <c r="Q1537" i="1" s="1"/>
  <c r="Q1538" i="1" a="1"/>
  <c r="Q1538" i="1"/>
  <c r="Q1539" i="1" a="1"/>
  <c r="Q1539" i="1" s="1"/>
  <c r="Q1540" i="1" a="1"/>
  <c r="Q1540" i="1"/>
  <c r="Q1541" i="1" a="1"/>
  <c r="Q1541" i="1" s="1"/>
  <c r="Q1542" i="1" a="1"/>
  <c r="Q1542" i="1"/>
  <c r="Q1543" i="1" a="1"/>
  <c r="Q1543" i="1" s="1"/>
  <c r="Q1544" i="1" a="1"/>
  <c r="Q1544" i="1"/>
  <c r="Q1545" i="1" a="1"/>
  <c r="Q1545" i="1" s="1"/>
  <c r="Q1546" i="1" a="1"/>
  <c r="Q1546" i="1"/>
  <c r="Q1547" i="1" a="1"/>
  <c r="Q1547" i="1" s="1"/>
  <c r="Q1548" i="1" a="1"/>
  <c r="Q1548" i="1"/>
  <c r="Q1549" i="1" a="1"/>
  <c r="Q1549" i="1" s="1"/>
  <c r="Q1550" i="1" a="1"/>
  <c r="Q1550" i="1"/>
  <c r="Q1551" i="1" a="1"/>
  <c r="Q1551" i="1" s="1"/>
  <c r="Q1552" i="1" a="1"/>
  <c r="Q1552" i="1"/>
  <c r="Q1553" i="1" a="1"/>
  <c r="Q1553" i="1" s="1"/>
  <c r="Q1554" i="1" a="1"/>
  <c r="Q1554" i="1"/>
  <c r="Q1555" i="1" a="1"/>
  <c r="Q1555" i="1" s="1"/>
  <c r="Q1556" i="1" a="1"/>
  <c r="Q1556" i="1"/>
  <c r="Q1557" i="1" a="1"/>
  <c r="Q1557" i="1" s="1"/>
  <c r="Q1558" i="1" a="1"/>
  <c r="Q1558" i="1"/>
  <c r="Q1559" i="1" a="1"/>
  <c r="Q1559" i="1" s="1"/>
  <c r="Q1560" i="1" a="1"/>
  <c r="Q1560" i="1"/>
  <c r="Q1561" i="1" a="1"/>
  <c r="Q1561" i="1" s="1"/>
  <c r="Q1562" i="1" a="1"/>
  <c r="Q1562" i="1"/>
  <c r="Q1563" i="1" a="1"/>
  <c r="Q1563" i="1" s="1"/>
  <c r="Q1564" i="1" a="1"/>
  <c r="Q1564" i="1"/>
  <c r="Q1565" i="1" a="1"/>
  <c r="Q1565" i="1" s="1"/>
  <c r="Q1566" i="1" a="1"/>
  <c r="Q1566" i="1"/>
  <c r="Q1567" i="1" a="1"/>
  <c r="Q1567" i="1" s="1"/>
  <c r="Q1568" i="1" a="1"/>
  <c r="Q1568" i="1"/>
  <c r="Q1569" i="1" a="1"/>
  <c r="Q1569" i="1" s="1"/>
  <c r="Q1570" i="1" a="1"/>
  <c r="Q1570" i="1"/>
  <c r="Q1571" i="1" a="1"/>
  <c r="Q1571" i="1" s="1"/>
  <c r="Q1572" i="1" a="1"/>
  <c r="Q1572" i="1"/>
  <c r="Q1573" i="1" a="1"/>
  <c r="Q1573" i="1" s="1"/>
  <c r="Q1574" i="1" a="1"/>
  <c r="Q1574" i="1"/>
  <c r="Q1575" i="1" a="1"/>
  <c r="Q1575" i="1" s="1"/>
  <c r="Q1576" i="1" a="1"/>
  <c r="Q1576" i="1"/>
  <c r="Q1577" i="1" a="1"/>
  <c r="Q1577" i="1" s="1"/>
  <c r="Q1578" i="1" a="1"/>
  <c r="Q1578" i="1"/>
  <c r="Q1579" i="1" a="1"/>
  <c r="Q1579" i="1" s="1"/>
  <c r="Q1580" i="1" a="1"/>
  <c r="Q1580" i="1"/>
  <c r="Q1581" i="1" a="1"/>
  <c r="Q1581" i="1" s="1"/>
  <c r="Q1582" i="1" a="1"/>
  <c r="Q1582" i="1"/>
  <c r="Q1583" i="1" a="1"/>
  <c r="Q1583" i="1" s="1"/>
  <c r="Q1584" i="1" a="1"/>
  <c r="Q1584" i="1"/>
  <c r="Q1585" i="1" a="1"/>
  <c r="Q1585" i="1" s="1"/>
  <c r="Q1586" i="1" a="1"/>
  <c r="Q1586" i="1"/>
  <c r="Q1587" i="1" a="1"/>
  <c r="Q1587" i="1" s="1"/>
  <c r="Q1588" i="1" a="1"/>
  <c r="Q1588" i="1"/>
  <c r="Q1589" i="1" a="1"/>
  <c r="Q1589" i="1" s="1"/>
  <c r="Q1590" i="1" a="1"/>
  <c r="Q1590" i="1"/>
  <c r="Q1591" i="1" a="1"/>
  <c r="Q1591" i="1" s="1"/>
  <c r="Q1592" i="1" a="1"/>
  <c r="Q1592" i="1"/>
  <c r="Q1593" i="1" a="1"/>
  <c r="Q1593" i="1" s="1"/>
  <c r="Q1594" i="1" a="1"/>
  <c r="Q1594" i="1"/>
  <c r="Q1595" i="1" a="1"/>
  <c r="Q1595" i="1" s="1"/>
  <c r="Q1596" i="1" a="1"/>
  <c r="Q1596" i="1"/>
  <c r="Q1597" i="1" a="1"/>
  <c r="Q1597" i="1" s="1"/>
  <c r="Q1598" i="1" a="1"/>
  <c r="Q1598" i="1"/>
  <c r="Q1599" i="1" a="1"/>
  <c r="Q1599" i="1" s="1"/>
  <c r="Q1600" i="1" a="1"/>
  <c r="Q1600" i="1"/>
  <c r="Q1601" i="1" a="1"/>
  <c r="Q1601" i="1" s="1"/>
  <c r="Q1602" i="1" a="1"/>
  <c r="Q1602" i="1"/>
  <c r="Q1603" i="1" a="1"/>
  <c r="Q1603" i="1" s="1"/>
  <c r="Q1604" i="1" a="1"/>
  <c r="Q1604" i="1"/>
  <c r="Q1605" i="1" a="1"/>
  <c r="Q1605" i="1" s="1"/>
  <c r="Q1606" i="1" a="1"/>
  <c r="Q1606" i="1"/>
  <c r="Q1607" i="1" a="1"/>
  <c r="Q1607" i="1" s="1"/>
  <c r="Q1608" i="1" a="1"/>
  <c r="Q1608" i="1"/>
  <c r="Q1609" i="1" a="1"/>
  <c r="Q1609" i="1" s="1"/>
  <c r="Q1610" i="1" a="1"/>
  <c r="Q1610" i="1"/>
  <c r="Q1611" i="1" a="1"/>
  <c r="Q1611" i="1" s="1"/>
  <c r="Q1612" i="1" a="1"/>
  <c r="Q1612" i="1"/>
  <c r="Q1613" i="1" a="1"/>
  <c r="Q1613" i="1" s="1"/>
  <c r="Q1614" i="1" a="1"/>
  <c r="Q1614" i="1"/>
  <c r="Q1615" i="1" a="1"/>
  <c r="Q1615" i="1" s="1"/>
  <c r="Q1616" i="1" a="1"/>
  <c r="Q1616" i="1"/>
  <c r="Q1617" i="1" a="1"/>
  <c r="Q1617" i="1" s="1"/>
  <c r="Q1618" i="1" a="1"/>
  <c r="Q1618" i="1"/>
  <c r="Q1619" i="1" a="1"/>
  <c r="Q1619" i="1" s="1"/>
  <c r="Q1620" i="1" a="1"/>
  <c r="Q1620" i="1"/>
  <c r="Q1621" i="1" a="1"/>
  <c r="Q1621" i="1" s="1"/>
  <c r="Q1622" i="1" a="1"/>
  <c r="Q1622" i="1"/>
  <c r="Q1623" i="1" a="1"/>
  <c r="Q1623" i="1" s="1"/>
  <c r="Q1624" i="1" a="1"/>
  <c r="Q1624" i="1"/>
  <c r="Q1625" i="1" a="1"/>
  <c r="Q1625" i="1" s="1"/>
  <c r="Q1626" i="1" a="1"/>
  <c r="Q1626" i="1"/>
  <c r="Q1627" i="1" a="1"/>
  <c r="Q1627" i="1" s="1"/>
  <c r="Q1628" i="1" a="1"/>
  <c r="Q1628" i="1"/>
  <c r="Q1629" i="1" a="1"/>
  <c r="Q1629" i="1" s="1"/>
  <c r="Q1630" i="1" a="1"/>
  <c r="Q1630" i="1"/>
  <c r="Q1631" i="1" a="1"/>
  <c r="Q1631" i="1" s="1"/>
  <c r="Q1632" i="1" a="1"/>
  <c r="Q1632" i="1"/>
  <c r="Q1633" i="1" a="1"/>
  <c r="Q1633" i="1" s="1"/>
  <c r="Q1634" i="1" a="1"/>
  <c r="Q1634" i="1"/>
  <c r="Q1635" i="1" a="1"/>
  <c r="Q1635" i="1" s="1"/>
  <c r="Q1636" i="1" a="1"/>
  <c r="Q1636" i="1"/>
  <c r="Q1637" i="1" a="1"/>
  <c r="Q1637" i="1" s="1"/>
  <c r="Q1638" i="1" a="1"/>
  <c r="Q1638" i="1"/>
  <c r="Q1639" i="1" a="1"/>
  <c r="Q1639" i="1" s="1"/>
  <c r="Q1640" i="1" a="1"/>
  <c r="Q1640" i="1"/>
  <c r="Q1641" i="1" a="1"/>
  <c r="Q1641" i="1" s="1"/>
  <c r="Q1642" i="1" a="1"/>
  <c r="Q1642" i="1"/>
  <c r="Q1643" i="1" a="1"/>
  <c r="Q1643" i="1" s="1"/>
  <c r="Q1644" i="1" a="1"/>
  <c r="Q1644" i="1"/>
  <c r="Q1645" i="1" a="1"/>
  <c r="Q1645" i="1" s="1"/>
  <c r="Q1646" i="1" a="1"/>
  <c r="Q1646" i="1"/>
  <c r="Q1647" i="1" a="1"/>
  <c r="Q1647" i="1" s="1"/>
  <c r="Q1648" i="1" a="1"/>
  <c r="Q1648" i="1"/>
  <c r="Q1649" i="1" a="1"/>
  <c r="Q1649" i="1" s="1"/>
  <c r="Q1650" i="1" a="1"/>
  <c r="Q1650" i="1"/>
  <c r="Q1651" i="1" a="1"/>
  <c r="Q1651" i="1" s="1"/>
  <c r="Q1652" i="1" a="1"/>
  <c r="Q1652" i="1"/>
  <c r="Q1653" i="1" a="1"/>
  <c r="Q1653" i="1" s="1"/>
  <c r="Q1654" i="1" a="1"/>
  <c r="Q1654" i="1"/>
  <c r="Q1655" i="1" a="1"/>
  <c r="Q1655" i="1" s="1"/>
  <c r="Q1656" i="1" a="1"/>
  <c r="Q1656" i="1"/>
  <c r="Q1657" i="1" a="1"/>
  <c r="Q1657" i="1" s="1"/>
  <c r="Q1658" i="1" a="1"/>
  <c r="Q1658" i="1"/>
  <c r="Q1659" i="1" a="1"/>
  <c r="Q1659" i="1" s="1"/>
  <c r="Q1660" i="1" a="1"/>
  <c r="Q1660" i="1"/>
  <c r="Q1661" i="1" a="1"/>
  <c r="Q1661" i="1" s="1"/>
  <c r="Q1662" i="1" a="1"/>
  <c r="Q1662" i="1"/>
  <c r="Q1663" i="1" a="1"/>
  <c r="Q1663" i="1" s="1"/>
  <c r="Q1664" i="1" a="1"/>
  <c r="Q1664" i="1"/>
  <c r="Q1665" i="1" a="1"/>
  <c r="Q1665" i="1" s="1"/>
  <c r="Q1666" i="1" a="1"/>
  <c r="Q1666" i="1"/>
  <c r="Q1667" i="1" a="1"/>
  <c r="Q1667" i="1" s="1"/>
  <c r="Q1668" i="1" a="1"/>
  <c r="Q1668" i="1"/>
  <c r="Q1669" i="1" a="1"/>
  <c r="Q1669" i="1" s="1"/>
  <c r="Q1670" i="1" a="1"/>
  <c r="Q1670" i="1"/>
  <c r="Q1671" i="1" a="1"/>
  <c r="Q1671" i="1" s="1"/>
  <c r="Q1672" i="1" a="1"/>
  <c r="Q1672" i="1"/>
  <c r="Q1673" i="1" a="1"/>
  <c r="Q1673" i="1" s="1"/>
  <c r="Q1674" i="1" a="1"/>
  <c r="Q1674" i="1"/>
  <c r="Q1675" i="1" a="1"/>
  <c r="Q1675" i="1" s="1"/>
  <c r="Q1676" i="1" a="1"/>
  <c r="Q1676" i="1"/>
  <c r="Q1677" i="1" a="1"/>
  <c r="Q1677" i="1" s="1"/>
  <c r="Q1678" i="1" a="1"/>
  <c r="Q1678" i="1"/>
  <c r="Q1679" i="1" a="1"/>
  <c r="Q1679" i="1" s="1"/>
  <c r="Q1680" i="1" a="1"/>
  <c r="Q1680" i="1"/>
  <c r="Q1681" i="1" a="1"/>
  <c r="Q1681" i="1" s="1"/>
  <c r="Q1682" i="1" a="1"/>
  <c r="Q1682" i="1"/>
  <c r="Q1683" i="1" a="1"/>
  <c r="Q1683" i="1" s="1"/>
  <c r="Q1684" i="1" a="1"/>
  <c r="Q1684" i="1"/>
  <c r="Q1685" i="1" a="1"/>
  <c r="Q1685" i="1" s="1"/>
  <c r="Q1686" i="1" a="1"/>
  <c r="Q1686" i="1"/>
  <c r="Q1687" i="1" a="1"/>
  <c r="Q1687" i="1" s="1"/>
  <c r="Q1688" i="1" a="1"/>
  <c r="Q1688" i="1"/>
  <c r="Q1689" i="1" a="1"/>
  <c r="Q1689" i="1" s="1"/>
  <c r="Q1690" i="1" a="1"/>
  <c r="Q1690" i="1"/>
  <c r="Q1691" i="1" a="1"/>
  <c r="Q1691" i="1" s="1"/>
  <c r="Q1692" i="1" a="1"/>
  <c r="Q1692" i="1"/>
  <c r="Q1693" i="1" a="1"/>
  <c r="Q1693" i="1" s="1"/>
  <c r="Q1694" i="1" a="1"/>
  <c r="Q1694" i="1"/>
  <c r="Q1695" i="1" a="1"/>
  <c r="Q1695" i="1" s="1"/>
  <c r="Q1696" i="1" a="1"/>
  <c r="Q1696" i="1"/>
  <c r="Q1697" i="1" a="1"/>
  <c r="Q1697" i="1" s="1"/>
  <c r="Q1698" i="1" a="1"/>
  <c r="Q1698" i="1"/>
  <c r="Q1699" i="1" a="1"/>
  <c r="Q1699" i="1" s="1"/>
  <c r="Q1700" i="1" a="1"/>
  <c r="Q1700" i="1"/>
  <c r="Q1701" i="1" a="1"/>
  <c r="Q1701" i="1" s="1"/>
  <c r="Q1702" i="1" a="1"/>
  <c r="Q1702" i="1"/>
  <c r="Q1703" i="1" a="1"/>
  <c r="Q1703" i="1" s="1"/>
  <c r="Q1704" i="1" a="1"/>
  <c r="Q1704" i="1"/>
  <c r="Q1705" i="1" a="1"/>
  <c r="Q1705" i="1" s="1"/>
  <c r="Q1706" i="1" a="1"/>
  <c r="Q1706" i="1"/>
  <c r="Q1707" i="1" a="1"/>
  <c r="Q1707" i="1" s="1"/>
  <c r="Q1708" i="1" a="1"/>
  <c r="Q1708" i="1"/>
  <c r="Q1709" i="1" a="1"/>
  <c r="Q1709" i="1" s="1"/>
  <c r="Q1710" i="1" a="1"/>
  <c r="Q1710" i="1"/>
  <c r="Q1711" i="1" a="1"/>
  <c r="Q1711" i="1" s="1"/>
  <c r="Q1712" i="1" a="1"/>
  <c r="Q1712" i="1"/>
  <c r="Q1713" i="1" a="1"/>
  <c r="Q1713" i="1" s="1"/>
  <c r="Q1714" i="1" a="1"/>
  <c r="Q1714" i="1"/>
  <c r="Q1715" i="1" a="1"/>
  <c r="Q1715" i="1" s="1"/>
  <c r="Q1716" i="1" a="1"/>
  <c r="Q1716" i="1"/>
  <c r="Q1717" i="1" a="1"/>
  <c r="Q1717" i="1" s="1"/>
  <c r="Q1718" i="1" a="1"/>
  <c r="Q1718" i="1"/>
  <c r="Q1719" i="1" a="1"/>
  <c r="Q1719" i="1" s="1"/>
  <c r="Q1720" i="1" a="1"/>
  <c r="Q1720" i="1"/>
  <c r="Q1721" i="1" a="1"/>
  <c r="Q1721" i="1" s="1"/>
  <c r="Q1722" i="1" a="1"/>
  <c r="Q1722" i="1"/>
  <c r="Q1723" i="1" a="1"/>
  <c r="Q1723" i="1" s="1"/>
  <c r="Q1724" i="1" a="1"/>
  <c r="Q1724" i="1"/>
  <c r="Q1725" i="1" a="1"/>
  <c r="Q1725" i="1" s="1"/>
  <c r="Q1726" i="1" a="1"/>
  <c r="Q1726" i="1"/>
  <c r="Q1727" i="1" a="1"/>
  <c r="Q1727" i="1" s="1"/>
  <c r="Q1728" i="1" a="1"/>
  <c r="Q1728" i="1"/>
  <c r="Q1729" i="1" a="1"/>
  <c r="Q1729" i="1" s="1"/>
  <c r="Q1730" i="1" a="1"/>
  <c r="Q1730" i="1"/>
  <c r="Q1731" i="1" a="1"/>
  <c r="Q1731" i="1" s="1"/>
  <c r="Q1732" i="1" a="1"/>
  <c r="Q1732" i="1"/>
  <c r="Q1733" i="1" a="1"/>
  <c r="Q1733" i="1" s="1"/>
  <c r="Q1734" i="1" a="1"/>
  <c r="Q1734" i="1"/>
  <c r="Q1735" i="1" a="1"/>
  <c r="Q1735" i="1" s="1"/>
  <c r="Q1736" i="1" a="1"/>
  <c r="Q1736" i="1"/>
  <c r="Q1737" i="1" a="1"/>
  <c r="Q1737" i="1" s="1"/>
  <c r="Q1738" i="1" a="1"/>
  <c r="Q1738" i="1"/>
  <c r="Q1739" i="1" a="1"/>
  <c r="Q1739" i="1" s="1"/>
  <c r="Q1740" i="1" a="1"/>
  <c r="Q1740" i="1"/>
  <c r="Q1741" i="1" a="1"/>
  <c r="Q1741" i="1" s="1"/>
  <c r="Q1742" i="1" a="1"/>
  <c r="Q1742" i="1"/>
  <c r="Q1743" i="1" a="1"/>
  <c r="Q1743" i="1" s="1"/>
  <c r="Q1744" i="1" a="1"/>
  <c r="Q1744" i="1"/>
  <c r="Q1745" i="1" a="1"/>
  <c r="Q1745" i="1" s="1"/>
  <c r="Q1746" i="1" a="1"/>
  <c r="Q1746" i="1"/>
  <c r="Q1747" i="1" a="1"/>
  <c r="Q1747" i="1" s="1"/>
  <c r="Q1748" i="1" a="1"/>
  <c r="Q1748" i="1"/>
  <c r="Q1749" i="1" a="1"/>
  <c r="Q1749" i="1" s="1"/>
  <c r="Q1750" i="1" a="1"/>
  <c r="Q1750" i="1"/>
  <c r="Q1751" i="1" a="1"/>
  <c r="Q1751" i="1" s="1"/>
  <c r="Q1752" i="1" a="1"/>
  <c r="Q1752" i="1"/>
  <c r="Q1753" i="1" a="1"/>
  <c r="Q1753" i="1" s="1"/>
  <c r="Q1754" i="1" a="1"/>
  <c r="Q1754" i="1"/>
  <c r="Q1755" i="1" a="1"/>
  <c r="Q1755" i="1" s="1"/>
  <c r="Q1756" i="1" a="1"/>
  <c r="Q1756" i="1"/>
  <c r="Q1757" i="1" a="1"/>
  <c r="Q1757" i="1" s="1"/>
  <c r="Q1758" i="1" a="1"/>
  <c r="Q1758" i="1"/>
  <c r="Q1759" i="1" a="1"/>
  <c r="Q1759" i="1" s="1"/>
  <c r="Q1760" i="1" a="1"/>
  <c r="Q1760" i="1"/>
  <c r="Q1761" i="1" a="1"/>
  <c r="Q1761" i="1" s="1"/>
  <c r="Q1762" i="1" a="1"/>
  <c r="Q1762" i="1"/>
  <c r="Q1763" i="1" a="1"/>
  <c r="Q1763" i="1" s="1"/>
  <c r="Q1764" i="1" a="1"/>
  <c r="Q1764" i="1"/>
  <c r="Q1765" i="1" a="1"/>
  <c r="Q1765" i="1" s="1"/>
  <c r="Q1766" i="1" a="1"/>
  <c r="Q1766" i="1"/>
  <c r="Q1767" i="1" a="1"/>
  <c r="Q1767" i="1" s="1"/>
  <c r="Q1768" i="1" a="1"/>
  <c r="Q1768" i="1"/>
  <c r="Q1769" i="1" a="1"/>
  <c r="Q1769" i="1" s="1"/>
  <c r="Q1770" i="1" a="1"/>
  <c r="Q1770" i="1"/>
  <c r="Q1771" i="1" a="1"/>
  <c r="Q1771" i="1" s="1"/>
  <c r="Q1772" i="1" a="1"/>
  <c r="Q1772" i="1"/>
  <c r="Q1773" i="1" a="1"/>
  <c r="Q1773" i="1" s="1"/>
  <c r="Q1774" i="1" a="1"/>
  <c r="Q1774" i="1"/>
  <c r="Q1775" i="1" a="1"/>
  <c r="Q1775" i="1" s="1"/>
  <c r="Q1776" i="1" a="1"/>
  <c r="Q1776" i="1"/>
  <c r="Q1777" i="1" a="1"/>
  <c r="Q1777" i="1" s="1"/>
  <c r="Q1778" i="1" a="1"/>
  <c r="Q1778" i="1"/>
  <c r="Q1779" i="1" a="1"/>
  <c r="Q1779" i="1" s="1"/>
  <c r="Q1780" i="1" a="1"/>
  <c r="Q1780" i="1"/>
  <c r="Q1781" i="1" a="1"/>
  <c r="Q1781" i="1" s="1"/>
  <c r="Q1782" i="1" a="1"/>
  <c r="Q1782" i="1"/>
  <c r="Q1783" i="1" a="1"/>
  <c r="Q1783" i="1" s="1"/>
  <c r="Q1784" i="1" a="1"/>
  <c r="Q1784" i="1"/>
  <c r="Q1785" i="1" a="1"/>
  <c r="Q1785" i="1" s="1"/>
  <c r="Q1786" i="1" a="1"/>
  <c r="Q1786" i="1"/>
  <c r="Q1787" i="1" a="1"/>
  <c r="Q1787" i="1" s="1"/>
  <c r="Q1788" i="1" a="1"/>
  <c r="Q1788" i="1"/>
  <c r="Q1789" i="1" a="1"/>
  <c r="Q1789" i="1" s="1"/>
  <c r="Q1790" i="1" a="1"/>
  <c r="Q1790" i="1"/>
  <c r="Q1791" i="1" a="1"/>
  <c r="Q1791" i="1" s="1"/>
  <c r="Q1792" i="1" a="1"/>
  <c r="Q1792" i="1"/>
  <c r="Q1793" i="1" a="1"/>
  <c r="Q1793" i="1" s="1"/>
  <c r="Q1794" i="1" a="1"/>
  <c r="Q1794" i="1"/>
  <c r="Q1795" i="1" a="1"/>
  <c r="Q1795" i="1" s="1"/>
  <c r="Q1796" i="1" a="1"/>
  <c r="Q1796" i="1"/>
  <c r="Q1797" i="1" a="1"/>
  <c r="Q1797" i="1" s="1"/>
  <c r="Q1798" i="1" a="1"/>
  <c r="Q1798" i="1"/>
  <c r="Q1799" i="1" a="1"/>
  <c r="Q1799" i="1" s="1"/>
  <c r="Q1800" i="1" a="1"/>
  <c r="Q1800" i="1"/>
  <c r="Q1801" i="1" a="1"/>
  <c r="Q1801" i="1" s="1"/>
  <c r="Q1802" i="1" a="1"/>
  <c r="Q1802" i="1"/>
  <c r="Q1803" i="1" a="1"/>
  <c r="Q1803" i="1" s="1"/>
  <c r="Q1804" i="1" a="1"/>
  <c r="Q1804" i="1"/>
  <c r="Q1805" i="1" a="1"/>
  <c r="Q1805" i="1" s="1"/>
  <c r="Q1806" i="1" a="1"/>
  <c r="Q1806" i="1"/>
  <c r="Q1807" i="1" a="1"/>
  <c r="Q1807" i="1" s="1"/>
  <c r="Q1808" i="1" a="1"/>
  <c r="Q1808" i="1"/>
  <c r="Q1809" i="1" a="1"/>
  <c r="Q1809" i="1" s="1"/>
  <c r="Q1810" i="1" a="1"/>
  <c r="Q1810" i="1"/>
  <c r="Q1811" i="1" a="1"/>
  <c r="Q1811" i="1" s="1"/>
  <c r="Q1812" i="1" a="1"/>
  <c r="Q1812" i="1"/>
  <c r="Q1813" i="1" a="1"/>
  <c r="Q1813" i="1" s="1"/>
  <c r="Q1814" i="1" a="1"/>
  <c r="Q1814" i="1"/>
  <c r="Q1815" i="1" a="1"/>
  <c r="Q1815" i="1" s="1"/>
  <c r="Q1816" i="1" a="1"/>
  <c r="Q1816" i="1"/>
  <c r="Q1817" i="1" a="1"/>
  <c r="Q1817" i="1" s="1"/>
  <c r="Q1818" i="1" a="1"/>
  <c r="Q1818" i="1"/>
  <c r="Q1819" i="1" a="1"/>
  <c r="Q1819" i="1" s="1"/>
  <c r="Q1820" i="1" a="1"/>
  <c r="Q1820" i="1"/>
  <c r="Q1821" i="1" a="1"/>
  <c r="Q1821" i="1" s="1"/>
  <c r="Q1822" i="1" a="1"/>
  <c r="Q1822" i="1"/>
  <c r="Q1823" i="1" a="1"/>
  <c r="Q1823" i="1" s="1"/>
  <c r="Q1824" i="1" a="1"/>
  <c r="Q1824" i="1"/>
  <c r="Q1825" i="1" a="1"/>
  <c r="Q1825" i="1" s="1"/>
  <c r="Q1826" i="1" a="1"/>
  <c r="Q1826" i="1"/>
  <c r="Q1827" i="1" a="1"/>
  <c r="Q1827" i="1" s="1"/>
  <c r="Q1828" i="1" a="1"/>
  <c r="Q1828" i="1"/>
  <c r="Q1829" i="1" a="1"/>
  <c r="Q1829" i="1" s="1"/>
  <c r="Q1830" i="1" a="1"/>
  <c r="Q1830" i="1"/>
  <c r="Q1831" i="1" a="1"/>
  <c r="Q1831" i="1" s="1"/>
  <c r="Q1832" i="1" a="1"/>
  <c r="Q1832" i="1"/>
  <c r="Q1833" i="1" a="1"/>
  <c r="Q1833" i="1" s="1"/>
  <c r="Q1834" i="1" a="1"/>
  <c r="Q1834" i="1"/>
  <c r="Q1835" i="1" a="1"/>
  <c r="Q1835" i="1" s="1"/>
  <c r="Q1836" i="1" a="1"/>
  <c r="Q1836" i="1"/>
  <c r="Q1837" i="1" a="1"/>
  <c r="Q1837" i="1" s="1"/>
  <c r="Q1838" i="1" a="1"/>
  <c r="Q1838" i="1"/>
  <c r="Q1839" i="1" a="1"/>
  <c r="Q1839" i="1" s="1"/>
  <c r="Q1840" i="1" a="1"/>
  <c r="Q1840" i="1"/>
  <c r="Q1841" i="1" a="1"/>
  <c r="Q1841" i="1" s="1"/>
  <c r="Q1842" i="1" a="1"/>
  <c r="Q1842" i="1"/>
  <c r="Q1843" i="1" a="1"/>
  <c r="Q1843" i="1" s="1"/>
  <c r="Q1844" i="1" a="1"/>
  <c r="Q1844" i="1"/>
  <c r="Q1845" i="1" a="1"/>
  <c r="Q1845" i="1" s="1"/>
  <c r="Q1846" i="1" a="1"/>
  <c r="Q1846" i="1"/>
  <c r="Q1847" i="1" a="1"/>
  <c r="Q1847" i="1" s="1"/>
  <c r="Q1848" i="1" a="1"/>
  <c r="Q1848" i="1"/>
  <c r="Q1849" i="1" a="1"/>
  <c r="Q1849" i="1" s="1"/>
  <c r="Q1850" i="1" a="1"/>
  <c r="Q1850" i="1"/>
  <c r="Q1851" i="1" a="1"/>
  <c r="Q1851" i="1" s="1"/>
  <c r="Q1852" i="1" a="1"/>
  <c r="Q1852" i="1"/>
  <c r="Q1853" i="1" a="1"/>
  <c r="Q1853" i="1" s="1"/>
  <c r="Q1854" i="1" a="1"/>
  <c r="Q1854" i="1"/>
  <c r="Q1855" i="1" a="1"/>
  <c r="Q1855" i="1" s="1"/>
  <c r="Q1856" i="1" a="1"/>
  <c r="Q1856" i="1"/>
  <c r="Q1857" i="1" a="1"/>
  <c r="Q1857" i="1" s="1"/>
  <c r="Q1858" i="1" a="1"/>
  <c r="Q1858" i="1"/>
  <c r="Q1859" i="1" a="1"/>
  <c r="Q1859" i="1" s="1"/>
  <c r="Q1860" i="1" a="1"/>
  <c r="Q1860" i="1"/>
  <c r="Q1861" i="1" a="1"/>
  <c r="Q1861" i="1" s="1"/>
  <c r="Q1862" i="1" a="1"/>
  <c r="Q1862" i="1"/>
  <c r="Q1863" i="1" a="1"/>
  <c r="Q1863" i="1" s="1"/>
  <c r="Q1864" i="1" a="1"/>
  <c r="Q1864" i="1"/>
  <c r="Q1865" i="1" a="1"/>
  <c r="Q1865" i="1" s="1"/>
  <c r="Q1866" i="1" a="1"/>
  <c r="Q1866" i="1"/>
  <c r="Q1867" i="1" a="1"/>
  <c r="Q1867" i="1" s="1"/>
  <c r="Q1868" i="1" a="1"/>
  <c r="Q1868" i="1"/>
  <c r="Q1869" i="1" a="1"/>
  <c r="Q1869" i="1" s="1"/>
  <c r="Q1870" i="1" a="1"/>
  <c r="Q1870" i="1"/>
  <c r="Q1871" i="1" a="1"/>
  <c r="Q1871" i="1" s="1"/>
  <c r="Q1872" i="1" a="1"/>
  <c r="Q1872" i="1"/>
  <c r="Q1873" i="1" a="1"/>
  <c r="Q1873" i="1" s="1"/>
  <c r="Q1874" i="1" a="1"/>
  <c r="Q1874" i="1"/>
  <c r="Q1875" i="1" a="1"/>
  <c r="Q1875" i="1" s="1"/>
  <c r="Q1876" i="1" a="1"/>
  <c r="Q1876" i="1"/>
  <c r="Q1877" i="1" a="1"/>
  <c r="Q1877" i="1" s="1"/>
  <c r="Q1878" i="1" a="1"/>
  <c r="Q1878" i="1"/>
  <c r="Q1879" i="1" a="1"/>
  <c r="Q1879" i="1" s="1"/>
  <c r="Q1880" i="1" a="1"/>
  <c r="Q1880" i="1"/>
  <c r="Q1881" i="1" a="1"/>
  <c r="Q1881" i="1" s="1"/>
  <c r="Q1882" i="1" a="1"/>
  <c r="Q1882" i="1"/>
  <c r="Q1883" i="1" a="1"/>
  <c r="Q1883" i="1" s="1"/>
  <c r="Q1884" i="1" a="1"/>
  <c r="Q1884" i="1"/>
  <c r="Q1885" i="1" a="1"/>
  <c r="Q1885" i="1" s="1"/>
  <c r="Q1886" i="1" a="1"/>
  <c r="Q1886" i="1"/>
  <c r="Q1887" i="1" a="1"/>
  <c r="Q1887" i="1" s="1"/>
  <c r="Q1888" i="1" a="1"/>
  <c r="Q1888" i="1"/>
  <c r="Q1889" i="1" a="1"/>
  <c r="Q1889" i="1" s="1"/>
  <c r="Q1890" i="1" a="1"/>
  <c r="Q1890" i="1"/>
  <c r="Q1891" i="1" a="1"/>
  <c r="Q1891" i="1" s="1"/>
  <c r="Q1892" i="1" a="1"/>
  <c r="Q1892" i="1"/>
  <c r="Q1893" i="1" a="1"/>
  <c r="Q1893" i="1" s="1"/>
  <c r="Q1894" i="1" a="1"/>
  <c r="Q1894" i="1"/>
  <c r="Q1895" i="1" a="1"/>
  <c r="Q1895" i="1" s="1"/>
  <c r="Q1896" i="1" a="1"/>
  <c r="Q1896" i="1"/>
  <c r="Q1897" i="1" a="1"/>
  <c r="Q1897" i="1" s="1"/>
  <c r="Q1898" i="1" a="1"/>
  <c r="Q1898" i="1"/>
  <c r="Q1899" i="1" a="1"/>
  <c r="Q1899" i="1" s="1"/>
  <c r="Q1900" i="1" a="1"/>
  <c r="Q1900" i="1"/>
  <c r="Q1901" i="1" a="1"/>
  <c r="Q1901" i="1" s="1"/>
  <c r="Q1902" i="1" a="1"/>
  <c r="Q1902" i="1"/>
  <c r="Q1903" i="1" a="1"/>
  <c r="Q1903" i="1" s="1"/>
  <c r="Q1904" i="1" a="1"/>
  <c r="Q1904" i="1"/>
  <c r="Q1905" i="1" a="1"/>
  <c r="Q1905" i="1" s="1"/>
  <c r="Q1906" i="1" a="1"/>
  <c r="Q1906" i="1"/>
  <c r="Q1907" i="1" a="1"/>
  <c r="Q1907" i="1" s="1"/>
  <c r="Q1908" i="1" a="1"/>
  <c r="Q1908" i="1"/>
  <c r="Q1909" i="1" a="1"/>
  <c r="Q1909" i="1" s="1"/>
  <c r="Q1910" i="1" a="1"/>
  <c r="Q1910" i="1"/>
  <c r="Q1911" i="1" a="1"/>
  <c r="Q1911" i="1" s="1"/>
  <c r="Q1912" i="1" a="1"/>
  <c r="Q1912" i="1"/>
  <c r="Q1913" i="1" a="1"/>
  <c r="Q1913" i="1" s="1"/>
  <c r="Q1914" i="1" a="1"/>
  <c r="Q1914" i="1"/>
  <c r="Q1915" i="1" a="1"/>
  <c r="Q1915" i="1" s="1"/>
  <c r="Q1916" i="1" a="1"/>
  <c r="Q1916" i="1"/>
  <c r="Q1917" i="1" a="1"/>
  <c r="Q1917" i="1" s="1"/>
  <c r="Q1918" i="1" a="1"/>
  <c r="Q1918" i="1"/>
  <c r="Q1919" i="1" a="1"/>
  <c r="Q1919" i="1" s="1"/>
  <c r="Q1920" i="1" a="1"/>
  <c r="Q1920" i="1"/>
  <c r="Q1921" i="1" a="1"/>
  <c r="Q1921" i="1" s="1"/>
  <c r="Q1922" i="1" a="1"/>
  <c r="Q1922" i="1"/>
  <c r="Q1923" i="1" a="1"/>
  <c r="Q1923" i="1" s="1"/>
  <c r="Q1924" i="1" a="1"/>
  <c r="Q1924" i="1"/>
  <c r="Q1925" i="1" a="1"/>
  <c r="Q1925" i="1" s="1"/>
  <c r="Q1926" i="1" a="1"/>
  <c r="Q1926" i="1"/>
  <c r="Q1927" i="1" a="1"/>
  <c r="Q1927" i="1" s="1"/>
  <c r="Q1928" i="1" a="1"/>
  <c r="Q1928" i="1"/>
  <c r="Q1929" i="1" a="1"/>
  <c r="Q1929" i="1" s="1"/>
  <c r="Q1930" i="1" a="1"/>
  <c r="Q1930" i="1"/>
  <c r="Q1931" i="1" a="1"/>
  <c r="Q1931" i="1" s="1"/>
  <c r="Q1932" i="1" a="1"/>
  <c r="Q1932" i="1"/>
  <c r="Q1933" i="1" a="1"/>
  <c r="Q1933" i="1" s="1"/>
  <c r="Q1934" i="1" a="1"/>
  <c r="Q1934" i="1"/>
  <c r="Q1935" i="1" a="1"/>
  <c r="Q1935" i="1" s="1"/>
  <c r="Q1936" i="1" a="1"/>
  <c r="Q1936" i="1"/>
  <c r="Q1937" i="1" a="1"/>
  <c r="Q1937" i="1" s="1"/>
  <c r="Q1938" i="1" a="1"/>
  <c r="Q1938" i="1"/>
  <c r="Q1939" i="1" a="1"/>
  <c r="Q1939" i="1" s="1"/>
  <c r="Q1940" i="1" a="1"/>
  <c r="Q1940" i="1"/>
  <c r="Q1941" i="1" a="1"/>
  <c r="Q1941" i="1" s="1"/>
  <c r="Q1942" i="1" a="1"/>
  <c r="Q1942" i="1"/>
  <c r="Q1943" i="1" a="1"/>
  <c r="Q1943" i="1" s="1"/>
  <c r="Q1944" i="1" a="1"/>
  <c r="Q1944" i="1"/>
  <c r="Q1945" i="1" a="1"/>
  <c r="Q1945" i="1" s="1"/>
  <c r="Q1946" i="1" a="1"/>
  <c r="Q1946" i="1"/>
  <c r="Q1947" i="1" a="1"/>
  <c r="Q1947" i="1" s="1"/>
  <c r="Q1948" i="1" a="1"/>
  <c r="Q1948" i="1"/>
  <c r="Q1949" i="1" a="1"/>
  <c r="Q1949" i="1" s="1"/>
  <c r="Q1950" i="1" a="1"/>
  <c r="Q1950" i="1"/>
  <c r="Q1951" i="1" a="1"/>
  <c r="Q1951" i="1" s="1"/>
  <c r="Q1952" i="1" a="1"/>
  <c r="Q1952" i="1"/>
  <c r="Q1953" i="1" a="1"/>
  <c r="Q1953" i="1" s="1"/>
  <c r="Q1954" i="1" a="1"/>
  <c r="Q1954" i="1"/>
  <c r="Q1955" i="1" a="1"/>
  <c r="Q1955" i="1" s="1"/>
  <c r="Q1956" i="1" a="1"/>
  <c r="Q1956" i="1"/>
  <c r="Q1957" i="1" a="1"/>
  <c r="Q1957" i="1" s="1"/>
  <c r="Q1958" i="1" a="1"/>
  <c r="Q1958" i="1"/>
  <c r="Q1959" i="1" a="1"/>
  <c r="Q1959" i="1" s="1"/>
  <c r="Q1960" i="1" a="1"/>
  <c r="Q1960" i="1"/>
  <c r="Q1961" i="1" a="1"/>
  <c r="Q1961" i="1" s="1"/>
  <c r="Q1962" i="1" a="1"/>
  <c r="Q1962" i="1"/>
  <c r="Q1963" i="1" a="1"/>
  <c r="Q1963" i="1" s="1"/>
  <c r="Q1964" i="1" a="1"/>
  <c r="Q1964" i="1"/>
  <c r="Q1965" i="1" a="1"/>
  <c r="Q1965" i="1" s="1"/>
  <c r="Q1966" i="1" a="1"/>
  <c r="Q1966" i="1"/>
  <c r="Q1967" i="1" a="1"/>
  <c r="Q1967" i="1" s="1"/>
  <c r="Q1968" i="1" a="1"/>
  <c r="Q1968" i="1"/>
  <c r="Q1969" i="1" a="1"/>
  <c r="Q1969" i="1" s="1"/>
  <c r="Q1970" i="1" a="1"/>
  <c r="Q1970" i="1"/>
  <c r="Q1971" i="1" a="1"/>
  <c r="Q1971" i="1" s="1"/>
  <c r="Q1972" i="1" a="1"/>
  <c r="Q1972" i="1"/>
  <c r="Q1973" i="1" a="1"/>
  <c r="Q1973" i="1" s="1"/>
  <c r="Q1974" i="1" a="1"/>
  <c r="Q1974" i="1"/>
  <c r="Q1975" i="1" a="1"/>
  <c r="Q1975" i="1" s="1"/>
  <c r="Q1976" i="1" a="1"/>
  <c r="Q1976" i="1"/>
  <c r="Q1977" i="1" a="1"/>
  <c r="Q1977" i="1" s="1"/>
  <c r="Q1978" i="1" a="1"/>
  <c r="Q1978" i="1"/>
  <c r="Q1979" i="1" a="1"/>
  <c r="Q1979" i="1" s="1"/>
  <c r="Q1980" i="1" a="1"/>
  <c r="Q1980" i="1"/>
  <c r="Q1981" i="1" a="1"/>
  <c r="Q1981" i="1" s="1"/>
  <c r="Q1982" i="1" a="1"/>
  <c r="Q1982" i="1"/>
  <c r="Q1983" i="1" a="1"/>
  <c r="Q1983" i="1" s="1"/>
  <c r="Q1984" i="1" a="1"/>
  <c r="Q1984" i="1"/>
  <c r="Q1985" i="1" a="1"/>
  <c r="Q1985" i="1" s="1"/>
  <c r="Q1986" i="1" a="1"/>
  <c r="Q1986" i="1"/>
  <c r="Q1987" i="1" a="1"/>
  <c r="Q1987" i="1" s="1"/>
  <c r="Q1988" i="1" a="1"/>
  <c r="Q1988" i="1"/>
  <c r="Q1989" i="1" a="1"/>
  <c r="Q1989" i="1" s="1"/>
  <c r="Q1990" i="1" a="1"/>
  <c r="Q1990" i="1"/>
  <c r="Q1991" i="1" a="1"/>
  <c r="Q1991" i="1" s="1"/>
  <c r="Q1992" i="1" a="1"/>
  <c r="Q1992" i="1"/>
  <c r="Q1993" i="1" a="1"/>
  <c r="Q1993" i="1" s="1"/>
  <c r="Q1994" i="1" a="1"/>
  <c r="Q1994" i="1"/>
  <c r="Q1995" i="1" a="1"/>
  <c r="Q1995" i="1" s="1"/>
  <c r="Q1996" i="1" a="1"/>
  <c r="Q1996" i="1"/>
  <c r="Q1997" i="1" a="1"/>
  <c r="Q1997" i="1" s="1"/>
  <c r="Q1998" i="1" a="1"/>
  <c r="Q1998" i="1"/>
  <c r="Q1999" i="1" a="1"/>
  <c r="Q1999" i="1" s="1"/>
  <c r="Q2000" i="1" a="1"/>
  <c r="Q2000" i="1"/>
  <c r="Q2001" i="1" a="1"/>
  <c r="Q2001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  <c r="D19" i="6" l="1"/>
  <c r="O16" i="6"/>
  <c r="O19" i="6"/>
  <c r="O14" i="6"/>
  <c r="O11" i="6"/>
  <c r="O10" i="6"/>
  <c r="O12" i="6"/>
  <c r="O18" i="6"/>
  <c r="D30" i="6"/>
  <c r="O17" i="6"/>
  <c r="O9" i="6"/>
  <c r="O15" i="6"/>
  <c r="N30" i="6"/>
  <c r="O13" i="6"/>
  <c r="D10" i="6"/>
  <c r="N29" i="6"/>
  <c r="N33" i="6"/>
  <c r="D29" i="6"/>
  <c r="N36" i="6"/>
  <c r="N32" i="6"/>
  <c r="D31" i="6"/>
  <c r="N35" i="6"/>
  <c r="N31" i="6"/>
  <c r="N34" i="6"/>
  <c r="D13" i="6"/>
  <c r="D12" i="6"/>
  <c r="D17" i="6"/>
  <c r="D11" i="6"/>
  <c r="D16" i="6"/>
  <c r="D9" i="6"/>
  <c r="D15" i="6"/>
  <c r="D18" i="6"/>
  <c r="D14" i="6"/>
  <c r="L31" i="5"/>
  <c r="L37" i="5" s="1"/>
  <c r="K31" i="5"/>
  <c r="K38" i="5" s="1"/>
  <c r="H31" i="5"/>
  <c r="H38" i="5" s="1"/>
  <c r="G31" i="5"/>
  <c r="G38" i="5" s="1"/>
  <c r="D31" i="5"/>
  <c r="D37" i="5" s="1"/>
  <c r="N31" i="5"/>
  <c r="N37" i="5" s="1"/>
  <c r="J31" i="5"/>
  <c r="J37" i="5" s="1"/>
  <c r="E17" i="5"/>
  <c r="F11" i="5" s="1"/>
  <c r="G17" i="5"/>
  <c r="H15" i="5" s="1"/>
  <c r="M17" i="5"/>
  <c r="N16" i="5" s="1"/>
  <c r="O17" i="5"/>
  <c r="P12" i="5" s="1"/>
  <c r="Q17" i="5"/>
  <c r="R13" i="5" s="1"/>
  <c r="U17" i="5"/>
  <c r="V13" i="5" s="1"/>
  <c r="C31" i="5"/>
  <c r="C38" i="5" s="1"/>
  <c r="F31" i="5"/>
  <c r="F37" i="5" s="1"/>
  <c r="M31" i="5"/>
  <c r="M36" i="5" s="1"/>
  <c r="I31" i="5"/>
  <c r="I37" i="5" s="1"/>
  <c r="E31" i="5"/>
  <c r="E38" i="5" s="1"/>
  <c r="K17" i="5"/>
  <c r="L16" i="5" s="1"/>
  <c r="S17" i="5"/>
  <c r="T15" i="5" s="1"/>
  <c r="W17" i="5"/>
  <c r="X15" i="5" s="1"/>
  <c r="Y17" i="5"/>
  <c r="Z16" i="5" s="1"/>
  <c r="P16" i="5"/>
  <c r="C17" i="5"/>
  <c r="D14" i="5" s="1"/>
  <c r="I17" i="5"/>
  <c r="J9" i="5" s="1"/>
  <c r="V15" i="5" l="1"/>
  <c r="H10" i="5"/>
  <c r="V16" i="5"/>
  <c r="N14" i="5"/>
  <c r="N10" i="5"/>
  <c r="N12" i="5"/>
  <c r="N13" i="5"/>
  <c r="N9" i="5"/>
  <c r="N15" i="5"/>
  <c r="N11" i="5"/>
  <c r="P10" i="5"/>
  <c r="L14" i="5"/>
  <c r="N38" i="5"/>
  <c r="K37" i="5"/>
  <c r="K36" i="5"/>
  <c r="P13" i="5"/>
  <c r="G37" i="5"/>
  <c r="H36" i="5"/>
  <c r="H37" i="5"/>
  <c r="P11" i="5"/>
  <c r="L11" i="5"/>
  <c r="P9" i="5"/>
  <c r="C37" i="5"/>
  <c r="D36" i="5"/>
  <c r="X13" i="5"/>
  <c r="V11" i="5"/>
  <c r="L36" i="5"/>
  <c r="L38" i="5"/>
  <c r="X14" i="5"/>
  <c r="H9" i="5"/>
  <c r="V9" i="5"/>
  <c r="V12" i="5"/>
  <c r="H11" i="5"/>
  <c r="V14" i="5"/>
  <c r="H14" i="5"/>
  <c r="J36" i="5"/>
  <c r="M38" i="5"/>
  <c r="M37" i="5"/>
  <c r="F36" i="5"/>
  <c r="D38" i="5"/>
  <c r="E37" i="5"/>
  <c r="F38" i="5"/>
  <c r="H13" i="5"/>
  <c r="H12" i="5"/>
  <c r="I38" i="5"/>
  <c r="I36" i="5"/>
  <c r="X11" i="5"/>
  <c r="V10" i="5"/>
  <c r="H16" i="5"/>
  <c r="R14" i="5"/>
  <c r="N36" i="5"/>
  <c r="G36" i="5"/>
  <c r="E36" i="5"/>
  <c r="J38" i="5"/>
  <c r="C36" i="5"/>
  <c r="R12" i="5"/>
  <c r="L10" i="5"/>
  <c r="L13" i="5"/>
  <c r="P15" i="5"/>
  <c r="F16" i="5"/>
  <c r="R10" i="5"/>
  <c r="P14" i="5"/>
  <c r="L9" i="5"/>
  <c r="L12" i="5"/>
  <c r="L15" i="5"/>
  <c r="T16" i="5"/>
  <c r="T9" i="5"/>
  <c r="F9" i="5"/>
  <c r="R9" i="5"/>
  <c r="R15" i="5"/>
  <c r="F15" i="5"/>
  <c r="F14" i="5"/>
  <c r="T11" i="5"/>
  <c r="T12" i="5"/>
  <c r="F12" i="5"/>
  <c r="R11" i="5"/>
  <c r="F13" i="5"/>
  <c r="X16" i="5"/>
  <c r="T10" i="5"/>
  <c r="F10" i="5"/>
  <c r="R16" i="5"/>
  <c r="Z13" i="5"/>
  <c r="D13" i="5"/>
  <c r="Z9" i="5"/>
  <c r="Z14" i="5"/>
  <c r="X10" i="5"/>
  <c r="X9" i="5"/>
  <c r="Z12" i="5"/>
  <c r="J10" i="5"/>
  <c r="D15" i="5"/>
  <c r="Z11" i="5"/>
  <c r="Z10" i="5"/>
  <c r="T14" i="5"/>
  <c r="T13" i="5"/>
  <c r="X12" i="5"/>
  <c r="J12" i="5"/>
  <c r="Z15" i="5"/>
  <c r="J14" i="5"/>
  <c r="J16" i="5"/>
  <c r="J11" i="5"/>
  <c r="J15" i="5"/>
  <c r="D11" i="5"/>
  <c r="D9" i="5"/>
  <c r="D12" i="5"/>
  <c r="D16" i="5"/>
  <c r="J13" i="5"/>
  <c r="D10" i="5"/>
  <c r="N17" i="5" l="1"/>
  <c r="L17" i="5"/>
  <c r="H17" i="5"/>
  <c r="V17" i="5"/>
  <c r="P17" i="5"/>
  <c r="R17" i="5"/>
  <c r="F17" i="5"/>
  <c r="T17" i="5"/>
  <c r="X17" i="5"/>
  <c r="Z17" i="5"/>
  <c r="J17" i="5"/>
  <c r="D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<sst xmlns="http://schemas.openxmlformats.org/spreadsheetml/2006/main" count="12167" uniqueCount="360">
  <si>
    <t>ID_Pedido</t>
  </si>
  <si>
    <t>FechaHora</t>
  </si>
  <si>
    <t>NombreCliente</t>
  </si>
  <si>
    <t>Producto</t>
  </si>
  <si>
    <t>Cantidad</t>
  </si>
  <si>
    <t>Precio_Unitario</t>
  </si>
  <si>
    <t>Categoria</t>
  </si>
  <si>
    <t>Total_Venta</t>
  </si>
  <si>
    <t>Año</t>
  </si>
  <si>
    <t>Mes</t>
  </si>
  <si>
    <t>Hora</t>
  </si>
  <si>
    <t>Ticket_Promedio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</si>
  <si>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</si>
  <si>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</si>
  <si>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</si>
  <si>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</si>
  <si>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</si>
  <si>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</si>
  <si>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</si>
  <si>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</si>
  <si>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</si>
  <si>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</si>
  <si>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</si>
  <si>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</si>
  <si>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</si>
  <si>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</si>
  <si>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</si>
  <si>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</si>
  <si>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</si>
  <si>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</si>
  <si>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</si>
  <si>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</si>
  <si>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</si>
  <si>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</si>
  <si>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</si>
  <si>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</si>
  <si>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</si>
  <si>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</si>
  <si>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</si>
  <si>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</si>
  <si>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</si>
  <si>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</si>
  <si>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</si>
  <si>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</si>
  <si>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</si>
  <si>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</si>
  <si>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</si>
  <si>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</si>
  <si>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</si>
  <si>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</si>
  <si>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</si>
  <si>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</si>
  <si>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</si>
  <si>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</si>
  <si>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</si>
  <si>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</si>
  <si>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</si>
  <si>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</si>
  <si>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</si>
  <si>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</si>
  <si>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</si>
  <si>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</si>
  <si>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</si>
  <si>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</si>
  <si>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</si>
  <si>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</si>
  <si>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</si>
  <si>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</si>
  <si>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</si>
  <si>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</si>
  <si>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</si>
  <si>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</si>
  <si>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</si>
  <si>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</si>
  <si>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</si>
  <si>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</si>
  <si>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</si>
  <si>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</si>
  <si>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</si>
  <si>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</si>
  <si>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</si>
  <si>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</si>
  <si>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</si>
  <si>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</si>
  <si>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</si>
  <si>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</si>
  <si>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</si>
  <si>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</si>
  <si>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</si>
  <si>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</si>
  <si>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</si>
  <si>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</si>
  <si>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</si>
  <si>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</si>
  <si>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</si>
  <si>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</si>
  <si>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</si>
  <si>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</si>
  <si>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</si>
  <si>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</si>
  <si>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</si>
  <si>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</si>
  <si>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</si>
  <si>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</si>
  <si>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</si>
  <si>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</si>
  <si>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</si>
  <si>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</si>
  <si>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</si>
  <si>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</si>
  <si>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</si>
  <si>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</si>
  <si>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</si>
  <si>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</si>
  <si>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</si>
  <si>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</si>
  <si>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</si>
  <si>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</si>
  <si>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</si>
  <si>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</si>
  <si>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</si>
  <si>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</si>
  <si>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</si>
  <si>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</si>
  <si>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</si>
  <si>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</si>
  <si>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</si>
  <si>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</si>
  <si>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</si>
  <si>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</si>
  <si>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</si>
  <si>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</si>
  <si>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</si>
  <si>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</si>
  <si>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</si>
  <si>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</si>
  <si>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</si>
  <si>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</si>
  <si>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</si>
  <si>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</si>
  <si>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</si>
  <si>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</si>
  <si>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</si>
  <si>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</si>
  <si>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</si>
  <si>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</si>
  <si>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</si>
  <si>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</si>
  <si>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</si>
  <si>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</si>
  <si>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</si>
  <si>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</si>
  <si>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</si>
  <si>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</si>
  <si>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</si>
  <si>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</si>
  <si>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</si>
  <si>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</si>
  <si>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</si>
  <si>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</si>
  <si>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</si>
  <si>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</si>
  <si>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</si>
  <si>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</si>
  <si>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</si>
  <si>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</si>
  <si>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</si>
  <si>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</si>
  <si>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</si>
  <si>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</si>
  <si>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</si>
  <si>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</si>
  <si>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</si>
  <si>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</si>
  <si>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</si>
  <si>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</si>
  <si>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</si>
  <si>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</si>
  <si>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</si>
  <si>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</si>
  <si>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</si>
  <si>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</si>
  <si>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</si>
  <si>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</si>
  <si>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</si>
  <si>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</si>
  <si>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</si>
  <si>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</si>
  <si>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</si>
  <si>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</si>
  <si>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</si>
  <si>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</si>
  <si>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</si>
  <si>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</si>
  <si>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</si>
  <si>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</si>
  <si>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</si>
  <si>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</si>
  <si>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</si>
  <si>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</si>
  <si>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</si>
  <si>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</si>
  <si>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</si>
  <si>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</si>
  <si>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</si>
  <si>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</si>
  <si>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</si>
  <si>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</si>
  <si>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</si>
  <si>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</si>
  <si>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</si>
  <si>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</si>
  <si>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Monitor</t>
  </si>
  <si>
    <t>Teclado</t>
  </si>
  <si>
    <t>Silla Gamer</t>
  </si>
  <si>
    <t>Impresora</t>
  </si>
  <si>
    <t>Webcam</t>
  </si>
  <si>
    <t>Laptop</t>
  </si>
  <si>
    <t>Mouse</t>
  </si>
  <si>
    <t>Audífonos</t>
  </si>
  <si>
    <t>Electrónica</t>
  </si>
  <si>
    <t>Accesorios</t>
  </si>
  <si>
    <t>Muebles</t>
  </si>
  <si>
    <t>Dia de la semana</t>
  </si>
  <si>
    <t>Superior a la venta promedio</t>
  </si>
  <si>
    <t>Superior al ticket promedio</t>
  </si>
  <si>
    <t>Mes en texto</t>
  </si>
  <si>
    <t>Fecha</t>
  </si>
  <si>
    <t>(Todas)</t>
  </si>
  <si>
    <t>Etiquetas de fila</t>
  </si>
  <si>
    <t>Total general</t>
  </si>
  <si>
    <t>Suma de Cantidad</t>
  </si>
  <si>
    <t>Porcentaje Total ventas</t>
  </si>
  <si>
    <t>Suma de Total ventas (Campo calculado)</t>
  </si>
  <si>
    <t>Promedio de Precio_Unitario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</si>
  <si>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</si>
  <si>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</si>
  <si>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</si>
  <si>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</si>
  <si>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</si>
  <si>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</si>
  <si>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</si>
  <si>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</si>
  <si>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</si>
  <si>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</si>
  <si>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</si>
  <si>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</si>
  <si>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</t>
  </si>
  <si>
    <t>% Sobre el total</t>
  </si>
  <si>
    <t>TOTAL</t>
  </si>
  <si>
    <t>VISION POR PRODUCTO - EVOLUCION MENSUAL</t>
  </si>
  <si>
    <t>Agrupacion por total venta</t>
  </si>
  <si>
    <t>Grupo 1</t>
  </si>
  <si>
    <t>Grupo 2</t>
  </si>
  <si>
    <t>Grupo 3</t>
  </si>
  <si>
    <t>TOTALES</t>
  </si>
  <si>
    <t>VISION DINAMICA POR GRUPOS DE VENTA -  CONSULTA POR TIPO DE PRODUCTOS</t>
  </si>
  <si>
    <t>VISION DINAMICA - EVOLUCION DE VENTAS Y PEDIDOS</t>
  </si>
  <si>
    <t>NUMERICO</t>
  </si>
  <si>
    <t>PORCENTAJE</t>
  </si>
  <si>
    <t>CONCLUSIONES</t>
  </si>
  <si>
    <t>Enrique Solís</t>
  </si>
  <si>
    <t>Mario Vega</t>
  </si>
  <si>
    <t>Enzo Moreno</t>
  </si>
  <si>
    <t>Camila Molina</t>
  </si>
  <si>
    <t>Carmen Fuentes</t>
  </si>
  <si>
    <t>Enrique Cáceres</t>
  </si>
  <si>
    <t>Alberto Flores</t>
  </si>
  <si>
    <t>Victoria Campos</t>
  </si>
  <si>
    <t>Jimena Pérez</t>
  </si>
  <si>
    <t>Cecilia León</t>
  </si>
  <si>
    <t>María Fernández</t>
  </si>
  <si>
    <t>Alicia Martínez</t>
  </si>
  <si>
    <t>Antonio Bravo</t>
  </si>
  <si>
    <t>María Hernández</t>
  </si>
  <si>
    <t>Verónica Santana</t>
  </si>
  <si>
    <t>Emilio Romero</t>
  </si>
  <si>
    <t>Samuel Pinto</t>
  </si>
  <si>
    <t>Raúl Soto</t>
  </si>
  <si>
    <t>Gabriela Pérez</t>
  </si>
  <si>
    <t>Sandra Ortiz</t>
  </si>
  <si>
    <t>Daniel Guzmán</t>
  </si>
  <si>
    <t>Pedro Flores</t>
  </si>
  <si>
    <t>Martín Méndez</t>
  </si>
  <si>
    <t>Raúl Carvajal</t>
  </si>
  <si>
    <t>Jimena Vargas</t>
  </si>
  <si>
    <t>Lorena Luna</t>
  </si>
  <si>
    <t>Gabriela Delgado</t>
  </si>
  <si>
    <t>Carla Romero</t>
  </si>
  <si>
    <t>Juana Campos</t>
  </si>
  <si>
    <t>María Cruz</t>
  </si>
  <si>
    <t>Luis Valencia</t>
  </si>
  <si>
    <t>Sofía Pérez</t>
  </si>
  <si>
    <t>Verónica Campos</t>
  </si>
  <si>
    <t>Miguel Suárez</t>
  </si>
  <si>
    <t>Vicente Campos</t>
  </si>
  <si>
    <t>Patricia Castro</t>
  </si>
  <si>
    <t>Enzo Rojas</t>
  </si>
  <si>
    <t>María Salazar</t>
  </si>
  <si>
    <t>Manuel Sánchez</t>
  </si>
  <si>
    <t>Verónica Navarro</t>
  </si>
  <si>
    <t>Alejandra Vargas</t>
  </si>
  <si>
    <t>Alicia Salinas</t>
  </si>
  <si>
    <t>Beatriz Cáceres</t>
  </si>
  <si>
    <t>Pablo Cáceres</t>
  </si>
  <si>
    <t>Gabriel Soto</t>
  </si>
  <si>
    <t>Lorena Vargas</t>
  </si>
  <si>
    <t>Oscar Chávez</t>
  </si>
  <si>
    <t>Tomás Contreras</t>
  </si>
  <si>
    <t>Daniela Vargas</t>
  </si>
  <si>
    <t>Leonardo Sáenz</t>
  </si>
  <si>
    <t>Miguel Moreno</t>
  </si>
  <si>
    <t>Cecilia Figueroa</t>
  </si>
  <si>
    <t>Sandra Gómez</t>
  </si>
  <si>
    <t>Tomás López</t>
  </si>
  <si>
    <t>Isabel Guzmán</t>
  </si>
  <si>
    <t>Paula Navarro</t>
  </si>
  <si>
    <t>Daniela Luna</t>
  </si>
  <si>
    <t>Tomás Domínguez</t>
  </si>
  <si>
    <t>Paola Suárez</t>
  </si>
  <si>
    <t>Patricia Campos</t>
  </si>
  <si>
    <t>María Martínez</t>
  </si>
  <si>
    <t>Raquel Leiva</t>
  </si>
  <si>
    <t>Ricardo Leiva</t>
  </si>
  <si>
    <t>Jimena Medina</t>
  </si>
  <si>
    <t>Isabel Fuentes</t>
  </si>
  <si>
    <t>Renata Castro</t>
  </si>
  <si>
    <t>José Herrera</t>
  </si>
  <si>
    <t>Miguel Bravo</t>
  </si>
  <si>
    <t>Patricia Espinoza</t>
  </si>
  <si>
    <t>Claudia Torres</t>
  </si>
  <si>
    <t>Sergio Bravo</t>
  </si>
  <si>
    <t>Gabriela Santana</t>
  </si>
  <si>
    <t>Lorena Salinas</t>
  </si>
  <si>
    <t>Manuel Moreno</t>
  </si>
  <si>
    <t>Martín León</t>
  </si>
  <si>
    <t>Pedro Castillo</t>
  </si>
  <si>
    <t>Raquel Salinas</t>
  </si>
  <si>
    <t>Carla Acosta</t>
  </si>
  <si>
    <t>Jorge Suárez</t>
  </si>
  <si>
    <t>Carla Valdez</t>
  </si>
  <si>
    <t>Silvia Sáenz</t>
  </si>
  <si>
    <t>Claudia Valdez</t>
  </si>
  <si>
    <t>Marina Quintero</t>
  </si>
  <si>
    <t>Carla Sáenz</t>
  </si>
  <si>
    <t>Carlos Medina</t>
  </si>
  <si>
    <t>Daniela Fuentes</t>
  </si>
  <si>
    <t>Natalia Ramos</t>
  </si>
  <si>
    <t>Jimena Fuentes</t>
  </si>
  <si>
    <t>José Vargas</t>
  </si>
  <si>
    <t>Ricardo Carvajal</t>
  </si>
  <si>
    <t>Isabel Gómez</t>
  </si>
  <si>
    <t>Lorena Martínez</t>
  </si>
  <si>
    <t>Roberto Cáceres</t>
  </si>
  <si>
    <t>Manuel Ramos</t>
  </si>
  <si>
    <t>Enzo Castillo</t>
  </si>
  <si>
    <t>Leticia Rojas</t>
  </si>
  <si>
    <t>Alejandro Ramos</t>
  </si>
  <si>
    <t>Alberto Luna</t>
  </si>
  <si>
    <t>Gabriela Cortés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</si>
</sst>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\ hh:mm:ss"/>
    <numFmt numFmtId="165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top"/>
    </xf>
    <xf numFmtId="14" fontId="0" fillId="2" borderId="0" xfId="0" applyNumberFormat="1" applyFill="1" applyAlignment="1">
      <alignment horizontal="center"/>
    </xf>
    <xf numFmtId="44" fontId="1" fillId="2" borderId="1" xfId="1" applyFont="1" applyFill="1" applyBorder="1" applyAlignment="1">
      <alignment horizontal="center" vertical="top"/>
    </xf>
    <xf numFmtId="44" fontId="0" fillId="2" borderId="0" xfId="1" applyFont="1" applyFill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/>
    <xf numFmtId="165" fontId="0" fillId="0" borderId="0" xfId="0" applyNumberFormat="1"/>
    <xf numFmtId="165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2" applyNumberFormat="1" applyFont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left" vertical="center"/>
    </xf>
    <xf numFmtId="0" fontId="0" fillId="2" borderId="0" xfId="1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0" xfId="0" applyFont="1"/>
    <xf numFmtId="0" fontId="4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4">
    <dxf>
      <numFmt numFmtId="165" formatCode="#,##0.00\ &quot;€&quot;"/>
    </dxf>
    <dxf>
      <numFmt numFmtId="165" formatCode="#,##0.00\ &quot;€&quot;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Evolucion de las ventas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Graficos!$C$9:$C$19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</c:strCache>
            </c:strRef>
          </c:cat>
          <c:val>
            <c:numRef>
              <c:f>Graficos!$D$9:$D$19</c:f>
              <c:numCache>
                <c:formatCode>#,##0.00\ "€"</c:formatCode>
                <c:ptCount val="11"/>
                <c:pt idx="0">
                  <c:v>163794.99999999994</c:v>
                </c:pt>
                <c:pt idx="1">
                  <c:v>176734.09999999998</c:v>
                </c:pt>
                <c:pt idx="2">
                  <c:v>160612.4</c:v>
                </c:pt>
                <c:pt idx="3">
                  <c:v>116355.40000000002</c:v>
                </c:pt>
                <c:pt idx="4">
                  <c:v>89236.6</c:v>
                </c:pt>
                <c:pt idx="5">
                  <c:v>123762.19999999994</c:v>
                </c:pt>
                <c:pt idx="6">
                  <c:v>126010.19999999994</c:v>
                </c:pt>
                <c:pt idx="7">
                  <c:v>84649.8</c:v>
                </c:pt>
                <c:pt idx="8">
                  <c:v>133377.20000000007</c:v>
                </c:pt>
                <c:pt idx="9">
                  <c:v>260338.4</c:v>
                </c:pt>
                <c:pt idx="10">
                  <c:v>209273.60000000003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5-479A-AEFE-5D2E2A457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001008"/>
        <c:axId val="2022984688"/>
      </c:lineChart>
      <c:catAx>
        <c:axId val="202300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2984688"/>
        <c:crosses val="autoZero"/>
        <c:auto val="1"/>
        <c:lblAlgn val="ctr"/>
        <c:lblOffset val="100"/>
        <c:noMultiLvlLbl val="0"/>
      </c:catAx>
      <c:valAx>
        <c:axId val="2022984688"/>
        <c:scaling>
          <c:orientation val="minMax"/>
        </c:scaling>
        <c:delete val="1"/>
        <c:axPos val="l"/>
        <c:numFmt formatCode="#,##0.00\ &quot;€&quot;" sourceLinked="1"/>
        <c:majorTickMark val="none"/>
        <c:minorTickMark val="none"/>
        <c:tickLblPos val="nextTo"/>
        <c:crossAx val="202300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Categoria mas demandada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Graficos!$C$29:$C$31</c:f>
              <c:strCache>
                <c:ptCount val="3"/>
                <c:pt idx="0">
                  <c:v>Muebles</c:v>
                </c:pt>
                <c:pt idx="1">
                  <c:v>Accesorios</c:v>
                </c:pt>
                <c:pt idx="2">
                  <c:v>Electrónica</c:v>
                </c:pt>
              </c:strCache>
            </c:strRef>
          </c:cat>
          <c:val>
            <c:numRef>
              <c:f>Graficos!$D$29:$D$31</c:f>
              <c:numCache>
                <c:formatCode>General</c:formatCode>
                <c:ptCount val="3"/>
                <c:pt idx="0">
                  <c:v>70</c:v>
                </c:pt>
                <c:pt idx="1">
                  <c:v>370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2-4FF7-9D78-B26E567B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975120"/>
        <c:axId val="503975600"/>
      </c:barChart>
      <c:catAx>
        <c:axId val="5039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3975600"/>
        <c:crosses val="autoZero"/>
        <c:auto val="1"/>
        <c:lblAlgn val="ctr"/>
        <c:lblOffset val="100"/>
        <c:noMultiLvlLbl val="0"/>
      </c:catAx>
      <c:valAx>
        <c:axId val="503975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397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Productos mas vendidos (unidades)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A-4921-84B0-85DC376EE75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A-4921-84B0-85DC376EE75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A-4921-84B0-85DC376EE75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8A-4921-84B0-85DC376EE75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8A-4921-84B0-85DC376EE75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8A-4921-84B0-85DC376EE7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8A-4921-84B0-85DC376EE75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F8A-4921-84B0-85DC376EE7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Graficos!$M$29:$M$36</c:f>
              <c:strCache>
                <c:ptCount val="8"/>
                <c:pt idx="0">
                  <c:v>Audífonos</c:v>
                </c:pt>
                <c:pt idx="1">
                  <c:v>Impresora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Silla Gamer</c:v>
                </c:pt>
                <c:pt idx="6">
                  <c:v>Teclado</c:v>
                </c:pt>
                <c:pt idx="7">
                  <c:v>Webcam</c:v>
                </c:pt>
              </c:strCache>
            </c:strRef>
          </c:cat>
          <c:val>
            <c:numRef>
              <c:f>Graficos!$N$29:$N$36</c:f>
              <c:numCache>
                <c:formatCode>General</c:formatCode>
                <c:ptCount val="8"/>
                <c:pt idx="0">
                  <c:v>270</c:v>
                </c:pt>
                <c:pt idx="1">
                  <c:v>230</c:v>
                </c:pt>
                <c:pt idx="2">
                  <c:v>250</c:v>
                </c:pt>
                <c:pt idx="3">
                  <c:v>260</c:v>
                </c:pt>
                <c:pt idx="4">
                  <c:v>170</c:v>
                </c:pt>
                <c:pt idx="5">
                  <c:v>180</c:v>
                </c:pt>
                <c:pt idx="6">
                  <c:v>320</c:v>
                </c:pt>
                <c:pt idx="7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E-45B4-A546-631397D0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Cantidad de productos vendidos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Graficos!$N$9:$N$19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</c:strCache>
            </c:strRef>
          </c:cat>
          <c:val>
            <c:numRef>
              <c:f>Graficos!$O$9:$O$19</c:f>
              <c:numCache>
                <c:formatCode>General</c:formatCode>
                <c:ptCount val="11"/>
                <c:pt idx="0">
                  <c:v>200</c:v>
                </c:pt>
                <c:pt idx="1">
                  <c:v>150</c:v>
                </c:pt>
                <c:pt idx="2">
                  <c:v>130</c:v>
                </c:pt>
                <c:pt idx="3">
                  <c:v>180</c:v>
                </c:pt>
                <c:pt idx="4">
                  <c:v>70</c:v>
                </c:pt>
                <c:pt idx="5">
                  <c:v>180</c:v>
                </c:pt>
                <c:pt idx="6">
                  <c:v>170</c:v>
                </c:pt>
                <c:pt idx="7">
                  <c:v>70</c:v>
                </c:pt>
                <c:pt idx="8">
                  <c:v>180</c:v>
                </c:pt>
                <c:pt idx="9">
                  <c:v>160</c:v>
                </c:pt>
                <c:pt idx="10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4B-4857-89C7-9A5C9DB76B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82491344"/>
        <c:axId val="882492304"/>
      </c:lineChart>
      <c:catAx>
        <c:axId val="8824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2492304"/>
        <c:crosses val="autoZero"/>
        <c:auto val="1"/>
        <c:lblAlgn val="ctr"/>
        <c:lblOffset val="100"/>
        <c:noMultiLvlLbl val="0"/>
      </c:catAx>
      <c:valAx>
        <c:axId val="882492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249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9523</xdr:rowOff>
    </xdr:from>
    <xdr:to>
      <xdr:col>14</xdr:col>
      <xdr:colOff>0</xdr:colOff>
      <xdr:row>22</xdr:row>
      <xdr:rowOff>161924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EAEA193-AB61-C65A-DAC3-0195E15DE17E}"/>
            </a:ext>
          </a:extLst>
        </xdr:cNvPr>
        <xdr:cNvSpPr txBox="1"/>
      </xdr:nvSpPr>
      <xdr:spPr>
        <a:xfrm>
          <a:off x="762000" y="742948"/>
          <a:ext cx="9906000" cy="3771901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/>
            <a:t>-</a:t>
          </a:r>
          <a:r>
            <a:rPr lang="es-ES" sz="1400" baseline="0"/>
            <a:t> </a:t>
          </a:r>
          <a:r>
            <a:rPr lang="es-ES" sz="1400"/>
            <a:t>Las ventas presentan una tendencia positiva/negativa según el periodo analizado, 2023 es positiva mientras que 2025 negativa.</a:t>
          </a:r>
        </a:p>
        <a:p>
          <a:endParaRPr lang="es-ES" sz="1400"/>
        </a:p>
        <a:p>
          <a:r>
            <a:rPr lang="es-ES" sz="1400"/>
            <a:t>- Los pedidos mantienen una correlación directa con las ventas, lo que indica que la demanda impacta en los ingresos totales, logicamente. </a:t>
          </a:r>
        </a:p>
        <a:p>
          <a:endParaRPr lang="es-ES" sz="1400"/>
        </a:p>
        <a:p>
          <a:r>
            <a:rPr lang="es-ES" sz="1400"/>
            <a:t>- Existen productos más demandados que otros, como es el caso de los accesorios, lo que sugiere la necesidad de focalizar estrategias en los más rentables,</a:t>
          </a:r>
          <a:r>
            <a:rPr lang="es-ES" sz="1400" baseline="0"/>
            <a:t> tiendo en cuenta tambien el ticket promedio por categoria.</a:t>
          </a:r>
          <a:endParaRPr lang="es-ES" sz="1400"/>
        </a:p>
        <a:p>
          <a:endParaRPr lang="es-ES" sz="1400"/>
        </a:p>
        <a:p>
          <a:r>
            <a:rPr lang="es-ES" sz="1400"/>
            <a:t>-</a:t>
          </a:r>
          <a:r>
            <a:rPr lang="es-ES" sz="1400" baseline="0"/>
            <a:t> </a:t>
          </a:r>
          <a:r>
            <a:rPr lang="es-ES" sz="1400"/>
            <a:t>Algunos periodos muestran estacionalidad, lo cual es clave para planificar campañas promocionales. </a:t>
          </a:r>
        </a:p>
        <a:p>
          <a:endParaRPr lang="es-ES" sz="1400"/>
        </a:p>
        <a:p>
          <a:r>
            <a:rPr lang="es-ES" sz="1400"/>
            <a:t>- El ticket promedio por cliente varía según el canal de venta</a:t>
          </a:r>
        </a:p>
        <a:p>
          <a:endParaRPr lang="es-ES" sz="1400"/>
        </a:p>
        <a:p>
          <a:r>
            <a:rPr lang="es-ES" sz="1400"/>
            <a:t>-</a:t>
          </a:r>
          <a:r>
            <a:rPr lang="es-ES" sz="1400" baseline="0"/>
            <a:t> En 2025 se ve una tendencia negativa en cuanto a las ventas totales realizadas</a:t>
          </a:r>
        </a:p>
        <a:p>
          <a:endParaRPr lang="es-ES" sz="1400" baseline="0"/>
        </a:p>
        <a:p>
          <a:r>
            <a:rPr lang="es-ES" sz="1400" baseline="0"/>
            <a:t>- Las impresioras son el producto mas vendido durante los 3 primeros meses pero durante los siguientes meses esto varia entre los demas productos</a:t>
          </a:r>
          <a:endParaRPr lang="es-E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6</xdr:row>
      <xdr:rowOff>185737</xdr:rowOff>
    </xdr:from>
    <xdr:to>
      <xdr:col>9</xdr:col>
      <xdr:colOff>19050</xdr:colOff>
      <xdr:row>23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9F70D1-570F-4ADC-CDEC-D3FDD4EA7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180975</xdr:rowOff>
    </xdr:from>
    <xdr:to>
      <xdr:col>8</xdr:col>
      <xdr:colOff>752475</xdr:colOff>
      <xdr:row>41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653E56-42BB-B965-C5C9-61D1C24D0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24</xdr:row>
      <xdr:rowOff>180974</xdr:rowOff>
    </xdr:from>
    <xdr:to>
      <xdr:col>19</xdr:col>
      <xdr:colOff>0</xdr:colOff>
      <xdr:row>41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F6E48AB-21FC-4E21-903A-78F44F694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761999</xdr:colOff>
      <xdr:row>7</xdr:row>
      <xdr:rowOff>4761</xdr:rowOff>
    </xdr:from>
    <xdr:to>
      <xdr:col>19</xdr:col>
      <xdr:colOff>9524</xdr:colOff>
      <xdr:row>23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86B32B-31CB-AFE6-E0D1-C2FE51D3B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Piña" refreshedDate="45929.792656365738" createdVersion="8" refreshedVersion="8" minRefreshableVersion="3" recordCount="2001" xr:uid="{BC2F4CE2-09F4-4C66-B4A7-C17A714D4C03}">
  <cacheSource type="worksheet">
    <worksheetSource ref="A1:P1048576" sheet="Datos generales"/>
  </cacheSource>
  <cacheFields count="17">
    <cacheField name="ID_Pedido" numFmtId="0">
      <sharedItems containsBlank="1" count="201"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m/>
      </sharedItems>
    </cacheField>
    <cacheField name="FechaHora" numFmtId="0">
      <sharedItems containsNonDate="0" containsDate="1" containsString="0" containsBlank="1" minDate="2023-01-01T01:28:00" maxDate="2025-09-27T04:20:00"/>
    </cacheField>
    <cacheField name="NombreCliente" numFmtId="0">
      <sharedItems containsBlank="1" count="51">
        <s v="Cliente_24"/>
        <s v="Cliente_15"/>
        <s v="Cliente_37"/>
        <s v="Cliente_33"/>
        <s v="Cliente_21"/>
        <s v="Cliente_42"/>
        <s v="Cliente_17"/>
        <s v="Cliente_31"/>
        <s v="Cliente_48"/>
        <s v="Cliente_29"/>
        <s v="Cliente_41"/>
        <s v="Cliente_4"/>
        <s v="Cliente_18"/>
        <s v="Cliente_36"/>
        <s v="Cliente_38"/>
        <s v="Cliente_6"/>
        <s v="Cliente_9"/>
        <s v="Cliente_47"/>
        <s v="Cliente_11"/>
        <s v="Cliente_50"/>
        <s v="Cliente_27"/>
        <s v="Cliente_25"/>
        <s v="Cliente_43"/>
        <s v="Cliente_16"/>
        <s v="Cliente_34"/>
        <s v="Cliente_3"/>
        <s v="Cliente_28"/>
        <s v="Cliente_13"/>
        <s v="Cliente_10"/>
        <s v="Cliente_19"/>
        <s v="Cliente_2"/>
        <s v="Cliente_35"/>
        <s v="Cliente_26"/>
        <s v="Cliente_32"/>
        <s v="Cliente_30"/>
        <s v="Cliente_23"/>
        <s v="Cliente_7"/>
        <s v="Cliente_44"/>
        <s v="Cliente_8"/>
        <s v="Cliente_12"/>
        <s v="Cliente_39"/>
        <s v="Cliente_46"/>
        <s v="Cliente_1"/>
        <s v="Cliente_40"/>
        <s v="Cliente_49"/>
        <s v="Cliente_20"/>
        <s v="Cliente_5"/>
        <s v="Cliente_22"/>
        <s v="Cliente_45"/>
        <s v="Cliente_14"/>
        <m/>
      </sharedItems>
    </cacheField>
    <cacheField name="Producto" numFmtId="0">
      <sharedItems containsBlank="1" count="9">
        <s v="Monitor"/>
        <s v="Teclado"/>
        <s v="Silla Gamer"/>
        <s v="Impresora"/>
        <s v="Webcam"/>
        <s v="Laptop"/>
        <s v="Mouse"/>
        <s v="Audífonos"/>
        <m/>
      </sharedItems>
    </cacheField>
    <cacheField name="Cantidad" numFmtId="0">
      <sharedItems containsString="0" containsBlank="1" containsNumber="1" containsInteger="1" minValue="1" maxValue="5"/>
    </cacheField>
    <cacheField name="Precio_Unitario" numFmtId="0">
      <sharedItems containsString="0" containsBlank="1" containsNumber="1" minValue="21.56" maxValue="1963.63"/>
    </cacheField>
    <cacheField name="Categoria" numFmtId="0">
      <sharedItems containsBlank="1"/>
    </cacheField>
    <cacheField name="Total_Venta" numFmtId="0">
      <sharedItems containsString="0" containsBlank="1" containsNumber="1" minValue="64.679999999999993" maxValue="9489.85"/>
    </cacheField>
    <cacheField name="Año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Mes" numFmtId="0">
      <sharedItems containsString="0" containsBlank="1" containsNumber="1" containsInteger="1" minValue="1" maxValue="12" count="13">
        <n v="12"/>
        <n v="3"/>
        <n v="2"/>
        <n v="4"/>
        <n v="6"/>
        <n v="5"/>
        <n v="8"/>
        <n v="10"/>
        <n v="9"/>
        <n v="11"/>
        <n v="7"/>
        <n v="1"/>
        <m/>
      </sharedItems>
    </cacheField>
    <cacheField name="Hora" numFmtId="0">
      <sharedItems containsString="0" containsBlank="1" containsNumber="1" containsInteger="1" minValue="0" maxValue="23"/>
    </cacheField>
    <cacheField name="Ticket_Promedio" numFmtId="0">
      <sharedItems containsString="0" containsBlank="1" containsNumber="1" minValue="21.56" maxValue="1963.63"/>
    </cacheField>
    <cacheField name="Dia de la semana" numFmtId="0">
      <sharedItems containsBlank="1"/>
    </cacheField>
    <cacheField name="Mes en texto" numFmtId="0">
      <sharedItems containsBlank="1"/>
    </cacheField>
    <cacheField name="Superior a la venta promedio" numFmtId="0">
      <sharedItems containsBlank="1"/>
    </cacheField>
    <cacheField name="Superior al ticket promedio" numFmtId="0">
      <sharedItems containsBlank="1"/>
    </cacheField>
    <cacheField name="Total ventas (Campo calculado)" numFmtId="0" formula="Cantidad*Precio_Unitario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0"/>
    <d v="2023-12-20T11:29:00"/>
    <x v="0"/>
    <x v="0"/>
    <n v="5"/>
    <n v="1497.24"/>
    <s v="Electrónica"/>
    <n v="7486.2"/>
    <x v="0"/>
    <x v="0"/>
    <n v="11"/>
    <n v="1497.24"/>
    <s v="miércoles"/>
    <s v="diciembre"/>
    <s v="SI"/>
    <s v="SI"/>
  </r>
  <r>
    <x v="1"/>
    <d v="2023-03-23T20:10:00"/>
    <x v="1"/>
    <x v="0"/>
    <n v="1"/>
    <n v="1687.54"/>
    <s v="Electrónica"/>
    <n v="1687.54"/>
    <x v="0"/>
    <x v="1"/>
    <n v="20"/>
    <n v="1687.54"/>
    <s v="jueves"/>
    <s v="marzo"/>
    <s v="NO"/>
    <s v="SI"/>
  </r>
  <r>
    <x v="2"/>
    <d v="2024-03-04T10:39:00"/>
    <x v="2"/>
    <x v="1"/>
    <n v="3"/>
    <n v="768.8"/>
    <s v="Accesorios"/>
    <n v="2306.4"/>
    <x v="1"/>
    <x v="1"/>
    <n v="10"/>
    <n v="768.79999999999984"/>
    <s v="lunes"/>
    <s v="marzo"/>
    <s v="NO"/>
    <s v="NO"/>
  </r>
  <r>
    <x v="3"/>
    <d v="2025-02-16T08:59:00"/>
    <x v="0"/>
    <x v="2"/>
    <n v="1"/>
    <n v="1532.67"/>
    <s v="Muebles"/>
    <n v="1532.67"/>
    <x v="2"/>
    <x v="2"/>
    <n v="8"/>
    <n v="1532.67"/>
    <s v="domingo"/>
    <s v="febrero"/>
    <s v="NO"/>
    <s v="SI"/>
  </r>
  <r>
    <x v="4"/>
    <d v="2025-04-25T20:22:00"/>
    <x v="3"/>
    <x v="2"/>
    <n v="3"/>
    <n v="1709.47"/>
    <s v="Muebles"/>
    <n v="5128.41"/>
    <x v="2"/>
    <x v="3"/>
    <n v="20"/>
    <n v="1709.47"/>
    <s v="viernes"/>
    <s v="abril"/>
    <s v="SI"/>
    <s v="SI"/>
  </r>
  <r>
    <x v="5"/>
    <d v="2023-06-24T05:25:00"/>
    <x v="4"/>
    <x v="3"/>
    <n v="3"/>
    <n v="297.54000000000002"/>
    <s v="Electrónica"/>
    <n v="892.62000000000012"/>
    <x v="0"/>
    <x v="4"/>
    <n v="5"/>
    <n v="297.54000000000002"/>
    <s v="sábado"/>
    <s v="junio"/>
    <s v="NO"/>
    <s v="NO"/>
  </r>
  <r>
    <x v="6"/>
    <d v="2025-02-06T10:23:00"/>
    <x v="5"/>
    <x v="4"/>
    <n v="4"/>
    <n v="1546.65"/>
    <s v="Accesorios"/>
    <n v="6186.6"/>
    <x v="2"/>
    <x v="2"/>
    <n v="10"/>
    <n v="1546.65"/>
    <s v="jueves"/>
    <s v="febrero"/>
    <s v="SI"/>
    <s v="SI"/>
  </r>
  <r>
    <x v="7"/>
    <d v="2025-05-21T16:34:00"/>
    <x v="6"/>
    <x v="0"/>
    <n v="1"/>
    <n v="1575.18"/>
    <s v="Electrónica"/>
    <n v="1575.18"/>
    <x v="2"/>
    <x v="5"/>
    <n v="16"/>
    <n v="1575.18"/>
    <s v="miércoles"/>
    <s v="mayo"/>
    <s v="NO"/>
    <s v="SI"/>
  </r>
  <r>
    <x v="8"/>
    <d v="2024-05-13T19:08:00"/>
    <x v="6"/>
    <x v="5"/>
    <n v="5"/>
    <n v="1815.86"/>
    <s v="Electrónica"/>
    <n v="9079.2999999999993"/>
    <x v="1"/>
    <x v="5"/>
    <n v="19"/>
    <n v="1815.86"/>
    <s v="lunes"/>
    <s v="mayo"/>
    <s v="SI"/>
    <s v="SI"/>
  </r>
  <r>
    <x v="9"/>
    <d v="2024-08-21T03:39:00"/>
    <x v="7"/>
    <x v="0"/>
    <n v="1"/>
    <n v="564.11"/>
    <s v="Electrónica"/>
    <n v="564.11"/>
    <x v="1"/>
    <x v="6"/>
    <n v="3"/>
    <n v="564.11"/>
    <s v="miércoles"/>
    <s v="agosto"/>
    <s v="NO"/>
    <s v="NO"/>
  </r>
  <r>
    <x v="10"/>
    <d v="2024-10-15T01:03:00"/>
    <x v="8"/>
    <x v="5"/>
    <n v="1"/>
    <n v="454.9"/>
    <s v="Electrónica"/>
    <n v="454.9"/>
    <x v="1"/>
    <x v="7"/>
    <n v="1"/>
    <n v="454.9"/>
    <s v="martes"/>
    <s v="octubre"/>
    <s v="NO"/>
    <s v="NO"/>
  </r>
  <r>
    <x v="11"/>
    <d v="2024-09-16T03:38:00"/>
    <x v="9"/>
    <x v="6"/>
    <n v="3"/>
    <n v="1277.51"/>
    <s v="Accesorios"/>
    <n v="3832.53"/>
    <x v="1"/>
    <x v="8"/>
    <n v="3"/>
    <n v="1277.51"/>
    <s v="lunes"/>
    <s v="septiembre"/>
    <s v="SI"/>
    <s v="SI"/>
  </r>
  <r>
    <x v="12"/>
    <d v="2023-10-31T09:30:00"/>
    <x v="10"/>
    <x v="2"/>
    <n v="2"/>
    <n v="1870.95"/>
    <s v="Muebles"/>
    <n v="3741.9"/>
    <x v="0"/>
    <x v="7"/>
    <n v="9"/>
    <n v="1870.95"/>
    <s v="martes"/>
    <s v="octubre"/>
    <s v="SI"/>
    <s v="SI"/>
  </r>
  <r>
    <x v="13"/>
    <d v="2023-11-04T15:30:00"/>
    <x v="11"/>
    <x v="0"/>
    <n v="4"/>
    <n v="1227.23"/>
    <s v="Electrónica"/>
    <n v="4908.92"/>
    <x v="0"/>
    <x v="9"/>
    <n v="15"/>
    <n v="1227.23"/>
    <s v="sábado"/>
    <s v="noviembre"/>
    <s v="SI"/>
    <s v="SI"/>
  </r>
  <r>
    <x v="14"/>
    <d v="2024-06-21T18:24:00"/>
    <x v="12"/>
    <x v="3"/>
    <n v="1"/>
    <n v="1329.6"/>
    <s v="Electrónica"/>
    <n v="1329.6"/>
    <x v="1"/>
    <x v="4"/>
    <n v="18"/>
    <n v="1329.6"/>
    <s v="viernes"/>
    <s v="junio"/>
    <s v="NO"/>
    <s v="SI"/>
  </r>
  <r>
    <x v="15"/>
    <d v="2023-07-31T05:46:00"/>
    <x v="13"/>
    <x v="0"/>
    <n v="3"/>
    <n v="1734.12"/>
    <s v="Electrónica"/>
    <n v="5202.3599999999997"/>
    <x v="0"/>
    <x v="10"/>
    <n v="5"/>
    <n v="1734.12"/>
    <s v="lunes"/>
    <s v="julio"/>
    <s v="SI"/>
    <s v="SI"/>
  </r>
  <r>
    <x v="16"/>
    <d v="2024-06-12T16:32:00"/>
    <x v="11"/>
    <x v="0"/>
    <n v="1"/>
    <n v="1209.6199999999999"/>
    <s v="Electrónica"/>
    <n v="1209.6199999999999"/>
    <x v="1"/>
    <x v="4"/>
    <n v="16"/>
    <n v="1209.6199999999999"/>
    <s v="miércoles"/>
    <s v="junio"/>
    <s v="NO"/>
    <s v="SI"/>
  </r>
  <r>
    <x v="17"/>
    <d v="2024-01-10T03:38:00"/>
    <x v="2"/>
    <x v="6"/>
    <n v="3"/>
    <n v="922.33"/>
    <s v="Accesorios"/>
    <n v="2766.99"/>
    <x v="1"/>
    <x v="11"/>
    <n v="3"/>
    <n v="922.33"/>
    <s v="miércoles"/>
    <s v="enero"/>
    <s v="NO"/>
    <s v="NO"/>
  </r>
  <r>
    <x v="18"/>
    <d v="2025-01-20T18:16:00"/>
    <x v="12"/>
    <x v="4"/>
    <n v="4"/>
    <n v="54.42"/>
    <s v="Accesorios"/>
    <n v="217.68"/>
    <x v="2"/>
    <x v="11"/>
    <n v="18"/>
    <n v="54.42"/>
    <s v="lunes"/>
    <s v="enero"/>
    <s v="NO"/>
    <s v="NO"/>
  </r>
  <r>
    <x v="19"/>
    <d v="2023-11-08T17:08:00"/>
    <x v="14"/>
    <x v="6"/>
    <n v="2"/>
    <n v="1567.18"/>
    <s v="Accesorios"/>
    <n v="3134.36"/>
    <x v="0"/>
    <x v="9"/>
    <n v="17"/>
    <n v="1567.18"/>
    <s v="miércoles"/>
    <s v="noviembre"/>
    <s v="SI"/>
    <s v="SI"/>
  </r>
  <r>
    <x v="20"/>
    <d v="2023-11-01T09:16:00"/>
    <x v="15"/>
    <x v="1"/>
    <n v="2"/>
    <n v="519.79999999999995"/>
    <s v="Accesorios"/>
    <n v="1039.5999999999999"/>
    <x v="0"/>
    <x v="9"/>
    <n v="9"/>
    <n v="519.79999999999995"/>
    <s v="miércoles"/>
    <s v="noviembre"/>
    <s v="NO"/>
    <s v="NO"/>
  </r>
  <r>
    <x v="21"/>
    <d v="2024-05-09T13:32:00"/>
    <x v="16"/>
    <x v="2"/>
    <n v="1"/>
    <n v="1267.01"/>
    <s v="Muebles"/>
    <n v="1267.01"/>
    <x v="1"/>
    <x v="5"/>
    <n v="13"/>
    <n v="1267.01"/>
    <s v="jueves"/>
    <s v="mayo"/>
    <s v="NO"/>
    <s v="SI"/>
  </r>
  <r>
    <x v="22"/>
    <d v="2024-05-25T14:13:00"/>
    <x v="11"/>
    <x v="0"/>
    <n v="4"/>
    <n v="1027.81"/>
    <s v="Electrónica"/>
    <n v="4111.24"/>
    <x v="1"/>
    <x v="5"/>
    <n v="14"/>
    <n v="1027.81"/>
    <s v="sábado"/>
    <s v="mayo"/>
    <s v="SI"/>
    <s v="SI"/>
  </r>
  <r>
    <x v="23"/>
    <d v="2024-03-04T11:42:00"/>
    <x v="17"/>
    <x v="4"/>
    <n v="3"/>
    <n v="925.62"/>
    <s v="Accesorios"/>
    <n v="2776.86"/>
    <x v="1"/>
    <x v="1"/>
    <n v="11"/>
    <n v="925.62"/>
    <s v="lunes"/>
    <s v="marzo"/>
    <s v="NO"/>
    <s v="NO"/>
  </r>
  <r>
    <x v="24"/>
    <d v="2025-09-24T10:26:00"/>
    <x v="7"/>
    <x v="0"/>
    <n v="3"/>
    <n v="213.71"/>
    <s v="Electrónica"/>
    <n v="641.13"/>
    <x v="2"/>
    <x v="8"/>
    <n v="10"/>
    <n v="213.71"/>
    <s v="miércoles"/>
    <s v="septiembre"/>
    <s v="NO"/>
    <s v="NO"/>
  </r>
  <r>
    <x v="25"/>
    <d v="2024-06-28T22:21:00"/>
    <x v="9"/>
    <x v="5"/>
    <n v="2"/>
    <n v="1146.75"/>
    <s v="Electrónica"/>
    <n v="2293.5"/>
    <x v="1"/>
    <x v="4"/>
    <n v="22"/>
    <n v="1146.75"/>
    <s v="viernes"/>
    <s v="junio"/>
    <s v="NO"/>
    <s v="SI"/>
  </r>
  <r>
    <x v="26"/>
    <d v="2023-03-18T14:11:00"/>
    <x v="18"/>
    <x v="5"/>
    <n v="5"/>
    <n v="907.28"/>
    <s v="Electrónica"/>
    <n v="4536.3999999999996"/>
    <x v="0"/>
    <x v="1"/>
    <n v="14"/>
    <n v="907.28"/>
    <s v="sábado"/>
    <s v="marzo"/>
    <s v="SI"/>
    <s v="NO"/>
  </r>
  <r>
    <x v="27"/>
    <d v="2023-10-07T09:28:00"/>
    <x v="19"/>
    <x v="4"/>
    <n v="2"/>
    <n v="1734.44"/>
    <s v="Accesorios"/>
    <n v="3468.88"/>
    <x v="0"/>
    <x v="7"/>
    <n v="9"/>
    <n v="1734.44"/>
    <s v="sábado"/>
    <s v="octubre"/>
    <s v="SI"/>
    <s v="SI"/>
  </r>
  <r>
    <x v="28"/>
    <d v="2024-10-30T18:34:00"/>
    <x v="13"/>
    <x v="1"/>
    <n v="1"/>
    <n v="424.35"/>
    <s v="Accesorios"/>
    <n v="424.35"/>
    <x v="1"/>
    <x v="7"/>
    <n v="18"/>
    <n v="424.35"/>
    <s v="miércoles"/>
    <s v="octubre"/>
    <s v="NO"/>
    <s v="NO"/>
  </r>
  <r>
    <x v="29"/>
    <d v="2025-08-19T17:41:00"/>
    <x v="20"/>
    <x v="0"/>
    <n v="1"/>
    <n v="252.57"/>
    <s v="Electrónica"/>
    <n v="252.57"/>
    <x v="2"/>
    <x v="6"/>
    <n v="17"/>
    <n v="252.57"/>
    <s v="martes"/>
    <s v="agosto"/>
    <s v="NO"/>
    <s v="NO"/>
  </r>
  <r>
    <x v="30"/>
    <d v="2024-07-05T01:34:00"/>
    <x v="21"/>
    <x v="6"/>
    <n v="3"/>
    <n v="21.56"/>
    <s v="Accesorios"/>
    <n v="64.679999999999993"/>
    <x v="1"/>
    <x v="10"/>
    <n v="1"/>
    <n v="21.56"/>
    <s v="viernes"/>
    <s v="julio"/>
    <s v="NO"/>
    <s v="NO"/>
  </r>
  <r>
    <x v="31"/>
    <d v="2024-04-20T16:03:00"/>
    <x v="19"/>
    <x v="2"/>
    <n v="1"/>
    <n v="446.81"/>
    <s v="Muebles"/>
    <n v="446.81"/>
    <x v="1"/>
    <x v="3"/>
    <n v="16"/>
    <n v="446.81"/>
    <s v="sábado"/>
    <s v="abril"/>
    <s v="NO"/>
    <s v="NO"/>
  </r>
  <r>
    <x v="32"/>
    <d v="2023-04-17T19:22:00"/>
    <x v="22"/>
    <x v="6"/>
    <n v="2"/>
    <n v="64.67"/>
    <s v="Accesorios"/>
    <n v="129.34"/>
    <x v="0"/>
    <x v="3"/>
    <n v="19"/>
    <n v="64.67"/>
    <s v="lunes"/>
    <s v="abril"/>
    <s v="NO"/>
    <s v="NO"/>
  </r>
  <r>
    <x v="33"/>
    <d v="2024-05-20T18:46:00"/>
    <x v="12"/>
    <x v="4"/>
    <n v="5"/>
    <n v="1168.3499999999999"/>
    <s v="Accesorios"/>
    <n v="5841.75"/>
    <x v="1"/>
    <x v="5"/>
    <n v="18"/>
    <n v="1168.3499999999999"/>
    <s v="lunes"/>
    <s v="mayo"/>
    <s v="SI"/>
    <s v="SI"/>
  </r>
  <r>
    <x v="34"/>
    <d v="2025-03-30T02:00:00"/>
    <x v="23"/>
    <x v="2"/>
    <n v="2"/>
    <n v="349.3"/>
    <s v="Muebles"/>
    <n v="698.6"/>
    <x v="2"/>
    <x v="1"/>
    <n v="2"/>
    <n v="349.3"/>
    <s v="domingo"/>
    <s v="marzo"/>
    <s v="NO"/>
    <s v="NO"/>
  </r>
  <r>
    <x v="35"/>
    <d v="2024-08-11T08:32:00"/>
    <x v="9"/>
    <x v="4"/>
    <n v="3"/>
    <n v="1154.06"/>
    <s v="Accesorios"/>
    <n v="3462.18"/>
    <x v="1"/>
    <x v="6"/>
    <n v="8"/>
    <n v="1154.06"/>
    <s v="domingo"/>
    <s v="agosto"/>
    <s v="SI"/>
    <s v="SI"/>
  </r>
  <r>
    <x v="36"/>
    <d v="2025-03-14T13:19:00"/>
    <x v="19"/>
    <x v="3"/>
    <n v="4"/>
    <n v="1566.37"/>
    <s v="Electrónica"/>
    <n v="6265.48"/>
    <x v="2"/>
    <x v="1"/>
    <n v="13"/>
    <n v="1566.37"/>
    <s v="viernes"/>
    <s v="marzo"/>
    <s v="SI"/>
    <s v="SI"/>
  </r>
  <r>
    <x v="37"/>
    <d v="2024-11-07T06:03:00"/>
    <x v="24"/>
    <x v="0"/>
    <n v="2"/>
    <n v="674.48"/>
    <s v="Electrónica"/>
    <n v="1348.96"/>
    <x v="1"/>
    <x v="9"/>
    <n v="6"/>
    <n v="674.48"/>
    <s v="jueves"/>
    <s v="noviembre"/>
    <s v="NO"/>
    <s v="NO"/>
  </r>
  <r>
    <x v="38"/>
    <d v="2024-05-08T01:19:00"/>
    <x v="25"/>
    <x v="0"/>
    <n v="2"/>
    <n v="1543.98"/>
    <s v="Electrónica"/>
    <n v="3087.96"/>
    <x v="1"/>
    <x v="5"/>
    <n v="1"/>
    <n v="1543.98"/>
    <s v="miércoles"/>
    <s v="mayo"/>
    <s v="SI"/>
    <s v="SI"/>
  </r>
  <r>
    <x v="39"/>
    <d v="2023-01-05T17:50:00"/>
    <x v="0"/>
    <x v="5"/>
    <n v="5"/>
    <n v="917.31"/>
    <s v="Electrónica"/>
    <n v="4586.5499999999993"/>
    <x v="0"/>
    <x v="11"/>
    <n v="17"/>
    <n v="917.30999999999983"/>
    <s v="jueves"/>
    <s v="enero"/>
    <s v="SI"/>
    <s v="NO"/>
  </r>
  <r>
    <x v="40"/>
    <d v="2024-02-04T16:25:00"/>
    <x v="26"/>
    <x v="7"/>
    <n v="4"/>
    <n v="450.36"/>
    <s v="Accesorios"/>
    <n v="1801.44"/>
    <x v="1"/>
    <x v="2"/>
    <n v="16"/>
    <n v="450.36"/>
    <s v="domingo"/>
    <s v="febrero"/>
    <s v="NO"/>
    <s v="NO"/>
  </r>
  <r>
    <x v="41"/>
    <d v="2023-08-08T20:57:00"/>
    <x v="11"/>
    <x v="3"/>
    <n v="2"/>
    <n v="755.48"/>
    <s v="Electrónica"/>
    <n v="1510.96"/>
    <x v="0"/>
    <x v="6"/>
    <n v="20"/>
    <n v="755.48"/>
    <s v="martes"/>
    <s v="agosto"/>
    <s v="NO"/>
    <s v="NO"/>
  </r>
  <r>
    <x v="42"/>
    <d v="2024-06-21T14:18:00"/>
    <x v="27"/>
    <x v="1"/>
    <n v="3"/>
    <n v="1855.55"/>
    <s v="Accesorios"/>
    <n v="5566.65"/>
    <x v="1"/>
    <x v="4"/>
    <n v="14"/>
    <n v="1855.55"/>
    <s v="viernes"/>
    <s v="junio"/>
    <s v="SI"/>
    <s v="SI"/>
  </r>
  <r>
    <x v="43"/>
    <d v="2023-09-02T21:36:00"/>
    <x v="28"/>
    <x v="4"/>
    <n v="5"/>
    <n v="1011.75"/>
    <s v="Accesorios"/>
    <n v="5058.75"/>
    <x v="0"/>
    <x v="8"/>
    <n v="21"/>
    <n v="1011.75"/>
    <s v="sábado"/>
    <s v="septiembre"/>
    <s v="SI"/>
    <s v="SI"/>
  </r>
  <r>
    <x v="44"/>
    <d v="2023-03-07T03:16:00"/>
    <x v="26"/>
    <x v="1"/>
    <n v="5"/>
    <n v="1218.3399999999999"/>
    <s v="Accesorios"/>
    <n v="6091.7"/>
    <x v="0"/>
    <x v="1"/>
    <n v="3"/>
    <n v="1218.3399999999999"/>
    <s v="martes"/>
    <s v="marzo"/>
    <s v="SI"/>
    <s v="SI"/>
  </r>
  <r>
    <x v="45"/>
    <d v="2023-01-01T01:28:00"/>
    <x v="23"/>
    <x v="4"/>
    <n v="2"/>
    <n v="361.59"/>
    <s v="Accesorios"/>
    <n v="723.18"/>
    <x v="0"/>
    <x v="11"/>
    <n v="1"/>
    <n v="361.59"/>
    <s v="domingo"/>
    <s v="enero"/>
    <s v="NO"/>
    <s v="NO"/>
  </r>
  <r>
    <x v="46"/>
    <d v="2023-06-20T08:37:00"/>
    <x v="29"/>
    <x v="1"/>
    <n v="5"/>
    <n v="958.8"/>
    <s v="Accesorios"/>
    <n v="4794"/>
    <x v="0"/>
    <x v="4"/>
    <n v="8"/>
    <n v="958.8"/>
    <s v="martes"/>
    <s v="junio"/>
    <s v="SI"/>
    <s v="NO"/>
  </r>
  <r>
    <x v="47"/>
    <d v="2025-04-08T06:55:00"/>
    <x v="12"/>
    <x v="2"/>
    <n v="5"/>
    <n v="1776.87"/>
    <s v="Muebles"/>
    <n v="8884.3499999999985"/>
    <x v="2"/>
    <x v="3"/>
    <n v="6"/>
    <n v="1776.87"/>
    <s v="martes"/>
    <s v="abril"/>
    <s v="SI"/>
    <s v="SI"/>
  </r>
  <r>
    <x v="48"/>
    <d v="2025-05-05T20:48:00"/>
    <x v="4"/>
    <x v="7"/>
    <n v="1"/>
    <n v="1467.34"/>
    <s v="Accesorios"/>
    <n v="1467.34"/>
    <x v="2"/>
    <x v="5"/>
    <n v="20"/>
    <n v="1467.34"/>
    <s v="lunes"/>
    <s v="mayo"/>
    <s v="NO"/>
    <s v="SI"/>
  </r>
  <r>
    <x v="49"/>
    <d v="2025-06-11T08:12:00"/>
    <x v="30"/>
    <x v="2"/>
    <n v="3"/>
    <n v="683.91"/>
    <s v="Muebles"/>
    <n v="2051.73"/>
    <x v="2"/>
    <x v="4"/>
    <n v="8"/>
    <n v="683.91"/>
    <s v="miércoles"/>
    <s v="junio"/>
    <s v="NO"/>
    <s v="NO"/>
  </r>
  <r>
    <x v="50"/>
    <d v="2024-05-29T23:50:00"/>
    <x v="3"/>
    <x v="2"/>
    <n v="1"/>
    <n v="1083.8599999999999"/>
    <s v="Muebles"/>
    <n v="1083.8599999999999"/>
    <x v="1"/>
    <x v="5"/>
    <n v="23"/>
    <n v="1083.8599999999999"/>
    <s v="miércoles"/>
    <s v="mayo"/>
    <s v="NO"/>
    <s v="SI"/>
  </r>
  <r>
    <x v="51"/>
    <d v="2023-09-11T23:59:00"/>
    <x v="17"/>
    <x v="0"/>
    <n v="2"/>
    <n v="1551.85"/>
    <s v="Electrónica"/>
    <n v="3103.7"/>
    <x v="0"/>
    <x v="8"/>
    <n v="23"/>
    <n v="1551.85"/>
    <s v="lunes"/>
    <s v="septiembre"/>
    <s v="SI"/>
    <s v="SI"/>
  </r>
  <r>
    <x v="52"/>
    <d v="2024-11-28T14:52:00"/>
    <x v="31"/>
    <x v="5"/>
    <n v="5"/>
    <n v="1368.27"/>
    <s v="Electrónica"/>
    <n v="6841.35"/>
    <x v="1"/>
    <x v="9"/>
    <n v="14"/>
    <n v="1368.27"/>
    <s v="jueves"/>
    <s v="noviembre"/>
    <s v="SI"/>
    <s v="SI"/>
  </r>
  <r>
    <x v="53"/>
    <d v="2024-06-04T22:56:00"/>
    <x v="19"/>
    <x v="5"/>
    <n v="4"/>
    <n v="1818.88"/>
    <s v="Electrónica"/>
    <n v="7275.52"/>
    <x v="1"/>
    <x v="4"/>
    <n v="22"/>
    <n v="1818.88"/>
    <s v="martes"/>
    <s v="junio"/>
    <s v="SI"/>
    <s v="SI"/>
  </r>
  <r>
    <x v="54"/>
    <d v="2023-05-05T17:56:00"/>
    <x v="9"/>
    <x v="6"/>
    <n v="4"/>
    <n v="1601.32"/>
    <s v="Accesorios"/>
    <n v="6405.28"/>
    <x v="0"/>
    <x v="5"/>
    <n v="17"/>
    <n v="1601.32"/>
    <s v="viernes"/>
    <s v="mayo"/>
    <s v="SI"/>
    <s v="SI"/>
  </r>
  <r>
    <x v="55"/>
    <d v="2023-04-03T06:24:00"/>
    <x v="32"/>
    <x v="1"/>
    <n v="4"/>
    <n v="177.79"/>
    <s v="Accesorios"/>
    <n v="711.16"/>
    <x v="0"/>
    <x v="3"/>
    <n v="6"/>
    <n v="177.79"/>
    <s v="lunes"/>
    <s v="abril"/>
    <s v="NO"/>
    <s v="NO"/>
  </r>
  <r>
    <x v="56"/>
    <d v="2023-02-12T02:16:00"/>
    <x v="33"/>
    <x v="1"/>
    <n v="1"/>
    <n v="83.48"/>
    <s v="Accesorios"/>
    <n v="83.48"/>
    <x v="0"/>
    <x v="2"/>
    <n v="2"/>
    <n v="83.48"/>
    <s v="domingo"/>
    <s v="febrero"/>
    <s v="NO"/>
    <s v="NO"/>
  </r>
  <r>
    <x v="57"/>
    <d v="2023-06-14T12:28:00"/>
    <x v="34"/>
    <x v="7"/>
    <n v="1"/>
    <n v="1372.72"/>
    <s v="Accesorios"/>
    <n v="1372.72"/>
    <x v="0"/>
    <x v="4"/>
    <n v="12"/>
    <n v="1372.72"/>
    <s v="miércoles"/>
    <s v="junio"/>
    <s v="NO"/>
    <s v="SI"/>
  </r>
  <r>
    <x v="58"/>
    <d v="2024-07-21T00:00:00"/>
    <x v="3"/>
    <x v="0"/>
    <n v="1"/>
    <n v="1618.91"/>
    <s v="Electrónica"/>
    <n v="1618.91"/>
    <x v="1"/>
    <x v="10"/>
    <n v="0"/>
    <n v="1618.91"/>
    <s v="domingo"/>
    <s v="julio"/>
    <s v="NO"/>
    <s v="SI"/>
  </r>
  <r>
    <x v="59"/>
    <d v="2024-03-13T11:07:00"/>
    <x v="35"/>
    <x v="3"/>
    <n v="4"/>
    <n v="530.65"/>
    <s v="Electrónica"/>
    <n v="2122.6"/>
    <x v="1"/>
    <x v="1"/>
    <n v="11"/>
    <n v="530.65"/>
    <s v="miércoles"/>
    <s v="marzo"/>
    <s v="NO"/>
    <s v="NO"/>
  </r>
  <r>
    <x v="60"/>
    <d v="2024-10-18T00:34:00"/>
    <x v="36"/>
    <x v="4"/>
    <n v="5"/>
    <n v="418.83"/>
    <s v="Accesorios"/>
    <n v="2094.15"/>
    <x v="1"/>
    <x v="7"/>
    <n v="0"/>
    <n v="418.83"/>
    <s v="viernes"/>
    <s v="octubre"/>
    <s v="NO"/>
    <s v="NO"/>
  </r>
  <r>
    <x v="61"/>
    <d v="2025-05-02T13:07:00"/>
    <x v="10"/>
    <x v="2"/>
    <n v="3"/>
    <n v="664.98"/>
    <s v="Muebles"/>
    <n v="1994.94"/>
    <x v="2"/>
    <x v="5"/>
    <n v="13"/>
    <n v="664.98"/>
    <s v="viernes"/>
    <s v="mayo"/>
    <s v="NO"/>
    <s v="NO"/>
  </r>
  <r>
    <x v="62"/>
    <d v="2024-08-12T11:32:00"/>
    <x v="13"/>
    <x v="5"/>
    <n v="1"/>
    <n v="1322.41"/>
    <s v="Electrónica"/>
    <n v="1322.41"/>
    <x v="1"/>
    <x v="6"/>
    <n v="11"/>
    <n v="1322.41"/>
    <s v="lunes"/>
    <s v="agosto"/>
    <s v="NO"/>
    <s v="SI"/>
  </r>
  <r>
    <x v="63"/>
    <d v="2023-12-25T06:04:00"/>
    <x v="37"/>
    <x v="0"/>
    <n v="4"/>
    <n v="1467.27"/>
    <s v="Electrónica"/>
    <n v="5869.08"/>
    <x v="0"/>
    <x v="0"/>
    <n v="6"/>
    <n v="1467.27"/>
    <s v="lunes"/>
    <s v="diciembre"/>
    <s v="SI"/>
    <s v="SI"/>
  </r>
  <r>
    <x v="64"/>
    <d v="2024-01-06T23:10:00"/>
    <x v="38"/>
    <x v="3"/>
    <n v="4"/>
    <n v="1804.12"/>
    <s v="Electrónica"/>
    <n v="7216.48"/>
    <x v="1"/>
    <x v="11"/>
    <n v="23"/>
    <n v="1804.12"/>
    <s v="sábado"/>
    <s v="enero"/>
    <s v="SI"/>
    <s v="SI"/>
  </r>
  <r>
    <x v="65"/>
    <d v="2024-05-22T12:28:00"/>
    <x v="39"/>
    <x v="7"/>
    <n v="1"/>
    <n v="1172.72"/>
    <s v="Accesorios"/>
    <n v="1172.72"/>
    <x v="1"/>
    <x v="5"/>
    <n v="12"/>
    <n v="1172.72"/>
    <s v="miércoles"/>
    <s v="mayo"/>
    <s v="NO"/>
    <s v="SI"/>
  </r>
  <r>
    <x v="66"/>
    <d v="2023-12-30T01:13:00"/>
    <x v="39"/>
    <x v="6"/>
    <n v="1"/>
    <n v="725.07"/>
    <s v="Accesorios"/>
    <n v="725.07"/>
    <x v="0"/>
    <x v="0"/>
    <n v="1"/>
    <n v="725.07"/>
    <s v="sábado"/>
    <s v="diciembre"/>
    <s v="NO"/>
    <s v="NO"/>
  </r>
  <r>
    <x v="67"/>
    <d v="2025-01-27T08:01:00"/>
    <x v="40"/>
    <x v="0"/>
    <n v="5"/>
    <n v="563.69000000000005"/>
    <s v="Electrónica"/>
    <n v="2818.45"/>
    <x v="2"/>
    <x v="11"/>
    <n v="8"/>
    <n v="563.69000000000005"/>
    <s v="lunes"/>
    <s v="enero"/>
    <s v="NO"/>
    <s v="NO"/>
  </r>
  <r>
    <x v="68"/>
    <d v="2023-10-23T04:52:00"/>
    <x v="17"/>
    <x v="7"/>
    <n v="5"/>
    <n v="1547.41"/>
    <s v="Accesorios"/>
    <n v="7737.05"/>
    <x v="0"/>
    <x v="7"/>
    <n v="4"/>
    <n v="1547.41"/>
    <s v="lunes"/>
    <s v="octubre"/>
    <s v="SI"/>
    <s v="SI"/>
  </r>
  <r>
    <x v="69"/>
    <d v="2023-12-14T14:21:00"/>
    <x v="30"/>
    <x v="4"/>
    <n v="2"/>
    <n v="1903.65"/>
    <s v="Accesorios"/>
    <n v="3807.3"/>
    <x v="0"/>
    <x v="0"/>
    <n v="14"/>
    <n v="1903.65"/>
    <s v="jueves"/>
    <s v="diciembre"/>
    <s v="SI"/>
    <s v="SI"/>
  </r>
  <r>
    <x v="70"/>
    <d v="2024-03-07T20:59:00"/>
    <x v="37"/>
    <x v="3"/>
    <n v="2"/>
    <n v="1198.2"/>
    <s v="Electrónica"/>
    <n v="2396.4"/>
    <x v="1"/>
    <x v="1"/>
    <n v="20"/>
    <n v="1198.2"/>
    <s v="jueves"/>
    <s v="marzo"/>
    <s v="NO"/>
    <s v="SI"/>
  </r>
  <r>
    <x v="71"/>
    <d v="2025-07-12T04:07:00"/>
    <x v="11"/>
    <x v="1"/>
    <n v="3"/>
    <n v="543.72"/>
    <s v="Accesorios"/>
    <n v="1631.16"/>
    <x v="2"/>
    <x v="10"/>
    <n v="4"/>
    <n v="543.72"/>
    <s v="sábado"/>
    <s v="julio"/>
    <s v="NO"/>
    <s v="NO"/>
  </r>
  <r>
    <x v="72"/>
    <d v="2023-04-25T21:13:00"/>
    <x v="24"/>
    <x v="4"/>
    <n v="2"/>
    <n v="1449.53"/>
    <s v="Accesorios"/>
    <n v="2899.06"/>
    <x v="0"/>
    <x v="3"/>
    <n v="21"/>
    <n v="1449.53"/>
    <s v="martes"/>
    <s v="abril"/>
    <s v="SI"/>
    <s v="SI"/>
  </r>
  <r>
    <x v="73"/>
    <d v="2024-09-29T18:33:00"/>
    <x v="41"/>
    <x v="2"/>
    <n v="5"/>
    <n v="472.42"/>
    <s v="Muebles"/>
    <n v="2362.1"/>
    <x v="1"/>
    <x v="8"/>
    <n v="18"/>
    <n v="472.42"/>
    <s v="domingo"/>
    <s v="septiembre"/>
    <s v="NO"/>
    <s v="NO"/>
  </r>
  <r>
    <x v="74"/>
    <d v="2023-07-11T05:57:00"/>
    <x v="7"/>
    <x v="7"/>
    <n v="3"/>
    <n v="367.9"/>
    <s v="Accesorios"/>
    <n v="1103.7"/>
    <x v="0"/>
    <x v="10"/>
    <n v="5"/>
    <n v="367.89999999999992"/>
    <s v="martes"/>
    <s v="julio"/>
    <s v="NO"/>
    <s v="NO"/>
  </r>
  <r>
    <x v="75"/>
    <d v="2025-03-01T23:40:00"/>
    <x v="2"/>
    <x v="7"/>
    <n v="5"/>
    <n v="739.51"/>
    <s v="Accesorios"/>
    <n v="3697.55"/>
    <x v="2"/>
    <x v="1"/>
    <n v="23"/>
    <n v="739.51"/>
    <s v="sábado"/>
    <s v="marzo"/>
    <s v="SI"/>
    <s v="NO"/>
  </r>
  <r>
    <x v="76"/>
    <d v="2023-08-24T19:05:00"/>
    <x v="13"/>
    <x v="5"/>
    <n v="2"/>
    <n v="1089.1300000000001"/>
    <s v="Electrónica"/>
    <n v="2178.2600000000002"/>
    <x v="0"/>
    <x v="6"/>
    <n v="19"/>
    <n v="1089.1300000000001"/>
    <s v="jueves"/>
    <s v="agosto"/>
    <s v="NO"/>
    <s v="SI"/>
  </r>
  <r>
    <x v="77"/>
    <d v="2024-08-13T08:29:00"/>
    <x v="23"/>
    <x v="4"/>
    <n v="5"/>
    <n v="1632.75"/>
    <s v="Accesorios"/>
    <n v="8163.75"/>
    <x v="1"/>
    <x v="6"/>
    <n v="8"/>
    <n v="1632.75"/>
    <s v="martes"/>
    <s v="agosto"/>
    <s v="SI"/>
    <s v="SI"/>
  </r>
  <r>
    <x v="78"/>
    <d v="2023-11-15T15:57:00"/>
    <x v="18"/>
    <x v="0"/>
    <n v="3"/>
    <n v="817.35"/>
    <s v="Electrónica"/>
    <n v="2452.0500000000002"/>
    <x v="0"/>
    <x v="9"/>
    <n v="15"/>
    <n v="817.35"/>
    <s v="miércoles"/>
    <s v="noviembre"/>
    <s v="NO"/>
    <s v="NO"/>
  </r>
  <r>
    <x v="79"/>
    <d v="2024-11-07T08:50:00"/>
    <x v="38"/>
    <x v="1"/>
    <n v="2"/>
    <n v="1186.58"/>
    <s v="Accesorios"/>
    <n v="2373.16"/>
    <x v="1"/>
    <x v="9"/>
    <n v="8"/>
    <n v="1186.58"/>
    <s v="jueves"/>
    <s v="noviembre"/>
    <s v="NO"/>
    <s v="SI"/>
  </r>
  <r>
    <x v="80"/>
    <d v="2023-03-05T14:21:00"/>
    <x v="17"/>
    <x v="3"/>
    <n v="2"/>
    <n v="1872.8"/>
    <s v="Electrónica"/>
    <n v="3745.6"/>
    <x v="0"/>
    <x v="1"/>
    <n v="14"/>
    <n v="1872.8"/>
    <s v="domingo"/>
    <s v="marzo"/>
    <s v="SI"/>
    <s v="SI"/>
  </r>
  <r>
    <x v="81"/>
    <d v="2023-12-13T02:33:00"/>
    <x v="42"/>
    <x v="2"/>
    <n v="3"/>
    <n v="680.19"/>
    <s v="Muebles"/>
    <n v="2040.57"/>
    <x v="0"/>
    <x v="0"/>
    <n v="2"/>
    <n v="680.19"/>
    <s v="miércoles"/>
    <s v="diciembre"/>
    <s v="NO"/>
    <s v="NO"/>
  </r>
  <r>
    <x v="82"/>
    <d v="2023-04-06T06:31:00"/>
    <x v="37"/>
    <x v="4"/>
    <n v="4"/>
    <n v="262.82"/>
    <s v="Accesorios"/>
    <n v="1051.28"/>
    <x v="0"/>
    <x v="3"/>
    <n v="6"/>
    <n v="262.82"/>
    <s v="jueves"/>
    <s v="abril"/>
    <s v="NO"/>
    <s v="NO"/>
  </r>
  <r>
    <x v="83"/>
    <d v="2025-01-25T16:26:00"/>
    <x v="37"/>
    <x v="3"/>
    <n v="4"/>
    <n v="1531.75"/>
    <s v="Electrónica"/>
    <n v="6127"/>
    <x v="2"/>
    <x v="11"/>
    <n v="16"/>
    <n v="1531.75"/>
    <s v="sábado"/>
    <s v="enero"/>
    <s v="SI"/>
    <s v="SI"/>
  </r>
  <r>
    <x v="84"/>
    <d v="2023-06-22T03:27:00"/>
    <x v="43"/>
    <x v="3"/>
    <n v="1"/>
    <n v="503.84"/>
    <s v="Electrónica"/>
    <n v="503.84"/>
    <x v="0"/>
    <x v="4"/>
    <n v="3"/>
    <n v="503.84"/>
    <s v="jueves"/>
    <s v="junio"/>
    <s v="NO"/>
    <s v="NO"/>
  </r>
  <r>
    <x v="85"/>
    <d v="2024-09-11T19:27:00"/>
    <x v="22"/>
    <x v="5"/>
    <n v="4"/>
    <n v="1908.41"/>
    <s v="Electrónica"/>
    <n v="7633.64"/>
    <x v="1"/>
    <x v="8"/>
    <n v="19"/>
    <n v="1908.41"/>
    <s v="miércoles"/>
    <s v="septiembre"/>
    <s v="SI"/>
    <s v="SI"/>
  </r>
  <r>
    <x v="86"/>
    <d v="2024-06-08T02:33:00"/>
    <x v="7"/>
    <x v="3"/>
    <n v="2"/>
    <n v="114.6"/>
    <s v="Electrónica"/>
    <n v="229.2"/>
    <x v="1"/>
    <x v="4"/>
    <n v="2"/>
    <n v="114.6"/>
    <s v="sábado"/>
    <s v="junio"/>
    <s v="NO"/>
    <s v="NO"/>
  </r>
  <r>
    <x v="87"/>
    <d v="2023-06-24T13:14:00"/>
    <x v="26"/>
    <x v="3"/>
    <n v="2"/>
    <n v="595.78"/>
    <s v="Electrónica"/>
    <n v="1191.56"/>
    <x v="0"/>
    <x v="4"/>
    <n v="13"/>
    <n v="595.78"/>
    <s v="sábado"/>
    <s v="junio"/>
    <s v="NO"/>
    <s v="NO"/>
  </r>
  <r>
    <x v="88"/>
    <d v="2024-04-23T09:55:00"/>
    <x v="22"/>
    <x v="5"/>
    <n v="2"/>
    <n v="75.02"/>
    <s v="Electrónica"/>
    <n v="150.04"/>
    <x v="1"/>
    <x v="3"/>
    <n v="9"/>
    <n v="75.02"/>
    <s v="martes"/>
    <s v="abril"/>
    <s v="NO"/>
    <s v="NO"/>
  </r>
  <r>
    <x v="89"/>
    <d v="2024-06-22T07:59:00"/>
    <x v="44"/>
    <x v="4"/>
    <n v="5"/>
    <n v="540.91999999999996"/>
    <s v="Accesorios"/>
    <n v="2704.6"/>
    <x v="1"/>
    <x v="4"/>
    <n v="7"/>
    <n v="540.91999999999996"/>
    <s v="sábado"/>
    <s v="junio"/>
    <s v="NO"/>
    <s v="NO"/>
  </r>
  <r>
    <x v="90"/>
    <d v="2025-07-25T07:56:00"/>
    <x v="8"/>
    <x v="0"/>
    <n v="2"/>
    <n v="356.91"/>
    <s v="Electrónica"/>
    <n v="713.82"/>
    <x v="2"/>
    <x v="10"/>
    <n v="7"/>
    <n v="356.91"/>
    <s v="viernes"/>
    <s v="julio"/>
    <s v="NO"/>
    <s v="NO"/>
  </r>
  <r>
    <x v="91"/>
    <d v="2025-03-11T17:06:00"/>
    <x v="17"/>
    <x v="7"/>
    <n v="3"/>
    <n v="1135.67"/>
    <s v="Accesorios"/>
    <n v="3407.01"/>
    <x v="2"/>
    <x v="1"/>
    <n v="17"/>
    <n v="1135.67"/>
    <s v="martes"/>
    <s v="marzo"/>
    <s v="SI"/>
    <s v="SI"/>
  </r>
  <r>
    <x v="92"/>
    <d v="2025-01-19T09:34:00"/>
    <x v="23"/>
    <x v="3"/>
    <n v="3"/>
    <n v="805.69"/>
    <s v="Electrónica"/>
    <n v="2417.0700000000002"/>
    <x v="2"/>
    <x v="11"/>
    <n v="9"/>
    <n v="805.69"/>
    <s v="domingo"/>
    <s v="enero"/>
    <s v="NO"/>
    <s v="NO"/>
  </r>
  <r>
    <x v="93"/>
    <d v="2023-12-29T00:38:00"/>
    <x v="34"/>
    <x v="5"/>
    <n v="2"/>
    <n v="1259.07"/>
    <s v="Electrónica"/>
    <n v="2518.14"/>
    <x v="0"/>
    <x v="0"/>
    <n v="0"/>
    <n v="1259.07"/>
    <s v="viernes"/>
    <s v="diciembre"/>
    <s v="NO"/>
    <s v="SI"/>
  </r>
  <r>
    <x v="94"/>
    <d v="2024-06-30T10:03:00"/>
    <x v="3"/>
    <x v="6"/>
    <n v="3"/>
    <n v="600.4"/>
    <s v="Accesorios"/>
    <n v="1801.2"/>
    <x v="1"/>
    <x v="4"/>
    <n v="10"/>
    <n v="600.4"/>
    <s v="domingo"/>
    <s v="junio"/>
    <s v="NO"/>
    <s v="NO"/>
  </r>
  <r>
    <x v="95"/>
    <d v="2024-07-26T18:11:00"/>
    <x v="37"/>
    <x v="2"/>
    <n v="2"/>
    <n v="479.81"/>
    <s v="Muebles"/>
    <n v="959.62"/>
    <x v="1"/>
    <x v="10"/>
    <n v="18"/>
    <n v="479.81"/>
    <s v="viernes"/>
    <s v="julio"/>
    <s v="NO"/>
    <s v="NO"/>
  </r>
  <r>
    <x v="96"/>
    <d v="2024-09-06T07:57:00"/>
    <x v="24"/>
    <x v="4"/>
    <n v="1"/>
    <n v="1888.86"/>
    <s v="Accesorios"/>
    <n v="1888.86"/>
    <x v="1"/>
    <x v="8"/>
    <n v="7"/>
    <n v="1888.86"/>
    <s v="viernes"/>
    <s v="septiembre"/>
    <s v="NO"/>
    <s v="SI"/>
  </r>
  <r>
    <x v="97"/>
    <d v="2024-09-07T13:47:00"/>
    <x v="22"/>
    <x v="5"/>
    <n v="4"/>
    <n v="1821.05"/>
    <s v="Electrónica"/>
    <n v="7284.2"/>
    <x v="1"/>
    <x v="8"/>
    <n v="13"/>
    <n v="1821.05"/>
    <s v="sábado"/>
    <s v="septiembre"/>
    <s v="SI"/>
    <s v="SI"/>
  </r>
  <r>
    <x v="98"/>
    <d v="2025-07-08T08:05:00"/>
    <x v="38"/>
    <x v="6"/>
    <n v="3"/>
    <n v="1537.23"/>
    <s v="Accesorios"/>
    <n v="4611.6900000000014"/>
    <x v="2"/>
    <x v="10"/>
    <n v="8"/>
    <n v="1537.23"/>
    <s v="martes"/>
    <s v="julio"/>
    <s v="SI"/>
    <s v="SI"/>
  </r>
  <r>
    <x v="99"/>
    <d v="2024-01-27T16:56:00"/>
    <x v="7"/>
    <x v="2"/>
    <n v="3"/>
    <n v="311.66000000000003"/>
    <s v="Muebles"/>
    <n v="934.98"/>
    <x v="1"/>
    <x v="11"/>
    <n v="16"/>
    <n v="311.66000000000003"/>
    <s v="sábado"/>
    <s v="enero"/>
    <s v="NO"/>
    <s v="NO"/>
  </r>
  <r>
    <x v="100"/>
    <d v="2024-10-30T16:02:00"/>
    <x v="26"/>
    <x v="1"/>
    <n v="5"/>
    <n v="149.09"/>
    <s v="Accesorios"/>
    <n v="745.45"/>
    <x v="1"/>
    <x v="7"/>
    <n v="16"/>
    <n v="149.09"/>
    <s v="miércoles"/>
    <s v="octubre"/>
    <s v="NO"/>
    <s v="NO"/>
  </r>
  <r>
    <x v="101"/>
    <d v="2023-02-27T10:02:00"/>
    <x v="21"/>
    <x v="5"/>
    <n v="5"/>
    <n v="1885.48"/>
    <s v="Electrónica"/>
    <n v="9427.4"/>
    <x v="0"/>
    <x v="2"/>
    <n v="10"/>
    <n v="1885.48"/>
    <s v="lunes"/>
    <s v="febrero"/>
    <s v="SI"/>
    <s v="SI"/>
  </r>
  <r>
    <x v="102"/>
    <d v="2023-08-15T10:56:00"/>
    <x v="17"/>
    <x v="4"/>
    <n v="3"/>
    <n v="1591.92"/>
    <s v="Accesorios"/>
    <n v="4775.76"/>
    <x v="0"/>
    <x v="6"/>
    <n v="10"/>
    <n v="1591.92"/>
    <s v="martes"/>
    <s v="agosto"/>
    <s v="SI"/>
    <s v="SI"/>
  </r>
  <r>
    <x v="103"/>
    <d v="2025-09-19T05:56:00"/>
    <x v="25"/>
    <x v="4"/>
    <n v="5"/>
    <n v="1383.33"/>
    <s v="Accesorios"/>
    <n v="6916.65"/>
    <x v="2"/>
    <x v="8"/>
    <n v="5"/>
    <n v="1383.33"/>
    <s v="viernes"/>
    <s v="septiembre"/>
    <s v="SI"/>
    <s v="SI"/>
  </r>
  <r>
    <x v="104"/>
    <d v="2025-06-07T13:02:00"/>
    <x v="2"/>
    <x v="2"/>
    <n v="2"/>
    <n v="1051.23"/>
    <s v="Muebles"/>
    <n v="2102.46"/>
    <x v="2"/>
    <x v="4"/>
    <n v="13"/>
    <n v="1051.23"/>
    <s v="sábado"/>
    <s v="junio"/>
    <s v="NO"/>
    <s v="SI"/>
  </r>
  <r>
    <x v="105"/>
    <d v="2023-11-25T09:36:00"/>
    <x v="20"/>
    <x v="7"/>
    <n v="4"/>
    <n v="1274.46"/>
    <s v="Accesorios"/>
    <n v="5097.84"/>
    <x v="0"/>
    <x v="9"/>
    <n v="9"/>
    <n v="1274.46"/>
    <s v="sábado"/>
    <s v="noviembre"/>
    <s v="SI"/>
    <s v="SI"/>
  </r>
  <r>
    <x v="106"/>
    <d v="2025-04-07T19:08:00"/>
    <x v="8"/>
    <x v="0"/>
    <n v="1"/>
    <n v="1251.08"/>
    <s v="Electrónica"/>
    <n v="1251.08"/>
    <x v="2"/>
    <x v="3"/>
    <n v="19"/>
    <n v="1251.08"/>
    <s v="lunes"/>
    <s v="abril"/>
    <s v="NO"/>
    <s v="SI"/>
  </r>
  <r>
    <x v="107"/>
    <d v="2025-04-17T04:27:00"/>
    <x v="2"/>
    <x v="7"/>
    <n v="5"/>
    <n v="1582.2"/>
    <s v="Accesorios"/>
    <n v="7911"/>
    <x v="2"/>
    <x v="3"/>
    <n v="4"/>
    <n v="1582.2"/>
    <s v="jueves"/>
    <s v="abril"/>
    <s v="SI"/>
    <s v="SI"/>
  </r>
  <r>
    <x v="108"/>
    <d v="2023-11-10T19:54:00"/>
    <x v="45"/>
    <x v="2"/>
    <n v="1"/>
    <n v="81.92"/>
    <s v="Muebles"/>
    <n v="81.92"/>
    <x v="0"/>
    <x v="9"/>
    <n v="19"/>
    <n v="81.92"/>
    <s v="viernes"/>
    <s v="noviembre"/>
    <s v="NO"/>
    <s v="NO"/>
  </r>
  <r>
    <x v="109"/>
    <d v="2024-12-08T11:17:00"/>
    <x v="31"/>
    <x v="6"/>
    <n v="1"/>
    <n v="1153.31"/>
    <s v="Accesorios"/>
    <n v="1153.31"/>
    <x v="1"/>
    <x v="0"/>
    <n v="11"/>
    <n v="1153.31"/>
    <s v="domingo"/>
    <s v="diciembre"/>
    <s v="NO"/>
    <s v="SI"/>
  </r>
  <r>
    <x v="110"/>
    <d v="2025-09-13T22:33:00"/>
    <x v="37"/>
    <x v="6"/>
    <n v="3"/>
    <n v="1078.08"/>
    <s v="Accesorios"/>
    <n v="3234.24"/>
    <x v="2"/>
    <x v="8"/>
    <n v="22"/>
    <n v="1078.08"/>
    <s v="sábado"/>
    <s v="septiembre"/>
    <s v="SI"/>
    <s v="SI"/>
  </r>
  <r>
    <x v="111"/>
    <d v="2024-08-22T03:35:00"/>
    <x v="43"/>
    <x v="3"/>
    <n v="1"/>
    <n v="201.91"/>
    <s v="Electrónica"/>
    <n v="201.91"/>
    <x v="1"/>
    <x v="6"/>
    <n v="3"/>
    <n v="201.91"/>
    <s v="jueves"/>
    <s v="agosto"/>
    <s v="NO"/>
    <s v="NO"/>
  </r>
  <r>
    <x v="112"/>
    <d v="2024-07-14T01:37:00"/>
    <x v="15"/>
    <x v="4"/>
    <n v="3"/>
    <n v="727.36"/>
    <s v="Accesorios"/>
    <n v="2182.08"/>
    <x v="1"/>
    <x v="10"/>
    <n v="1"/>
    <n v="727.36"/>
    <s v="domingo"/>
    <s v="julio"/>
    <s v="NO"/>
    <s v="NO"/>
  </r>
  <r>
    <x v="113"/>
    <d v="2023-12-21T23:41:00"/>
    <x v="2"/>
    <x v="7"/>
    <n v="3"/>
    <n v="1645.43"/>
    <s v="Accesorios"/>
    <n v="4936.29"/>
    <x v="0"/>
    <x v="0"/>
    <n v="23"/>
    <n v="1645.43"/>
    <s v="jueves"/>
    <s v="diciembre"/>
    <s v="SI"/>
    <s v="SI"/>
  </r>
  <r>
    <x v="114"/>
    <d v="2024-06-25T09:05:00"/>
    <x v="44"/>
    <x v="5"/>
    <n v="3"/>
    <n v="420.05"/>
    <s v="Electrónica"/>
    <n v="1260.1500000000001"/>
    <x v="1"/>
    <x v="4"/>
    <n v="9"/>
    <n v="420.05"/>
    <s v="martes"/>
    <s v="junio"/>
    <s v="NO"/>
    <s v="NO"/>
  </r>
  <r>
    <x v="115"/>
    <d v="2024-08-25T10:29:00"/>
    <x v="36"/>
    <x v="2"/>
    <n v="4"/>
    <n v="496.9"/>
    <s v="Muebles"/>
    <n v="1987.6"/>
    <x v="1"/>
    <x v="6"/>
    <n v="10"/>
    <n v="496.9"/>
    <s v="domingo"/>
    <s v="agosto"/>
    <s v="NO"/>
    <s v="NO"/>
  </r>
  <r>
    <x v="116"/>
    <d v="2023-02-04T00:24:00"/>
    <x v="35"/>
    <x v="1"/>
    <n v="2"/>
    <n v="721.56"/>
    <s v="Accesorios"/>
    <n v="1443.12"/>
    <x v="0"/>
    <x v="2"/>
    <n v="0"/>
    <n v="721.56"/>
    <s v="sábado"/>
    <s v="febrero"/>
    <s v="NO"/>
    <s v="NO"/>
  </r>
  <r>
    <x v="117"/>
    <d v="2023-04-25T17:55:00"/>
    <x v="46"/>
    <x v="7"/>
    <n v="4"/>
    <n v="1353.9"/>
    <s v="Accesorios"/>
    <n v="5415.6"/>
    <x v="0"/>
    <x v="3"/>
    <n v="17"/>
    <n v="1353.9"/>
    <s v="martes"/>
    <s v="abril"/>
    <s v="SI"/>
    <s v="SI"/>
  </r>
  <r>
    <x v="118"/>
    <d v="2024-04-18T18:09:00"/>
    <x v="8"/>
    <x v="3"/>
    <n v="2"/>
    <n v="429.52"/>
    <s v="Electrónica"/>
    <n v="859.04"/>
    <x v="1"/>
    <x v="3"/>
    <n v="18"/>
    <n v="429.52"/>
    <s v="jueves"/>
    <s v="abril"/>
    <s v="NO"/>
    <s v="NO"/>
  </r>
  <r>
    <x v="119"/>
    <d v="2024-06-22T18:33:00"/>
    <x v="19"/>
    <x v="2"/>
    <n v="2"/>
    <n v="1824.96"/>
    <s v="Muebles"/>
    <n v="3649.92"/>
    <x v="1"/>
    <x v="4"/>
    <n v="18"/>
    <n v="1824.96"/>
    <s v="sábado"/>
    <s v="junio"/>
    <s v="SI"/>
    <s v="SI"/>
  </r>
  <r>
    <x v="120"/>
    <d v="2024-01-25T04:52:00"/>
    <x v="46"/>
    <x v="6"/>
    <n v="5"/>
    <n v="1059.81"/>
    <s v="Accesorios"/>
    <n v="5299.0499999999993"/>
    <x v="1"/>
    <x v="11"/>
    <n v="4"/>
    <n v="1059.81"/>
    <s v="jueves"/>
    <s v="enero"/>
    <s v="SI"/>
    <s v="SI"/>
  </r>
  <r>
    <x v="121"/>
    <d v="2023-07-11T15:14:00"/>
    <x v="24"/>
    <x v="2"/>
    <n v="4"/>
    <n v="46.39"/>
    <s v="Muebles"/>
    <n v="185.56"/>
    <x v="0"/>
    <x v="10"/>
    <n v="15"/>
    <n v="46.39"/>
    <s v="martes"/>
    <s v="julio"/>
    <s v="NO"/>
    <s v="NO"/>
  </r>
  <r>
    <x v="122"/>
    <d v="2023-11-02T18:00:00"/>
    <x v="34"/>
    <x v="5"/>
    <n v="1"/>
    <n v="754.07"/>
    <s v="Electrónica"/>
    <n v="754.07"/>
    <x v="0"/>
    <x v="9"/>
    <n v="18"/>
    <n v="754.07"/>
    <s v="jueves"/>
    <s v="noviembre"/>
    <s v="NO"/>
    <s v="NO"/>
  </r>
  <r>
    <x v="123"/>
    <d v="2025-03-29T10:07:00"/>
    <x v="23"/>
    <x v="7"/>
    <n v="1"/>
    <n v="1681.02"/>
    <s v="Accesorios"/>
    <n v="1681.02"/>
    <x v="2"/>
    <x v="1"/>
    <n v="10"/>
    <n v="1681.02"/>
    <s v="sábado"/>
    <s v="marzo"/>
    <s v="NO"/>
    <s v="SI"/>
  </r>
  <r>
    <x v="124"/>
    <d v="2025-05-25T08:54:00"/>
    <x v="38"/>
    <x v="0"/>
    <n v="2"/>
    <n v="1198.72"/>
    <s v="Electrónica"/>
    <n v="2397.44"/>
    <x v="2"/>
    <x v="5"/>
    <n v="8"/>
    <n v="1198.72"/>
    <s v="domingo"/>
    <s v="mayo"/>
    <s v="NO"/>
    <s v="SI"/>
  </r>
  <r>
    <x v="125"/>
    <d v="2023-11-19T14:31:00"/>
    <x v="45"/>
    <x v="7"/>
    <n v="2"/>
    <n v="1040.2"/>
    <s v="Accesorios"/>
    <n v="2080.4"/>
    <x v="0"/>
    <x v="9"/>
    <n v="14"/>
    <n v="1040.2"/>
    <s v="domingo"/>
    <s v="noviembre"/>
    <s v="NO"/>
    <s v="SI"/>
  </r>
  <r>
    <x v="126"/>
    <d v="2025-07-16T00:19:00"/>
    <x v="10"/>
    <x v="1"/>
    <n v="3"/>
    <n v="107.53"/>
    <s v="Accesorios"/>
    <n v="322.58999999999997"/>
    <x v="2"/>
    <x v="10"/>
    <n v="0"/>
    <n v="107.53"/>
    <s v="miércoles"/>
    <s v="julio"/>
    <s v="NO"/>
    <s v="NO"/>
  </r>
  <r>
    <x v="127"/>
    <d v="2025-06-20T00:26:00"/>
    <x v="47"/>
    <x v="3"/>
    <n v="4"/>
    <n v="380.66"/>
    <s v="Electrónica"/>
    <n v="1522.64"/>
    <x v="2"/>
    <x v="4"/>
    <n v="0"/>
    <n v="380.66"/>
    <s v="viernes"/>
    <s v="junio"/>
    <s v="NO"/>
    <s v="NO"/>
  </r>
  <r>
    <x v="128"/>
    <d v="2025-01-16T09:49:00"/>
    <x v="47"/>
    <x v="0"/>
    <n v="2"/>
    <n v="700.11"/>
    <s v="Electrónica"/>
    <n v="1400.22"/>
    <x v="2"/>
    <x v="11"/>
    <n v="9"/>
    <n v="700.11"/>
    <s v="jueves"/>
    <s v="enero"/>
    <s v="NO"/>
    <s v="NO"/>
  </r>
  <r>
    <x v="129"/>
    <d v="2023-01-06T22:50:00"/>
    <x v="13"/>
    <x v="3"/>
    <n v="5"/>
    <n v="358.48"/>
    <s v="Electrónica"/>
    <n v="1792.4"/>
    <x v="0"/>
    <x v="11"/>
    <n v="22"/>
    <n v="358.48"/>
    <s v="viernes"/>
    <s v="enero"/>
    <s v="NO"/>
    <s v="NO"/>
  </r>
  <r>
    <x v="130"/>
    <d v="2024-03-30T20:55:00"/>
    <x v="28"/>
    <x v="2"/>
    <n v="4"/>
    <n v="746.6"/>
    <s v="Muebles"/>
    <n v="2986.4"/>
    <x v="1"/>
    <x v="1"/>
    <n v="20"/>
    <n v="746.6"/>
    <s v="sábado"/>
    <s v="marzo"/>
    <s v="SI"/>
    <s v="NO"/>
  </r>
  <r>
    <x v="131"/>
    <d v="2024-06-07T23:19:00"/>
    <x v="44"/>
    <x v="5"/>
    <n v="1"/>
    <n v="751.43"/>
    <s v="Electrónica"/>
    <n v="751.43"/>
    <x v="1"/>
    <x v="4"/>
    <n v="23"/>
    <n v="751.43"/>
    <s v="viernes"/>
    <s v="junio"/>
    <s v="NO"/>
    <s v="NO"/>
  </r>
  <r>
    <x v="132"/>
    <d v="2023-07-15T19:32:00"/>
    <x v="1"/>
    <x v="6"/>
    <n v="5"/>
    <n v="1109.08"/>
    <s v="Accesorios"/>
    <n v="5545.4"/>
    <x v="0"/>
    <x v="10"/>
    <n v="19"/>
    <n v="1109.08"/>
    <s v="sábado"/>
    <s v="julio"/>
    <s v="SI"/>
    <s v="SI"/>
  </r>
  <r>
    <x v="133"/>
    <d v="2024-02-07T20:13:00"/>
    <x v="0"/>
    <x v="0"/>
    <n v="5"/>
    <n v="642.74"/>
    <s v="Electrónica"/>
    <n v="3213.7"/>
    <x v="1"/>
    <x v="2"/>
    <n v="20"/>
    <n v="642.74"/>
    <s v="miércoles"/>
    <s v="febrero"/>
    <s v="SI"/>
    <s v="NO"/>
  </r>
  <r>
    <x v="134"/>
    <d v="2024-11-19T12:57:00"/>
    <x v="38"/>
    <x v="7"/>
    <n v="5"/>
    <n v="245.73"/>
    <s v="Accesorios"/>
    <n v="1228.6500000000001"/>
    <x v="1"/>
    <x v="9"/>
    <n v="12"/>
    <n v="245.73"/>
    <s v="martes"/>
    <s v="noviembre"/>
    <s v="NO"/>
    <s v="NO"/>
  </r>
  <r>
    <x v="135"/>
    <d v="2023-10-23T18:37:00"/>
    <x v="41"/>
    <x v="4"/>
    <n v="3"/>
    <n v="1782.13"/>
    <s v="Accesorios"/>
    <n v="5346.39"/>
    <x v="0"/>
    <x v="7"/>
    <n v="18"/>
    <n v="1782.13"/>
    <s v="lunes"/>
    <s v="octubre"/>
    <s v="SI"/>
    <s v="SI"/>
  </r>
  <r>
    <x v="136"/>
    <d v="2024-08-21T01:10:00"/>
    <x v="23"/>
    <x v="3"/>
    <n v="5"/>
    <n v="1137.1400000000001"/>
    <s v="Electrónica"/>
    <n v="5685.7000000000007"/>
    <x v="1"/>
    <x v="6"/>
    <n v="1"/>
    <n v="1137.1400000000001"/>
    <s v="miércoles"/>
    <s v="agosto"/>
    <s v="SI"/>
    <s v="SI"/>
  </r>
  <r>
    <x v="137"/>
    <d v="2024-08-16T16:28:00"/>
    <x v="17"/>
    <x v="1"/>
    <n v="4"/>
    <n v="966.72"/>
    <s v="Accesorios"/>
    <n v="3866.88"/>
    <x v="1"/>
    <x v="6"/>
    <n v="16"/>
    <n v="966.72"/>
    <s v="viernes"/>
    <s v="agosto"/>
    <s v="SI"/>
    <s v="NO"/>
  </r>
  <r>
    <x v="138"/>
    <d v="2024-07-11T07:58:00"/>
    <x v="32"/>
    <x v="3"/>
    <n v="5"/>
    <n v="754.88"/>
    <s v="Electrónica"/>
    <n v="3774.4"/>
    <x v="1"/>
    <x v="10"/>
    <n v="7"/>
    <n v="754.88"/>
    <s v="jueves"/>
    <s v="julio"/>
    <s v="SI"/>
    <s v="NO"/>
  </r>
  <r>
    <x v="139"/>
    <d v="2025-07-04T10:24:00"/>
    <x v="25"/>
    <x v="4"/>
    <n v="4"/>
    <n v="902.5"/>
    <s v="Accesorios"/>
    <n v="3610"/>
    <x v="2"/>
    <x v="10"/>
    <n v="10"/>
    <n v="902.5"/>
    <s v="viernes"/>
    <s v="julio"/>
    <s v="SI"/>
    <s v="NO"/>
  </r>
  <r>
    <x v="140"/>
    <d v="2025-02-09T20:13:00"/>
    <x v="25"/>
    <x v="6"/>
    <n v="2"/>
    <n v="78.180000000000007"/>
    <s v="Accesorios"/>
    <n v="156.36000000000001"/>
    <x v="2"/>
    <x v="2"/>
    <n v="20"/>
    <n v="78.180000000000007"/>
    <s v="domingo"/>
    <s v="febrero"/>
    <s v="NO"/>
    <s v="NO"/>
  </r>
  <r>
    <x v="141"/>
    <d v="2025-09-27T04:20:00"/>
    <x v="41"/>
    <x v="0"/>
    <n v="2"/>
    <n v="1615.41"/>
    <s v="Electrónica"/>
    <n v="3230.82"/>
    <x v="2"/>
    <x v="8"/>
    <n v="4"/>
    <n v="1615.41"/>
    <s v="sábado"/>
    <s v="septiembre"/>
    <s v="SI"/>
    <s v="SI"/>
  </r>
  <r>
    <x v="142"/>
    <d v="2024-08-07T17:58:00"/>
    <x v="41"/>
    <x v="0"/>
    <n v="5"/>
    <n v="149.54"/>
    <s v="Electrónica"/>
    <n v="747.69999999999993"/>
    <x v="1"/>
    <x v="6"/>
    <n v="17"/>
    <n v="149.54"/>
    <s v="miércoles"/>
    <s v="agosto"/>
    <s v="NO"/>
    <s v="NO"/>
  </r>
  <r>
    <x v="143"/>
    <d v="2025-07-29T17:03:00"/>
    <x v="4"/>
    <x v="1"/>
    <n v="5"/>
    <n v="955.39"/>
    <s v="Accesorios"/>
    <n v="4776.95"/>
    <x v="2"/>
    <x v="10"/>
    <n v="17"/>
    <n v="955.39"/>
    <s v="martes"/>
    <s v="julio"/>
    <s v="SI"/>
    <s v="NO"/>
  </r>
  <r>
    <x v="144"/>
    <d v="2024-02-17T13:20:00"/>
    <x v="46"/>
    <x v="2"/>
    <n v="2"/>
    <n v="1963.63"/>
    <s v="Muebles"/>
    <n v="3927.26"/>
    <x v="1"/>
    <x v="2"/>
    <n v="13"/>
    <n v="1963.63"/>
    <s v="sábado"/>
    <s v="febrero"/>
    <s v="SI"/>
    <s v="SI"/>
  </r>
  <r>
    <x v="145"/>
    <d v="2024-09-03T23:58:00"/>
    <x v="23"/>
    <x v="4"/>
    <n v="5"/>
    <n v="1440.14"/>
    <s v="Accesorios"/>
    <n v="7200.7000000000007"/>
    <x v="1"/>
    <x v="8"/>
    <n v="23"/>
    <n v="1440.14"/>
    <s v="martes"/>
    <s v="septiembre"/>
    <s v="SI"/>
    <s v="SI"/>
  </r>
  <r>
    <x v="146"/>
    <d v="2023-06-28T20:06:00"/>
    <x v="26"/>
    <x v="0"/>
    <n v="4"/>
    <n v="283.7"/>
    <s v="Electrónica"/>
    <n v="1134.8"/>
    <x v="0"/>
    <x v="4"/>
    <n v="20"/>
    <n v="283.7"/>
    <s v="miércoles"/>
    <s v="junio"/>
    <s v="NO"/>
    <s v="NO"/>
  </r>
  <r>
    <x v="147"/>
    <d v="2024-06-27T06:48:00"/>
    <x v="7"/>
    <x v="3"/>
    <n v="3"/>
    <n v="687.51"/>
    <s v="Electrónica"/>
    <n v="2062.5300000000002"/>
    <x v="1"/>
    <x v="4"/>
    <n v="6"/>
    <n v="687.50999999999988"/>
    <s v="jueves"/>
    <s v="junio"/>
    <s v="NO"/>
    <s v="NO"/>
  </r>
  <r>
    <x v="148"/>
    <d v="2023-07-15T12:17:00"/>
    <x v="31"/>
    <x v="4"/>
    <n v="2"/>
    <n v="282"/>
    <s v="Accesorios"/>
    <n v="564"/>
    <x v="0"/>
    <x v="10"/>
    <n v="12"/>
    <n v="282"/>
    <s v="sábado"/>
    <s v="julio"/>
    <s v="NO"/>
    <s v="NO"/>
  </r>
  <r>
    <x v="149"/>
    <d v="2025-08-09T08:26:00"/>
    <x v="33"/>
    <x v="3"/>
    <n v="4"/>
    <n v="1471.38"/>
    <s v="Electrónica"/>
    <n v="5885.52"/>
    <x v="2"/>
    <x v="6"/>
    <n v="8"/>
    <n v="1471.38"/>
    <s v="sábado"/>
    <s v="agosto"/>
    <s v="SI"/>
    <s v="SI"/>
  </r>
  <r>
    <x v="150"/>
    <d v="2025-08-25T06:11:00"/>
    <x v="41"/>
    <x v="4"/>
    <n v="1"/>
    <n v="1463.91"/>
    <s v="Accesorios"/>
    <n v="1463.91"/>
    <x v="2"/>
    <x v="6"/>
    <n v="6"/>
    <n v="1463.91"/>
    <s v="lunes"/>
    <s v="agosto"/>
    <s v="NO"/>
    <s v="SI"/>
  </r>
  <r>
    <x v="151"/>
    <d v="2024-01-30T02:32:00"/>
    <x v="45"/>
    <x v="1"/>
    <n v="4"/>
    <n v="1585.49"/>
    <s v="Accesorios"/>
    <n v="6341.96"/>
    <x v="1"/>
    <x v="11"/>
    <n v="2"/>
    <n v="1585.49"/>
    <s v="martes"/>
    <s v="enero"/>
    <s v="SI"/>
    <s v="SI"/>
  </r>
  <r>
    <x v="152"/>
    <d v="2024-10-06T00:51:00"/>
    <x v="8"/>
    <x v="1"/>
    <n v="1"/>
    <n v="662.17"/>
    <s v="Accesorios"/>
    <n v="662.17"/>
    <x v="1"/>
    <x v="7"/>
    <n v="0"/>
    <n v="662.17"/>
    <s v="domingo"/>
    <s v="octubre"/>
    <s v="NO"/>
    <s v="NO"/>
  </r>
  <r>
    <x v="153"/>
    <d v="2024-05-30T18:11:00"/>
    <x v="22"/>
    <x v="4"/>
    <n v="2"/>
    <n v="136.68"/>
    <s v="Accesorios"/>
    <n v="273.36"/>
    <x v="1"/>
    <x v="5"/>
    <n v="18"/>
    <n v="136.68"/>
    <s v="jueves"/>
    <s v="mayo"/>
    <s v="NO"/>
    <s v="NO"/>
  </r>
  <r>
    <x v="154"/>
    <d v="2025-08-20T01:18:00"/>
    <x v="42"/>
    <x v="3"/>
    <n v="4"/>
    <n v="118.64"/>
    <s v="Electrónica"/>
    <n v="474.56"/>
    <x v="2"/>
    <x v="6"/>
    <n v="1"/>
    <n v="118.64"/>
    <s v="miércoles"/>
    <s v="agosto"/>
    <s v="NO"/>
    <s v="NO"/>
  </r>
  <r>
    <x v="155"/>
    <d v="2024-06-25T17:27:00"/>
    <x v="42"/>
    <x v="5"/>
    <n v="3"/>
    <n v="933.49"/>
    <s v="Electrónica"/>
    <n v="2800.47"/>
    <x v="1"/>
    <x v="4"/>
    <n v="17"/>
    <n v="933.49000000000012"/>
    <s v="martes"/>
    <s v="junio"/>
    <s v="NO"/>
    <s v="NO"/>
  </r>
  <r>
    <x v="156"/>
    <d v="2023-10-03T22:56:00"/>
    <x v="24"/>
    <x v="7"/>
    <n v="2"/>
    <n v="1035.0899999999999"/>
    <s v="Accesorios"/>
    <n v="2070.1799999999998"/>
    <x v="0"/>
    <x v="7"/>
    <n v="22"/>
    <n v="1035.0899999999999"/>
    <s v="martes"/>
    <s v="octubre"/>
    <s v="NO"/>
    <s v="SI"/>
  </r>
  <r>
    <x v="157"/>
    <d v="2024-02-01T04:52:00"/>
    <x v="27"/>
    <x v="3"/>
    <n v="2"/>
    <n v="1325.01"/>
    <s v="Electrónica"/>
    <n v="2650.02"/>
    <x v="1"/>
    <x v="2"/>
    <n v="4"/>
    <n v="1325.01"/>
    <s v="jueves"/>
    <s v="febrero"/>
    <s v="NO"/>
    <s v="SI"/>
  </r>
  <r>
    <x v="158"/>
    <d v="2023-12-28T09:30:00"/>
    <x v="13"/>
    <x v="1"/>
    <n v="4"/>
    <n v="710.84"/>
    <s v="Accesorios"/>
    <n v="2843.36"/>
    <x v="0"/>
    <x v="0"/>
    <n v="9"/>
    <n v="710.84"/>
    <s v="jueves"/>
    <s v="diciembre"/>
    <s v="NO"/>
    <s v="NO"/>
  </r>
  <r>
    <x v="159"/>
    <d v="2025-08-31T08:06:00"/>
    <x v="8"/>
    <x v="2"/>
    <n v="3"/>
    <n v="97.27"/>
    <s v="Muebles"/>
    <n v="291.81"/>
    <x v="2"/>
    <x v="6"/>
    <n v="8"/>
    <n v="97.27"/>
    <s v="domingo"/>
    <s v="agosto"/>
    <s v="NO"/>
    <s v="NO"/>
  </r>
  <r>
    <x v="160"/>
    <d v="2024-10-11T17:35:00"/>
    <x v="22"/>
    <x v="3"/>
    <n v="5"/>
    <n v="498.36"/>
    <s v="Electrónica"/>
    <n v="2491.8000000000002"/>
    <x v="1"/>
    <x v="7"/>
    <n v="17"/>
    <n v="498.36"/>
    <s v="viernes"/>
    <s v="octubre"/>
    <s v="NO"/>
    <s v="NO"/>
  </r>
  <r>
    <x v="161"/>
    <d v="2024-04-10T23:19:00"/>
    <x v="28"/>
    <x v="2"/>
    <n v="5"/>
    <n v="980.89"/>
    <s v="Muebles"/>
    <n v="4904.45"/>
    <x v="1"/>
    <x v="3"/>
    <n v="23"/>
    <n v="980.89"/>
    <s v="miércoles"/>
    <s v="abril"/>
    <s v="SI"/>
    <s v="NO"/>
  </r>
  <r>
    <x v="162"/>
    <d v="2024-10-19T01:11:00"/>
    <x v="48"/>
    <x v="1"/>
    <n v="1"/>
    <n v="1390.33"/>
    <s v="Accesorios"/>
    <n v="1390.33"/>
    <x v="1"/>
    <x v="7"/>
    <n v="1"/>
    <n v="1390.33"/>
    <s v="sábado"/>
    <s v="octubre"/>
    <s v="NO"/>
    <s v="SI"/>
  </r>
  <r>
    <x v="163"/>
    <d v="2023-01-15T15:47:00"/>
    <x v="44"/>
    <x v="5"/>
    <n v="5"/>
    <n v="1708.09"/>
    <s v="Electrónica"/>
    <n v="8540.4499999999989"/>
    <x v="0"/>
    <x v="11"/>
    <n v="15"/>
    <n v="1708.09"/>
    <s v="domingo"/>
    <s v="enero"/>
    <s v="SI"/>
    <s v="SI"/>
  </r>
  <r>
    <x v="164"/>
    <d v="2023-11-08T17:14:00"/>
    <x v="27"/>
    <x v="7"/>
    <n v="3"/>
    <n v="459.4"/>
    <s v="Accesorios"/>
    <n v="1378.2"/>
    <x v="0"/>
    <x v="9"/>
    <n v="17"/>
    <n v="459.39999999999992"/>
    <s v="miércoles"/>
    <s v="noviembre"/>
    <s v="NO"/>
    <s v="NO"/>
  </r>
  <r>
    <x v="165"/>
    <d v="2023-02-16T14:19:00"/>
    <x v="41"/>
    <x v="3"/>
    <n v="1"/>
    <n v="1578.33"/>
    <s v="Electrónica"/>
    <n v="1578.33"/>
    <x v="0"/>
    <x v="2"/>
    <n v="14"/>
    <n v="1578.33"/>
    <s v="jueves"/>
    <s v="febrero"/>
    <s v="NO"/>
    <s v="SI"/>
  </r>
  <r>
    <x v="166"/>
    <d v="2024-06-02T16:35:00"/>
    <x v="3"/>
    <x v="1"/>
    <n v="5"/>
    <n v="1602.39"/>
    <s v="Accesorios"/>
    <n v="8011.9500000000007"/>
    <x v="1"/>
    <x v="4"/>
    <n v="16"/>
    <n v="1602.39"/>
    <s v="domingo"/>
    <s v="junio"/>
    <s v="SI"/>
    <s v="SI"/>
  </r>
  <r>
    <x v="167"/>
    <d v="2023-04-19T11:21:00"/>
    <x v="40"/>
    <x v="1"/>
    <n v="2"/>
    <n v="714.55"/>
    <s v="Accesorios"/>
    <n v="1429.1"/>
    <x v="0"/>
    <x v="3"/>
    <n v="11"/>
    <n v="714.55"/>
    <s v="miércoles"/>
    <s v="abril"/>
    <s v="NO"/>
    <s v="NO"/>
  </r>
  <r>
    <x v="168"/>
    <d v="2025-06-28T02:30:00"/>
    <x v="47"/>
    <x v="2"/>
    <n v="2"/>
    <n v="140.54"/>
    <s v="Muebles"/>
    <n v="281.08"/>
    <x v="2"/>
    <x v="4"/>
    <n v="2"/>
    <n v="140.54"/>
    <s v="sábado"/>
    <s v="junio"/>
    <s v="NO"/>
    <s v="NO"/>
  </r>
  <r>
    <x v="169"/>
    <d v="2024-10-19T13:17:00"/>
    <x v="9"/>
    <x v="6"/>
    <n v="5"/>
    <n v="286.87"/>
    <s v="Accesorios"/>
    <n v="1434.35"/>
    <x v="1"/>
    <x v="7"/>
    <n v="13"/>
    <n v="286.87"/>
    <s v="sábado"/>
    <s v="octubre"/>
    <s v="NO"/>
    <s v="NO"/>
  </r>
  <r>
    <x v="170"/>
    <d v="2024-02-16T14:03:00"/>
    <x v="7"/>
    <x v="4"/>
    <n v="5"/>
    <n v="1897.97"/>
    <s v="Accesorios"/>
    <n v="9489.85"/>
    <x v="1"/>
    <x v="2"/>
    <n v="14"/>
    <n v="1897.97"/>
    <s v="viernes"/>
    <s v="febrero"/>
    <s v="SI"/>
    <s v="SI"/>
  </r>
  <r>
    <x v="171"/>
    <d v="2024-11-29T11:32:00"/>
    <x v="15"/>
    <x v="1"/>
    <n v="2"/>
    <n v="587.71"/>
    <s v="Accesorios"/>
    <n v="1175.42"/>
    <x v="1"/>
    <x v="9"/>
    <n v="11"/>
    <n v="587.71"/>
    <s v="viernes"/>
    <s v="noviembre"/>
    <s v="NO"/>
    <s v="NO"/>
  </r>
  <r>
    <x v="172"/>
    <d v="2023-12-31T00:00:00"/>
    <x v="37"/>
    <x v="4"/>
    <n v="4"/>
    <n v="895.13"/>
    <s v="Accesorios"/>
    <n v="3580.52"/>
    <x v="0"/>
    <x v="0"/>
    <n v="0"/>
    <n v="895.13"/>
    <s v="domingo"/>
    <s v="diciembre"/>
    <s v="SI"/>
    <s v="NO"/>
  </r>
  <r>
    <x v="173"/>
    <d v="2024-09-13T11:43:00"/>
    <x v="40"/>
    <x v="3"/>
    <n v="3"/>
    <n v="1457.35"/>
    <s v="Electrónica"/>
    <n v="4372.0499999999993"/>
    <x v="1"/>
    <x v="8"/>
    <n v="11"/>
    <n v="1457.35"/>
    <s v="viernes"/>
    <s v="septiembre"/>
    <s v="SI"/>
    <s v="SI"/>
  </r>
  <r>
    <x v="174"/>
    <d v="2024-09-05T06:17:00"/>
    <x v="21"/>
    <x v="2"/>
    <n v="3"/>
    <n v="1083.32"/>
    <s v="Muebles"/>
    <n v="3249.96"/>
    <x v="1"/>
    <x v="8"/>
    <n v="6"/>
    <n v="1083.32"/>
    <s v="jueves"/>
    <s v="septiembre"/>
    <s v="SI"/>
    <s v="SI"/>
  </r>
  <r>
    <x v="175"/>
    <d v="2025-05-06T16:25:00"/>
    <x v="30"/>
    <x v="5"/>
    <n v="3"/>
    <n v="1542.71"/>
    <s v="Electrónica"/>
    <n v="4628.13"/>
    <x v="2"/>
    <x v="5"/>
    <n v="16"/>
    <n v="1542.71"/>
    <s v="martes"/>
    <s v="mayo"/>
    <s v="SI"/>
    <s v="SI"/>
  </r>
  <r>
    <x v="176"/>
    <d v="2025-02-04T11:17:00"/>
    <x v="13"/>
    <x v="3"/>
    <n v="5"/>
    <n v="723.8"/>
    <s v="Electrónica"/>
    <n v="3619"/>
    <x v="2"/>
    <x v="2"/>
    <n v="11"/>
    <n v="723.8"/>
    <s v="martes"/>
    <s v="febrero"/>
    <s v="SI"/>
    <s v="NO"/>
  </r>
  <r>
    <x v="177"/>
    <d v="2023-09-17T09:51:00"/>
    <x v="12"/>
    <x v="1"/>
    <n v="5"/>
    <n v="179.97"/>
    <s v="Accesorios"/>
    <n v="899.85"/>
    <x v="0"/>
    <x v="8"/>
    <n v="9"/>
    <n v="179.97"/>
    <s v="domingo"/>
    <s v="septiembre"/>
    <s v="NO"/>
    <s v="NO"/>
  </r>
  <r>
    <x v="178"/>
    <d v="2024-09-04T14:48:00"/>
    <x v="16"/>
    <x v="5"/>
    <n v="1"/>
    <n v="1318.43"/>
    <s v="Electrónica"/>
    <n v="1318.43"/>
    <x v="1"/>
    <x v="8"/>
    <n v="14"/>
    <n v="1318.43"/>
    <s v="miércoles"/>
    <s v="septiembre"/>
    <s v="NO"/>
    <s v="SI"/>
  </r>
  <r>
    <x v="179"/>
    <d v="2023-05-27T09:25:00"/>
    <x v="43"/>
    <x v="3"/>
    <n v="2"/>
    <n v="307.37"/>
    <s v="Electrónica"/>
    <n v="614.74"/>
    <x v="0"/>
    <x v="5"/>
    <n v="9"/>
    <n v="307.37"/>
    <s v="sábado"/>
    <s v="mayo"/>
    <s v="NO"/>
    <s v="NO"/>
  </r>
  <r>
    <x v="180"/>
    <d v="2023-12-27T06:40:00"/>
    <x v="35"/>
    <x v="2"/>
    <n v="1"/>
    <n v="1364.97"/>
    <s v="Muebles"/>
    <n v="1364.97"/>
    <x v="0"/>
    <x v="0"/>
    <n v="6"/>
    <n v="1364.97"/>
    <s v="miércoles"/>
    <s v="diciembre"/>
    <s v="NO"/>
    <s v="SI"/>
  </r>
  <r>
    <x v="181"/>
    <d v="2024-04-16T16:17:00"/>
    <x v="17"/>
    <x v="7"/>
    <n v="3"/>
    <n v="244.23"/>
    <s v="Accesorios"/>
    <n v="732.68999999999994"/>
    <x v="1"/>
    <x v="3"/>
    <n v="16"/>
    <n v="244.23"/>
    <s v="martes"/>
    <s v="abril"/>
    <s v="NO"/>
    <s v="NO"/>
  </r>
  <r>
    <x v="182"/>
    <d v="2023-01-23T09:30:00"/>
    <x v="39"/>
    <x v="4"/>
    <n v="3"/>
    <n v="245.64"/>
    <s v="Accesorios"/>
    <n v="736.92"/>
    <x v="0"/>
    <x v="11"/>
    <n v="9"/>
    <n v="245.64"/>
    <s v="lunes"/>
    <s v="enero"/>
    <s v="NO"/>
    <s v="NO"/>
  </r>
  <r>
    <x v="183"/>
    <d v="2024-09-25T12:55:00"/>
    <x v="43"/>
    <x v="4"/>
    <n v="1"/>
    <n v="1501.34"/>
    <s v="Accesorios"/>
    <n v="1501.34"/>
    <x v="1"/>
    <x v="8"/>
    <n v="12"/>
    <n v="1501.34"/>
    <s v="miércoles"/>
    <s v="septiembre"/>
    <s v="NO"/>
    <s v="SI"/>
  </r>
  <r>
    <x v="184"/>
    <d v="2024-12-10T05:33:00"/>
    <x v="49"/>
    <x v="1"/>
    <n v="4"/>
    <n v="995.18"/>
    <s v="Accesorios"/>
    <n v="3980.72"/>
    <x v="1"/>
    <x v="0"/>
    <n v="5"/>
    <n v="995.18"/>
    <s v="martes"/>
    <s v="diciembre"/>
    <s v="SI"/>
    <s v="SI"/>
  </r>
  <r>
    <x v="185"/>
    <d v="2023-10-19T06:03:00"/>
    <x v="38"/>
    <x v="1"/>
    <n v="2"/>
    <n v="1834.72"/>
    <s v="Accesorios"/>
    <n v="3669.44"/>
    <x v="0"/>
    <x v="7"/>
    <n v="6"/>
    <n v="1834.72"/>
    <s v="jueves"/>
    <s v="octubre"/>
    <s v="SI"/>
    <s v="SI"/>
  </r>
  <r>
    <x v="186"/>
    <d v="2024-11-19T19:52:00"/>
    <x v="31"/>
    <x v="7"/>
    <n v="2"/>
    <n v="1942.31"/>
    <s v="Accesorios"/>
    <n v="3884.62"/>
    <x v="1"/>
    <x v="9"/>
    <n v="19"/>
    <n v="1942.31"/>
    <s v="martes"/>
    <s v="noviembre"/>
    <s v="SI"/>
    <s v="SI"/>
  </r>
  <r>
    <x v="187"/>
    <d v="2025-04-08T16:56:00"/>
    <x v="16"/>
    <x v="7"/>
    <n v="3"/>
    <n v="1025.57"/>
    <s v="Accesorios"/>
    <n v="3076.71"/>
    <x v="2"/>
    <x v="3"/>
    <n v="16"/>
    <n v="1025.57"/>
    <s v="martes"/>
    <s v="abril"/>
    <s v="SI"/>
    <s v="SI"/>
  </r>
  <r>
    <x v="188"/>
    <d v="2023-02-05T00:14:00"/>
    <x v="49"/>
    <x v="3"/>
    <n v="4"/>
    <n v="555.19000000000005"/>
    <s v="Electrónica"/>
    <n v="2220.7600000000002"/>
    <x v="0"/>
    <x v="2"/>
    <n v="0"/>
    <n v="555.19000000000005"/>
    <s v="domingo"/>
    <s v="febrero"/>
    <s v="NO"/>
    <s v="NO"/>
  </r>
  <r>
    <x v="189"/>
    <d v="2023-09-25T16:12:00"/>
    <x v="25"/>
    <x v="2"/>
    <n v="5"/>
    <n v="750.82"/>
    <s v="Muebles"/>
    <n v="3754.1"/>
    <x v="0"/>
    <x v="8"/>
    <n v="16"/>
    <n v="750.82"/>
    <s v="lunes"/>
    <s v="septiembre"/>
    <s v="SI"/>
    <s v="NO"/>
  </r>
  <r>
    <x v="190"/>
    <d v="2025-06-10T04:19:00"/>
    <x v="38"/>
    <x v="3"/>
    <n v="2"/>
    <n v="1609.9"/>
    <s v="Electrónica"/>
    <n v="3219.8"/>
    <x v="2"/>
    <x v="4"/>
    <n v="4"/>
    <n v="1609.9"/>
    <s v="martes"/>
    <s v="junio"/>
    <s v="SI"/>
    <s v="SI"/>
  </r>
  <r>
    <x v="191"/>
    <d v="2025-04-08T00:16:00"/>
    <x v="46"/>
    <x v="2"/>
    <n v="3"/>
    <n v="27.89"/>
    <s v="Muebles"/>
    <n v="83.67"/>
    <x v="2"/>
    <x v="3"/>
    <n v="0"/>
    <n v="27.89"/>
    <s v="martes"/>
    <s v="abril"/>
    <s v="NO"/>
    <s v="NO"/>
  </r>
  <r>
    <x v="192"/>
    <d v="2025-07-24T14:02:00"/>
    <x v="8"/>
    <x v="7"/>
    <n v="1"/>
    <n v="1700.54"/>
    <s v="Accesorios"/>
    <n v="1700.54"/>
    <x v="2"/>
    <x v="10"/>
    <n v="14"/>
    <n v="1700.54"/>
    <s v="jueves"/>
    <s v="julio"/>
    <s v="NO"/>
    <s v="SI"/>
  </r>
  <r>
    <x v="193"/>
    <d v="2025-05-25T08:54:00"/>
    <x v="22"/>
    <x v="7"/>
    <n v="3"/>
    <n v="473.4"/>
    <s v="Accesorios"/>
    <n v="1420.2"/>
    <x v="2"/>
    <x v="5"/>
    <n v="8"/>
    <n v="473.39999999999992"/>
    <s v="domingo"/>
    <s v="mayo"/>
    <s v="NO"/>
    <s v="NO"/>
  </r>
  <r>
    <x v="194"/>
    <d v="2023-09-09T00:56:00"/>
    <x v="14"/>
    <x v="3"/>
    <n v="1"/>
    <n v="521.32000000000005"/>
    <s v="Electrónica"/>
    <n v="521.32000000000005"/>
    <x v="0"/>
    <x v="8"/>
    <n v="0"/>
    <n v="521.32000000000005"/>
    <s v="sábado"/>
    <s v="septiembre"/>
    <s v="NO"/>
    <s v="NO"/>
  </r>
  <r>
    <x v="195"/>
    <d v="2025-04-01T08:11:00"/>
    <x v="48"/>
    <x v="1"/>
    <n v="1"/>
    <n v="1067.6400000000001"/>
    <s v="Accesorios"/>
    <n v="1067.6400000000001"/>
    <x v="2"/>
    <x v="3"/>
    <n v="8"/>
    <n v="1067.6400000000001"/>
    <s v="martes"/>
    <s v="abril"/>
    <s v="NO"/>
    <s v="SI"/>
  </r>
  <r>
    <x v="196"/>
    <d v="2023-05-09T13:21:00"/>
    <x v="42"/>
    <x v="6"/>
    <n v="1"/>
    <n v="1903.64"/>
    <s v="Accesorios"/>
    <n v="1903.64"/>
    <x v="0"/>
    <x v="5"/>
    <n v="13"/>
    <n v="1903.64"/>
    <s v="martes"/>
    <s v="mayo"/>
    <s v="NO"/>
    <s v="SI"/>
  </r>
  <r>
    <x v="197"/>
    <d v="2023-02-01T18:34:00"/>
    <x v="35"/>
    <x v="2"/>
    <n v="2"/>
    <n v="1460.16"/>
    <s v="Muebles"/>
    <n v="2920.32"/>
    <x v="0"/>
    <x v="2"/>
    <n v="18"/>
    <n v="1460.16"/>
    <s v="miércoles"/>
    <s v="febrero"/>
    <s v="SI"/>
    <s v="SI"/>
  </r>
  <r>
    <x v="198"/>
    <d v="2025-06-08T13:32:00"/>
    <x v="27"/>
    <x v="0"/>
    <n v="4"/>
    <n v="847"/>
    <s v="Electrónica"/>
    <n v="3388"/>
    <x v="2"/>
    <x v="4"/>
    <n v="13"/>
    <n v="847"/>
    <s v="domingo"/>
    <s v="junio"/>
    <s v="SI"/>
    <s v="NO"/>
  </r>
  <r>
    <x v="199"/>
    <d v="2023-06-12T09:31:00"/>
    <x v="38"/>
    <x v="6"/>
    <n v="2"/>
    <n v="1243.3399999999999"/>
    <s v="Accesorios"/>
    <n v="2486.6799999999998"/>
    <x v="0"/>
    <x v="4"/>
    <n v="9"/>
    <n v="1243.3399999999999"/>
    <s v="lunes"/>
    <s v="junio"/>
    <s v="NO"/>
    <s v="SI"/>
  </r>
  <r>
    <x v="200"/>
    <m/>
    <x v="50"/>
    <x v="8"/>
    <m/>
    <m/>
    <m/>
    <m/>
    <x v="3"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A8532-0280-430C-B5D1-FDCD3B7EC09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6:E15" firstHeaderRow="0" firstDataRow="1" firstDataCol="1" rowPageCount="3" colPageCount="1"/>
  <pivotFields count="17">
    <pivotField axis="axisPage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 sortType="ascending">
      <items count="52">
        <item x="42"/>
        <item x="28"/>
        <item x="18"/>
        <item x="39"/>
        <item x="27"/>
        <item x="49"/>
        <item x="1"/>
        <item x="23"/>
        <item x="6"/>
        <item x="12"/>
        <item x="29"/>
        <item x="30"/>
        <item x="45"/>
        <item x="4"/>
        <item x="47"/>
        <item x="35"/>
        <item x="0"/>
        <item x="21"/>
        <item x="32"/>
        <item x="20"/>
        <item x="26"/>
        <item x="9"/>
        <item x="25"/>
        <item x="34"/>
        <item x="7"/>
        <item x="33"/>
        <item x="3"/>
        <item x="24"/>
        <item x="31"/>
        <item x="13"/>
        <item x="2"/>
        <item x="14"/>
        <item x="40"/>
        <item x="11"/>
        <item x="43"/>
        <item x="10"/>
        <item x="5"/>
        <item x="22"/>
        <item x="37"/>
        <item x="48"/>
        <item x="41"/>
        <item x="17"/>
        <item x="8"/>
        <item x="44"/>
        <item x="46"/>
        <item x="19"/>
        <item x="15"/>
        <item x="36"/>
        <item x="38"/>
        <item x="16"/>
        <item x="50"/>
        <item t="default"/>
      </items>
    </pivotField>
    <pivotField axis="axisRow" showAll="0">
      <items count="10">
        <item x="7"/>
        <item x="3"/>
        <item x="5"/>
        <item x="0"/>
        <item x="6"/>
        <item x="2"/>
        <item x="1"/>
        <item x="4"/>
        <item h="1" x="8"/>
        <item t="default"/>
      </items>
    </pivotField>
    <pivotField dataField="1" showAll="0"/>
    <pivotField dataField="1"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14">
        <item x="11"/>
        <item x="2"/>
        <item x="1"/>
        <item x="3"/>
        <item x="5"/>
        <item x="4"/>
        <item x="10"/>
        <item x="6"/>
        <item x="8"/>
        <item x="7"/>
        <item x="9"/>
        <item x="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8" hier="-1"/>
    <pageField fld="9" hier="-1"/>
    <pageField fld="0" hier="-1"/>
  </pageFields>
  <dataFields count="4">
    <dataField name="Porcentaje Total ventas" fld="7" showDataAs="percentOfCol" baseField="0" baseItem="0" numFmtId="10"/>
    <dataField name="Suma de Cantidad" fld="4" baseField="0" baseItem="0"/>
    <dataField name="Promedio de Precio_Unitario" fld="5" subtotal="average" baseField="3" baseItem="0" numFmtId="165"/>
    <dataField name="Suma de Total ventas (Campo calculado)" fld="16" baseField="3" baseItem="0" numFmtId="165"/>
  </dataFields>
  <formats count="4"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31DA-DF7A-4A52-A9D9-23F765E8011C}">
  <sheetPr>
    <tabColor rgb="FFFFC000"/>
  </sheetPr>
  <dimension ref="B2:Z2"/>
  <sheetViews>
    <sheetView workbookViewId="0">
      <selection activeCell="R12" sqref="R12"/>
    </sheetView>
  </sheetViews>
  <sheetFormatPr baseColWidth="10" defaultRowHeight="15" x14ac:dyDescent="0.25"/>
  <sheetData>
    <row r="2" spans="2:26" s="32" customFormat="1" ht="27.75" customHeight="1" x14ac:dyDescent="0.25">
      <c r="B2" s="36" t="s">
        <v>260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/>
      <c r="P2"/>
      <c r="Q2"/>
      <c r="R2"/>
      <c r="S2"/>
      <c r="T2"/>
      <c r="U2"/>
      <c r="V2"/>
      <c r="W2"/>
      <c r="X2"/>
      <c r="Y2"/>
      <c r="Z2"/>
    </row>
  </sheetData>
  <mergeCells count="1">
    <mergeCell ref="B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A2A0-4B82-490E-B71B-EECDBB52627F}">
  <sheetPr>
    <tabColor theme="3" tint="0.39997558519241921"/>
  </sheetPr>
  <dimension ref="B2:Z38"/>
  <sheetViews>
    <sheetView workbookViewId="0">
      <selection activeCell="F23" sqref="F23"/>
    </sheetView>
  </sheetViews>
  <sheetFormatPr baseColWidth="10" defaultRowHeight="15" x14ac:dyDescent="0.25"/>
  <cols>
    <col min="1" max="1" width="4.5703125" customWidth="1"/>
    <col min="2" max="2" width="22.5703125" customWidth="1"/>
    <col min="3" max="26" width="21.140625" style="21" customWidth="1"/>
  </cols>
  <sheetData>
    <row r="2" spans="2:26" s="32" customFormat="1" ht="27.75" customHeight="1" x14ac:dyDescent="0.25">
      <c r="B2" s="36" t="s">
        <v>250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5" spans="2:26" x14ac:dyDescent="0.25">
      <c r="C5" s="37" t="s">
        <v>235</v>
      </c>
      <c r="D5" s="37"/>
      <c r="E5" s="37" t="s">
        <v>236</v>
      </c>
      <c r="F5" s="38"/>
      <c r="G5" s="37" t="s">
        <v>237</v>
      </c>
      <c r="H5" s="37"/>
      <c r="I5" s="37" t="s">
        <v>238</v>
      </c>
      <c r="J5" s="37"/>
      <c r="K5" s="37" t="s">
        <v>239</v>
      </c>
      <c r="L5" s="37"/>
      <c r="M5" s="37" t="s">
        <v>240</v>
      </c>
      <c r="N5" s="37"/>
      <c r="O5" s="37" t="s">
        <v>241</v>
      </c>
      <c r="P5" s="37"/>
      <c r="Q5" s="37" t="s">
        <v>242</v>
      </c>
      <c r="R5" s="37"/>
      <c r="S5" s="37" t="s">
        <v>243</v>
      </c>
      <c r="T5" s="37"/>
      <c r="U5" s="37" t="s">
        <v>244</v>
      </c>
      <c r="V5" s="37"/>
      <c r="W5" s="37" t="s">
        <v>245</v>
      </c>
      <c r="X5" s="37"/>
      <c r="Y5" s="37" t="s">
        <v>246</v>
      </c>
      <c r="Z5" s="37"/>
    </row>
    <row r="7" spans="2:26" x14ac:dyDescent="0.25">
      <c r="C7" s="6" t="s">
        <v>247</v>
      </c>
      <c r="D7" s="6" t="s">
        <v>248</v>
      </c>
      <c r="E7" s="6" t="s">
        <v>247</v>
      </c>
      <c r="F7" s="6" t="s">
        <v>248</v>
      </c>
      <c r="G7" s="6" t="s">
        <v>247</v>
      </c>
      <c r="H7" s="6" t="s">
        <v>248</v>
      </c>
      <c r="I7" s="6" t="s">
        <v>247</v>
      </c>
      <c r="J7" s="6" t="s">
        <v>248</v>
      </c>
      <c r="K7" s="6" t="s">
        <v>247</v>
      </c>
      <c r="L7" s="6" t="s">
        <v>248</v>
      </c>
      <c r="M7" s="6" t="s">
        <v>247</v>
      </c>
      <c r="N7" s="6" t="s">
        <v>248</v>
      </c>
      <c r="O7" s="6" t="s">
        <v>247</v>
      </c>
      <c r="P7" s="6" t="s">
        <v>248</v>
      </c>
      <c r="Q7" s="6" t="s">
        <v>247</v>
      </c>
      <c r="R7" s="6" t="s">
        <v>248</v>
      </c>
      <c r="S7" s="6" t="s">
        <v>247</v>
      </c>
      <c r="T7" s="6" t="s">
        <v>248</v>
      </c>
      <c r="U7" s="6" t="s">
        <v>247</v>
      </c>
      <c r="V7" s="6" t="s">
        <v>248</v>
      </c>
      <c r="W7" s="6" t="s">
        <v>247</v>
      </c>
      <c r="X7" s="6" t="s">
        <v>248</v>
      </c>
      <c r="Y7" s="6" t="s">
        <v>247</v>
      </c>
      <c r="Z7" s="6" t="s">
        <v>248</v>
      </c>
    </row>
    <row r="9" spans="2:26" x14ac:dyDescent="0.25">
      <c r="B9" t="s">
        <v>219</v>
      </c>
      <c r="C9" s="22">
        <f>SUMIFS('Datos generales'!$E:$E,'Datos generales'!$N:$N,Tablas!C$5,'Datos generales'!$D:$D,Tablas!$B9)</f>
        <v>0</v>
      </c>
      <c r="D9" s="27">
        <f>C9/C$17</f>
        <v>0</v>
      </c>
      <c r="E9" s="22">
        <f>SUMIFS('Datos generales'!$E:$E,'Datos generales'!$N:$N,Tablas!E$5,'Datos generales'!$D:$D,Tablas!$B9)</f>
        <v>40</v>
      </c>
      <c r="F9" s="27">
        <f>E9/E$17</f>
        <v>8.8888888888888892E-2</v>
      </c>
      <c r="G9" s="22">
        <f>SUMIFS('Datos generales'!$E:$E,'Datos generales'!$N:$N,Tablas!G$5,'Datos generales'!$D:$D,Tablas!$B9)</f>
        <v>90</v>
      </c>
      <c r="H9" s="27">
        <f>G9/G$17</f>
        <v>0.20454545454545456</v>
      </c>
      <c r="I9" s="22">
        <f>SUMIFS('Datos generales'!$E:$E,'Datos generales'!$N:$N,Tablas!I$5,'Datos generales'!$D:$D,Tablas!$B9)</f>
        <v>150</v>
      </c>
      <c r="J9" s="27">
        <f>I9/I$17</f>
        <v>0.28846153846153844</v>
      </c>
      <c r="K9" s="22">
        <f>SUMIFS('Datos generales'!$E:$E,'Datos generales'!$N:$N,Tablas!K$5,'Datos generales'!$D:$D,Tablas!$B9)</f>
        <v>50</v>
      </c>
      <c r="L9" s="27">
        <f>K9/K$17</f>
        <v>0.12195121951219512</v>
      </c>
      <c r="M9" s="22">
        <f>SUMIFS('Datos generales'!$E:$E,'Datos generales'!$N:$N,Tablas!M$5,'Datos generales'!$D:$D,Tablas!$B9)</f>
        <v>10</v>
      </c>
      <c r="N9" s="27">
        <f>M9/M$17</f>
        <v>1.3698630136986301E-2</v>
      </c>
      <c r="O9" s="22">
        <f>SUMIFS('Datos generales'!$E:$E,'Datos generales'!$N:$N,Tablas!O$5,'Datos generales'!$D:$D,Tablas!$B9)</f>
        <v>40</v>
      </c>
      <c r="P9" s="27">
        <f>O9/O$17</f>
        <v>7.6923076923076927E-2</v>
      </c>
      <c r="Q9" s="22">
        <f>SUMIFS('Datos generales'!$E:$E,'Datos generales'!$N:$N,Tablas!Q$5,'Datos generales'!$D:$D,Tablas!$B9)</f>
        <v>0</v>
      </c>
      <c r="R9" s="27">
        <f>Q9/Q$17</f>
        <v>0</v>
      </c>
      <c r="S9" s="22">
        <f>SUMIFS('Datos generales'!$E:$E,'Datos generales'!$N:$N,Tablas!S$5,'Datos generales'!$D:$D,Tablas!$B9)</f>
        <v>0</v>
      </c>
      <c r="T9" s="27">
        <f>S9/S$17</f>
        <v>0</v>
      </c>
      <c r="U9" s="22">
        <f>SUMIFS('Datos generales'!$E:$E,'Datos generales'!$N:$N,Tablas!U$5,'Datos generales'!$D:$D,Tablas!$B9)</f>
        <v>70</v>
      </c>
      <c r="V9" s="27">
        <f>U9/U$17</f>
        <v>0.17499999999999999</v>
      </c>
      <c r="W9" s="22">
        <f>SUMIFS('Datos generales'!$E:$E,'Datos generales'!$N:$N,Tablas!W$5,'Datos generales'!$D:$D,Tablas!$B9)</f>
        <v>160</v>
      </c>
      <c r="X9" s="27">
        <f>W9/W$17</f>
        <v>0.4</v>
      </c>
      <c r="Y9" s="22">
        <f>SUMIFS('Datos generales'!$E:$E,'Datos generales'!$N:$N,Tablas!Y$5,'Datos generales'!$D:$D,Tablas!$B9)</f>
        <v>30</v>
      </c>
      <c r="Z9" s="27">
        <f>Y9/Y$17</f>
        <v>8.8235294117647065E-2</v>
      </c>
    </row>
    <row r="10" spans="2:26" x14ac:dyDescent="0.25">
      <c r="B10" t="s">
        <v>215</v>
      </c>
      <c r="C10" s="22">
        <f>SUMIFS('Datos generales'!$E:$E,'Datos generales'!$N:$N,Tablas!C$5,'Datos generales'!$D:$D,Tablas!$B10)</f>
        <v>160</v>
      </c>
      <c r="D10" s="27">
        <f t="shared" ref="D10:F16" si="0">C10/C$17</f>
        <v>0.2807017543859649</v>
      </c>
      <c r="E10" s="22">
        <f>SUMIFS('Datos generales'!$E:$E,'Datos generales'!$N:$N,Tablas!E$5,'Datos generales'!$D:$D,Tablas!$B10)</f>
        <v>120</v>
      </c>
      <c r="F10" s="27">
        <f t="shared" si="0"/>
        <v>0.26666666666666666</v>
      </c>
      <c r="G10" s="22">
        <f>SUMIFS('Datos generales'!$E:$E,'Datos generales'!$N:$N,Tablas!G$5,'Datos generales'!$D:$D,Tablas!$B10)</f>
        <v>120</v>
      </c>
      <c r="H10" s="27">
        <f t="shared" ref="H10" si="1">G10/G$17</f>
        <v>0.27272727272727271</v>
      </c>
      <c r="I10" s="22">
        <f>SUMIFS('Datos generales'!$E:$E,'Datos generales'!$N:$N,Tablas!I$5,'Datos generales'!$D:$D,Tablas!$B10)</f>
        <v>20</v>
      </c>
      <c r="J10" s="27">
        <f t="shared" ref="J10" si="2">I10/I$17</f>
        <v>3.8461538461538464E-2</v>
      </c>
      <c r="K10" s="22">
        <f>SUMIFS('Datos generales'!$E:$E,'Datos generales'!$N:$N,Tablas!K$5,'Datos generales'!$D:$D,Tablas!$B10)</f>
        <v>20</v>
      </c>
      <c r="L10" s="27">
        <f t="shared" ref="L10" si="3">K10/K$17</f>
        <v>4.878048780487805E-2</v>
      </c>
      <c r="M10" s="22">
        <f>SUMIFS('Datos generales'!$E:$E,'Datos generales'!$N:$N,Tablas!M$5,'Datos generales'!$D:$D,Tablas!$B10)</f>
        <v>180</v>
      </c>
      <c r="N10" s="27">
        <f t="shared" ref="N10" si="4">M10/M$17</f>
        <v>0.24657534246575341</v>
      </c>
      <c r="O10" s="22">
        <f>SUMIFS('Datos generales'!$E:$E,'Datos generales'!$N:$N,Tablas!O$5,'Datos generales'!$D:$D,Tablas!$B10)</f>
        <v>50</v>
      </c>
      <c r="P10" s="27">
        <f t="shared" ref="P10" si="5">O10/O$17</f>
        <v>9.6153846153846159E-2</v>
      </c>
      <c r="Q10" s="22">
        <f>SUMIFS('Datos generales'!$E:$E,'Datos generales'!$N:$N,Tablas!Q$5,'Datos generales'!$D:$D,Tablas!$B10)</f>
        <v>160</v>
      </c>
      <c r="R10" s="27">
        <f t="shared" ref="R10" si="6">Q10/Q$17</f>
        <v>0.32653061224489793</v>
      </c>
      <c r="S10" s="22">
        <f>SUMIFS('Datos generales'!$E:$E,'Datos generales'!$N:$N,Tablas!S$5,'Datos generales'!$D:$D,Tablas!$B10)</f>
        <v>40</v>
      </c>
      <c r="T10" s="27">
        <f t="shared" ref="T10" si="7">S10/S$17</f>
        <v>6.5573770491803282E-2</v>
      </c>
      <c r="U10" s="22">
        <f>SUMIFS('Datos generales'!$E:$E,'Datos generales'!$N:$N,Tablas!U$5,'Datos generales'!$D:$D,Tablas!$B10)</f>
        <v>50</v>
      </c>
      <c r="V10" s="27">
        <f t="shared" ref="V10" si="8">U10/U$17</f>
        <v>0.125</v>
      </c>
      <c r="W10" s="22">
        <f>SUMIFS('Datos generales'!$E:$E,'Datos generales'!$N:$N,Tablas!W$5,'Datos generales'!$D:$D,Tablas!$B10)</f>
        <v>0</v>
      </c>
      <c r="X10" s="27">
        <f t="shared" ref="X10" si="9">W10/W$17</f>
        <v>0</v>
      </c>
      <c r="Y10" s="22">
        <f>SUMIFS('Datos generales'!$E:$E,'Datos generales'!$N:$N,Tablas!Y$5,'Datos generales'!$D:$D,Tablas!$B10)</f>
        <v>0</v>
      </c>
      <c r="Z10" s="27">
        <f t="shared" ref="Z10" si="10">Y10/Y$17</f>
        <v>0</v>
      </c>
    </row>
    <row r="11" spans="2:26" x14ac:dyDescent="0.25">
      <c r="B11" t="s">
        <v>217</v>
      </c>
      <c r="C11" s="22">
        <f>SUMIFS('Datos generales'!$E:$E,'Datos generales'!$N:$N,Tablas!C$5,'Datos generales'!$D:$D,Tablas!$B11)</f>
        <v>100</v>
      </c>
      <c r="D11" s="27">
        <f t="shared" si="0"/>
        <v>0.17543859649122806</v>
      </c>
      <c r="E11" s="22">
        <f>SUMIFS('Datos generales'!$E:$E,'Datos generales'!$N:$N,Tablas!E$5,'Datos generales'!$D:$D,Tablas!$B11)</f>
        <v>50</v>
      </c>
      <c r="F11" s="27">
        <f t="shared" si="0"/>
        <v>0.1111111111111111</v>
      </c>
      <c r="G11" s="22">
        <f>SUMIFS('Datos generales'!$E:$E,'Datos generales'!$N:$N,Tablas!G$5,'Datos generales'!$D:$D,Tablas!$B11)</f>
        <v>50</v>
      </c>
      <c r="H11" s="27">
        <f t="shared" ref="H11" si="11">G11/G$17</f>
        <v>0.11363636363636363</v>
      </c>
      <c r="I11" s="22">
        <f>SUMIFS('Datos generales'!$E:$E,'Datos generales'!$N:$N,Tablas!I$5,'Datos generales'!$D:$D,Tablas!$B11)</f>
        <v>20</v>
      </c>
      <c r="J11" s="27">
        <f t="shared" ref="J11" si="12">I11/I$17</f>
        <v>3.8461538461538464E-2</v>
      </c>
      <c r="K11" s="22">
        <f>SUMIFS('Datos generales'!$E:$E,'Datos generales'!$N:$N,Tablas!K$5,'Datos generales'!$D:$D,Tablas!$B11)</f>
        <v>80</v>
      </c>
      <c r="L11" s="27">
        <f t="shared" ref="L11" si="13">K11/K$17</f>
        <v>0.1951219512195122</v>
      </c>
      <c r="M11" s="22">
        <f>SUMIFS('Datos generales'!$E:$E,'Datos generales'!$N:$N,Tablas!M$5,'Datos generales'!$D:$D,Tablas!$B11)</f>
        <v>130</v>
      </c>
      <c r="N11" s="27">
        <f t="shared" ref="N11" si="14">M11/M$17</f>
        <v>0.17808219178082191</v>
      </c>
      <c r="O11" s="22">
        <f>SUMIFS('Datos generales'!$E:$E,'Datos generales'!$N:$N,Tablas!O$5,'Datos generales'!$D:$D,Tablas!$B11)</f>
        <v>0</v>
      </c>
      <c r="P11" s="27">
        <f t="shared" ref="P11" si="15">O11/O$17</f>
        <v>0</v>
      </c>
      <c r="Q11" s="22">
        <f>SUMIFS('Datos generales'!$E:$E,'Datos generales'!$N:$N,Tablas!Q$5,'Datos generales'!$D:$D,Tablas!$B11)</f>
        <v>30</v>
      </c>
      <c r="R11" s="27">
        <f t="shared" ref="R11" si="16">Q11/Q$17</f>
        <v>6.1224489795918366E-2</v>
      </c>
      <c r="S11" s="22">
        <f>SUMIFS('Datos generales'!$E:$E,'Datos generales'!$N:$N,Tablas!S$5,'Datos generales'!$D:$D,Tablas!$B11)</f>
        <v>90</v>
      </c>
      <c r="T11" s="27">
        <f t="shared" ref="T11" si="17">S11/S$17</f>
        <v>0.14754098360655737</v>
      </c>
      <c r="U11" s="22">
        <f>SUMIFS('Datos generales'!$E:$E,'Datos generales'!$N:$N,Tablas!U$5,'Datos generales'!$D:$D,Tablas!$B11)</f>
        <v>10</v>
      </c>
      <c r="V11" s="27">
        <f t="shared" ref="V11" si="18">U11/U$17</f>
        <v>2.5000000000000001E-2</v>
      </c>
      <c r="W11" s="22">
        <f>SUMIFS('Datos generales'!$E:$E,'Datos generales'!$N:$N,Tablas!W$5,'Datos generales'!$D:$D,Tablas!$B11)</f>
        <v>60</v>
      </c>
      <c r="X11" s="27">
        <f t="shared" ref="X11" si="19">W11/W$17</f>
        <v>0.15</v>
      </c>
      <c r="Y11" s="22">
        <f>SUMIFS('Datos generales'!$E:$E,'Datos generales'!$N:$N,Tablas!Y$5,'Datos generales'!$D:$D,Tablas!$B11)</f>
        <v>20</v>
      </c>
      <c r="Z11" s="27">
        <f t="shared" ref="Z11" si="20">Y11/Y$17</f>
        <v>5.8823529411764705E-2</v>
      </c>
    </row>
    <row r="12" spans="2:26" x14ac:dyDescent="0.25">
      <c r="B12" t="s">
        <v>212</v>
      </c>
      <c r="C12" s="22">
        <f>SUMIFS('Datos generales'!$E:$E,'Datos generales'!$N:$N,Tablas!C$5,'Datos generales'!$D:$D,Tablas!$B12)</f>
        <v>70</v>
      </c>
      <c r="D12" s="27">
        <f t="shared" si="0"/>
        <v>0.12280701754385964</v>
      </c>
      <c r="E12" s="22">
        <f>SUMIFS('Datos generales'!$E:$E,'Datos generales'!$N:$N,Tablas!E$5,'Datos generales'!$D:$D,Tablas!$B12)</f>
        <v>50</v>
      </c>
      <c r="F12" s="27">
        <f t="shared" si="0"/>
        <v>0.1111111111111111</v>
      </c>
      <c r="G12" s="22">
        <f>SUMIFS('Datos generales'!$E:$E,'Datos generales'!$N:$N,Tablas!G$5,'Datos generales'!$D:$D,Tablas!$B12)</f>
        <v>10</v>
      </c>
      <c r="H12" s="27">
        <f t="shared" ref="H12" si="21">G12/G$17</f>
        <v>2.2727272727272728E-2</v>
      </c>
      <c r="I12" s="22">
        <f>SUMIFS('Datos generales'!$E:$E,'Datos generales'!$N:$N,Tablas!I$5,'Datos generales'!$D:$D,Tablas!$B12)</f>
        <v>10</v>
      </c>
      <c r="J12" s="27">
        <f t="shared" ref="J12" si="22">I12/I$17</f>
        <v>1.9230769230769232E-2</v>
      </c>
      <c r="K12" s="22">
        <f>SUMIFS('Datos generales'!$E:$E,'Datos generales'!$N:$N,Tablas!K$5,'Datos generales'!$D:$D,Tablas!$B12)</f>
        <v>90</v>
      </c>
      <c r="L12" s="27">
        <f t="shared" ref="L12" si="23">K12/K$17</f>
        <v>0.21951219512195122</v>
      </c>
      <c r="M12" s="22">
        <f>SUMIFS('Datos generales'!$E:$E,'Datos generales'!$N:$N,Tablas!M$5,'Datos generales'!$D:$D,Tablas!$B12)</f>
        <v>90</v>
      </c>
      <c r="N12" s="27">
        <f t="shared" ref="N12" si="24">M12/M$17</f>
        <v>0.12328767123287671</v>
      </c>
      <c r="O12" s="22">
        <f>SUMIFS('Datos generales'!$E:$E,'Datos generales'!$N:$N,Tablas!O$5,'Datos generales'!$D:$D,Tablas!$B12)</f>
        <v>60</v>
      </c>
      <c r="P12" s="27">
        <f t="shared" ref="P12" si="25">O12/O$17</f>
        <v>0.11538461538461539</v>
      </c>
      <c r="Q12" s="22">
        <f>SUMIFS('Datos generales'!$E:$E,'Datos generales'!$N:$N,Tablas!Q$5,'Datos generales'!$D:$D,Tablas!$B12)</f>
        <v>70</v>
      </c>
      <c r="R12" s="27">
        <f t="shared" ref="R12" si="26">Q12/Q$17</f>
        <v>0.14285714285714285</v>
      </c>
      <c r="S12" s="22">
        <f>SUMIFS('Datos generales'!$E:$E,'Datos generales'!$N:$N,Tablas!S$5,'Datos generales'!$D:$D,Tablas!$B12)</f>
        <v>70</v>
      </c>
      <c r="T12" s="27">
        <f t="shared" ref="T12" si="27">S12/S$17</f>
        <v>0.11475409836065574</v>
      </c>
      <c r="U12" s="22">
        <f>SUMIFS('Datos generales'!$E:$E,'Datos generales'!$N:$N,Tablas!U$5,'Datos generales'!$D:$D,Tablas!$B12)</f>
        <v>0</v>
      </c>
      <c r="V12" s="27">
        <f t="shared" ref="V12" si="28">U12/U$17</f>
        <v>0</v>
      </c>
      <c r="W12" s="22">
        <f>SUMIFS('Datos generales'!$E:$E,'Datos generales'!$N:$N,Tablas!W$5,'Datos generales'!$D:$D,Tablas!$B12)</f>
        <v>90</v>
      </c>
      <c r="X12" s="27">
        <f t="shared" ref="X12" si="29">W12/W$17</f>
        <v>0.22500000000000001</v>
      </c>
      <c r="Y12" s="22">
        <f>SUMIFS('Datos generales'!$E:$E,'Datos generales'!$N:$N,Tablas!Y$5,'Datos generales'!$D:$D,Tablas!$B12)</f>
        <v>90</v>
      </c>
      <c r="Z12" s="27">
        <f t="shared" ref="Z12" si="30">Y12/Y$17</f>
        <v>0.26470588235294118</v>
      </c>
    </row>
    <row r="13" spans="2:26" x14ac:dyDescent="0.25">
      <c r="B13" t="s">
        <v>218</v>
      </c>
      <c r="C13" s="22">
        <f>SUMIFS('Datos generales'!$E:$E,'Datos generales'!$N:$N,Tablas!C$5,'Datos generales'!$D:$D,Tablas!$B13)</f>
        <v>80</v>
      </c>
      <c r="D13" s="27">
        <f t="shared" si="0"/>
        <v>0.14035087719298245</v>
      </c>
      <c r="E13" s="22">
        <f>SUMIFS('Datos generales'!$E:$E,'Datos generales'!$N:$N,Tablas!E$5,'Datos generales'!$D:$D,Tablas!$B13)</f>
        <v>20</v>
      </c>
      <c r="F13" s="27">
        <f t="shared" si="0"/>
        <v>4.4444444444444446E-2</v>
      </c>
      <c r="G13" s="22">
        <f>SUMIFS('Datos generales'!$E:$E,'Datos generales'!$N:$N,Tablas!G$5,'Datos generales'!$D:$D,Tablas!$B13)</f>
        <v>0</v>
      </c>
      <c r="H13" s="27">
        <f t="shared" ref="H13" si="31">G13/G$17</f>
        <v>0</v>
      </c>
      <c r="I13" s="22">
        <f>SUMIFS('Datos generales'!$E:$E,'Datos generales'!$N:$N,Tablas!I$5,'Datos generales'!$D:$D,Tablas!$B13)</f>
        <v>20</v>
      </c>
      <c r="J13" s="27">
        <f t="shared" ref="J13" si="32">I13/I$17</f>
        <v>3.8461538461538464E-2</v>
      </c>
      <c r="K13" s="22">
        <f>SUMIFS('Datos generales'!$E:$E,'Datos generales'!$N:$N,Tablas!K$5,'Datos generales'!$D:$D,Tablas!$B13)</f>
        <v>50</v>
      </c>
      <c r="L13" s="27">
        <f t="shared" ref="L13" si="33">K13/K$17</f>
        <v>0.12195121951219512</v>
      </c>
      <c r="M13" s="22">
        <f>SUMIFS('Datos generales'!$E:$E,'Datos generales'!$N:$N,Tablas!M$5,'Datos generales'!$D:$D,Tablas!$B13)</f>
        <v>50</v>
      </c>
      <c r="N13" s="27">
        <f t="shared" ref="N13" si="34">M13/M$17</f>
        <v>6.8493150684931503E-2</v>
      </c>
      <c r="O13" s="22">
        <f>SUMIFS('Datos generales'!$E:$E,'Datos generales'!$N:$N,Tablas!O$5,'Datos generales'!$D:$D,Tablas!$B13)</f>
        <v>110</v>
      </c>
      <c r="P13" s="27">
        <f t="shared" ref="P13" si="35">O13/O$17</f>
        <v>0.21153846153846154</v>
      </c>
      <c r="Q13" s="22">
        <f>SUMIFS('Datos generales'!$E:$E,'Datos generales'!$N:$N,Tablas!Q$5,'Datos generales'!$D:$D,Tablas!$B13)</f>
        <v>0</v>
      </c>
      <c r="R13" s="27">
        <f t="shared" ref="R13" si="36">Q13/Q$17</f>
        <v>0</v>
      </c>
      <c r="S13" s="22">
        <f>SUMIFS('Datos generales'!$E:$E,'Datos generales'!$N:$N,Tablas!S$5,'Datos generales'!$D:$D,Tablas!$B13)</f>
        <v>60</v>
      </c>
      <c r="T13" s="27">
        <f t="shared" ref="T13" si="37">S13/S$17</f>
        <v>9.8360655737704916E-2</v>
      </c>
      <c r="U13" s="22">
        <f>SUMIFS('Datos generales'!$E:$E,'Datos generales'!$N:$N,Tablas!U$5,'Datos generales'!$D:$D,Tablas!$B13)</f>
        <v>50</v>
      </c>
      <c r="V13" s="27">
        <f t="shared" ref="V13" si="38">U13/U$17</f>
        <v>0.125</v>
      </c>
      <c r="W13" s="22">
        <f>SUMIFS('Datos generales'!$E:$E,'Datos generales'!$N:$N,Tablas!W$5,'Datos generales'!$D:$D,Tablas!$B13)</f>
        <v>20</v>
      </c>
      <c r="X13" s="27">
        <f t="shared" ref="X13" si="39">W13/W$17</f>
        <v>0.05</v>
      </c>
      <c r="Y13" s="22">
        <f>SUMIFS('Datos generales'!$E:$E,'Datos generales'!$N:$N,Tablas!Y$5,'Datos generales'!$D:$D,Tablas!$B13)</f>
        <v>20</v>
      </c>
      <c r="Z13" s="27">
        <f t="shared" ref="Z13" si="40">Y13/Y$17</f>
        <v>5.8823529411764705E-2</v>
      </c>
    </row>
    <row r="14" spans="2:26" x14ac:dyDescent="0.25">
      <c r="B14" t="s">
        <v>214</v>
      </c>
      <c r="C14" s="22">
        <f>SUMIFS('Datos generales'!$E:$E,'Datos generales'!$N:$N,Tablas!C$5,'Datos generales'!$D:$D,Tablas!$B14)</f>
        <v>30</v>
      </c>
      <c r="D14" s="27">
        <f t="shared" si="0"/>
        <v>5.2631578947368418E-2</v>
      </c>
      <c r="E14" s="22">
        <f>SUMIFS('Datos generales'!$E:$E,'Datos generales'!$N:$N,Tablas!E$5,'Datos generales'!$D:$D,Tablas!$B14)</f>
        <v>50</v>
      </c>
      <c r="F14" s="27">
        <f t="shared" si="0"/>
        <v>0.1111111111111111</v>
      </c>
      <c r="G14" s="22">
        <f>SUMIFS('Datos generales'!$E:$E,'Datos generales'!$N:$N,Tablas!G$5,'Datos generales'!$D:$D,Tablas!$B14)</f>
        <v>60</v>
      </c>
      <c r="H14" s="27">
        <f t="shared" ref="H14" si="41">G14/G$17</f>
        <v>0.13636363636363635</v>
      </c>
      <c r="I14" s="22">
        <f>SUMIFS('Datos generales'!$E:$E,'Datos generales'!$N:$N,Tablas!I$5,'Datos generales'!$D:$D,Tablas!$B14)</f>
        <v>170</v>
      </c>
      <c r="J14" s="27">
        <f t="shared" ref="J14" si="42">I14/I$17</f>
        <v>0.32692307692307693</v>
      </c>
      <c r="K14" s="22">
        <f>SUMIFS('Datos generales'!$E:$E,'Datos generales'!$N:$N,Tablas!K$5,'Datos generales'!$D:$D,Tablas!$B14)</f>
        <v>50</v>
      </c>
      <c r="L14" s="27">
        <f t="shared" ref="L14" si="43">K14/K$17</f>
        <v>0.12195121951219512</v>
      </c>
      <c r="M14" s="22">
        <f>SUMIFS('Datos generales'!$E:$E,'Datos generales'!$N:$N,Tablas!M$5,'Datos generales'!$D:$D,Tablas!$B14)</f>
        <v>90</v>
      </c>
      <c r="N14" s="27">
        <f t="shared" ref="N14" si="44">M14/M$17</f>
        <v>0.12328767123287671</v>
      </c>
      <c r="O14" s="22">
        <f>SUMIFS('Datos generales'!$E:$E,'Datos generales'!$N:$N,Tablas!O$5,'Datos generales'!$D:$D,Tablas!$B14)</f>
        <v>60</v>
      </c>
      <c r="P14" s="27">
        <f t="shared" ref="P14" si="45">O14/O$17</f>
        <v>0.11538461538461539</v>
      </c>
      <c r="Q14" s="22">
        <f>SUMIFS('Datos generales'!$E:$E,'Datos generales'!$N:$N,Tablas!Q$5,'Datos generales'!$D:$D,Tablas!$B14)</f>
        <v>70</v>
      </c>
      <c r="R14" s="27">
        <f t="shared" ref="R14" si="46">Q14/Q$17</f>
        <v>0.14285714285714285</v>
      </c>
      <c r="S14" s="22">
        <f>SUMIFS('Datos generales'!$E:$E,'Datos generales'!$N:$N,Tablas!S$5,'Datos generales'!$D:$D,Tablas!$B14)</f>
        <v>130</v>
      </c>
      <c r="T14" s="27">
        <f t="shared" ref="T14" si="47">S14/S$17</f>
        <v>0.21311475409836064</v>
      </c>
      <c r="U14" s="22">
        <f>SUMIFS('Datos generales'!$E:$E,'Datos generales'!$N:$N,Tablas!U$5,'Datos generales'!$D:$D,Tablas!$B14)</f>
        <v>20</v>
      </c>
      <c r="V14" s="27">
        <f t="shared" ref="V14" si="48">U14/U$17</f>
        <v>0.05</v>
      </c>
      <c r="W14" s="22">
        <f>SUMIFS('Datos generales'!$E:$E,'Datos generales'!$N:$N,Tablas!W$5,'Datos generales'!$D:$D,Tablas!$B14)</f>
        <v>10</v>
      </c>
      <c r="X14" s="27">
        <f t="shared" ref="X14" si="49">W14/W$17</f>
        <v>2.5000000000000001E-2</v>
      </c>
      <c r="Y14" s="22">
        <f>SUMIFS('Datos generales'!$E:$E,'Datos generales'!$N:$N,Tablas!Y$5,'Datos generales'!$D:$D,Tablas!$B14)</f>
        <v>40</v>
      </c>
      <c r="Z14" s="27">
        <f t="shared" ref="Z14" si="50">Y14/Y$17</f>
        <v>0.11764705882352941</v>
      </c>
    </row>
    <row r="15" spans="2:26" x14ac:dyDescent="0.25">
      <c r="B15" t="s">
        <v>213</v>
      </c>
      <c r="C15" s="22">
        <f>SUMIFS('Datos generales'!$E:$E,'Datos generales'!$N:$N,Tablas!C$5,'Datos generales'!$D:$D,Tablas!$B15)</f>
        <v>40</v>
      </c>
      <c r="D15" s="27">
        <f t="shared" si="0"/>
        <v>7.0175438596491224E-2</v>
      </c>
      <c r="E15" s="22">
        <f>SUMIFS('Datos generales'!$E:$E,'Datos generales'!$N:$N,Tablas!E$5,'Datos generales'!$D:$D,Tablas!$B15)</f>
        <v>30</v>
      </c>
      <c r="F15" s="27">
        <f t="shared" si="0"/>
        <v>6.6666666666666666E-2</v>
      </c>
      <c r="G15" s="22">
        <f>SUMIFS('Datos generales'!$E:$E,'Datos generales'!$N:$N,Tablas!G$5,'Datos generales'!$D:$D,Tablas!$B15)</f>
        <v>80</v>
      </c>
      <c r="H15" s="27">
        <f t="shared" ref="H15" si="51">G15/G$17</f>
        <v>0.18181818181818182</v>
      </c>
      <c r="I15" s="22">
        <f>SUMIFS('Datos generales'!$E:$E,'Datos generales'!$N:$N,Tablas!I$5,'Datos generales'!$D:$D,Tablas!$B15)</f>
        <v>70</v>
      </c>
      <c r="J15" s="27">
        <f t="shared" ref="J15" si="52">I15/I$17</f>
        <v>0.13461538461538461</v>
      </c>
      <c r="K15" s="22">
        <f>SUMIFS('Datos generales'!$E:$E,'Datos generales'!$N:$N,Tablas!K$5,'Datos generales'!$D:$D,Tablas!$B15)</f>
        <v>0</v>
      </c>
      <c r="L15" s="27">
        <f t="shared" ref="L15" si="53">K15/K$17</f>
        <v>0</v>
      </c>
      <c r="M15" s="22">
        <f>SUMIFS('Datos generales'!$E:$E,'Datos generales'!$N:$N,Tablas!M$5,'Datos generales'!$D:$D,Tablas!$B15)</f>
        <v>130</v>
      </c>
      <c r="N15" s="27">
        <f t="shared" ref="N15" si="54">M15/M$17</f>
        <v>0.17808219178082191</v>
      </c>
      <c r="O15" s="22">
        <f>SUMIFS('Datos generales'!$E:$E,'Datos generales'!$N:$N,Tablas!O$5,'Datos generales'!$D:$D,Tablas!$B15)</f>
        <v>110</v>
      </c>
      <c r="P15" s="27">
        <f t="shared" ref="P15" si="55">O15/O$17</f>
        <v>0.21153846153846154</v>
      </c>
      <c r="Q15" s="22">
        <f>SUMIFS('Datos generales'!$E:$E,'Datos generales'!$N:$N,Tablas!Q$5,'Datos generales'!$D:$D,Tablas!$B15)</f>
        <v>40</v>
      </c>
      <c r="R15" s="27">
        <f t="shared" ref="R15" si="56">Q15/Q$17</f>
        <v>8.1632653061224483E-2</v>
      </c>
      <c r="S15" s="22">
        <f>SUMIFS('Datos generales'!$E:$E,'Datos generales'!$N:$N,Tablas!S$5,'Datos generales'!$D:$D,Tablas!$B15)</f>
        <v>50</v>
      </c>
      <c r="T15" s="27">
        <f t="shared" ref="T15" si="57">S15/S$17</f>
        <v>8.1967213114754092E-2</v>
      </c>
      <c r="U15" s="22">
        <f>SUMIFS('Datos generales'!$E:$E,'Datos generales'!$N:$N,Tablas!U$5,'Datos generales'!$D:$D,Tablas!$B15)</f>
        <v>100</v>
      </c>
      <c r="V15" s="27">
        <f t="shared" ref="V15" si="58">U15/U$17</f>
        <v>0.25</v>
      </c>
      <c r="W15" s="22">
        <f>SUMIFS('Datos generales'!$E:$E,'Datos generales'!$N:$N,Tablas!W$5,'Datos generales'!$D:$D,Tablas!$B15)</f>
        <v>60</v>
      </c>
      <c r="X15" s="27">
        <f t="shared" ref="X15" si="59">W15/W$17</f>
        <v>0.15</v>
      </c>
      <c r="Y15" s="22">
        <f>SUMIFS('Datos generales'!$E:$E,'Datos generales'!$N:$N,Tablas!Y$5,'Datos generales'!$D:$D,Tablas!$B15)</f>
        <v>80</v>
      </c>
      <c r="Z15" s="27">
        <f t="shared" ref="Z15" si="60">Y15/Y$17</f>
        <v>0.23529411764705882</v>
      </c>
    </row>
    <row r="16" spans="2:26" x14ac:dyDescent="0.25">
      <c r="B16" t="s">
        <v>216</v>
      </c>
      <c r="C16" s="22">
        <f>SUMIFS('Datos generales'!$E:$E,'Datos generales'!$N:$N,Tablas!C$5,'Datos generales'!$D:$D,Tablas!$B16)</f>
        <v>90</v>
      </c>
      <c r="D16" s="27">
        <f t="shared" si="0"/>
        <v>0.15789473684210525</v>
      </c>
      <c r="E16" s="22">
        <f>SUMIFS('Datos generales'!$E:$E,'Datos generales'!$N:$N,Tablas!E$5,'Datos generales'!$D:$D,Tablas!$B16)</f>
        <v>90</v>
      </c>
      <c r="F16" s="27">
        <f>E16/E$17</f>
        <v>0.2</v>
      </c>
      <c r="G16" s="22">
        <f>SUMIFS('Datos generales'!$E:$E,'Datos generales'!$N:$N,Tablas!G$5,'Datos generales'!$D:$D,Tablas!$B16)</f>
        <v>30</v>
      </c>
      <c r="H16" s="27">
        <f>G16/G$17</f>
        <v>6.8181818181818177E-2</v>
      </c>
      <c r="I16" s="22">
        <f>SUMIFS('Datos generales'!$E:$E,'Datos generales'!$N:$N,Tablas!I$5,'Datos generales'!$D:$D,Tablas!$B16)</f>
        <v>60</v>
      </c>
      <c r="J16" s="27">
        <f>I16/I$17</f>
        <v>0.11538461538461539</v>
      </c>
      <c r="K16" s="22">
        <f>SUMIFS('Datos generales'!$E:$E,'Datos generales'!$N:$N,Tablas!K$5,'Datos generales'!$D:$D,Tablas!$B16)</f>
        <v>70</v>
      </c>
      <c r="L16" s="27">
        <f>K16/K$17</f>
        <v>0.17073170731707318</v>
      </c>
      <c r="M16" s="22">
        <f>SUMIFS('Datos generales'!$E:$E,'Datos generales'!$N:$N,Tablas!M$5,'Datos generales'!$D:$D,Tablas!$B16)</f>
        <v>50</v>
      </c>
      <c r="N16" s="27">
        <f>M16/M$17</f>
        <v>6.8493150684931503E-2</v>
      </c>
      <c r="O16" s="22">
        <f>SUMIFS('Datos generales'!$E:$E,'Datos generales'!$N:$N,Tablas!O$5,'Datos generales'!$D:$D,Tablas!$B16)</f>
        <v>90</v>
      </c>
      <c r="P16" s="27">
        <f>O16/O$17</f>
        <v>0.17307692307692307</v>
      </c>
      <c r="Q16" s="22">
        <f>SUMIFS('Datos generales'!$E:$E,'Datos generales'!$N:$N,Tablas!Q$5,'Datos generales'!$D:$D,Tablas!$B16)</f>
        <v>120</v>
      </c>
      <c r="R16" s="27">
        <f>Q16/Q$17</f>
        <v>0.24489795918367346</v>
      </c>
      <c r="S16" s="22">
        <f>SUMIFS('Datos generales'!$E:$E,'Datos generales'!$N:$N,Tablas!S$5,'Datos generales'!$D:$D,Tablas!$B16)</f>
        <v>170</v>
      </c>
      <c r="T16" s="27">
        <f>S16/S$17</f>
        <v>0.27868852459016391</v>
      </c>
      <c r="U16" s="22">
        <f>SUMIFS('Datos generales'!$E:$E,'Datos generales'!$N:$N,Tablas!U$5,'Datos generales'!$D:$D,Tablas!$B16)</f>
        <v>100</v>
      </c>
      <c r="V16" s="27">
        <f>U16/U$17</f>
        <v>0.25</v>
      </c>
      <c r="W16" s="22">
        <f>SUMIFS('Datos generales'!$E:$E,'Datos generales'!$N:$N,Tablas!W$5,'Datos generales'!$D:$D,Tablas!$B16)</f>
        <v>0</v>
      </c>
      <c r="X16" s="27">
        <f>W16/W$17</f>
        <v>0</v>
      </c>
      <c r="Y16" s="22">
        <f>SUMIFS('Datos generales'!$E:$E,'Datos generales'!$N:$N,Tablas!Y$5,'Datos generales'!$D:$D,Tablas!$B16)</f>
        <v>60</v>
      </c>
      <c r="Z16" s="27">
        <f>Y16/Y$17</f>
        <v>0.17647058823529413</v>
      </c>
    </row>
    <row r="17" spans="2:26" x14ac:dyDescent="0.25">
      <c r="B17" s="28" t="s">
        <v>249</v>
      </c>
      <c r="C17" s="29">
        <f>SUM(C9:C16)</f>
        <v>570</v>
      </c>
      <c r="D17" s="30">
        <f>SUM(D9:D16)</f>
        <v>1</v>
      </c>
      <c r="E17" s="29">
        <f t="shared" ref="E17:Z17" si="61">SUM(E9:E16)</f>
        <v>450</v>
      </c>
      <c r="F17" s="30">
        <f t="shared" si="61"/>
        <v>0.99999999999999978</v>
      </c>
      <c r="G17" s="29">
        <f t="shared" si="61"/>
        <v>440</v>
      </c>
      <c r="H17" s="30">
        <f t="shared" si="61"/>
        <v>1</v>
      </c>
      <c r="I17" s="29">
        <f t="shared" si="61"/>
        <v>520</v>
      </c>
      <c r="J17" s="30">
        <f t="shared" si="61"/>
        <v>1</v>
      </c>
      <c r="K17" s="29">
        <f t="shared" si="61"/>
        <v>410</v>
      </c>
      <c r="L17" s="30">
        <f t="shared" si="61"/>
        <v>1</v>
      </c>
      <c r="M17" s="29">
        <f t="shared" si="61"/>
        <v>730</v>
      </c>
      <c r="N17" s="30">
        <f t="shared" si="61"/>
        <v>1.0000000000000002</v>
      </c>
      <c r="O17" s="29">
        <f t="shared" si="61"/>
        <v>520</v>
      </c>
      <c r="P17" s="30">
        <f t="shared" si="61"/>
        <v>1</v>
      </c>
      <c r="Q17" s="29">
        <f t="shared" si="61"/>
        <v>490</v>
      </c>
      <c r="R17" s="30">
        <f t="shared" si="61"/>
        <v>0.99999999999999978</v>
      </c>
      <c r="S17" s="29">
        <f t="shared" si="61"/>
        <v>610</v>
      </c>
      <c r="T17" s="30">
        <f t="shared" si="61"/>
        <v>1</v>
      </c>
      <c r="U17" s="29">
        <f t="shared" si="61"/>
        <v>400</v>
      </c>
      <c r="V17" s="30">
        <f t="shared" si="61"/>
        <v>1</v>
      </c>
      <c r="W17" s="29">
        <f t="shared" si="61"/>
        <v>400</v>
      </c>
      <c r="X17" s="30">
        <f t="shared" si="61"/>
        <v>1</v>
      </c>
      <c r="Y17" s="29">
        <f t="shared" si="61"/>
        <v>340</v>
      </c>
      <c r="Z17" s="30">
        <f t="shared" si="61"/>
        <v>1</v>
      </c>
    </row>
    <row r="20" spans="2:26" s="32" customFormat="1" ht="27.75" customHeight="1" x14ac:dyDescent="0.25">
      <c r="B20" s="36" t="s">
        <v>256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3" spans="2:26" x14ac:dyDescent="0.25">
      <c r="C23" s="24" t="s">
        <v>3</v>
      </c>
      <c r="D23" s="23" t="s">
        <v>215</v>
      </c>
    </row>
    <row r="24" spans="2:26" x14ac:dyDescent="0.25">
      <c r="C24"/>
      <c r="D24"/>
      <c r="E24"/>
    </row>
    <row r="25" spans="2:26" x14ac:dyDescent="0.25">
      <c r="B25" s="35" t="s">
        <v>258</v>
      </c>
      <c r="C25"/>
      <c r="D25"/>
      <c r="E25"/>
    </row>
    <row r="26" spans="2:26" x14ac:dyDescent="0.25">
      <c r="C26" s="25">
        <v>1</v>
      </c>
      <c r="D26" s="25">
        <v>2</v>
      </c>
      <c r="E26" s="25">
        <v>3</v>
      </c>
      <c r="F26" s="25">
        <v>4</v>
      </c>
      <c r="G26" s="25">
        <v>5</v>
      </c>
      <c r="H26" s="25">
        <v>6</v>
      </c>
      <c r="I26" s="25">
        <v>7</v>
      </c>
      <c r="J26" s="25">
        <v>8</v>
      </c>
      <c r="K26" s="25">
        <v>9</v>
      </c>
      <c r="L26" s="25">
        <v>10</v>
      </c>
      <c r="M26" s="25">
        <v>11</v>
      </c>
      <c r="N26" s="25">
        <v>12</v>
      </c>
    </row>
    <row r="27" spans="2:26" x14ac:dyDescent="0.25">
      <c r="C27" s="25" t="s">
        <v>235</v>
      </c>
      <c r="D27" s="25" t="s">
        <v>236</v>
      </c>
      <c r="E27" s="25" t="s">
        <v>237</v>
      </c>
      <c r="F27" s="25" t="s">
        <v>238</v>
      </c>
      <c r="G27" s="25" t="s">
        <v>239</v>
      </c>
      <c r="H27" s="25" t="s">
        <v>240</v>
      </c>
      <c r="I27" s="25" t="s">
        <v>241</v>
      </c>
      <c r="J27" s="25" t="s">
        <v>242</v>
      </c>
      <c r="K27" s="25" t="s">
        <v>243</v>
      </c>
      <c r="L27" s="25" t="s">
        <v>244</v>
      </c>
      <c r="M27" s="25" t="s">
        <v>245</v>
      </c>
      <c r="N27" s="25" t="s">
        <v>246</v>
      </c>
    </row>
    <row r="28" spans="2:26" x14ac:dyDescent="0.25">
      <c r="B28" s="26" t="s">
        <v>252</v>
      </c>
      <c r="C28" s="22">
        <f>SUMIFS('Datos generales'!$E:$E,'Datos generales'!$N:$N,Tablas!C$27,'Datos generales'!$D:$D,Tablas!$D$23,'Datos generales'!$Q:$Q,Tablas!$B28)</f>
        <v>80</v>
      </c>
      <c r="D28" s="22">
        <f>SUMIFS('Datos generales'!$E:$E,'Datos generales'!$N:$N,Tablas!D$27,'Datos generales'!$D:$D,Tablas!$D$23,'Datos generales'!$Q:$Q,Tablas!$B28)</f>
        <v>70</v>
      </c>
      <c r="E28" s="22">
        <f>SUMIFS('Datos generales'!$E:$E,'Datos generales'!$N:$N,Tablas!E$27,'Datos generales'!$D:$D,Tablas!$D$23,'Datos generales'!$Q:$Q,Tablas!$B28)</f>
        <v>60</v>
      </c>
      <c r="F28" s="22">
        <f>SUMIFS('Datos generales'!$E:$E,'Datos generales'!$N:$N,Tablas!F$27,'Datos generales'!$D:$D,Tablas!$D$23,'Datos generales'!$Q:$Q,Tablas!$B28)</f>
        <v>20</v>
      </c>
      <c r="G28" s="22">
        <f>SUMIFS('Datos generales'!$E:$E,'Datos generales'!$N:$N,Tablas!G$27,'Datos generales'!$D:$D,Tablas!$D$23,'Datos generales'!$Q:$Q,Tablas!$B28)</f>
        <v>20</v>
      </c>
      <c r="H28" s="22">
        <f>SUMIFS('Datos generales'!$E:$E,'Datos generales'!$N:$N,Tablas!H$27,'Datos generales'!$D:$D,Tablas!$D$23,'Datos generales'!$Q:$Q,Tablas!$B28)</f>
        <v>180</v>
      </c>
      <c r="I28" s="22">
        <f>SUMIFS('Datos generales'!$E:$E,'Datos generales'!$N:$N,Tablas!I$27,'Datos generales'!$D:$D,Tablas!$D$23,'Datos generales'!$Q:$Q,Tablas!$B28)</f>
        <v>0</v>
      </c>
      <c r="J28" s="22">
        <f>SUMIFS('Datos generales'!$E:$E,'Datos generales'!$N:$N,Tablas!J$27,'Datos generales'!$D:$D,Tablas!$D$23,'Datos generales'!$Q:$Q,Tablas!$B28)</f>
        <v>70</v>
      </c>
      <c r="K28" s="22">
        <f>SUMIFS('Datos generales'!$E:$E,'Datos generales'!$N:$N,Tablas!K$27,'Datos generales'!$D:$D,Tablas!$D$23,'Datos generales'!$Q:$Q,Tablas!$B28)</f>
        <v>10</v>
      </c>
      <c r="L28" s="22">
        <f>SUMIFS('Datos generales'!$E:$E,'Datos generales'!$N:$N,Tablas!L$27,'Datos generales'!$D:$D,Tablas!$D$23,'Datos generales'!$Q:$Q,Tablas!$B28)</f>
        <v>50</v>
      </c>
      <c r="M28" s="22">
        <f>SUMIFS('Datos generales'!$E:$E,'Datos generales'!$N:$N,Tablas!M$27,'Datos generales'!$D:$D,Tablas!$D$23,'Datos generales'!$Q:$Q,Tablas!$B28)</f>
        <v>0</v>
      </c>
      <c r="N28" s="22">
        <f>SUMIFS('Datos generales'!$E:$E,'Datos generales'!$N:$N,Tablas!N$27,'Datos generales'!$D:$D,Tablas!$D$23,'Datos generales'!$Q:$Q,Tablas!$B28)</f>
        <v>0</v>
      </c>
    </row>
    <row r="29" spans="2:26" x14ac:dyDescent="0.25">
      <c r="B29" s="26" t="s">
        <v>253</v>
      </c>
      <c r="C29" s="22">
        <f>SUMIFS('Datos generales'!$E:$E,'Datos generales'!$N:$N,Tablas!C$27,'Datos generales'!$D:$D,Tablas!$D$23,'Datos generales'!$Q:$Q,Tablas!$B29)</f>
        <v>40</v>
      </c>
      <c r="D29" s="22">
        <f>SUMIFS('Datos generales'!$E:$E,'Datos generales'!$N:$N,Tablas!D$27,'Datos generales'!$D:$D,Tablas!$D$23,'Datos generales'!$Q:$Q,Tablas!$B29)</f>
        <v>50</v>
      </c>
      <c r="E29" s="22">
        <f>SUMIFS('Datos generales'!$E:$E,'Datos generales'!$N:$N,Tablas!E$27,'Datos generales'!$D:$D,Tablas!$D$23,'Datos generales'!$Q:$Q,Tablas!$B29)</f>
        <v>60</v>
      </c>
      <c r="F29" s="22">
        <f>SUMIFS('Datos generales'!$E:$E,'Datos generales'!$N:$N,Tablas!F$27,'Datos generales'!$D:$D,Tablas!$D$23,'Datos generales'!$Q:$Q,Tablas!$B29)</f>
        <v>0</v>
      </c>
      <c r="G29" s="22">
        <f>SUMIFS('Datos generales'!$E:$E,'Datos generales'!$N:$N,Tablas!G$27,'Datos generales'!$D:$D,Tablas!$D$23,'Datos generales'!$Q:$Q,Tablas!$B29)</f>
        <v>0</v>
      </c>
      <c r="H29" s="22">
        <f>SUMIFS('Datos generales'!$E:$E,'Datos generales'!$N:$N,Tablas!H$27,'Datos generales'!$D:$D,Tablas!$D$23,'Datos generales'!$Q:$Q,Tablas!$B29)</f>
        <v>0</v>
      </c>
      <c r="I29" s="22">
        <f>SUMIFS('Datos generales'!$E:$E,'Datos generales'!$N:$N,Tablas!I$27,'Datos generales'!$D:$D,Tablas!$D$23,'Datos generales'!$Q:$Q,Tablas!$B29)</f>
        <v>50</v>
      </c>
      <c r="J29" s="22">
        <f>SUMIFS('Datos generales'!$E:$E,'Datos generales'!$N:$N,Tablas!J$27,'Datos generales'!$D:$D,Tablas!$D$23,'Datos generales'!$Q:$Q,Tablas!$B29)</f>
        <v>90</v>
      </c>
      <c r="K29" s="22">
        <f>SUMIFS('Datos generales'!$E:$E,'Datos generales'!$N:$N,Tablas!K$27,'Datos generales'!$D:$D,Tablas!$D$23,'Datos generales'!$Q:$Q,Tablas!$B29)</f>
        <v>30</v>
      </c>
      <c r="L29" s="22">
        <f>SUMIFS('Datos generales'!$E:$E,'Datos generales'!$N:$N,Tablas!L$27,'Datos generales'!$D:$D,Tablas!$D$23,'Datos generales'!$Q:$Q,Tablas!$B29)</f>
        <v>0</v>
      </c>
      <c r="M29" s="22">
        <f>SUMIFS('Datos generales'!$E:$E,'Datos generales'!$N:$N,Tablas!M$27,'Datos generales'!$D:$D,Tablas!$D$23,'Datos generales'!$Q:$Q,Tablas!$B29)</f>
        <v>0</v>
      </c>
      <c r="N29" s="22">
        <f>SUMIFS('Datos generales'!$E:$E,'Datos generales'!$N:$N,Tablas!N$27,'Datos generales'!$D:$D,Tablas!$D$23,'Datos generales'!$Q:$Q,Tablas!$B29)</f>
        <v>0</v>
      </c>
    </row>
    <row r="30" spans="2:26" x14ac:dyDescent="0.25">
      <c r="B30" s="26" t="s">
        <v>254</v>
      </c>
      <c r="C30" s="22">
        <f>SUMIFS('Datos generales'!$E:$E,'Datos generales'!$N:$N,Tablas!C$27,'Datos generales'!$D:$D,Tablas!$D$23,'Datos generales'!$Q:$Q,Tablas!$B30)</f>
        <v>40</v>
      </c>
      <c r="D30" s="22">
        <f>SUMIFS('Datos generales'!$E:$E,'Datos generales'!$N:$N,Tablas!D$27,'Datos generales'!$D:$D,Tablas!$D$23,'Datos generales'!$Q:$Q,Tablas!$B30)</f>
        <v>0</v>
      </c>
      <c r="E30" s="22">
        <f>SUMIFS('Datos generales'!$E:$E,'Datos generales'!$N:$N,Tablas!E$27,'Datos generales'!$D:$D,Tablas!$D$23,'Datos generales'!$Q:$Q,Tablas!$B30)</f>
        <v>0</v>
      </c>
      <c r="F30" s="22">
        <f>SUMIFS('Datos generales'!$E:$E,'Datos generales'!$N:$N,Tablas!F$27,'Datos generales'!$D:$D,Tablas!$D$23,'Datos generales'!$Q:$Q,Tablas!$B30)</f>
        <v>0</v>
      </c>
      <c r="G30" s="22">
        <f>SUMIFS('Datos generales'!$E:$E,'Datos generales'!$N:$N,Tablas!G$27,'Datos generales'!$D:$D,Tablas!$D$23,'Datos generales'!$Q:$Q,Tablas!$B30)</f>
        <v>0</v>
      </c>
      <c r="H30" s="22">
        <f>SUMIFS('Datos generales'!$E:$E,'Datos generales'!$N:$N,Tablas!H$27,'Datos generales'!$D:$D,Tablas!$D$23,'Datos generales'!$Q:$Q,Tablas!$B30)</f>
        <v>0</v>
      </c>
      <c r="I30" s="22">
        <f>SUMIFS('Datos generales'!$E:$E,'Datos generales'!$N:$N,Tablas!I$27,'Datos generales'!$D:$D,Tablas!$D$23,'Datos generales'!$Q:$Q,Tablas!$B30)</f>
        <v>0</v>
      </c>
      <c r="J30" s="22">
        <f>SUMIFS('Datos generales'!$E:$E,'Datos generales'!$N:$N,Tablas!J$27,'Datos generales'!$D:$D,Tablas!$D$23,'Datos generales'!$Q:$Q,Tablas!$B30)</f>
        <v>0</v>
      </c>
      <c r="K30" s="22">
        <f>SUMIFS('Datos generales'!$E:$E,'Datos generales'!$N:$N,Tablas!K$27,'Datos generales'!$D:$D,Tablas!$D$23,'Datos generales'!$Q:$Q,Tablas!$B30)</f>
        <v>0</v>
      </c>
      <c r="L30" s="22">
        <f>SUMIFS('Datos generales'!$E:$E,'Datos generales'!$N:$N,Tablas!L$27,'Datos generales'!$D:$D,Tablas!$D$23,'Datos generales'!$Q:$Q,Tablas!$B30)</f>
        <v>0</v>
      </c>
      <c r="M30" s="22">
        <f>SUMIFS('Datos generales'!$E:$E,'Datos generales'!$N:$N,Tablas!M$27,'Datos generales'!$D:$D,Tablas!$D$23,'Datos generales'!$Q:$Q,Tablas!$B30)</f>
        <v>0</v>
      </c>
      <c r="N30" s="22">
        <f>SUMIFS('Datos generales'!$E:$E,'Datos generales'!$N:$N,Tablas!N$27,'Datos generales'!$D:$D,Tablas!$D$23,'Datos generales'!$Q:$Q,Tablas!$B30)</f>
        <v>0</v>
      </c>
    </row>
    <row r="31" spans="2:26" x14ac:dyDescent="0.25">
      <c r="B31" s="31" t="s">
        <v>255</v>
      </c>
      <c r="C31" s="6">
        <f>SUM(C28:C30)</f>
        <v>160</v>
      </c>
      <c r="D31" s="6">
        <f t="shared" ref="D31:N31" si="62">SUM(D28:D30)</f>
        <v>120</v>
      </c>
      <c r="E31" s="6">
        <f t="shared" si="62"/>
        <v>120</v>
      </c>
      <c r="F31" s="6">
        <f t="shared" si="62"/>
        <v>20</v>
      </c>
      <c r="G31" s="6">
        <f t="shared" si="62"/>
        <v>20</v>
      </c>
      <c r="H31" s="6">
        <f t="shared" si="62"/>
        <v>180</v>
      </c>
      <c r="I31" s="6">
        <f t="shared" si="62"/>
        <v>50</v>
      </c>
      <c r="J31" s="6">
        <f t="shared" si="62"/>
        <v>160</v>
      </c>
      <c r="K31" s="6">
        <f t="shared" si="62"/>
        <v>40</v>
      </c>
      <c r="L31" s="6">
        <f t="shared" si="62"/>
        <v>50</v>
      </c>
      <c r="M31" s="6">
        <f t="shared" si="62"/>
        <v>0</v>
      </c>
      <c r="N31" s="6">
        <f t="shared" si="62"/>
        <v>0</v>
      </c>
    </row>
    <row r="33" spans="2:14" x14ac:dyDescent="0.25">
      <c r="B33" s="35" t="s">
        <v>259</v>
      </c>
      <c r="C33"/>
      <c r="D33"/>
      <c r="E33"/>
    </row>
    <row r="34" spans="2:14" x14ac:dyDescent="0.25">
      <c r="C34" s="25">
        <v>1</v>
      </c>
      <c r="D34" s="25">
        <v>2</v>
      </c>
      <c r="E34" s="25">
        <v>3</v>
      </c>
      <c r="F34" s="25">
        <v>4</v>
      </c>
      <c r="G34" s="25">
        <v>5</v>
      </c>
      <c r="H34" s="25">
        <v>6</v>
      </c>
      <c r="I34" s="25">
        <v>7</v>
      </c>
      <c r="J34" s="25">
        <v>8</v>
      </c>
      <c r="K34" s="25">
        <v>9</v>
      </c>
      <c r="L34" s="25">
        <v>10</v>
      </c>
      <c r="M34" s="25">
        <v>11</v>
      </c>
      <c r="N34" s="25">
        <v>12</v>
      </c>
    </row>
    <row r="35" spans="2:14" x14ac:dyDescent="0.25">
      <c r="C35" s="25" t="s">
        <v>235</v>
      </c>
      <c r="D35" s="25" t="s">
        <v>236</v>
      </c>
      <c r="E35" s="25" t="s">
        <v>237</v>
      </c>
      <c r="F35" s="25" t="s">
        <v>238</v>
      </c>
      <c r="G35" s="25" t="s">
        <v>239</v>
      </c>
      <c r="H35" s="25" t="s">
        <v>240</v>
      </c>
      <c r="I35" s="25" t="s">
        <v>241</v>
      </c>
      <c r="J35" s="25" t="s">
        <v>242</v>
      </c>
      <c r="K35" s="25" t="s">
        <v>243</v>
      </c>
      <c r="L35" s="25" t="s">
        <v>244</v>
      </c>
      <c r="M35" s="25" t="s">
        <v>245</v>
      </c>
      <c r="N35" s="25" t="s">
        <v>246</v>
      </c>
    </row>
    <row r="36" spans="2:14" x14ac:dyDescent="0.25">
      <c r="B36" s="26" t="s">
        <v>252</v>
      </c>
      <c r="C36" s="27">
        <f t="shared" ref="C36:N36" si="63">IFERROR(C28/C31,"")</f>
        <v>0.5</v>
      </c>
      <c r="D36" s="27">
        <f t="shared" si="63"/>
        <v>0.58333333333333337</v>
      </c>
      <c r="E36" s="27">
        <f t="shared" si="63"/>
        <v>0.5</v>
      </c>
      <c r="F36" s="27">
        <f t="shared" si="63"/>
        <v>1</v>
      </c>
      <c r="G36" s="27">
        <f t="shared" si="63"/>
        <v>1</v>
      </c>
      <c r="H36" s="27">
        <f t="shared" si="63"/>
        <v>1</v>
      </c>
      <c r="I36" s="27">
        <f t="shared" si="63"/>
        <v>0</v>
      </c>
      <c r="J36" s="27">
        <f t="shared" si="63"/>
        <v>0.4375</v>
      </c>
      <c r="K36" s="27">
        <f t="shared" si="63"/>
        <v>0.25</v>
      </c>
      <c r="L36" s="27">
        <f t="shared" si="63"/>
        <v>1</v>
      </c>
      <c r="M36" s="27" t="str">
        <f t="shared" si="63"/>
        <v/>
      </c>
      <c r="N36" s="27" t="str">
        <f t="shared" si="63"/>
        <v/>
      </c>
    </row>
    <row r="37" spans="2:14" x14ac:dyDescent="0.25">
      <c r="B37" s="26" t="s">
        <v>253</v>
      </c>
      <c r="C37" s="27">
        <f>IFERROR(C29/C31,"")</f>
        <v>0.25</v>
      </c>
      <c r="D37" s="27">
        <f t="shared" ref="D37:N37" si="64">IFERROR(D29/D31,"")</f>
        <v>0.41666666666666669</v>
      </c>
      <c r="E37" s="27">
        <f t="shared" si="64"/>
        <v>0.5</v>
      </c>
      <c r="F37" s="27">
        <f t="shared" si="64"/>
        <v>0</v>
      </c>
      <c r="G37" s="27">
        <f t="shared" si="64"/>
        <v>0</v>
      </c>
      <c r="H37" s="27">
        <f t="shared" si="64"/>
        <v>0</v>
      </c>
      <c r="I37" s="27">
        <f t="shared" si="64"/>
        <v>1</v>
      </c>
      <c r="J37" s="27">
        <f t="shared" si="64"/>
        <v>0.5625</v>
      </c>
      <c r="K37" s="27">
        <f t="shared" si="64"/>
        <v>0.75</v>
      </c>
      <c r="L37" s="27">
        <f t="shared" si="64"/>
        <v>0</v>
      </c>
      <c r="M37" s="27" t="str">
        <f t="shared" si="64"/>
        <v/>
      </c>
      <c r="N37" s="27" t="str">
        <f t="shared" si="64"/>
        <v/>
      </c>
    </row>
    <row r="38" spans="2:14" x14ac:dyDescent="0.25">
      <c r="B38" s="26" t="s">
        <v>254</v>
      </c>
      <c r="C38" s="27">
        <f>IFERROR(C30/C31,"")</f>
        <v>0.25</v>
      </c>
      <c r="D38" s="27">
        <f t="shared" ref="D38:N38" si="65">IFERROR(D30/D31,"")</f>
        <v>0</v>
      </c>
      <c r="E38" s="27">
        <f t="shared" si="65"/>
        <v>0</v>
      </c>
      <c r="F38" s="27">
        <f t="shared" si="65"/>
        <v>0</v>
      </c>
      <c r="G38" s="27">
        <f t="shared" si="65"/>
        <v>0</v>
      </c>
      <c r="H38" s="27">
        <f t="shared" si="65"/>
        <v>0</v>
      </c>
      <c r="I38" s="27">
        <f t="shared" si="65"/>
        <v>0</v>
      </c>
      <c r="J38" s="27">
        <f t="shared" si="65"/>
        <v>0</v>
      </c>
      <c r="K38" s="27">
        <f t="shared" si="65"/>
        <v>0</v>
      </c>
      <c r="L38" s="27">
        <f t="shared" si="65"/>
        <v>0</v>
      </c>
      <c r="M38" s="27" t="str">
        <f t="shared" si="65"/>
        <v/>
      </c>
      <c r="N38" s="27" t="str">
        <f t="shared" si="65"/>
        <v/>
      </c>
    </row>
  </sheetData>
  <mergeCells count="14">
    <mergeCell ref="B2:Z2"/>
    <mergeCell ref="B20:Z20"/>
    <mergeCell ref="Y5:Z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honeticPr fontId="3" type="noConversion"/>
  <conditionalFormatting sqref="C28:C30">
    <cfRule type="colorScale" priority="5">
      <colorScale>
        <cfvo type="min"/>
        <cfvo type="max"/>
        <color rgb="FFFCFCFF"/>
        <color rgb="FF63BE7B"/>
      </colorScale>
    </cfRule>
  </conditionalFormatting>
  <conditionalFormatting sqref="C36:C38">
    <cfRule type="colorScale" priority="8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:D16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D28:D30">
    <cfRule type="colorScale" priority="3">
      <colorScale>
        <cfvo type="min"/>
        <cfvo type="max"/>
        <color rgb="FFFCFCFF"/>
        <color rgb="FF63BE7B"/>
      </colorScale>
    </cfRule>
  </conditionalFormatting>
  <conditionalFormatting sqref="D36:D3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E28:E30">
    <cfRule type="colorScale" priority="2">
      <colorScale>
        <cfvo type="min"/>
        <cfvo type="max"/>
        <color rgb="FFFCFCFF"/>
        <color rgb="FF63BE7B"/>
      </colorScale>
    </cfRule>
  </conditionalFormatting>
  <conditionalFormatting sqref="E36:N38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:F16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max"/>
        <color rgb="FFFCFCFF"/>
        <color rgb="FF63BE7B"/>
      </colorScale>
    </cfRule>
  </conditionalFormatting>
  <conditionalFormatting sqref="F28:F30">
    <cfRule type="colorScale" priority="1">
      <colorScale>
        <cfvo type="min"/>
        <cfvo type="max"/>
        <color rgb="FFFCFCFF"/>
        <color rgb="FF63BE7B"/>
      </colorScale>
    </cfRule>
  </conditionalFormatting>
  <conditionalFormatting sqref="G28:N30">
    <cfRule type="colorScale" priority="4">
      <colorScale>
        <cfvo type="min"/>
        <cfvo type="max"/>
        <color rgb="FFFCFCFF"/>
        <color rgb="FF63BE7B"/>
      </colorScale>
    </cfRule>
  </conditionalFormatting>
  <conditionalFormatting sqref="H9:H16">
    <cfRule type="colorScale" priority="29">
      <colorScale>
        <cfvo type="min"/>
        <cfvo type="max"/>
        <color rgb="FFFCFCFF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:J16">
    <cfRule type="colorScale" priority="27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:L16">
    <cfRule type="colorScale" priority="25">
      <colorScale>
        <cfvo type="min"/>
        <cfvo type="max"/>
        <color rgb="FFFCFCFF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9:N16">
    <cfRule type="colorScale" priority="23">
      <colorScale>
        <cfvo type="min"/>
        <cfvo type="max"/>
        <color rgb="FFFCFCFF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P16">
    <cfRule type="colorScale" priority="21">
      <colorScale>
        <cfvo type="min"/>
        <cfvo type="max"/>
        <color rgb="FFFCFCFF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:R16">
    <cfRule type="colorScale" priority="19">
      <colorScale>
        <cfvo type="min"/>
        <cfvo type="max"/>
        <color rgb="FFFCFCFF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:T16"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:V1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X9:X16">
    <cfRule type="colorScale" priority="13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:Z16"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D23" xr:uid="{AC6AABB0-6FA8-4B8E-B287-AB38721FB06C}">
      <formula1>$B$9:$B$16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F42A-4B30-4954-8ABD-A2CB7A2F6CBE}">
  <sheetPr>
    <tabColor theme="3" tint="0.59999389629810485"/>
  </sheetPr>
  <dimension ref="B2:Z36"/>
  <sheetViews>
    <sheetView topLeftCell="A9" workbookViewId="0">
      <selection activeCell="C5" sqref="C5"/>
    </sheetView>
  </sheetViews>
  <sheetFormatPr baseColWidth="10" defaultRowHeight="15" x14ac:dyDescent="0.25"/>
  <cols>
    <col min="1" max="1" width="5.5703125" customWidth="1"/>
    <col min="2" max="2" width="15.28515625" customWidth="1"/>
  </cols>
  <sheetData>
    <row r="2" spans="2:26" s="32" customFormat="1" ht="27.75" customHeight="1" x14ac:dyDescent="0.25">
      <c r="B2" s="36" t="s">
        <v>257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5" spans="2:26" x14ac:dyDescent="0.25">
      <c r="B5" s="24" t="s">
        <v>8</v>
      </c>
      <c r="C5" s="23">
        <v>2023</v>
      </c>
    </row>
    <row r="9" spans="2:26" x14ac:dyDescent="0.25">
      <c r="C9" t="s">
        <v>235</v>
      </c>
      <c r="D9" s="19">
        <f>SUMIFS(Ventas!$C:$C,Ventas!$E:$E,Graficos!$C$5,Ventas!$D:$D,Graficos!C9)</f>
        <v>163794.99999999994</v>
      </c>
      <c r="N9" t="s">
        <v>235</v>
      </c>
      <c r="O9">
        <f>SUMIFS(Pedidos!$B:$B,Ventas!$E:$E,Graficos!$C$5,Ventas!$D:$D,Graficos!N9)</f>
        <v>200</v>
      </c>
    </row>
    <row r="10" spans="2:26" x14ac:dyDescent="0.25">
      <c r="C10" t="s">
        <v>236</v>
      </c>
      <c r="D10" s="19">
        <f>SUMIFS(Ventas!$C:$C,Ventas!$E:$E,Graficos!$C$5,Ventas!$D:$D,Graficos!C10)</f>
        <v>176734.09999999998</v>
      </c>
      <c r="N10" t="s">
        <v>236</v>
      </c>
      <c r="O10">
        <f>SUMIFS(Pedidos!$B:$B,Ventas!$E:$E,Graficos!$C$5,Ventas!$D:$D,Graficos!N10)</f>
        <v>150</v>
      </c>
    </row>
    <row r="11" spans="2:26" x14ac:dyDescent="0.25">
      <c r="C11" t="s">
        <v>237</v>
      </c>
      <c r="D11" s="19">
        <f>SUMIFS(Ventas!$C:$C,Ventas!$E:$E,Graficos!$C$5,Ventas!$D:$D,Graficos!C11)</f>
        <v>160612.4</v>
      </c>
      <c r="N11" t="s">
        <v>237</v>
      </c>
      <c r="O11">
        <f>SUMIFS(Pedidos!$B:$B,Ventas!$E:$E,Graficos!$C$5,Ventas!$D:$D,Graficos!N11)</f>
        <v>130</v>
      </c>
    </row>
    <row r="12" spans="2:26" x14ac:dyDescent="0.25">
      <c r="C12" t="s">
        <v>238</v>
      </c>
      <c r="D12" s="19">
        <f>SUMIFS(Ventas!$C:$C,Ventas!$E:$E,Graficos!$C$5,Ventas!$D:$D,Graficos!C12)</f>
        <v>116355.40000000002</v>
      </c>
      <c r="N12" t="s">
        <v>238</v>
      </c>
      <c r="O12">
        <f>SUMIFS(Pedidos!$B:$B,Ventas!$E:$E,Graficos!$C$5,Ventas!$D:$D,Graficos!N12)</f>
        <v>180</v>
      </c>
    </row>
    <row r="13" spans="2:26" x14ac:dyDescent="0.25">
      <c r="C13" t="s">
        <v>239</v>
      </c>
      <c r="D13" s="19">
        <f>SUMIFS(Ventas!$C:$C,Ventas!$E:$E,Graficos!$C$5,Ventas!$D:$D,Graficos!C13)</f>
        <v>89236.6</v>
      </c>
      <c r="N13" t="s">
        <v>239</v>
      </c>
      <c r="O13">
        <f>SUMIFS(Pedidos!$B:$B,Ventas!$E:$E,Graficos!$C$5,Ventas!$D:$D,Graficos!N13)</f>
        <v>70</v>
      </c>
    </row>
    <row r="14" spans="2:26" x14ac:dyDescent="0.25">
      <c r="C14" t="s">
        <v>240</v>
      </c>
      <c r="D14" s="19">
        <f>SUMIFS(Ventas!$C:$C,Ventas!$E:$E,Graficos!$C$5,Ventas!$D:$D,Graficos!C14)</f>
        <v>123762.19999999994</v>
      </c>
      <c r="N14" t="s">
        <v>240</v>
      </c>
      <c r="O14">
        <f>SUMIFS(Pedidos!$B:$B,Ventas!$E:$E,Graficos!$C$5,Ventas!$D:$D,Graficos!N14)</f>
        <v>180</v>
      </c>
    </row>
    <row r="15" spans="2:26" x14ac:dyDescent="0.25">
      <c r="C15" t="s">
        <v>241</v>
      </c>
      <c r="D15" s="19">
        <f>SUMIFS(Ventas!$C:$C,Ventas!$E:$E,Graficos!$C$5,Ventas!$D:$D,Graficos!C15)</f>
        <v>126010.19999999994</v>
      </c>
      <c r="N15" t="s">
        <v>241</v>
      </c>
      <c r="O15">
        <f>SUMIFS(Pedidos!$B:$B,Ventas!$E:$E,Graficos!$C$5,Ventas!$D:$D,Graficos!N15)</f>
        <v>170</v>
      </c>
    </row>
    <row r="16" spans="2:26" x14ac:dyDescent="0.25">
      <c r="C16" t="s">
        <v>242</v>
      </c>
      <c r="D16" s="19">
        <f>SUMIFS(Ventas!$C:$C,Ventas!$E:$E,Graficos!$C$5,Ventas!$D:$D,Graficos!C16)</f>
        <v>84649.8</v>
      </c>
      <c r="N16" t="s">
        <v>242</v>
      </c>
      <c r="O16">
        <f>SUMIFS(Pedidos!$B:$B,Ventas!$E:$E,Graficos!$C$5,Ventas!$D:$D,Graficos!N16)</f>
        <v>70</v>
      </c>
    </row>
    <row r="17" spans="3:15" x14ac:dyDescent="0.25">
      <c r="C17" t="s">
        <v>243</v>
      </c>
      <c r="D17" s="19">
        <f>SUMIFS(Ventas!$C:$C,Ventas!$E:$E,Graficos!$C$5,Ventas!$D:$D,Graficos!C17)</f>
        <v>133377.20000000007</v>
      </c>
      <c r="N17" t="s">
        <v>243</v>
      </c>
      <c r="O17">
        <f>SUMIFS(Pedidos!$B:$B,Ventas!$E:$E,Graficos!$C$5,Ventas!$D:$D,Graficos!N17)</f>
        <v>180</v>
      </c>
    </row>
    <row r="18" spans="3:15" x14ac:dyDescent="0.25">
      <c r="C18" t="s">
        <v>244</v>
      </c>
      <c r="D18" s="19">
        <f>SUMIFS(Ventas!$C:$C,Ventas!$E:$E,Graficos!$C$5,Ventas!$D:$D,Graficos!C18)</f>
        <v>260338.4</v>
      </c>
      <c r="N18" t="s">
        <v>244</v>
      </c>
      <c r="O18">
        <f>SUMIFS(Pedidos!$B:$B,Ventas!$E:$E,Graficos!$C$5,Ventas!$D:$D,Graficos!N18)</f>
        <v>160</v>
      </c>
    </row>
    <row r="19" spans="3:15" x14ac:dyDescent="0.25">
      <c r="C19" t="s">
        <v>245</v>
      </c>
      <c r="D19" s="19">
        <f>SUMIFS(Ventas!$C:$C,Ventas!$E:$E,Graficos!$C$5,Ventas!$D:$D,Graficos!C19)</f>
        <v>209273.60000000003</v>
      </c>
      <c r="N19" t="s">
        <v>245</v>
      </c>
      <c r="O19">
        <f>SUMIFS(Pedidos!$B:$B,Ventas!$E:$E,Graficos!$C$5,Ventas!$D:$D,Graficos!N19)</f>
        <v>220</v>
      </c>
    </row>
    <row r="29" spans="3:15" x14ac:dyDescent="0.25">
      <c r="C29" t="s">
        <v>222</v>
      </c>
      <c r="D29">
        <f>COUNTIFS(Pedidos!$F:$F,Graficos!C29,Pedidos!$G:$G,Graficos!$C$5)</f>
        <v>70</v>
      </c>
      <c r="M29" t="s">
        <v>219</v>
      </c>
      <c r="N29">
        <f>SUMIFS(Pedidos!$B:$B,Pedidos!$C:$C,Graficos!M29,Pedidos!$G:$G,Graficos!$C$5)</f>
        <v>270</v>
      </c>
    </row>
    <row r="30" spans="3:15" x14ac:dyDescent="0.25">
      <c r="C30" t="s">
        <v>221</v>
      </c>
      <c r="D30">
        <f>COUNTIFS(Pedidos!$F:$F,Graficos!C30,Pedidos!$G:$G,Graficos!$C$5)</f>
        <v>370</v>
      </c>
      <c r="M30" t="s">
        <v>215</v>
      </c>
      <c r="N30">
        <f>SUMIFS(Pedidos!$B:$B,Pedidos!$C:$C,Graficos!M30,Pedidos!$G:$G,Graficos!$C$5)</f>
        <v>230</v>
      </c>
    </row>
    <row r="31" spans="3:15" x14ac:dyDescent="0.25">
      <c r="C31" t="s">
        <v>220</v>
      </c>
      <c r="D31">
        <f>COUNTIFS(Pedidos!$F:$F,Graficos!C31,Pedidos!$G:$G,Graficos!$C$5)</f>
        <v>250</v>
      </c>
      <c r="M31" t="s">
        <v>217</v>
      </c>
      <c r="N31">
        <f>SUMIFS(Pedidos!$B:$B,Pedidos!$C:$C,Graficos!M31,Pedidos!$G:$G,Graficos!$C$5)</f>
        <v>250</v>
      </c>
    </row>
    <row r="32" spans="3:15" x14ac:dyDescent="0.25">
      <c r="M32" t="s">
        <v>212</v>
      </c>
      <c r="N32">
        <f>SUMIFS(Pedidos!$B:$B,Pedidos!$C:$C,Graficos!M32,Pedidos!$G:$G,Graficos!$C$5)</f>
        <v>260</v>
      </c>
    </row>
    <row r="33" spans="13:14" x14ac:dyDescent="0.25">
      <c r="M33" t="s">
        <v>218</v>
      </c>
      <c r="N33">
        <f>SUMIFS(Pedidos!$B:$B,Pedidos!$C:$C,Graficos!M33,Pedidos!$G:$G,Graficos!$C$5)</f>
        <v>170</v>
      </c>
    </row>
    <row r="34" spans="13:14" x14ac:dyDescent="0.25">
      <c r="M34" t="s">
        <v>214</v>
      </c>
      <c r="N34">
        <f>SUMIFS(Pedidos!$B:$B,Pedidos!$C:$C,Graficos!M34,Pedidos!$G:$G,Graficos!$C$5)</f>
        <v>180</v>
      </c>
    </row>
    <row r="35" spans="13:14" x14ac:dyDescent="0.25">
      <c r="M35" t="s">
        <v>213</v>
      </c>
      <c r="N35">
        <f>SUMIFS(Pedidos!$B:$B,Pedidos!$C:$C,Graficos!M35,Pedidos!$G:$G,Graficos!$C$5)</f>
        <v>320</v>
      </c>
    </row>
    <row r="36" spans="13:14" x14ac:dyDescent="0.25">
      <c r="M36" t="s">
        <v>216</v>
      </c>
      <c r="N36">
        <f>SUMIFS(Pedidos!$B:$B,Pedidos!$C:$C,Graficos!M36,Pedidos!$G:$G,Graficos!$C$5)</f>
        <v>320</v>
      </c>
    </row>
  </sheetData>
  <mergeCells count="1">
    <mergeCell ref="B2:Z2"/>
  </mergeCells>
  <dataValidations count="1">
    <dataValidation type="list" allowBlank="1" showInputMessage="1" showErrorMessage="1" sqref="C5:C7" xr:uid="{75EC6121-2604-4645-99FC-6AD1EA78C549}">
      <formula1>"2023,2024,2025"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D156-7306-427F-ABDC-76EED6B3DF89}">
  <sheetPr>
    <tabColor theme="9" tint="-0.249977111117893"/>
  </sheetPr>
  <dimension ref="A2:E15"/>
  <sheetViews>
    <sheetView workbookViewId="0">
      <selection activeCell="B30" sqref="B30"/>
    </sheetView>
  </sheetViews>
  <sheetFormatPr baseColWidth="10" defaultRowHeight="15" x14ac:dyDescent="0.25"/>
  <cols>
    <col min="1" max="1" width="17.5703125" bestFit="1" customWidth="1"/>
    <col min="2" max="2" width="22" bestFit="1" customWidth="1"/>
    <col min="3" max="3" width="17" bestFit="1" customWidth="1"/>
    <col min="4" max="4" width="27.140625" bestFit="1" customWidth="1"/>
    <col min="5" max="5" width="37.140625" bestFit="1" customWidth="1"/>
  </cols>
  <sheetData>
    <row r="2" spans="1:5" x14ac:dyDescent="0.25">
      <c r="A2" s="15" t="s">
        <v>8</v>
      </c>
      <c r="B2" t="s">
        <v>228</v>
      </c>
    </row>
    <row r="3" spans="1:5" x14ac:dyDescent="0.25">
      <c r="A3" s="15" t="s">
        <v>9</v>
      </c>
      <c r="B3" t="s">
        <v>228</v>
      </c>
    </row>
    <row r="4" spans="1:5" x14ac:dyDescent="0.25">
      <c r="A4" s="15" t="s">
        <v>0</v>
      </c>
      <c r="B4" t="s">
        <v>228</v>
      </c>
    </row>
    <row r="6" spans="1:5" x14ac:dyDescent="0.25">
      <c r="A6" s="15" t="s">
        <v>229</v>
      </c>
      <c r="B6" t="s">
        <v>232</v>
      </c>
      <c r="C6" t="s">
        <v>231</v>
      </c>
      <c r="D6" t="s">
        <v>234</v>
      </c>
      <c r="E6" s="18" t="s">
        <v>233</v>
      </c>
    </row>
    <row r="7" spans="1:5" x14ac:dyDescent="0.25">
      <c r="A7" s="16" t="s">
        <v>219</v>
      </c>
      <c r="B7" s="17">
        <v>0.11290880426339758</v>
      </c>
      <c r="C7">
        <v>640</v>
      </c>
      <c r="D7" s="19">
        <v>1088.9595454545454</v>
      </c>
      <c r="E7" s="20">
        <v>153325504</v>
      </c>
    </row>
    <row r="8" spans="1:5" x14ac:dyDescent="0.25">
      <c r="A8" s="16" t="s">
        <v>215</v>
      </c>
      <c r="B8" s="17">
        <v>0.13943131372757284</v>
      </c>
      <c r="C8">
        <v>920</v>
      </c>
      <c r="D8" s="19">
        <v>871.71516129032341</v>
      </c>
      <c r="E8" s="20">
        <v>248613164.00000024</v>
      </c>
    </row>
    <row r="9" spans="1:5" x14ac:dyDescent="0.25">
      <c r="A9" s="16" t="s">
        <v>217</v>
      </c>
      <c r="B9" s="17">
        <v>0.15020032471151479</v>
      </c>
      <c r="C9">
        <v>640</v>
      </c>
      <c r="D9" s="19">
        <v>1200.8614285714275</v>
      </c>
      <c r="E9" s="20">
        <v>161395775.99999985</v>
      </c>
    </row>
    <row r="10" spans="1:5" x14ac:dyDescent="0.25">
      <c r="A10" s="16" t="s">
        <v>212</v>
      </c>
      <c r="B10" s="17">
        <v>0.1147365935038228</v>
      </c>
      <c r="C10">
        <v>700</v>
      </c>
      <c r="D10" s="19">
        <v>1010.4565384615387</v>
      </c>
      <c r="E10" s="20">
        <v>183903090.00000006</v>
      </c>
    </row>
    <row r="11" spans="1:5" x14ac:dyDescent="0.25">
      <c r="A11" s="16" t="s">
        <v>218</v>
      </c>
      <c r="B11" s="17">
        <v>7.8374463955452195E-2</v>
      </c>
      <c r="C11">
        <v>480</v>
      </c>
      <c r="D11" s="19">
        <v>954.6811764705875</v>
      </c>
      <c r="E11" s="20">
        <v>77901983.99999994</v>
      </c>
    </row>
    <row r="12" spans="1:5" x14ac:dyDescent="0.25">
      <c r="A12" s="16" t="s">
        <v>214</v>
      </c>
      <c r="B12" s="17">
        <v>0.11383061803495075</v>
      </c>
      <c r="C12">
        <v>780</v>
      </c>
      <c r="D12" s="19">
        <v>877.49655172414009</v>
      </c>
      <c r="E12" s="20">
        <v>198489720.00000048</v>
      </c>
    </row>
    <row r="13" spans="1:5" x14ac:dyDescent="0.25">
      <c r="A13" s="16" t="s">
        <v>213</v>
      </c>
      <c r="B13" s="17">
        <v>0.1186532496540085</v>
      </c>
      <c r="C13">
        <v>790</v>
      </c>
      <c r="D13" s="19">
        <v>844.94192307692265</v>
      </c>
      <c r="E13" s="20">
        <v>173551070.99999991</v>
      </c>
    </row>
    <row r="14" spans="1:5" x14ac:dyDescent="0.25">
      <c r="A14" s="16" t="s">
        <v>216</v>
      </c>
      <c r="B14" s="17">
        <v>0.17186463214928166</v>
      </c>
      <c r="C14">
        <v>930</v>
      </c>
      <c r="D14" s="19">
        <v>1082.2960714285716</v>
      </c>
      <c r="E14" s="20">
        <v>281829897.00000006</v>
      </c>
    </row>
    <row r="15" spans="1:5" x14ac:dyDescent="0.25">
      <c r="A15" s="16" t="s">
        <v>230</v>
      </c>
      <c r="B15" s="17">
        <v>1</v>
      </c>
      <c r="C15">
        <v>5880</v>
      </c>
      <c r="D15" s="19">
        <v>982.09999999999911</v>
      </c>
      <c r="E15" s="20">
        <v>11549495999.999989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Q2001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0.140625" bestFit="1" customWidth="1"/>
    <col min="2" max="2" width="18.85546875" customWidth="1"/>
    <col min="3" max="3" width="17.140625" customWidth="1"/>
    <col min="4" max="4" width="11" bestFit="1" customWidth="1"/>
    <col min="5" max="5" width="8.85546875" bestFit="1" customWidth="1"/>
    <col min="6" max="6" width="14.85546875" bestFit="1" customWidth="1"/>
    <col min="7" max="7" width="10.7109375" bestFit="1" customWidth="1"/>
    <col min="8" max="8" width="11.7109375" bestFit="1" customWidth="1"/>
    <col min="9" max="9" width="6.5703125" customWidth="1"/>
    <col min="10" max="10" width="6.28515625" customWidth="1"/>
    <col min="11" max="11" width="6.85546875" customWidth="1"/>
    <col min="12" max="12" width="16.140625" style="14" bestFit="1" customWidth="1"/>
    <col min="13" max="14" width="17.7109375" style="4" customWidth="1"/>
    <col min="15" max="15" width="20.7109375" style="4" customWidth="1"/>
    <col min="16" max="17" width="21.28515625" style="5" customWidth="1"/>
  </cols>
  <sheetData>
    <row r="1" spans="1:17" ht="34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3" t="s">
        <v>11</v>
      </c>
      <c r="M1" s="7" t="s">
        <v>223</v>
      </c>
      <c r="N1" s="7" t="s">
        <v>226</v>
      </c>
      <c r="O1" s="8" t="s">
        <v>224</v>
      </c>
      <c r="P1" s="8" t="s">
        <v>225</v>
      </c>
      <c r="Q1" s="8" t="s">
        <v>251</v>
      </c>
    </row>
    <row r="2" spans="1:17" x14ac:dyDescent="0.25">
      <c r="A2" t="s">
        <v>12</v>
      </c>
      <c r="B2" s="2">
        <v>45280.478472222218</v>
      </c>
      <c r="C2" t="s">
        <v>261</v>
      </c>
      <c r="D2" t="s">
        <v>212</v>
      </c>
      <c r="E2">
        <v>5</v>
      </c>
      <c r="F2">
        <v>1497.24</v>
      </c>
      <c r="G2" t="s">
        <v>220</v>
      </c>
      <c r="H2">
        <v>7486.2</v>
      </c>
      <c r="I2">
        <v>2023</v>
      </c>
      <c r="J2">
        <v>12</v>
      </c>
      <c r="K2">
        <v>11</v>
      </c>
      <c r="L2" s="14">
        <v>1497.24</v>
      </c>
      <c r="M2" s="4" t="str">
        <f t="shared" ref="M2:M65" si="0">TEXT(B2,"dddd")</f>
        <v>miércoles</v>
      </c>
      <c r="N2" s="4" t="str">
        <f t="shared" ref="N2:N65" si="1">TEXT(B2,"mmmm")</f>
        <v>diciembre</v>
      </c>
      <c r="O2" s="4" t="str">
        <f>IF(H2&gt;AVERAGE(H:H),"SI","NO")</f>
        <v>SI</v>
      </c>
      <c r="P2" s="4" t="str">
        <f>IF(L2&gt;AVERAGE(L:L),"SI","NO")</f>
        <v>SI</v>
      </c>
      <c r="Q2" s="4" t="str" cm="1">
        <f t="array" ref="Q2">_xlfn.IFS(AND(H2&gt;=0,H2&lt;=3333),"Grupo 1",AND(H2&gt;3333,H2&lt;=6666),"Grupo 2",AND(H2&gt;6666,H2&lt;=10000),"Grupo 3")</f>
        <v>Grupo 3</v>
      </c>
    </row>
    <row r="3" spans="1:17" x14ac:dyDescent="0.25">
      <c r="A3" t="s">
        <v>13</v>
      </c>
      <c r="B3" s="2">
        <v>45008.840277777781</v>
      </c>
      <c r="C3" t="s">
        <v>262</v>
      </c>
      <c r="D3" t="s">
        <v>212</v>
      </c>
      <c r="E3">
        <v>1</v>
      </c>
      <c r="F3">
        <v>1687.54</v>
      </c>
      <c r="G3" t="s">
        <v>220</v>
      </c>
      <c r="H3">
        <v>1687.54</v>
      </c>
      <c r="I3">
        <v>2023</v>
      </c>
      <c r="J3">
        <v>3</v>
      </c>
      <c r="K3">
        <v>20</v>
      </c>
      <c r="L3" s="14">
        <v>1687.54</v>
      </c>
      <c r="M3" s="4" t="str">
        <f t="shared" si="0"/>
        <v>jueves</v>
      </c>
      <c r="N3" s="4" t="str">
        <f t="shared" si="1"/>
        <v>marzo</v>
      </c>
      <c r="O3" s="4" t="str">
        <f t="shared" ref="O3:O66" si="2">IF(H3&gt;AVERAGE(H:H),"SI","NO")</f>
        <v>NO</v>
      </c>
      <c r="P3" s="4" t="str">
        <f t="shared" ref="P3:P66" si="3">IF(L3&gt;AVERAGE(L:L),"SI","NO")</f>
        <v>SI</v>
      </c>
      <c r="Q3" s="4" t="str" cm="1">
        <f t="array" ref="Q3">_xlfn.IFS(AND(H3&gt;=0,H3&lt;=3333),"Grupo 1",AND(H3&gt;3333,H3&lt;=6666),"Grupo 2",AND(H3&gt;6666,H3&lt;=10000),"Grupo 3")</f>
        <v>Grupo 1</v>
      </c>
    </row>
    <row r="4" spans="1:17" x14ac:dyDescent="0.25">
      <c r="A4" t="s">
        <v>14</v>
      </c>
      <c r="B4" s="2">
        <v>45355.443749999999</v>
      </c>
      <c r="C4" t="s">
        <v>263</v>
      </c>
      <c r="D4" t="s">
        <v>213</v>
      </c>
      <c r="E4">
        <v>3</v>
      </c>
      <c r="F4">
        <v>768.8</v>
      </c>
      <c r="G4" t="s">
        <v>221</v>
      </c>
      <c r="H4">
        <v>2306.4</v>
      </c>
      <c r="I4">
        <v>2024</v>
      </c>
      <c r="J4">
        <v>3</v>
      </c>
      <c r="K4">
        <v>10</v>
      </c>
      <c r="L4" s="14">
        <v>768.79999999999984</v>
      </c>
      <c r="M4" s="4" t="str">
        <f t="shared" si="0"/>
        <v>lunes</v>
      </c>
      <c r="N4" s="4" t="str">
        <f t="shared" si="1"/>
        <v>marzo</v>
      </c>
      <c r="O4" s="4" t="str">
        <f t="shared" si="2"/>
        <v>NO</v>
      </c>
      <c r="P4" s="4" t="str">
        <f t="shared" si="3"/>
        <v>NO</v>
      </c>
      <c r="Q4" s="4" t="str" cm="1">
        <f t="array" ref="Q4">_xlfn.IFS(AND(H4&gt;=0,H4&lt;=3333),"Grupo 1",AND(H4&gt;3333,H4&lt;=6666),"Grupo 2",AND(H4&gt;6666,H4&lt;=10000),"Grupo 3")</f>
        <v>Grupo 1</v>
      </c>
    </row>
    <row r="5" spans="1:17" x14ac:dyDescent="0.25">
      <c r="A5" t="s">
        <v>15</v>
      </c>
      <c r="B5" s="2">
        <v>45704.374305555553</v>
      </c>
      <c r="C5" t="s">
        <v>264</v>
      </c>
      <c r="D5" t="s">
        <v>214</v>
      </c>
      <c r="E5">
        <v>1</v>
      </c>
      <c r="F5">
        <v>1532.67</v>
      </c>
      <c r="G5" t="s">
        <v>222</v>
      </c>
      <c r="H5">
        <v>1532.67</v>
      </c>
      <c r="I5">
        <v>2025</v>
      </c>
      <c r="J5">
        <v>2</v>
      </c>
      <c r="K5">
        <v>8</v>
      </c>
      <c r="L5" s="14">
        <v>1532.67</v>
      </c>
      <c r="M5" s="4" t="str">
        <f t="shared" si="0"/>
        <v>domingo</v>
      </c>
      <c r="N5" s="4" t="str">
        <f t="shared" si="1"/>
        <v>febrero</v>
      </c>
      <c r="O5" s="4" t="str">
        <f t="shared" si="2"/>
        <v>NO</v>
      </c>
      <c r="P5" s="4" t="str">
        <f t="shared" si="3"/>
        <v>SI</v>
      </c>
      <c r="Q5" s="4" t="str" cm="1">
        <f t="array" ref="Q5">_xlfn.IFS(AND(H5&gt;=0,H5&lt;=3333),"Grupo 1",AND(H5&gt;3333,H5&lt;=6666),"Grupo 2",AND(H5&gt;6666,H5&lt;=10000),"Grupo 3")</f>
        <v>Grupo 1</v>
      </c>
    </row>
    <row r="6" spans="1:17" x14ac:dyDescent="0.25">
      <c r="A6" t="s">
        <v>16</v>
      </c>
      <c r="B6" s="2">
        <v>45772.848611111112</v>
      </c>
      <c r="C6" t="s">
        <v>265</v>
      </c>
      <c r="D6" t="s">
        <v>214</v>
      </c>
      <c r="E6">
        <v>3</v>
      </c>
      <c r="F6">
        <v>1709.47</v>
      </c>
      <c r="G6" t="s">
        <v>222</v>
      </c>
      <c r="H6">
        <v>5128.41</v>
      </c>
      <c r="I6">
        <v>2025</v>
      </c>
      <c r="J6">
        <v>4</v>
      </c>
      <c r="K6">
        <v>20</v>
      </c>
      <c r="L6" s="14">
        <v>1709.47</v>
      </c>
      <c r="M6" s="4" t="str">
        <f t="shared" si="0"/>
        <v>viernes</v>
      </c>
      <c r="N6" s="4" t="str">
        <f t="shared" si="1"/>
        <v>abril</v>
      </c>
      <c r="O6" s="4" t="str">
        <f t="shared" si="2"/>
        <v>SI</v>
      </c>
      <c r="P6" s="4" t="str">
        <f t="shared" si="3"/>
        <v>SI</v>
      </c>
      <c r="Q6" s="4" t="str" cm="1">
        <f t="array" ref="Q6">_xlfn.IFS(AND(H6&gt;=0,H6&lt;=3333),"Grupo 1",AND(H6&gt;3333,H6&lt;=6666),"Grupo 2",AND(H6&gt;6666,H6&lt;=10000),"Grupo 3")</f>
        <v>Grupo 2</v>
      </c>
    </row>
    <row r="7" spans="1:17" x14ac:dyDescent="0.25">
      <c r="A7" t="s">
        <v>17</v>
      </c>
      <c r="B7" s="2">
        <v>45101.225694444453</v>
      </c>
      <c r="C7" t="s">
        <v>266</v>
      </c>
      <c r="D7" t="s">
        <v>215</v>
      </c>
      <c r="E7">
        <v>3</v>
      </c>
      <c r="F7">
        <v>297.54000000000002</v>
      </c>
      <c r="G7" t="s">
        <v>220</v>
      </c>
      <c r="H7">
        <v>892.62000000000012</v>
      </c>
      <c r="I7">
        <v>2023</v>
      </c>
      <c r="J7">
        <v>6</v>
      </c>
      <c r="K7">
        <v>5</v>
      </c>
      <c r="L7" s="14">
        <v>297.54000000000002</v>
      </c>
      <c r="M7" s="4" t="str">
        <f t="shared" si="0"/>
        <v>sábado</v>
      </c>
      <c r="N7" s="4" t="str">
        <f t="shared" si="1"/>
        <v>junio</v>
      </c>
      <c r="O7" s="4" t="str">
        <f t="shared" si="2"/>
        <v>NO</v>
      </c>
      <c r="P7" s="4" t="str">
        <f t="shared" si="3"/>
        <v>NO</v>
      </c>
      <c r="Q7" s="4" t="str" cm="1">
        <f t="array" ref="Q7">_xlfn.IFS(AND(H7&gt;=0,H7&lt;=3333),"Grupo 1",AND(H7&gt;3333,H7&lt;=6666),"Grupo 2",AND(H7&gt;6666,H7&lt;=10000),"Grupo 3")</f>
        <v>Grupo 1</v>
      </c>
    </row>
    <row r="8" spans="1:17" x14ac:dyDescent="0.25">
      <c r="A8" t="s">
        <v>18</v>
      </c>
      <c r="B8" s="2">
        <v>45694.432638888888</v>
      </c>
      <c r="C8" t="s">
        <v>267</v>
      </c>
      <c r="D8" t="s">
        <v>216</v>
      </c>
      <c r="E8">
        <v>4</v>
      </c>
      <c r="F8">
        <v>1546.65</v>
      </c>
      <c r="G8" t="s">
        <v>221</v>
      </c>
      <c r="H8">
        <v>6186.6</v>
      </c>
      <c r="I8">
        <v>2025</v>
      </c>
      <c r="J8">
        <v>2</v>
      </c>
      <c r="K8">
        <v>10</v>
      </c>
      <c r="L8" s="14">
        <v>1546.65</v>
      </c>
      <c r="M8" s="4" t="str">
        <f t="shared" si="0"/>
        <v>jueves</v>
      </c>
      <c r="N8" s="4" t="str">
        <f t="shared" si="1"/>
        <v>febrero</v>
      </c>
      <c r="O8" s="4" t="str">
        <f t="shared" si="2"/>
        <v>SI</v>
      </c>
      <c r="P8" s="4" t="str">
        <f t="shared" si="3"/>
        <v>SI</v>
      </c>
      <c r="Q8" s="4" t="str" cm="1">
        <f t="array" ref="Q8">_xlfn.IFS(AND(H8&gt;=0,H8&lt;=3333),"Grupo 1",AND(H8&gt;3333,H8&lt;=6666),"Grupo 2",AND(H8&gt;6666,H8&lt;=10000),"Grupo 3")</f>
        <v>Grupo 2</v>
      </c>
    </row>
    <row r="9" spans="1:17" x14ac:dyDescent="0.25">
      <c r="A9" t="s">
        <v>19</v>
      </c>
      <c r="B9" s="2">
        <v>45798.69027777778</v>
      </c>
      <c r="C9" t="s">
        <v>268</v>
      </c>
      <c r="D9" t="s">
        <v>212</v>
      </c>
      <c r="E9">
        <v>1</v>
      </c>
      <c r="F9">
        <v>1575.18</v>
      </c>
      <c r="G9" t="s">
        <v>220</v>
      </c>
      <c r="H9">
        <v>1575.18</v>
      </c>
      <c r="I9">
        <v>2025</v>
      </c>
      <c r="J9">
        <v>5</v>
      </c>
      <c r="K9">
        <v>16</v>
      </c>
      <c r="L9" s="14">
        <v>1575.18</v>
      </c>
      <c r="M9" s="4" t="str">
        <f t="shared" si="0"/>
        <v>miércoles</v>
      </c>
      <c r="N9" s="4" t="str">
        <f t="shared" si="1"/>
        <v>mayo</v>
      </c>
      <c r="O9" s="4" t="str">
        <f t="shared" si="2"/>
        <v>NO</v>
      </c>
      <c r="P9" s="4" t="str">
        <f t="shared" si="3"/>
        <v>SI</v>
      </c>
      <c r="Q9" s="4" t="str" cm="1">
        <f t="array" ref="Q9">_xlfn.IFS(AND(H9&gt;=0,H9&lt;=3333),"Grupo 1",AND(H9&gt;3333,H9&lt;=6666),"Grupo 2",AND(H9&gt;6666,H9&lt;=10000),"Grupo 3")</f>
        <v>Grupo 1</v>
      </c>
    </row>
    <row r="10" spans="1:17" x14ac:dyDescent="0.25">
      <c r="A10" t="s">
        <v>20</v>
      </c>
      <c r="B10" s="2">
        <v>45425.797222222223</v>
      </c>
      <c r="C10" t="s">
        <v>269</v>
      </c>
      <c r="D10" t="s">
        <v>217</v>
      </c>
      <c r="E10">
        <v>5</v>
      </c>
      <c r="F10">
        <v>1815.86</v>
      </c>
      <c r="G10" t="s">
        <v>220</v>
      </c>
      <c r="H10">
        <v>9079.2999999999993</v>
      </c>
      <c r="I10">
        <v>2024</v>
      </c>
      <c r="J10">
        <v>5</v>
      </c>
      <c r="K10">
        <v>19</v>
      </c>
      <c r="L10" s="14">
        <v>1815.86</v>
      </c>
      <c r="M10" s="4" t="str">
        <f t="shared" si="0"/>
        <v>lunes</v>
      </c>
      <c r="N10" s="4" t="str">
        <f t="shared" si="1"/>
        <v>mayo</v>
      </c>
      <c r="O10" s="4" t="str">
        <f t="shared" si="2"/>
        <v>SI</v>
      </c>
      <c r="P10" s="4" t="str">
        <f t="shared" si="3"/>
        <v>SI</v>
      </c>
      <c r="Q10" s="4" t="str" cm="1">
        <f t="array" ref="Q10">_xlfn.IFS(AND(H10&gt;=0,H10&lt;=3333),"Grupo 1",AND(H10&gt;3333,H10&lt;=6666),"Grupo 2",AND(H10&gt;6666,H10&lt;=10000),"Grupo 3")</f>
        <v>Grupo 3</v>
      </c>
    </row>
    <row r="11" spans="1:17" x14ac:dyDescent="0.25">
      <c r="A11" t="s">
        <v>21</v>
      </c>
      <c r="B11" s="2">
        <v>45525.152083333327</v>
      </c>
      <c r="C11" t="s">
        <v>270</v>
      </c>
      <c r="D11" t="s">
        <v>212</v>
      </c>
      <c r="E11">
        <v>1</v>
      </c>
      <c r="F11">
        <v>564.11</v>
      </c>
      <c r="G11" t="s">
        <v>220</v>
      </c>
      <c r="H11">
        <v>564.11</v>
      </c>
      <c r="I11">
        <v>2024</v>
      </c>
      <c r="J11">
        <v>8</v>
      </c>
      <c r="K11">
        <v>3</v>
      </c>
      <c r="L11" s="14">
        <v>564.11</v>
      </c>
      <c r="M11" s="4" t="str">
        <f t="shared" si="0"/>
        <v>miércoles</v>
      </c>
      <c r="N11" s="4" t="str">
        <f t="shared" si="1"/>
        <v>agosto</v>
      </c>
      <c r="O11" s="4" t="str">
        <f t="shared" si="2"/>
        <v>NO</v>
      </c>
      <c r="P11" s="4" t="str">
        <f t="shared" si="3"/>
        <v>NO</v>
      </c>
      <c r="Q11" s="4" t="str" cm="1">
        <f t="array" ref="Q11">_xlfn.IFS(AND(H11&gt;=0,H11&lt;=3333),"Grupo 1",AND(H11&gt;3333,H11&lt;=6666),"Grupo 2",AND(H11&gt;6666,H11&lt;=10000),"Grupo 3")</f>
        <v>Grupo 1</v>
      </c>
    </row>
    <row r="12" spans="1:17" x14ac:dyDescent="0.25">
      <c r="A12" t="s">
        <v>22</v>
      </c>
      <c r="B12" s="2">
        <v>45580.043749999997</v>
      </c>
      <c r="C12" t="s">
        <v>271</v>
      </c>
      <c r="D12" t="s">
        <v>217</v>
      </c>
      <c r="E12">
        <v>1</v>
      </c>
      <c r="F12">
        <v>454.9</v>
      </c>
      <c r="G12" t="s">
        <v>220</v>
      </c>
      <c r="H12">
        <v>454.9</v>
      </c>
      <c r="I12">
        <v>2024</v>
      </c>
      <c r="J12">
        <v>10</v>
      </c>
      <c r="K12">
        <v>1</v>
      </c>
      <c r="L12" s="14">
        <v>454.9</v>
      </c>
      <c r="M12" s="4" t="str">
        <f t="shared" si="0"/>
        <v>martes</v>
      </c>
      <c r="N12" s="4" t="str">
        <f t="shared" si="1"/>
        <v>octubre</v>
      </c>
      <c r="O12" s="4" t="str">
        <f t="shared" si="2"/>
        <v>NO</v>
      </c>
      <c r="P12" s="4" t="str">
        <f t="shared" si="3"/>
        <v>NO</v>
      </c>
      <c r="Q12" s="4" t="str" cm="1">
        <f t="array" ref="Q12">_xlfn.IFS(AND(H12&gt;=0,H12&lt;=3333),"Grupo 1",AND(H12&gt;3333,H12&lt;=6666),"Grupo 2",AND(H12&gt;6666,H12&lt;=10000),"Grupo 3")</f>
        <v>Grupo 1</v>
      </c>
    </row>
    <row r="13" spans="1:17" x14ac:dyDescent="0.25">
      <c r="A13" t="s">
        <v>23</v>
      </c>
      <c r="B13" s="2">
        <v>45551.151388888888</v>
      </c>
      <c r="C13" t="s">
        <v>272</v>
      </c>
      <c r="D13" t="s">
        <v>218</v>
      </c>
      <c r="E13">
        <v>3</v>
      </c>
      <c r="F13">
        <v>1277.51</v>
      </c>
      <c r="G13" t="s">
        <v>221</v>
      </c>
      <c r="H13">
        <v>3832.53</v>
      </c>
      <c r="I13">
        <v>2024</v>
      </c>
      <c r="J13">
        <v>9</v>
      </c>
      <c r="K13">
        <v>3</v>
      </c>
      <c r="L13" s="14">
        <v>1277.51</v>
      </c>
      <c r="M13" s="4" t="str">
        <f t="shared" si="0"/>
        <v>lunes</v>
      </c>
      <c r="N13" s="4" t="str">
        <f t="shared" si="1"/>
        <v>septiembre</v>
      </c>
      <c r="O13" s="4" t="str">
        <f t="shared" si="2"/>
        <v>SI</v>
      </c>
      <c r="P13" s="4" t="str">
        <f t="shared" si="3"/>
        <v>SI</v>
      </c>
      <c r="Q13" s="4" t="str" cm="1">
        <f t="array" ref="Q13">_xlfn.IFS(AND(H13&gt;=0,H13&lt;=3333),"Grupo 1",AND(H13&gt;3333,H13&lt;=6666),"Grupo 2",AND(H13&gt;6666,H13&lt;=10000),"Grupo 3")</f>
        <v>Grupo 2</v>
      </c>
    </row>
    <row r="14" spans="1:17" x14ac:dyDescent="0.25">
      <c r="A14" t="s">
        <v>24</v>
      </c>
      <c r="B14" s="2">
        <v>45230.395833333343</v>
      </c>
      <c r="C14" t="s">
        <v>273</v>
      </c>
      <c r="D14" t="s">
        <v>214</v>
      </c>
      <c r="E14">
        <v>2</v>
      </c>
      <c r="F14">
        <v>1870.95</v>
      </c>
      <c r="G14" t="s">
        <v>222</v>
      </c>
      <c r="H14">
        <v>3741.9</v>
      </c>
      <c r="I14">
        <v>2023</v>
      </c>
      <c r="J14">
        <v>10</v>
      </c>
      <c r="K14">
        <v>9</v>
      </c>
      <c r="L14" s="14">
        <v>1870.95</v>
      </c>
      <c r="M14" s="4" t="str">
        <f t="shared" si="0"/>
        <v>martes</v>
      </c>
      <c r="N14" s="4" t="str">
        <f t="shared" si="1"/>
        <v>octubre</v>
      </c>
      <c r="O14" s="4" t="str">
        <f t="shared" si="2"/>
        <v>SI</v>
      </c>
      <c r="P14" s="4" t="str">
        <f t="shared" si="3"/>
        <v>SI</v>
      </c>
      <c r="Q14" s="4" t="str" cm="1">
        <f t="array" ref="Q14">_xlfn.IFS(AND(H14&gt;=0,H14&lt;=3333),"Grupo 1",AND(H14&gt;3333,H14&lt;=6666),"Grupo 2",AND(H14&gt;6666,H14&lt;=10000),"Grupo 3")</f>
        <v>Grupo 2</v>
      </c>
    </row>
    <row r="15" spans="1:17" x14ac:dyDescent="0.25">
      <c r="A15" t="s">
        <v>25</v>
      </c>
      <c r="B15" s="2">
        <v>45234.645833333343</v>
      </c>
      <c r="C15" t="s">
        <v>274</v>
      </c>
      <c r="D15" t="s">
        <v>212</v>
      </c>
      <c r="E15">
        <v>4</v>
      </c>
      <c r="F15">
        <v>1227.23</v>
      </c>
      <c r="G15" t="s">
        <v>220</v>
      </c>
      <c r="H15">
        <v>4908.92</v>
      </c>
      <c r="I15">
        <v>2023</v>
      </c>
      <c r="J15">
        <v>11</v>
      </c>
      <c r="K15">
        <v>15</v>
      </c>
      <c r="L15" s="14">
        <v>1227.23</v>
      </c>
      <c r="M15" s="4" t="str">
        <f t="shared" si="0"/>
        <v>sábado</v>
      </c>
      <c r="N15" s="4" t="str">
        <f t="shared" si="1"/>
        <v>noviembre</v>
      </c>
      <c r="O15" s="4" t="str">
        <f t="shared" si="2"/>
        <v>SI</v>
      </c>
      <c r="P15" s="4" t="str">
        <f t="shared" si="3"/>
        <v>SI</v>
      </c>
      <c r="Q15" s="4" t="str" cm="1">
        <f t="array" ref="Q15">_xlfn.IFS(AND(H15&gt;=0,H15&lt;=3333),"Grupo 1",AND(H15&gt;3333,H15&lt;=6666),"Grupo 2",AND(H15&gt;6666,H15&lt;=10000),"Grupo 3")</f>
        <v>Grupo 2</v>
      </c>
    </row>
    <row r="16" spans="1:17" x14ac:dyDescent="0.25">
      <c r="A16" t="s">
        <v>26</v>
      </c>
      <c r="B16" s="2">
        <v>45464.76666666667</v>
      </c>
      <c r="C16" t="s">
        <v>275</v>
      </c>
      <c r="D16" t="s">
        <v>215</v>
      </c>
      <c r="E16">
        <v>1</v>
      </c>
      <c r="F16">
        <v>1329.6</v>
      </c>
      <c r="G16" t="s">
        <v>220</v>
      </c>
      <c r="H16">
        <v>1329.6</v>
      </c>
      <c r="I16">
        <v>2024</v>
      </c>
      <c r="J16">
        <v>6</v>
      </c>
      <c r="K16">
        <v>18</v>
      </c>
      <c r="L16" s="14">
        <v>1329.6</v>
      </c>
      <c r="M16" s="4" t="str">
        <f t="shared" si="0"/>
        <v>viernes</v>
      </c>
      <c r="N16" s="4" t="str">
        <f t="shared" si="1"/>
        <v>junio</v>
      </c>
      <c r="O16" s="4" t="str">
        <f t="shared" si="2"/>
        <v>NO</v>
      </c>
      <c r="P16" s="4" t="str">
        <f t="shared" si="3"/>
        <v>SI</v>
      </c>
      <c r="Q16" s="4" t="str" cm="1">
        <f t="array" ref="Q16">_xlfn.IFS(AND(H16&gt;=0,H16&lt;=3333),"Grupo 1",AND(H16&gt;3333,H16&lt;=6666),"Grupo 2",AND(H16&gt;6666,H16&lt;=10000),"Grupo 3")</f>
        <v>Grupo 1</v>
      </c>
    </row>
    <row r="17" spans="1:17" x14ac:dyDescent="0.25">
      <c r="A17" t="s">
        <v>27</v>
      </c>
      <c r="B17" s="2">
        <v>45138.240277777782</v>
      </c>
      <c r="C17" t="s">
        <v>276</v>
      </c>
      <c r="D17" t="s">
        <v>212</v>
      </c>
      <c r="E17">
        <v>3</v>
      </c>
      <c r="F17">
        <v>1734.12</v>
      </c>
      <c r="G17" t="s">
        <v>220</v>
      </c>
      <c r="H17">
        <v>5202.3599999999997</v>
      </c>
      <c r="I17">
        <v>2023</v>
      </c>
      <c r="J17">
        <v>7</v>
      </c>
      <c r="K17">
        <v>5</v>
      </c>
      <c r="L17" s="14">
        <v>1734.12</v>
      </c>
      <c r="M17" s="4" t="str">
        <f t="shared" si="0"/>
        <v>lunes</v>
      </c>
      <c r="N17" s="4" t="str">
        <f t="shared" si="1"/>
        <v>julio</v>
      </c>
      <c r="O17" s="4" t="str">
        <f t="shared" si="2"/>
        <v>SI</v>
      </c>
      <c r="P17" s="4" t="str">
        <f t="shared" si="3"/>
        <v>SI</v>
      </c>
      <c r="Q17" s="4" t="str" cm="1">
        <f t="array" ref="Q17">_xlfn.IFS(AND(H17&gt;=0,H17&lt;=3333),"Grupo 1",AND(H17&gt;3333,H17&lt;=6666),"Grupo 2",AND(H17&gt;6666,H17&lt;=10000),"Grupo 3")</f>
        <v>Grupo 2</v>
      </c>
    </row>
    <row r="18" spans="1:17" x14ac:dyDescent="0.25">
      <c r="A18" t="s">
        <v>28</v>
      </c>
      <c r="B18" s="2">
        <v>45455.688888888893</v>
      </c>
      <c r="C18" t="s">
        <v>277</v>
      </c>
      <c r="D18" t="s">
        <v>212</v>
      </c>
      <c r="E18">
        <v>1</v>
      </c>
      <c r="F18">
        <v>1209.6199999999999</v>
      </c>
      <c r="G18" t="s">
        <v>220</v>
      </c>
      <c r="H18">
        <v>1209.6199999999999</v>
      </c>
      <c r="I18">
        <v>2024</v>
      </c>
      <c r="J18">
        <v>6</v>
      </c>
      <c r="K18">
        <v>16</v>
      </c>
      <c r="L18" s="14">
        <v>1209.6199999999999</v>
      </c>
      <c r="M18" s="4" t="str">
        <f t="shared" si="0"/>
        <v>miércoles</v>
      </c>
      <c r="N18" s="4" t="str">
        <f t="shared" si="1"/>
        <v>junio</v>
      </c>
      <c r="O18" s="4" t="str">
        <f t="shared" si="2"/>
        <v>NO</v>
      </c>
      <c r="P18" s="4" t="str">
        <f t="shared" si="3"/>
        <v>SI</v>
      </c>
      <c r="Q18" s="4" t="str" cm="1">
        <f t="array" ref="Q18">_xlfn.IFS(AND(H18&gt;=0,H18&lt;=3333),"Grupo 1",AND(H18&gt;3333,H18&lt;=6666),"Grupo 2",AND(H18&gt;6666,H18&lt;=10000),"Grupo 3")</f>
        <v>Grupo 1</v>
      </c>
    </row>
    <row r="19" spans="1:17" x14ac:dyDescent="0.25">
      <c r="A19" t="s">
        <v>29</v>
      </c>
      <c r="B19" s="2">
        <v>45301.151388888888</v>
      </c>
      <c r="C19" t="s">
        <v>278</v>
      </c>
      <c r="D19" t="s">
        <v>218</v>
      </c>
      <c r="E19">
        <v>3</v>
      </c>
      <c r="F19">
        <v>922.33</v>
      </c>
      <c r="G19" t="s">
        <v>221</v>
      </c>
      <c r="H19">
        <v>2766.99</v>
      </c>
      <c r="I19">
        <v>2024</v>
      </c>
      <c r="J19">
        <v>1</v>
      </c>
      <c r="K19">
        <v>3</v>
      </c>
      <c r="L19" s="14">
        <v>922.33</v>
      </c>
      <c r="M19" s="4" t="str">
        <f t="shared" si="0"/>
        <v>miércoles</v>
      </c>
      <c r="N19" s="4" t="str">
        <f t="shared" si="1"/>
        <v>enero</v>
      </c>
      <c r="O19" s="4" t="str">
        <f t="shared" si="2"/>
        <v>NO</v>
      </c>
      <c r="P19" s="4" t="str">
        <f t="shared" si="3"/>
        <v>NO</v>
      </c>
      <c r="Q19" s="4" t="str" cm="1">
        <f t="array" ref="Q19">_xlfn.IFS(AND(H19&gt;=0,H19&lt;=3333),"Grupo 1",AND(H19&gt;3333,H19&lt;=6666),"Grupo 2",AND(H19&gt;6666,H19&lt;=10000),"Grupo 3")</f>
        <v>Grupo 1</v>
      </c>
    </row>
    <row r="20" spans="1:17" x14ac:dyDescent="0.25">
      <c r="A20" t="s">
        <v>30</v>
      </c>
      <c r="B20" s="2">
        <v>45677.761111111111</v>
      </c>
      <c r="C20" t="s">
        <v>279</v>
      </c>
      <c r="D20" t="s">
        <v>216</v>
      </c>
      <c r="E20">
        <v>4</v>
      </c>
      <c r="F20">
        <v>54.42</v>
      </c>
      <c r="G20" t="s">
        <v>221</v>
      </c>
      <c r="H20">
        <v>217.68</v>
      </c>
      <c r="I20">
        <v>2025</v>
      </c>
      <c r="J20">
        <v>1</v>
      </c>
      <c r="K20">
        <v>18</v>
      </c>
      <c r="L20" s="14">
        <v>54.42</v>
      </c>
      <c r="M20" s="4" t="str">
        <f t="shared" si="0"/>
        <v>lunes</v>
      </c>
      <c r="N20" s="4" t="str">
        <f t="shared" si="1"/>
        <v>enero</v>
      </c>
      <c r="O20" s="4" t="str">
        <f t="shared" si="2"/>
        <v>NO</v>
      </c>
      <c r="P20" s="4" t="str">
        <f t="shared" si="3"/>
        <v>NO</v>
      </c>
      <c r="Q20" s="4" t="str" cm="1">
        <f t="array" ref="Q20">_xlfn.IFS(AND(H20&gt;=0,H20&lt;=3333),"Grupo 1",AND(H20&gt;3333,H20&lt;=6666),"Grupo 2",AND(H20&gt;6666,H20&lt;=10000),"Grupo 3")</f>
        <v>Grupo 1</v>
      </c>
    </row>
    <row r="21" spans="1:17" x14ac:dyDescent="0.25">
      <c r="A21" t="s">
        <v>31</v>
      </c>
      <c r="B21" s="2">
        <v>45238.713888888888</v>
      </c>
      <c r="C21" t="s">
        <v>280</v>
      </c>
      <c r="D21" t="s">
        <v>218</v>
      </c>
      <c r="E21">
        <v>2</v>
      </c>
      <c r="F21">
        <v>1567.18</v>
      </c>
      <c r="G21" t="s">
        <v>221</v>
      </c>
      <c r="H21">
        <v>3134.36</v>
      </c>
      <c r="I21">
        <v>2023</v>
      </c>
      <c r="J21">
        <v>11</v>
      </c>
      <c r="K21">
        <v>17</v>
      </c>
      <c r="L21" s="14">
        <v>1567.18</v>
      </c>
      <c r="M21" s="4" t="str">
        <f t="shared" si="0"/>
        <v>miércoles</v>
      </c>
      <c r="N21" s="4" t="str">
        <f t="shared" si="1"/>
        <v>noviembre</v>
      </c>
      <c r="O21" s="4" t="str">
        <f t="shared" si="2"/>
        <v>SI</v>
      </c>
      <c r="P21" s="4" t="str">
        <f t="shared" si="3"/>
        <v>SI</v>
      </c>
      <c r="Q21" s="4" t="str" cm="1">
        <f t="array" ref="Q21">_xlfn.IFS(AND(H21&gt;=0,H21&lt;=3333),"Grupo 1",AND(H21&gt;3333,H21&lt;=6666),"Grupo 2",AND(H21&gt;6666,H21&lt;=10000),"Grupo 3")</f>
        <v>Grupo 1</v>
      </c>
    </row>
    <row r="22" spans="1:17" x14ac:dyDescent="0.25">
      <c r="A22" t="s">
        <v>32</v>
      </c>
      <c r="B22" s="2">
        <v>45231.386111111111</v>
      </c>
      <c r="C22" t="s">
        <v>281</v>
      </c>
      <c r="D22" t="s">
        <v>213</v>
      </c>
      <c r="E22">
        <v>2</v>
      </c>
      <c r="F22">
        <v>519.79999999999995</v>
      </c>
      <c r="G22" t="s">
        <v>221</v>
      </c>
      <c r="H22">
        <v>1039.5999999999999</v>
      </c>
      <c r="I22">
        <v>2023</v>
      </c>
      <c r="J22">
        <v>11</v>
      </c>
      <c r="K22">
        <v>9</v>
      </c>
      <c r="L22" s="14">
        <v>519.79999999999995</v>
      </c>
      <c r="M22" s="4" t="str">
        <f t="shared" si="0"/>
        <v>miércoles</v>
      </c>
      <c r="N22" s="4" t="str">
        <f t="shared" si="1"/>
        <v>noviembre</v>
      </c>
      <c r="O22" s="4" t="str">
        <f t="shared" si="2"/>
        <v>NO</v>
      </c>
      <c r="P22" s="4" t="str">
        <f t="shared" si="3"/>
        <v>NO</v>
      </c>
      <c r="Q22" s="4" t="str" cm="1">
        <f t="array" ref="Q22">_xlfn.IFS(AND(H22&gt;=0,H22&lt;=3333),"Grupo 1",AND(H22&gt;3333,H22&lt;=6666),"Grupo 2",AND(H22&gt;6666,H22&lt;=10000),"Grupo 3")</f>
        <v>Grupo 1</v>
      </c>
    </row>
    <row r="23" spans="1:17" x14ac:dyDescent="0.25">
      <c r="A23" t="s">
        <v>33</v>
      </c>
      <c r="B23" s="2">
        <v>45421.563888888893</v>
      </c>
      <c r="C23" t="s">
        <v>282</v>
      </c>
      <c r="D23" t="s">
        <v>214</v>
      </c>
      <c r="E23">
        <v>1</v>
      </c>
      <c r="F23">
        <v>1267.01</v>
      </c>
      <c r="G23" t="s">
        <v>222</v>
      </c>
      <c r="H23">
        <v>1267.01</v>
      </c>
      <c r="I23">
        <v>2024</v>
      </c>
      <c r="J23">
        <v>5</v>
      </c>
      <c r="K23">
        <v>13</v>
      </c>
      <c r="L23" s="14">
        <v>1267.01</v>
      </c>
      <c r="M23" s="4" t="str">
        <f t="shared" si="0"/>
        <v>jueves</v>
      </c>
      <c r="N23" s="4" t="str">
        <f t="shared" si="1"/>
        <v>mayo</v>
      </c>
      <c r="O23" s="4" t="str">
        <f t="shared" si="2"/>
        <v>NO</v>
      </c>
      <c r="P23" s="4" t="str">
        <f t="shared" si="3"/>
        <v>SI</v>
      </c>
      <c r="Q23" s="4" t="str" cm="1">
        <f t="array" ref="Q23">_xlfn.IFS(AND(H23&gt;=0,H23&lt;=3333),"Grupo 1",AND(H23&gt;3333,H23&lt;=6666),"Grupo 2",AND(H23&gt;6666,H23&lt;=10000),"Grupo 3")</f>
        <v>Grupo 1</v>
      </c>
    </row>
    <row r="24" spans="1:17" x14ac:dyDescent="0.25">
      <c r="A24" t="s">
        <v>34</v>
      </c>
      <c r="B24" s="2">
        <v>45437.592361111107</v>
      </c>
      <c r="C24" t="s">
        <v>283</v>
      </c>
      <c r="D24" t="s">
        <v>212</v>
      </c>
      <c r="E24">
        <v>4</v>
      </c>
      <c r="F24">
        <v>1027.81</v>
      </c>
      <c r="G24" t="s">
        <v>220</v>
      </c>
      <c r="H24">
        <v>4111.24</v>
      </c>
      <c r="I24">
        <v>2024</v>
      </c>
      <c r="J24">
        <v>5</v>
      </c>
      <c r="K24">
        <v>14</v>
      </c>
      <c r="L24" s="14">
        <v>1027.81</v>
      </c>
      <c r="M24" s="4" t="str">
        <f t="shared" si="0"/>
        <v>sábado</v>
      </c>
      <c r="N24" s="4" t="str">
        <f t="shared" si="1"/>
        <v>mayo</v>
      </c>
      <c r="O24" s="4" t="str">
        <f t="shared" si="2"/>
        <v>SI</v>
      </c>
      <c r="P24" s="4" t="str">
        <f t="shared" si="3"/>
        <v>SI</v>
      </c>
      <c r="Q24" s="4" t="str" cm="1">
        <f t="array" ref="Q24">_xlfn.IFS(AND(H24&gt;=0,H24&lt;=3333),"Grupo 1",AND(H24&gt;3333,H24&lt;=6666),"Grupo 2",AND(H24&gt;6666,H24&lt;=10000),"Grupo 3")</f>
        <v>Grupo 2</v>
      </c>
    </row>
    <row r="25" spans="1:17" x14ac:dyDescent="0.25">
      <c r="A25" t="s">
        <v>35</v>
      </c>
      <c r="B25" s="2">
        <v>45355.487500000003</v>
      </c>
      <c r="C25" t="s">
        <v>284</v>
      </c>
      <c r="D25" t="s">
        <v>216</v>
      </c>
      <c r="E25">
        <v>3</v>
      </c>
      <c r="F25">
        <v>925.62</v>
      </c>
      <c r="G25" t="s">
        <v>221</v>
      </c>
      <c r="H25">
        <v>2776.86</v>
      </c>
      <c r="I25">
        <v>2024</v>
      </c>
      <c r="J25">
        <v>3</v>
      </c>
      <c r="K25">
        <v>11</v>
      </c>
      <c r="L25" s="14">
        <v>925.62</v>
      </c>
      <c r="M25" s="4" t="str">
        <f t="shared" si="0"/>
        <v>lunes</v>
      </c>
      <c r="N25" s="4" t="str">
        <f t="shared" si="1"/>
        <v>marzo</v>
      </c>
      <c r="O25" s="4" t="str">
        <f t="shared" si="2"/>
        <v>NO</v>
      </c>
      <c r="P25" s="4" t="str">
        <f t="shared" si="3"/>
        <v>NO</v>
      </c>
      <c r="Q25" s="4" t="str" cm="1">
        <f t="array" ref="Q25">_xlfn.IFS(AND(H25&gt;=0,H25&lt;=3333),"Grupo 1",AND(H25&gt;3333,H25&lt;=6666),"Grupo 2",AND(H25&gt;6666,H25&lt;=10000),"Grupo 3")</f>
        <v>Grupo 1</v>
      </c>
    </row>
    <row r="26" spans="1:17" x14ac:dyDescent="0.25">
      <c r="A26" t="s">
        <v>36</v>
      </c>
      <c r="B26" s="2">
        <v>45924.43472222222</v>
      </c>
      <c r="C26" t="s">
        <v>285</v>
      </c>
      <c r="D26" t="s">
        <v>212</v>
      </c>
      <c r="E26">
        <v>3</v>
      </c>
      <c r="F26">
        <v>213.71</v>
      </c>
      <c r="G26" t="s">
        <v>220</v>
      </c>
      <c r="H26">
        <v>641.13</v>
      </c>
      <c r="I26">
        <v>2025</v>
      </c>
      <c r="J26">
        <v>9</v>
      </c>
      <c r="K26">
        <v>10</v>
      </c>
      <c r="L26" s="14">
        <v>213.71</v>
      </c>
      <c r="M26" s="4" t="str">
        <f t="shared" si="0"/>
        <v>miércoles</v>
      </c>
      <c r="N26" s="4" t="str">
        <f t="shared" si="1"/>
        <v>septiembre</v>
      </c>
      <c r="O26" s="4" t="str">
        <f t="shared" si="2"/>
        <v>NO</v>
      </c>
      <c r="P26" s="4" t="str">
        <f t="shared" si="3"/>
        <v>NO</v>
      </c>
      <c r="Q26" s="4" t="str" cm="1">
        <f t="array" ref="Q26">_xlfn.IFS(AND(H26&gt;=0,H26&lt;=3333),"Grupo 1",AND(H26&gt;3333,H26&lt;=6666),"Grupo 2",AND(H26&gt;6666,H26&lt;=10000),"Grupo 3")</f>
        <v>Grupo 1</v>
      </c>
    </row>
    <row r="27" spans="1:17" x14ac:dyDescent="0.25">
      <c r="A27" t="s">
        <v>37</v>
      </c>
      <c r="B27" s="2">
        <v>45471.931250000001</v>
      </c>
      <c r="C27" t="s">
        <v>286</v>
      </c>
      <c r="D27" t="s">
        <v>217</v>
      </c>
      <c r="E27">
        <v>2</v>
      </c>
      <c r="F27">
        <v>1146.75</v>
      </c>
      <c r="G27" t="s">
        <v>220</v>
      </c>
      <c r="H27">
        <v>2293.5</v>
      </c>
      <c r="I27">
        <v>2024</v>
      </c>
      <c r="J27">
        <v>6</v>
      </c>
      <c r="K27">
        <v>22</v>
      </c>
      <c r="L27" s="14">
        <v>1146.75</v>
      </c>
      <c r="M27" s="4" t="str">
        <f t="shared" si="0"/>
        <v>viernes</v>
      </c>
      <c r="N27" s="4" t="str">
        <f t="shared" si="1"/>
        <v>junio</v>
      </c>
      <c r="O27" s="4" t="str">
        <f t="shared" si="2"/>
        <v>NO</v>
      </c>
      <c r="P27" s="4" t="str">
        <f t="shared" si="3"/>
        <v>SI</v>
      </c>
      <c r="Q27" s="4" t="str" cm="1">
        <f t="array" ref="Q27">_xlfn.IFS(AND(H27&gt;=0,H27&lt;=3333),"Grupo 1",AND(H27&gt;3333,H27&lt;=6666),"Grupo 2",AND(H27&gt;6666,H27&lt;=10000),"Grupo 3")</f>
        <v>Grupo 1</v>
      </c>
    </row>
    <row r="28" spans="1:17" x14ac:dyDescent="0.25">
      <c r="A28" t="s">
        <v>38</v>
      </c>
      <c r="B28" s="2">
        <v>45003.59097222222</v>
      </c>
      <c r="C28" t="s">
        <v>287</v>
      </c>
      <c r="D28" t="s">
        <v>217</v>
      </c>
      <c r="E28">
        <v>5</v>
      </c>
      <c r="F28">
        <v>907.28</v>
      </c>
      <c r="G28" t="s">
        <v>220</v>
      </c>
      <c r="H28">
        <v>4536.3999999999996</v>
      </c>
      <c r="I28">
        <v>2023</v>
      </c>
      <c r="J28">
        <v>3</v>
      </c>
      <c r="K28">
        <v>14</v>
      </c>
      <c r="L28" s="14">
        <v>907.28</v>
      </c>
      <c r="M28" s="4" t="str">
        <f t="shared" si="0"/>
        <v>sábado</v>
      </c>
      <c r="N28" s="4" t="str">
        <f t="shared" si="1"/>
        <v>marzo</v>
      </c>
      <c r="O28" s="4" t="str">
        <f t="shared" si="2"/>
        <v>SI</v>
      </c>
      <c r="P28" s="4" t="str">
        <f t="shared" si="3"/>
        <v>NO</v>
      </c>
      <c r="Q28" s="4" t="str" cm="1">
        <f t="array" ref="Q28">_xlfn.IFS(AND(H28&gt;=0,H28&lt;=3333),"Grupo 1",AND(H28&gt;3333,H28&lt;=6666),"Grupo 2",AND(H28&gt;6666,H28&lt;=10000),"Grupo 3")</f>
        <v>Grupo 2</v>
      </c>
    </row>
    <row r="29" spans="1:17" x14ac:dyDescent="0.25">
      <c r="A29" t="s">
        <v>39</v>
      </c>
      <c r="B29" s="2">
        <v>45206.394444444442</v>
      </c>
      <c r="C29" t="s">
        <v>288</v>
      </c>
      <c r="D29" t="s">
        <v>216</v>
      </c>
      <c r="E29">
        <v>2</v>
      </c>
      <c r="F29">
        <v>1734.44</v>
      </c>
      <c r="G29" t="s">
        <v>221</v>
      </c>
      <c r="H29">
        <v>3468.88</v>
      </c>
      <c r="I29">
        <v>2023</v>
      </c>
      <c r="J29">
        <v>10</v>
      </c>
      <c r="K29">
        <v>9</v>
      </c>
      <c r="L29" s="14">
        <v>1734.44</v>
      </c>
      <c r="M29" s="4" t="str">
        <f t="shared" si="0"/>
        <v>sábado</v>
      </c>
      <c r="N29" s="4" t="str">
        <f t="shared" si="1"/>
        <v>octubre</v>
      </c>
      <c r="O29" s="4" t="str">
        <f t="shared" si="2"/>
        <v>SI</v>
      </c>
      <c r="P29" s="4" t="str">
        <f t="shared" si="3"/>
        <v>SI</v>
      </c>
      <c r="Q29" s="4" t="str" cm="1">
        <f t="array" ref="Q29">_xlfn.IFS(AND(H29&gt;=0,H29&lt;=3333),"Grupo 1",AND(H29&gt;3333,H29&lt;=6666),"Grupo 2",AND(H29&gt;6666,H29&lt;=10000),"Grupo 3")</f>
        <v>Grupo 2</v>
      </c>
    </row>
    <row r="30" spans="1:17" x14ac:dyDescent="0.25">
      <c r="A30" t="s">
        <v>40</v>
      </c>
      <c r="B30" s="2">
        <v>45595.773611111108</v>
      </c>
      <c r="C30" t="s">
        <v>289</v>
      </c>
      <c r="D30" t="s">
        <v>213</v>
      </c>
      <c r="E30">
        <v>1</v>
      </c>
      <c r="F30">
        <v>424.35</v>
      </c>
      <c r="G30" t="s">
        <v>221</v>
      </c>
      <c r="H30">
        <v>424.35</v>
      </c>
      <c r="I30">
        <v>2024</v>
      </c>
      <c r="J30">
        <v>10</v>
      </c>
      <c r="K30">
        <v>18</v>
      </c>
      <c r="L30" s="14">
        <v>424.35</v>
      </c>
      <c r="M30" s="4" t="str">
        <f t="shared" si="0"/>
        <v>miércoles</v>
      </c>
      <c r="N30" s="4" t="str">
        <f t="shared" si="1"/>
        <v>octubre</v>
      </c>
      <c r="O30" s="4" t="str">
        <f t="shared" si="2"/>
        <v>NO</v>
      </c>
      <c r="P30" s="4" t="str">
        <f t="shared" si="3"/>
        <v>NO</v>
      </c>
      <c r="Q30" s="4" t="str" cm="1">
        <f t="array" ref="Q30">_xlfn.IFS(AND(H30&gt;=0,H30&lt;=3333),"Grupo 1",AND(H30&gt;3333,H30&lt;=6666),"Grupo 2",AND(H30&gt;6666,H30&lt;=10000),"Grupo 3")</f>
        <v>Grupo 1</v>
      </c>
    </row>
    <row r="31" spans="1:17" x14ac:dyDescent="0.25">
      <c r="A31" t="s">
        <v>41</v>
      </c>
      <c r="B31" s="2">
        <v>45888.736805555563</v>
      </c>
      <c r="C31" t="s">
        <v>290</v>
      </c>
      <c r="D31" t="s">
        <v>212</v>
      </c>
      <c r="E31">
        <v>1</v>
      </c>
      <c r="F31">
        <v>252.57</v>
      </c>
      <c r="G31" t="s">
        <v>220</v>
      </c>
      <c r="H31">
        <v>252.57</v>
      </c>
      <c r="I31">
        <v>2025</v>
      </c>
      <c r="J31">
        <v>8</v>
      </c>
      <c r="K31">
        <v>17</v>
      </c>
      <c r="L31" s="14">
        <v>252.57</v>
      </c>
      <c r="M31" s="4" t="str">
        <f t="shared" si="0"/>
        <v>martes</v>
      </c>
      <c r="N31" s="4" t="str">
        <f t="shared" si="1"/>
        <v>agosto</v>
      </c>
      <c r="O31" s="4" t="str">
        <f t="shared" si="2"/>
        <v>NO</v>
      </c>
      <c r="P31" s="4" t="str">
        <f t="shared" si="3"/>
        <v>NO</v>
      </c>
      <c r="Q31" s="4" t="str" cm="1">
        <f t="array" ref="Q31">_xlfn.IFS(AND(H31&gt;=0,H31&lt;=3333),"Grupo 1",AND(H31&gt;3333,H31&lt;=6666),"Grupo 2",AND(H31&gt;6666,H31&lt;=10000),"Grupo 3")</f>
        <v>Grupo 1</v>
      </c>
    </row>
    <row r="32" spans="1:17" x14ac:dyDescent="0.25">
      <c r="A32" t="s">
        <v>42</v>
      </c>
      <c r="B32" s="2">
        <v>45478.06527777778</v>
      </c>
      <c r="C32" t="s">
        <v>291</v>
      </c>
      <c r="D32" t="s">
        <v>218</v>
      </c>
      <c r="E32">
        <v>3</v>
      </c>
      <c r="F32">
        <v>21.56</v>
      </c>
      <c r="G32" t="s">
        <v>221</v>
      </c>
      <c r="H32">
        <v>64.679999999999993</v>
      </c>
      <c r="I32">
        <v>2024</v>
      </c>
      <c r="J32">
        <v>7</v>
      </c>
      <c r="K32">
        <v>1</v>
      </c>
      <c r="L32" s="14">
        <v>21.56</v>
      </c>
      <c r="M32" s="4" t="str">
        <f t="shared" si="0"/>
        <v>viernes</v>
      </c>
      <c r="N32" s="4" t="str">
        <f t="shared" si="1"/>
        <v>julio</v>
      </c>
      <c r="O32" s="4" t="str">
        <f t="shared" si="2"/>
        <v>NO</v>
      </c>
      <c r="P32" s="4" t="str">
        <f t="shared" si="3"/>
        <v>NO</v>
      </c>
      <c r="Q32" s="4" t="str" cm="1">
        <f t="array" ref="Q32">_xlfn.IFS(AND(H32&gt;=0,H32&lt;=3333),"Grupo 1",AND(H32&gt;3333,H32&lt;=6666),"Grupo 2",AND(H32&gt;6666,H32&lt;=10000),"Grupo 3")</f>
        <v>Grupo 1</v>
      </c>
    </row>
    <row r="33" spans="1:17" x14ac:dyDescent="0.25">
      <c r="A33" t="s">
        <v>43</v>
      </c>
      <c r="B33" s="2">
        <v>45402.668749999997</v>
      </c>
      <c r="C33" t="s">
        <v>292</v>
      </c>
      <c r="D33" t="s">
        <v>214</v>
      </c>
      <c r="E33">
        <v>1</v>
      </c>
      <c r="F33">
        <v>446.81</v>
      </c>
      <c r="G33" t="s">
        <v>222</v>
      </c>
      <c r="H33">
        <v>446.81</v>
      </c>
      <c r="I33">
        <v>2024</v>
      </c>
      <c r="J33">
        <v>4</v>
      </c>
      <c r="K33">
        <v>16</v>
      </c>
      <c r="L33" s="14">
        <v>446.81</v>
      </c>
      <c r="M33" s="4" t="str">
        <f t="shared" si="0"/>
        <v>sábado</v>
      </c>
      <c r="N33" s="4" t="str">
        <f t="shared" si="1"/>
        <v>abril</v>
      </c>
      <c r="O33" s="4" t="str">
        <f t="shared" si="2"/>
        <v>NO</v>
      </c>
      <c r="P33" s="4" t="str">
        <f t="shared" si="3"/>
        <v>NO</v>
      </c>
      <c r="Q33" s="4" t="str" cm="1">
        <f t="array" ref="Q33">_xlfn.IFS(AND(H33&gt;=0,H33&lt;=3333),"Grupo 1",AND(H33&gt;3333,H33&lt;=6666),"Grupo 2",AND(H33&gt;6666,H33&lt;=10000),"Grupo 3")</f>
        <v>Grupo 1</v>
      </c>
    </row>
    <row r="34" spans="1:17" x14ac:dyDescent="0.25">
      <c r="A34" t="s">
        <v>44</v>
      </c>
      <c r="B34" s="2">
        <v>45033.806944444441</v>
      </c>
      <c r="C34" t="s">
        <v>293</v>
      </c>
      <c r="D34" t="s">
        <v>218</v>
      </c>
      <c r="E34">
        <v>2</v>
      </c>
      <c r="F34">
        <v>64.67</v>
      </c>
      <c r="G34" t="s">
        <v>221</v>
      </c>
      <c r="H34">
        <v>129.34</v>
      </c>
      <c r="I34">
        <v>2023</v>
      </c>
      <c r="J34">
        <v>4</v>
      </c>
      <c r="K34">
        <v>19</v>
      </c>
      <c r="L34" s="14">
        <v>64.67</v>
      </c>
      <c r="M34" s="4" t="str">
        <f t="shared" si="0"/>
        <v>lunes</v>
      </c>
      <c r="N34" s="4" t="str">
        <f t="shared" si="1"/>
        <v>abril</v>
      </c>
      <c r="O34" s="4" t="str">
        <f t="shared" si="2"/>
        <v>NO</v>
      </c>
      <c r="P34" s="4" t="str">
        <f t="shared" si="3"/>
        <v>NO</v>
      </c>
      <c r="Q34" s="4" t="str" cm="1">
        <f t="array" ref="Q34">_xlfn.IFS(AND(H34&gt;=0,H34&lt;=3333),"Grupo 1",AND(H34&gt;3333,H34&lt;=6666),"Grupo 2",AND(H34&gt;6666,H34&lt;=10000),"Grupo 3")</f>
        <v>Grupo 1</v>
      </c>
    </row>
    <row r="35" spans="1:17" x14ac:dyDescent="0.25">
      <c r="A35" t="s">
        <v>45</v>
      </c>
      <c r="B35" s="2">
        <v>45432.781944444447</v>
      </c>
      <c r="C35" t="s">
        <v>294</v>
      </c>
      <c r="D35" t="s">
        <v>216</v>
      </c>
      <c r="E35">
        <v>5</v>
      </c>
      <c r="F35">
        <v>1168.3499999999999</v>
      </c>
      <c r="G35" t="s">
        <v>221</v>
      </c>
      <c r="H35">
        <v>5841.75</v>
      </c>
      <c r="I35">
        <v>2024</v>
      </c>
      <c r="J35">
        <v>5</v>
      </c>
      <c r="K35">
        <v>18</v>
      </c>
      <c r="L35" s="14">
        <v>1168.3499999999999</v>
      </c>
      <c r="M35" s="4" t="str">
        <f t="shared" si="0"/>
        <v>lunes</v>
      </c>
      <c r="N35" s="4" t="str">
        <f t="shared" si="1"/>
        <v>mayo</v>
      </c>
      <c r="O35" s="4" t="str">
        <f t="shared" si="2"/>
        <v>SI</v>
      </c>
      <c r="P35" s="4" t="str">
        <f t="shared" si="3"/>
        <v>SI</v>
      </c>
      <c r="Q35" s="4" t="str" cm="1">
        <f t="array" ref="Q35">_xlfn.IFS(AND(H35&gt;=0,H35&lt;=3333),"Grupo 1",AND(H35&gt;3333,H35&lt;=6666),"Grupo 2",AND(H35&gt;6666,H35&lt;=10000),"Grupo 3")</f>
        <v>Grupo 2</v>
      </c>
    </row>
    <row r="36" spans="1:17" x14ac:dyDescent="0.25">
      <c r="A36" t="s">
        <v>46</v>
      </c>
      <c r="B36" s="2">
        <v>45746.083333333343</v>
      </c>
      <c r="C36" t="s">
        <v>295</v>
      </c>
      <c r="D36" t="s">
        <v>214</v>
      </c>
      <c r="E36">
        <v>2</v>
      </c>
      <c r="F36">
        <v>349.3</v>
      </c>
      <c r="G36" t="s">
        <v>222</v>
      </c>
      <c r="H36">
        <v>698.6</v>
      </c>
      <c r="I36">
        <v>2025</v>
      </c>
      <c r="J36">
        <v>3</v>
      </c>
      <c r="K36">
        <v>2</v>
      </c>
      <c r="L36" s="14">
        <v>349.3</v>
      </c>
      <c r="M36" s="4" t="str">
        <f t="shared" si="0"/>
        <v>domingo</v>
      </c>
      <c r="N36" s="4" t="str">
        <f t="shared" si="1"/>
        <v>marzo</v>
      </c>
      <c r="O36" s="4" t="str">
        <f t="shared" si="2"/>
        <v>NO</v>
      </c>
      <c r="P36" s="4" t="str">
        <f t="shared" si="3"/>
        <v>NO</v>
      </c>
      <c r="Q36" s="4" t="str" cm="1">
        <f t="array" ref="Q36">_xlfn.IFS(AND(H36&gt;=0,H36&lt;=3333),"Grupo 1",AND(H36&gt;3333,H36&lt;=6666),"Grupo 2",AND(H36&gt;6666,H36&lt;=10000),"Grupo 3")</f>
        <v>Grupo 1</v>
      </c>
    </row>
    <row r="37" spans="1:17" x14ac:dyDescent="0.25">
      <c r="A37" t="s">
        <v>47</v>
      </c>
      <c r="B37" s="2">
        <v>45515.355555555558</v>
      </c>
      <c r="C37" t="s">
        <v>296</v>
      </c>
      <c r="D37" t="s">
        <v>216</v>
      </c>
      <c r="E37">
        <v>3</v>
      </c>
      <c r="F37">
        <v>1154.06</v>
      </c>
      <c r="G37" t="s">
        <v>221</v>
      </c>
      <c r="H37">
        <v>3462.18</v>
      </c>
      <c r="I37">
        <v>2024</v>
      </c>
      <c r="J37">
        <v>8</v>
      </c>
      <c r="K37">
        <v>8</v>
      </c>
      <c r="L37" s="14">
        <v>1154.06</v>
      </c>
      <c r="M37" s="4" t="str">
        <f t="shared" si="0"/>
        <v>domingo</v>
      </c>
      <c r="N37" s="4" t="str">
        <f t="shared" si="1"/>
        <v>agosto</v>
      </c>
      <c r="O37" s="4" t="str">
        <f t="shared" si="2"/>
        <v>SI</v>
      </c>
      <c r="P37" s="4" t="str">
        <f t="shared" si="3"/>
        <v>SI</v>
      </c>
      <c r="Q37" s="4" t="str" cm="1">
        <f t="array" ref="Q37">_xlfn.IFS(AND(H37&gt;=0,H37&lt;=3333),"Grupo 1",AND(H37&gt;3333,H37&lt;=6666),"Grupo 2",AND(H37&gt;6666,H37&lt;=10000),"Grupo 3")</f>
        <v>Grupo 2</v>
      </c>
    </row>
    <row r="38" spans="1:17" x14ac:dyDescent="0.25">
      <c r="A38" t="s">
        <v>48</v>
      </c>
      <c r="B38" s="2">
        <v>45730.554861111108</v>
      </c>
      <c r="C38" t="s">
        <v>297</v>
      </c>
      <c r="D38" t="s">
        <v>215</v>
      </c>
      <c r="E38">
        <v>4</v>
      </c>
      <c r="F38">
        <v>1566.37</v>
      </c>
      <c r="G38" t="s">
        <v>220</v>
      </c>
      <c r="H38">
        <v>6265.48</v>
      </c>
      <c r="I38">
        <v>2025</v>
      </c>
      <c r="J38">
        <v>3</v>
      </c>
      <c r="K38">
        <v>13</v>
      </c>
      <c r="L38" s="14">
        <v>1566.37</v>
      </c>
      <c r="M38" s="4" t="str">
        <f t="shared" si="0"/>
        <v>viernes</v>
      </c>
      <c r="N38" s="4" t="str">
        <f t="shared" si="1"/>
        <v>marzo</v>
      </c>
      <c r="O38" s="4" t="str">
        <f t="shared" si="2"/>
        <v>SI</v>
      </c>
      <c r="P38" s="4" t="str">
        <f t="shared" si="3"/>
        <v>SI</v>
      </c>
      <c r="Q38" s="4" t="str" cm="1">
        <f t="array" ref="Q38">_xlfn.IFS(AND(H38&gt;=0,H38&lt;=3333),"Grupo 1",AND(H38&gt;3333,H38&lt;=6666),"Grupo 2",AND(H38&gt;6666,H38&lt;=10000),"Grupo 3")</f>
        <v>Grupo 2</v>
      </c>
    </row>
    <row r="39" spans="1:17" x14ac:dyDescent="0.25">
      <c r="A39" t="s">
        <v>49</v>
      </c>
      <c r="B39" s="2">
        <v>45603.252083333333</v>
      </c>
      <c r="C39" t="s">
        <v>298</v>
      </c>
      <c r="D39" t="s">
        <v>212</v>
      </c>
      <c r="E39">
        <v>2</v>
      </c>
      <c r="F39">
        <v>674.48</v>
      </c>
      <c r="G39" t="s">
        <v>220</v>
      </c>
      <c r="H39">
        <v>1348.96</v>
      </c>
      <c r="I39">
        <v>2024</v>
      </c>
      <c r="J39">
        <v>11</v>
      </c>
      <c r="K39">
        <v>6</v>
      </c>
      <c r="L39" s="14">
        <v>674.48</v>
      </c>
      <c r="M39" s="4" t="str">
        <f t="shared" si="0"/>
        <v>jueves</v>
      </c>
      <c r="N39" s="4" t="str">
        <f t="shared" si="1"/>
        <v>noviembre</v>
      </c>
      <c r="O39" s="4" t="str">
        <f t="shared" si="2"/>
        <v>NO</v>
      </c>
      <c r="P39" s="4" t="str">
        <f t="shared" si="3"/>
        <v>NO</v>
      </c>
      <c r="Q39" s="4" t="str" cm="1">
        <f t="array" ref="Q39">_xlfn.IFS(AND(H39&gt;=0,H39&lt;=3333),"Grupo 1",AND(H39&gt;3333,H39&lt;=6666),"Grupo 2",AND(H39&gt;6666,H39&lt;=10000),"Grupo 3")</f>
        <v>Grupo 1</v>
      </c>
    </row>
    <row r="40" spans="1:17" x14ac:dyDescent="0.25">
      <c r="A40" t="s">
        <v>50</v>
      </c>
      <c r="B40" s="2">
        <v>45420.054861111108</v>
      </c>
      <c r="C40" t="s">
        <v>299</v>
      </c>
      <c r="D40" t="s">
        <v>212</v>
      </c>
      <c r="E40">
        <v>2</v>
      </c>
      <c r="F40">
        <v>1543.98</v>
      </c>
      <c r="G40" t="s">
        <v>220</v>
      </c>
      <c r="H40">
        <v>3087.96</v>
      </c>
      <c r="I40">
        <v>2024</v>
      </c>
      <c r="J40">
        <v>5</v>
      </c>
      <c r="K40">
        <v>1</v>
      </c>
      <c r="L40" s="14">
        <v>1543.98</v>
      </c>
      <c r="M40" s="4" t="str">
        <f t="shared" si="0"/>
        <v>miércoles</v>
      </c>
      <c r="N40" s="4" t="str">
        <f t="shared" si="1"/>
        <v>mayo</v>
      </c>
      <c r="O40" s="4" t="str">
        <f t="shared" si="2"/>
        <v>SI</v>
      </c>
      <c r="P40" s="4" t="str">
        <f t="shared" si="3"/>
        <v>SI</v>
      </c>
      <c r="Q40" s="4" t="str" cm="1">
        <f t="array" ref="Q40">_xlfn.IFS(AND(H40&gt;=0,H40&lt;=3333),"Grupo 1",AND(H40&gt;3333,H40&lt;=6666),"Grupo 2",AND(H40&gt;6666,H40&lt;=10000),"Grupo 3")</f>
        <v>Grupo 1</v>
      </c>
    </row>
    <row r="41" spans="1:17" x14ac:dyDescent="0.25">
      <c r="A41" t="s">
        <v>51</v>
      </c>
      <c r="B41" s="2">
        <v>44931.743055555547</v>
      </c>
      <c r="C41" t="s">
        <v>300</v>
      </c>
      <c r="D41" t="s">
        <v>217</v>
      </c>
      <c r="E41">
        <v>5</v>
      </c>
      <c r="F41">
        <v>917.31</v>
      </c>
      <c r="G41" t="s">
        <v>220</v>
      </c>
      <c r="H41">
        <v>4586.5499999999993</v>
      </c>
      <c r="I41">
        <v>2023</v>
      </c>
      <c r="J41">
        <v>1</v>
      </c>
      <c r="K41">
        <v>17</v>
      </c>
      <c r="L41" s="14">
        <v>917.30999999999983</v>
      </c>
      <c r="M41" s="4" t="str">
        <f t="shared" si="0"/>
        <v>jueves</v>
      </c>
      <c r="N41" s="4" t="str">
        <f t="shared" si="1"/>
        <v>enero</v>
      </c>
      <c r="O41" s="4" t="str">
        <f t="shared" si="2"/>
        <v>SI</v>
      </c>
      <c r="P41" s="4" t="str">
        <f t="shared" si="3"/>
        <v>NO</v>
      </c>
      <c r="Q41" s="4" t="str" cm="1">
        <f t="array" ref="Q41">_xlfn.IFS(AND(H41&gt;=0,H41&lt;=3333),"Grupo 1",AND(H41&gt;3333,H41&lt;=6666),"Grupo 2",AND(H41&gt;6666,H41&lt;=10000),"Grupo 3")</f>
        <v>Grupo 2</v>
      </c>
    </row>
    <row r="42" spans="1:17" x14ac:dyDescent="0.25">
      <c r="A42" t="s">
        <v>52</v>
      </c>
      <c r="B42" s="2">
        <v>45326.684027777781</v>
      </c>
      <c r="C42" t="s">
        <v>301</v>
      </c>
      <c r="D42" t="s">
        <v>219</v>
      </c>
      <c r="E42">
        <v>4</v>
      </c>
      <c r="F42">
        <v>450.36</v>
      </c>
      <c r="G42" t="s">
        <v>221</v>
      </c>
      <c r="H42">
        <v>1801.44</v>
      </c>
      <c r="I42">
        <v>2024</v>
      </c>
      <c r="J42">
        <v>2</v>
      </c>
      <c r="K42">
        <v>16</v>
      </c>
      <c r="L42" s="14">
        <v>450.36</v>
      </c>
      <c r="M42" s="4" t="str">
        <f t="shared" si="0"/>
        <v>domingo</v>
      </c>
      <c r="N42" s="4" t="str">
        <f t="shared" si="1"/>
        <v>febrero</v>
      </c>
      <c r="O42" s="4" t="str">
        <f t="shared" si="2"/>
        <v>NO</v>
      </c>
      <c r="P42" s="4" t="str">
        <f t="shared" si="3"/>
        <v>NO</v>
      </c>
      <c r="Q42" s="4" t="str" cm="1">
        <f t="array" ref="Q42">_xlfn.IFS(AND(H42&gt;=0,H42&lt;=3333),"Grupo 1",AND(H42&gt;3333,H42&lt;=6666),"Grupo 2",AND(H42&gt;6666,H42&lt;=10000),"Grupo 3")</f>
        <v>Grupo 1</v>
      </c>
    </row>
    <row r="43" spans="1:17" x14ac:dyDescent="0.25">
      <c r="A43" t="s">
        <v>53</v>
      </c>
      <c r="B43" s="2">
        <v>45146.872916666667</v>
      </c>
      <c r="C43" t="s">
        <v>302</v>
      </c>
      <c r="D43" t="s">
        <v>215</v>
      </c>
      <c r="E43">
        <v>2</v>
      </c>
      <c r="F43">
        <v>755.48</v>
      </c>
      <c r="G43" t="s">
        <v>220</v>
      </c>
      <c r="H43">
        <v>1510.96</v>
      </c>
      <c r="I43">
        <v>2023</v>
      </c>
      <c r="J43">
        <v>8</v>
      </c>
      <c r="K43">
        <v>20</v>
      </c>
      <c r="L43" s="14">
        <v>755.48</v>
      </c>
      <c r="M43" s="4" t="str">
        <f t="shared" si="0"/>
        <v>martes</v>
      </c>
      <c r="N43" s="4" t="str">
        <f t="shared" si="1"/>
        <v>agosto</v>
      </c>
      <c r="O43" s="4" t="str">
        <f t="shared" si="2"/>
        <v>NO</v>
      </c>
      <c r="P43" s="4" t="str">
        <f t="shared" si="3"/>
        <v>NO</v>
      </c>
      <c r="Q43" s="4" t="str" cm="1">
        <f t="array" ref="Q43">_xlfn.IFS(AND(H43&gt;=0,H43&lt;=3333),"Grupo 1",AND(H43&gt;3333,H43&lt;=6666),"Grupo 2",AND(H43&gt;6666,H43&lt;=10000),"Grupo 3")</f>
        <v>Grupo 1</v>
      </c>
    </row>
    <row r="44" spans="1:17" x14ac:dyDescent="0.25">
      <c r="A44" t="s">
        <v>54</v>
      </c>
      <c r="B44" s="2">
        <v>45464.595833333333</v>
      </c>
      <c r="C44" t="s">
        <v>303</v>
      </c>
      <c r="D44" t="s">
        <v>213</v>
      </c>
      <c r="E44">
        <v>3</v>
      </c>
      <c r="F44">
        <v>1855.55</v>
      </c>
      <c r="G44" t="s">
        <v>221</v>
      </c>
      <c r="H44">
        <v>5566.65</v>
      </c>
      <c r="I44">
        <v>2024</v>
      </c>
      <c r="J44">
        <v>6</v>
      </c>
      <c r="K44">
        <v>14</v>
      </c>
      <c r="L44" s="14">
        <v>1855.55</v>
      </c>
      <c r="M44" s="4" t="str">
        <f t="shared" si="0"/>
        <v>viernes</v>
      </c>
      <c r="N44" s="4" t="str">
        <f t="shared" si="1"/>
        <v>junio</v>
      </c>
      <c r="O44" s="4" t="str">
        <f t="shared" si="2"/>
        <v>SI</v>
      </c>
      <c r="P44" s="4" t="str">
        <f t="shared" si="3"/>
        <v>SI</v>
      </c>
      <c r="Q44" s="4" t="str" cm="1">
        <f t="array" ref="Q44">_xlfn.IFS(AND(H44&gt;=0,H44&lt;=3333),"Grupo 1",AND(H44&gt;3333,H44&lt;=6666),"Grupo 2",AND(H44&gt;6666,H44&lt;=10000),"Grupo 3")</f>
        <v>Grupo 2</v>
      </c>
    </row>
    <row r="45" spans="1:17" x14ac:dyDescent="0.25">
      <c r="A45" t="s">
        <v>55</v>
      </c>
      <c r="B45" s="2">
        <v>45171.9</v>
      </c>
      <c r="C45" t="s">
        <v>304</v>
      </c>
      <c r="D45" t="s">
        <v>216</v>
      </c>
      <c r="E45">
        <v>5</v>
      </c>
      <c r="F45">
        <v>1011.75</v>
      </c>
      <c r="G45" t="s">
        <v>221</v>
      </c>
      <c r="H45">
        <v>5058.75</v>
      </c>
      <c r="I45">
        <v>2023</v>
      </c>
      <c r="J45">
        <v>9</v>
      </c>
      <c r="K45">
        <v>21</v>
      </c>
      <c r="L45" s="14">
        <v>1011.75</v>
      </c>
      <c r="M45" s="4" t="str">
        <f t="shared" si="0"/>
        <v>sábado</v>
      </c>
      <c r="N45" s="4" t="str">
        <f t="shared" si="1"/>
        <v>septiembre</v>
      </c>
      <c r="O45" s="4" t="str">
        <f t="shared" si="2"/>
        <v>SI</v>
      </c>
      <c r="P45" s="4" t="str">
        <f t="shared" si="3"/>
        <v>SI</v>
      </c>
      <c r="Q45" s="4" t="str" cm="1">
        <f t="array" ref="Q45">_xlfn.IFS(AND(H45&gt;=0,H45&lt;=3333),"Grupo 1",AND(H45&gt;3333,H45&lt;=6666),"Grupo 2",AND(H45&gt;6666,H45&lt;=10000),"Grupo 3")</f>
        <v>Grupo 2</v>
      </c>
    </row>
    <row r="46" spans="1:17" x14ac:dyDescent="0.25">
      <c r="A46" t="s">
        <v>56</v>
      </c>
      <c r="B46" s="2">
        <v>44992.136111111111</v>
      </c>
      <c r="C46" t="s">
        <v>305</v>
      </c>
      <c r="D46" t="s">
        <v>213</v>
      </c>
      <c r="E46">
        <v>5</v>
      </c>
      <c r="F46">
        <v>1218.3399999999999</v>
      </c>
      <c r="G46" t="s">
        <v>221</v>
      </c>
      <c r="H46">
        <v>6091.7</v>
      </c>
      <c r="I46">
        <v>2023</v>
      </c>
      <c r="J46">
        <v>3</v>
      </c>
      <c r="K46">
        <v>3</v>
      </c>
      <c r="L46" s="14">
        <v>1218.3399999999999</v>
      </c>
      <c r="M46" s="4" t="str">
        <f t="shared" si="0"/>
        <v>martes</v>
      </c>
      <c r="N46" s="4" t="str">
        <f t="shared" si="1"/>
        <v>marzo</v>
      </c>
      <c r="O46" s="4" t="str">
        <f t="shared" si="2"/>
        <v>SI</v>
      </c>
      <c r="P46" s="4" t="str">
        <f t="shared" si="3"/>
        <v>SI</v>
      </c>
      <c r="Q46" s="4" t="str" cm="1">
        <f t="array" ref="Q46">_xlfn.IFS(AND(H46&gt;=0,H46&lt;=3333),"Grupo 1",AND(H46&gt;3333,H46&lt;=6666),"Grupo 2",AND(H46&gt;6666,H46&lt;=10000),"Grupo 3")</f>
        <v>Grupo 2</v>
      </c>
    </row>
    <row r="47" spans="1:17" x14ac:dyDescent="0.25">
      <c r="A47" t="s">
        <v>57</v>
      </c>
      <c r="B47" s="2">
        <v>44927.061111111107</v>
      </c>
      <c r="C47" t="s">
        <v>306</v>
      </c>
      <c r="D47" t="s">
        <v>216</v>
      </c>
      <c r="E47">
        <v>2</v>
      </c>
      <c r="F47">
        <v>361.59</v>
      </c>
      <c r="G47" t="s">
        <v>221</v>
      </c>
      <c r="H47">
        <v>723.18</v>
      </c>
      <c r="I47">
        <v>2023</v>
      </c>
      <c r="J47">
        <v>1</v>
      </c>
      <c r="K47">
        <v>1</v>
      </c>
      <c r="L47" s="14">
        <v>361.59</v>
      </c>
      <c r="M47" s="4" t="str">
        <f t="shared" si="0"/>
        <v>domingo</v>
      </c>
      <c r="N47" s="4" t="str">
        <f t="shared" si="1"/>
        <v>enero</v>
      </c>
      <c r="O47" s="4" t="str">
        <f t="shared" si="2"/>
        <v>NO</v>
      </c>
      <c r="P47" s="4" t="str">
        <f t="shared" si="3"/>
        <v>NO</v>
      </c>
      <c r="Q47" s="4" t="str" cm="1">
        <f t="array" ref="Q47">_xlfn.IFS(AND(H47&gt;=0,H47&lt;=3333),"Grupo 1",AND(H47&gt;3333,H47&lt;=6666),"Grupo 2",AND(H47&gt;6666,H47&lt;=10000),"Grupo 3")</f>
        <v>Grupo 1</v>
      </c>
    </row>
    <row r="48" spans="1:17" x14ac:dyDescent="0.25">
      <c r="A48" t="s">
        <v>58</v>
      </c>
      <c r="B48" s="2">
        <v>45097.359027777777</v>
      </c>
      <c r="C48" t="s">
        <v>307</v>
      </c>
      <c r="D48" t="s">
        <v>213</v>
      </c>
      <c r="E48">
        <v>5</v>
      </c>
      <c r="F48">
        <v>958.8</v>
      </c>
      <c r="G48" t="s">
        <v>221</v>
      </c>
      <c r="H48">
        <v>4794</v>
      </c>
      <c r="I48">
        <v>2023</v>
      </c>
      <c r="J48">
        <v>6</v>
      </c>
      <c r="K48">
        <v>8</v>
      </c>
      <c r="L48" s="14">
        <v>958.8</v>
      </c>
      <c r="M48" s="4" t="str">
        <f t="shared" si="0"/>
        <v>martes</v>
      </c>
      <c r="N48" s="4" t="str">
        <f t="shared" si="1"/>
        <v>junio</v>
      </c>
      <c r="O48" s="4" t="str">
        <f t="shared" si="2"/>
        <v>SI</v>
      </c>
      <c r="P48" s="4" t="str">
        <f t="shared" si="3"/>
        <v>NO</v>
      </c>
      <c r="Q48" s="4" t="str" cm="1">
        <f t="array" ref="Q48">_xlfn.IFS(AND(H48&gt;=0,H48&lt;=3333),"Grupo 1",AND(H48&gt;3333,H48&lt;=6666),"Grupo 2",AND(H48&gt;6666,H48&lt;=10000),"Grupo 3")</f>
        <v>Grupo 2</v>
      </c>
    </row>
    <row r="49" spans="1:17" x14ac:dyDescent="0.25">
      <c r="A49" t="s">
        <v>59</v>
      </c>
      <c r="B49" s="2">
        <v>45755.288194444453</v>
      </c>
      <c r="C49" t="s">
        <v>308</v>
      </c>
      <c r="D49" t="s">
        <v>214</v>
      </c>
      <c r="E49">
        <v>5</v>
      </c>
      <c r="F49">
        <v>1776.87</v>
      </c>
      <c r="G49" t="s">
        <v>222</v>
      </c>
      <c r="H49">
        <v>8884.3499999999985</v>
      </c>
      <c r="I49">
        <v>2025</v>
      </c>
      <c r="J49">
        <v>4</v>
      </c>
      <c r="K49">
        <v>6</v>
      </c>
      <c r="L49" s="14">
        <v>1776.87</v>
      </c>
      <c r="M49" s="4" t="str">
        <f t="shared" si="0"/>
        <v>martes</v>
      </c>
      <c r="N49" s="4" t="str">
        <f t="shared" si="1"/>
        <v>abril</v>
      </c>
      <c r="O49" s="4" t="str">
        <f t="shared" si="2"/>
        <v>SI</v>
      </c>
      <c r="P49" s="4" t="str">
        <f t="shared" si="3"/>
        <v>SI</v>
      </c>
      <c r="Q49" s="4" t="str" cm="1">
        <f t="array" ref="Q49">_xlfn.IFS(AND(H49&gt;=0,H49&lt;=3333),"Grupo 1",AND(H49&gt;3333,H49&lt;=6666),"Grupo 2",AND(H49&gt;6666,H49&lt;=10000),"Grupo 3")</f>
        <v>Grupo 3</v>
      </c>
    </row>
    <row r="50" spans="1:17" x14ac:dyDescent="0.25">
      <c r="A50" t="s">
        <v>60</v>
      </c>
      <c r="B50" s="2">
        <v>45782.866666666669</v>
      </c>
      <c r="C50" t="s">
        <v>309</v>
      </c>
      <c r="D50" t="s">
        <v>219</v>
      </c>
      <c r="E50">
        <v>1</v>
      </c>
      <c r="F50">
        <v>1467.34</v>
      </c>
      <c r="G50" t="s">
        <v>221</v>
      </c>
      <c r="H50">
        <v>1467.34</v>
      </c>
      <c r="I50">
        <v>2025</v>
      </c>
      <c r="J50">
        <v>5</v>
      </c>
      <c r="K50">
        <v>20</v>
      </c>
      <c r="L50" s="14">
        <v>1467.34</v>
      </c>
      <c r="M50" s="4" t="str">
        <f t="shared" si="0"/>
        <v>lunes</v>
      </c>
      <c r="N50" s="4" t="str">
        <f t="shared" si="1"/>
        <v>mayo</v>
      </c>
      <c r="O50" s="4" t="str">
        <f t="shared" si="2"/>
        <v>NO</v>
      </c>
      <c r="P50" s="4" t="str">
        <f t="shared" si="3"/>
        <v>SI</v>
      </c>
      <c r="Q50" s="4" t="str" cm="1">
        <f t="array" ref="Q50">_xlfn.IFS(AND(H50&gt;=0,H50&lt;=3333),"Grupo 1",AND(H50&gt;3333,H50&lt;=6666),"Grupo 2",AND(H50&gt;6666,H50&lt;=10000),"Grupo 3")</f>
        <v>Grupo 1</v>
      </c>
    </row>
    <row r="51" spans="1:17" x14ac:dyDescent="0.25">
      <c r="A51" t="s">
        <v>61</v>
      </c>
      <c r="B51" s="2">
        <v>45819.341666666667</v>
      </c>
      <c r="C51" t="s">
        <v>310</v>
      </c>
      <c r="D51" t="s">
        <v>214</v>
      </c>
      <c r="E51">
        <v>3</v>
      </c>
      <c r="F51">
        <v>683.91</v>
      </c>
      <c r="G51" t="s">
        <v>222</v>
      </c>
      <c r="H51">
        <v>2051.73</v>
      </c>
      <c r="I51">
        <v>2025</v>
      </c>
      <c r="J51">
        <v>6</v>
      </c>
      <c r="K51">
        <v>8</v>
      </c>
      <c r="L51" s="14">
        <v>683.91</v>
      </c>
      <c r="M51" s="4" t="str">
        <f t="shared" si="0"/>
        <v>miércoles</v>
      </c>
      <c r="N51" s="4" t="str">
        <f t="shared" si="1"/>
        <v>junio</v>
      </c>
      <c r="O51" s="4" t="str">
        <f t="shared" si="2"/>
        <v>NO</v>
      </c>
      <c r="P51" s="4" t="str">
        <f t="shared" si="3"/>
        <v>NO</v>
      </c>
      <c r="Q51" s="4" t="str" cm="1">
        <f t="array" ref="Q51">_xlfn.IFS(AND(H51&gt;=0,H51&lt;=3333),"Grupo 1",AND(H51&gt;3333,H51&lt;=6666),"Grupo 2",AND(H51&gt;6666,H51&lt;=10000),"Grupo 3")</f>
        <v>Grupo 1</v>
      </c>
    </row>
    <row r="52" spans="1:17" x14ac:dyDescent="0.25">
      <c r="A52" t="s">
        <v>62</v>
      </c>
      <c r="B52" s="2">
        <v>45441.993055555547</v>
      </c>
      <c r="C52" t="s">
        <v>311</v>
      </c>
      <c r="D52" t="s">
        <v>214</v>
      </c>
      <c r="E52">
        <v>1</v>
      </c>
      <c r="F52">
        <v>1083.8599999999999</v>
      </c>
      <c r="G52" t="s">
        <v>222</v>
      </c>
      <c r="H52">
        <v>1083.8599999999999</v>
      </c>
      <c r="I52">
        <v>2024</v>
      </c>
      <c r="J52">
        <v>5</v>
      </c>
      <c r="K52">
        <v>23</v>
      </c>
      <c r="L52" s="14">
        <v>1083.8599999999999</v>
      </c>
      <c r="M52" s="4" t="str">
        <f t="shared" si="0"/>
        <v>miércoles</v>
      </c>
      <c r="N52" s="4" t="str">
        <f t="shared" si="1"/>
        <v>mayo</v>
      </c>
      <c r="O52" s="4" t="str">
        <f t="shared" si="2"/>
        <v>NO</v>
      </c>
      <c r="P52" s="4" t="str">
        <f t="shared" si="3"/>
        <v>SI</v>
      </c>
      <c r="Q52" s="4" t="str" cm="1">
        <f t="array" ref="Q52">_xlfn.IFS(AND(H52&gt;=0,H52&lt;=3333),"Grupo 1",AND(H52&gt;3333,H52&lt;=6666),"Grupo 2",AND(H52&gt;6666,H52&lt;=10000),"Grupo 3")</f>
        <v>Grupo 1</v>
      </c>
    </row>
    <row r="53" spans="1:17" x14ac:dyDescent="0.25">
      <c r="A53" t="s">
        <v>63</v>
      </c>
      <c r="B53" s="2">
        <v>45180.999305555553</v>
      </c>
      <c r="C53" t="s">
        <v>312</v>
      </c>
      <c r="D53" t="s">
        <v>212</v>
      </c>
      <c r="E53">
        <v>2</v>
      </c>
      <c r="F53">
        <v>1551.85</v>
      </c>
      <c r="G53" t="s">
        <v>220</v>
      </c>
      <c r="H53">
        <v>3103.7</v>
      </c>
      <c r="I53">
        <v>2023</v>
      </c>
      <c r="J53">
        <v>9</v>
      </c>
      <c r="K53">
        <v>23</v>
      </c>
      <c r="L53" s="14">
        <v>1551.85</v>
      </c>
      <c r="M53" s="4" t="str">
        <f t="shared" si="0"/>
        <v>lunes</v>
      </c>
      <c r="N53" s="4" t="str">
        <f t="shared" si="1"/>
        <v>septiembre</v>
      </c>
      <c r="O53" s="4" t="str">
        <f t="shared" si="2"/>
        <v>SI</v>
      </c>
      <c r="P53" s="4" t="str">
        <f t="shared" si="3"/>
        <v>SI</v>
      </c>
      <c r="Q53" s="4" t="str" cm="1">
        <f t="array" ref="Q53">_xlfn.IFS(AND(H53&gt;=0,H53&lt;=3333),"Grupo 1",AND(H53&gt;3333,H53&lt;=6666),"Grupo 2",AND(H53&gt;6666,H53&lt;=10000),"Grupo 3")</f>
        <v>Grupo 1</v>
      </c>
    </row>
    <row r="54" spans="1:17" x14ac:dyDescent="0.25">
      <c r="A54" t="s">
        <v>64</v>
      </c>
      <c r="B54" s="2">
        <v>45624.619444444441</v>
      </c>
      <c r="C54" t="s">
        <v>313</v>
      </c>
      <c r="D54" t="s">
        <v>217</v>
      </c>
      <c r="E54">
        <v>5</v>
      </c>
      <c r="F54">
        <v>1368.27</v>
      </c>
      <c r="G54" t="s">
        <v>220</v>
      </c>
      <c r="H54">
        <v>6841.35</v>
      </c>
      <c r="I54">
        <v>2024</v>
      </c>
      <c r="J54">
        <v>11</v>
      </c>
      <c r="K54">
        <v>14</v>
      </c>
      <c r="L54" s="14">
        <v>1368.27</v>
      </c>
      <c r="M54" s="4" t="str">
        <f t="shared" si="0"/>
        <v>jueves</v>
      </c>
      <c r="N54" s="4" t="str">
        <f t="shared" si="1"/>
        <v>noviembre</v>
      </c>
      <c r="O54" s="4" t="str">
        <f t="shared" si="2"/>
        <v>SI</v>
      </c>
      <c r="P54" s="4" t="str">
        <f t="shared" si="3"/>
        <v>SI</v>
      </c>
      <c r="Q54" s="4" t="str" cm="1">
        <f t="array" ref="Q54">_xlfn.IFS(AND(H54&gt;=0,H54&lt;=3333),"Grupo 1",AND(H54&gt;3333,H54&lt;=6666),"Grupo 2",AND(H54&gt;6666,H54&lt;=10000),"Grupo 3")</f>
        <v>Grupo 3</v>
      </c>
    </row>
    <row r="55" spans="1:17" x14ac:dyDescent="0.25">
      <c r="A55" t="s">
        <v>65</v>
      </c>
      <c r="B55" s="2">
        <v>45447.955555555563</v>
      </c>
      <c r="C55" t="s">
        <v>314</v>
      </c>
      <c r="D55" t="s">
        <v>217</v>
      </c>
      <c r="E55">
        <v>4</v>
      </c>
      <c r="F55">
        <v>1818.88</v>
      </c>
      <c r="G55" t="s">
        <v>220</v>
      </c>
      <c r="H55">
        <v>7275.52</v>
      </c>
      <c r="I55">
        <v>2024</v>
      </c>
      <c r="J55">
        <v>6</v>
      </c>
      <c r="K55">
        <v>22</v>
      </c>
      <c r="L55" s="14">
        <v>1818.88</v>
      </c>
      <c r="M55" s="4" t="str">
        <f t="shared" si="0"/>
        <v>martes</v>
      </c>
      <c r="N55" s="4" t="str">
        <f t="shared" si="1"/>
        <v>junio</v>
      </c>
      <c r="O55" s="4" t="str">
        <f t="shared" si="2"/>
        <v>SI</v>
      </c>
      <c r="P55" s="4" t="str">
        <f t="shared" si="3"/>
        <v>SI</v>
      </c>
      <c r="Q55" s="4" t="str" cm="1">
        <f t="array" ref="Q55">_xlfn.IFS(AND(H55&gt;=0,H55&lt;=3333),"Grupo 1",AND(H55&gt;3333,H55&lt;=6666),"Grupo 2",AND(H55&gt;6666,H55&lt;=10000),"Grupo 3")</f>
        <v>Grupo 3</v>
      </c>
    </row>
    <row r="56" spans="1:17" x14ac:dyDescent="0.25">
      <c r="A56" t="s">
        <v>66</v>
      </c>
      <c r="B56" s="2">
        <v>45051.74722222222</v>
      </c>
      <c r="C56" t="s">
        <v>315</v>
      </c>
      <c r="D56" t="s">
        <v>218</v>
      </c>
      <c r="E56">
        <v>4</v>
      </c>
      <c r="F56">
        <v>1601.32</v>
      </c>
      <c r="G56" t="s">
        <v>221</v>
      </c>
      <c r="H56">
        <v>6405.28</v>
      </c>
      <c r="I56">
        <v>2023</v>
      </c>
      <c r="J56">
        <v>5</v>
      </c>
      <c r="K56">
        <v>17</v>
      </c>
      <c r="L56" s="14">
        <v>1601.32</v>
      </c>
      <c r="M56" s="4" t="str">
        <f t="shared" si="0"/>
        <v>viernes</v>
      </c>
      <c r="N56" s="4" t="str">
        <f t="shared" si="1"/>
        <v>mayo</v>
      </c>
      <c r="O56" s="4" t="str">
        <f t="shared" si="2"/>
        <v>SI</v>
      </c>
      <c r="P56" s="4" t="str">
        <f t="shared" si="3"/>
        <v>SI</v>
      </c>
      <c r="Q56" s="4" t="str" cm="1">
        <f t="array" ref="Q56">_xlfn.IFS(AND(H56&gt;=0,H56&lt;=3333),"Grupo 1",AND(H56&gt;3333,H56&lt;=6666),"Grupo 2",AND(H56&gt;6666,H56&lt;=10000),"Grupo 3")</f>
        <v>Grupo 2</v>
      </c>
    </row>
    <row r="57" spans="1:17" x14ac:dyDescent="0.25">
      <c r="A57" t="s">
        <v>67</v>
      </c>
      <c r="B57" s="2">
        <v>45019.26666666667</v>
      </c>
      <c r="C57" t="s">
        <v>316</v>
      </c>
      <c r="D57" t="s">
        <v>213</v>
      </c>
      <c r="E57">
        <v>4</v>
      </c>
      <c r="F57">
        <v>177.79</v>
      </c>
      <c r="G57" t="s">
        <v>221</v>
      </c>
      <c r="H57">
        <v>711.16</v>
      </c>
      <c r="I57">
        <v>2023</v>
      </c>
      <c r="J57">
        <v>4</v>
      </c>
      <c r="K57">
        <v>6</v>
      </c>
      <c r="L57" s="14">
        <v>177.79</v>
      </c>
      <c r="M57" s="4" t="str">
        <f t="shared" si="0"/>
        <v>lunes</v>
      </c>
      <c r="N57" s="4" t="str">
        <f t="shared" si="1"/>
        <v>abril</v>
      </c>
      <c r="O57" s="4" t="str">
        <f t="shared" si="2"/>
        <v>NO</v>
      </c>
      <c r="P57" s="4" t="str">
        <f t="shared" si="3"/>
        <v>NO</v>
      </c>
      <c r="Q57" s="4" t="str" cm="1">
        <f t="array" ref="Q57">_xlfn.IFS(AND(H57&gt;=0,H57&lt;=3333),"Grupo 1",AND(H57&gt;3333,H57&lt;=6666),"Grupo 2",AND(H57&gt;6666,H57&lt;=10000),"Grupo 3")</f>
        <v>Grupo 1</v>
      </c>
    </row>
    <row r="58" spans="1:17" x14ac:dyDescent="0.25">
      <c r="A58" t="s">
        <v>68</v>
      </c>
      <c r="B58" s="2">
        <v>44969.094444444447</v>
      </c>
      <c r="C58" t="s">
        <v>317</v>
      </c>
      <c r="D58" t="s">
        <v>213</v>
      </c>
      <c r="E58">
        <v>1</v>
      </c>
      <c r="F58">
        <v>83.48</v>
      </c>
      <c r="G58" t="s">
        <v>221</v>
      </c>
      <c r="H58">
        <v>83.48</v>
      </c>
      <c r="I58">
        <v>2023</v>
      </c>
      <c r="J58">
        <v>2</v>
      </c>
      <c r="K58">
        <v>2</v>
      </c>
      <c r="L58" s="14">
        <v>83.48</v>
      </c>
      <c r="M58" s="4" t="str">
        <f t="shared" si="0"/>
        <v>domingo</v>
      </c>
      <c r="N58" s="4" t="str">
        <f t="shared" si="1"/>
        <v>febrero</v>
      </c>
      <c r="O58" s="4" t="str">
        <f t="shared" si="2"/>
        <v>NO</v>
      </c>
      <c r="P58" s="4" t="str">
        <f t="shared" si="3"/>
        <v>NO</v>
      </c>
      <c r="Q58" s="4" t="str" cm="1">
        <f t="array" ref="Q58">_xlfn.IFS(AND(H58&gt;=0,H58&lt;=3333),"Grupo 1",AND(H58&gt;3333,H58&lt;=6666),"Grupo 2",AND(H58&gt;6666,H58&lt;=10000),"Grupo 3")</f>
        <v>Grupo 1</v>
      </c>
    </row>
    <row r="59" spans="1:17" x14ac:dyDescent="0.25">
      <c r="A59" t="s">
        <v>69</v>
      </c>
      <c r="B59" s="2">
        <v>45091.519444444442</v>
      </c>
      <c r="C59" t="s">
        <v>318</v>
      </c>
      <c r="D59" t="s">
        <v>219</v>
      </c>
      <c r="E59">
        <v>1</v>
      </c>
      <c r="F59">
        <v>1372.72</v>
      </c>
      <c r="G59" t="s">
        <v>221</v>
      </c>
      <c r="H59">
        <v>1372.72</v>
      </c>
      <c r="I59">
        <v>2023</v>
      </c>
      <c r="J59">
        <v>6</v>
      </c>
      <c r="K59">
        <v>12</v>
      </c>
      <c r="L59" s="14">
        <v>1372.72</v>
      </c>
      <c r="M59" s="4" t="str">
        <f t="shared" si="0"/>
        <v>miércoles</v>
      </c>
      <c r="N59" s="4" t="str">
        <f t="shared" si="1"/>
        <v>junio</v>
      </c>
      <c r="O59" s="4" t="str">
        <f t="shared" si="2"/>
        <v>NO</v>
      </c>
      <c r="P59" s="4" t="str">
        <f t="shared" si="3"/>
        <v>SI</v>
      </c>
      <c r="Q59" s="4" t="str" cm="1">
        <f t="array" ref="Q59">_xlfn.IFS(AND(H59&gt;=0,H59&lt;=3333),"Grupo 1",AND(H59&gt;3333,H59&lt;=6666),"Grupo 2",AND(H59&gt;6666,H59&lt;=10000),"Grupo 3")</f>
        <v>Grupo 1</v>
      </c>
    </row>
    <row r="60" spans="1:17" x14ac:dyDescent="0.25">
      <c r="A60" t="s">
        <v>70</v>
      </c>
      <c r="B60" s="2">
        <v>45494</v>
      </c>
      <c r="C60" t="s">
        <v>319</v>
      </c>
      <c r="D60" t="s">
        <v>212</v>
      </c>
      <c r="E60">
        <v>1</v>
      </c>
      <c r="F60">
        <v>1618.91</v>
      </c>
      <c r="G60" t="s">
        <v>220</v>
      </c>
      <c r="H60">
        <v>1618.91</v>
      </c>
      <c r="I60">
        <v>2024</v>
      </c>
      <c r="J60">
        <v>7</v>
      </c>
      <c r="K60">
        <v>0</v>
      </c>
      <c r="L60" s="14">
        <v>1618.91</v>
      </c>
      <c r="M60" s="4" t="str">
        <f t="shared" si="0"/>
        <v>domingo</v>
      </c>
      <c r="N60" s="4" t="str">
        <f t="shared" si="1"/>
        <v>julio</v>
      </c>
      <c r="O60" s="4" t="str">
        <f t="shared" si="2"/>
        <v>NO</v>
      </c>
      <c r="P60" s="4" t="str">
        <f t="shared" si="3"/>
        <v>SI</v>
      </c>
      <c r="Q60" s="4" t="str" cm="1">
        <f t="array" ref="Q60">_xlfn.IFS(AND(H60&gt;=0,H60&lt;=3333),"Grupo 1",AND(H60&gt;3333,H60&lt;=6666),"Grupo 2",AND(H60&gt;6666,H60&lt;=10000),"Grupo 3")</f>
        <v>Grupo 1</v>
      </c>
    </row>
    <row r="61" spans="1:17" x14ac:dyDescent="0.25">
      <c r="A61" t="s">
        <v>71</v>
      </c>
      <c r="B61" s="2">
        <v>45364.463194444441</v>
      </c>
      <c r="C61" t="s">
        <v>320</v>
      </c>
      <c r="D61" t="s">
        <v>215</v>
      </c>
      <c r="E61">
        <v>4</v>
      </c>
      <c r="F61">
        <v>530.65</v>
      </c>
      <c r="G61" t="s">
        <v>220</v>
      </c>
      <c r="H61">
        <v>2122.6</v>
      </c>
      <c r="I61">
        <v>2024</v>
      </c>
      <c r="J61">
        <v>3</v>
      </c>
      <c r="K61">
        <v>11</v>
      </c>
      <c r="L61" s="14">
        <v>530.65</v>
      </c>
      <c r="M61" s="4" t="str">
        <f t="shared" si="0"/>
        <v>miércoles</v>
      </c>
      <c r="N61" s="4" t="str">
        <f t="shared" si="1"/>
        <v>marzo</v>
      </c>
      <c r="O61" s="4" t="str">
        <f t="shared" si="2"/>
        <v>NO</v>
      </c>
      <c r="P61" s="4" t="str">
        <f t="shared" si="3"/>
        <v>NO</v>
      </c>
      <c r="Q61" s="4" t="str" cm="1">
        <f t="array" ref="Q61">_xlfn.IFS(AND(H61&gt;=0,H61&lt;=3333),"Grupo 1",AND(H61&gt;3333,H61&lt;=6666),"Grupo 2",AND(H61&gt;6666,H61&lt;=10000),"Grupo 3")</f>
        <v>Grupo 1</v>
      </c>
    </row>
    <row r="62" spans="1:17" x14ac:dyDescent="0.25">
      <c r="A62" t="s">
        <v>72</v>
      </c>
      <c r="B62" s="2">
        <v>45583.023611111108</v>
      </c>
      <c r="C62" t="s">
        <v>321</v>
      </c>
      <c r="D62" t="s">
        <v>216</v>
      </c>
      <c r="E62">
        <v>5</v>
      </c>
      <c r="F62">
        <v>418.83</v>
      </c>
      <c r="G62" t="s">
        <v>221</v>
      </c>
      <c r="H62">
        <v>2094.15</v>
      </c>
      <c r="I62">
        <v>2024</v>
      </c>
      <c r="J62">
        <v>10</v>
      </c>
      <c r="K62">
        <v>0</v>
      </c>
      <c r="L62" s="14">
        <v>418.83</v>
      </c>
      <c r="M62" s="4" t="str">
        <f t="shared" si="0"/>
        <v>viernes</v>
      </c>
      <c r="N62" s="4" t="str">
        <f t="shared" si="1"/>
        <v>octubre</v>
      </c>
      <c r="O62" s="4" t="str">
        <f t="shared" si="2"/>
        <v>NO</v>
      </c>
      <c r="P62" s="4" t="str">
        <f t="shared" si="3"/>
        <v>NO</v>
      </c>
      <c r="Q62" s="4" t="str" cm="1">
        <f t="array" ref="Q62">_xlfn.IFS(AND(H62&gt;=0,H62&lt;=3333),"Grupo 1",AND(H62&gt;3333,H62&lt;=6666),"Grupo 2",AND(H62&gt;6666,H62&lt;=10000),"Grupo 3")</f>
        <v>Grupo 1</v>
      </c>
    </row>
    <row r="63" spans="1:17" x14ac:dyDescent="0.25">
      <c r="A63" t="s">
        <v>73</v>
      </c>
      <c r="B63" s="2">
        <v>45779.546527777777</v>
      </c>
      <c r="C63" t="s">
        <v>322</v>
      </c>
      <c r="D63" t="s">
        <v>214</v>
      </c>
      <c r="E63">
        <v>3</v>
      </c>
      <c r="F63">
        <v>664.98</v>
      </c>
      <c r="G63" t="s">
        <v>222</v>
      </c>
      <c r="H63">
        <v>1994.94</v>
      </c>
      <c r="I63">
        <v>2025</v>
      </c>
      <c r="J63">
        <v>5</v>
      </c>
      <c r="K63">
        <v>13</v>
      </c>
      <c r="L63" s="14">
        <v>664.98</v>
      </c>
      <c r="M63" s="4" t="str">
        <f t="shared" si="0"/>
        <v>viernes</v>
      </c>
      <c r="N63" s="4" t="str">
        <f t="shared" si="1"/>
        <v>mayo</v>
      </c>
      <c r="O63" s="4" t="str">
        <f t="shared" si="2"/>
        <v>NO</v>
      </c>
      <c r="P63" s="4" t="str">
        <f t="shared" si="3"/>
        <v>NO</v>
      </c>
      <c r="Q63" s="4" t="str" cm="1">
        <f t="array" ref="Q63">_xlfn.IFS(AND(H63&gt;=0,H63&lt;=3333),"Grupo 1",AND(H63&gt;3333,H63&lt;=6666),"Grupo 2",AND(H63&gt;6666,H63&lt;=10000),"Grupo 3")</f>
        <v>Grupo 1</v>
      </c>
    </row>
    <row r="64" spans="1:17" x14ac:dyDescent="0.25">
      <c r="A64" t="s">
        <v>74</v>
      </c>
      <c r="B64" s="2">
        <v>45516.480555555558</v>
      </c>
      <c r="C64" t="s">
        <v>323</v>
      </c>
      <c r="D64" t="s">
        <v>217</v>
      </c>
      <c r="E64">
        <v>1</v>
      </c>
      <c r="F64">
        <v>1322.41</v>
      </c>
      <c r="G64" t="s">
        <v>220</v>
      </c>
      <c r="H64">
        <v>1322.41</v>
      </c>
      <c r="I64">
        <v>2024</v>
      </c>
      <c r="J64">
        <v>8</v>
      </c>
      <c r="K64">
        <v>11</v>
      </c>
      <c r="L64" s="14">
        <v>1322.41</v>
      </c>
      <c r="M64" s="4" t="str">
        <f t="shared" si="0"/>
        <v>lunes</v>
      </c>
      <c r="N64" s="4" t="str">
        <f t="shared" si="1"/>
        <v>agosto</v>
      </c>
      <c r="O64" s="4" t="str">
        <f t="shared" si="2"/>
        <v>NO</v>
      </c>
      <c r="P64" s="4" t="str">
        <f t="shared" si="3"/>
        <v>SI</v>
      </c>
      <c r="Q64" s="4" t="str" cm="1">
        <f t="array" ref="Q64">_xlfn.IFS(AND(H64&gt;=0,H64&lt;=3333),"Grupo 1",AND(H64&gt;3333,H64&lt;=6666),"Grupo 2",AND(H64&gt;6666,H64&lt;=10000),"Grupo 3")</f>
        <v>Grupo 1</v>
      </c>
    </row>
    <row r="65" spans="1:17" x14ac:dyDescent="0.25">
      <c r="A65" t="s">
        <v>75</v>
      </c>
      <c r="B65" s="2">
        <v>45285.25277777778</v>
      </c>
      <c r="C65" t="s">
        <v>324</v>
      </c>
      <c r="D65" t="s">
        <v>212</v>
      </c>
      <c r="E65">
        <v>4</v>
      </c>
      <c r="F65">
        <v>1467.27</v>
      </c>
      <c r="G65" t="s">
        <v>220</v>
      </c>
      <c r="H65">
        <v>5869.08</v>
      </c>
      <c r="I65">
        <v>2023</v>
      </c>
      <c r="J65">
        <v>12</v>
      </c>
      <c r="K65">
        <v>6</v>
      </c>
      <c r="L65" s="14">
        <v>1467.27</v>
      </c>
      <c r="M65" s="4" t="str">
        <f t="shared" si="0"/>
        <v>lunes</v>
      </c>
      <c r="N65" s="4" t="str">
        <f t="shared" si="1"/>
        <v>diciembre</v>
      </c>
      <c r="O65" s="4" t="str">
        <f t="shared" si="2"/>
        <v>SI</v>
      </c>
      <c r="P65" s="4" t="str">
        <f t="shared" si="3"/>
        <v>SI</v>
      </c>
      <c r="Q65" s="4" t="str" cm="1">
        <f t="array" ref="Q65">_xlfn.IFS(AND(H65&gt;=0,H65&lt;=3333),"Grupo 1",AND(H65&gt;3333,H65&lt;=6666),"Grupo 2",AND(H65&gt;6666,H65&lt;=10000),"Grupo 3")</f>
        <v>Grupo 2</v>
      </c>
    </row>
    <row r="66" spans="1:17" x14ac:dyDescent="0.25">
      <c r="A66" t="s">
        <v>76</v>
      </c>
      <c r="B66" s="2">
        <v>45297.965277777781</v>
      </c>
      <c r="C66" t="s">
        <v>325</v>
      </c>
      <c r="D66" t="s">
        <v>215</v>
      </c>
      <c r="E66">
        <v>4</v>
      </c>
      <c r="F66">
        <v>1804.12</v>
      </c>
      <c r="G66" t="s">
        <v>220</v>
      </c>
      <c r="H66">
        <v>7216.48</v>
      </c>
      <c r="I66">
        <v>2024</v>
      </c>
      <c r="J66">
        <v>1</v>
      </c>
      <c r="K66">
        <v>23</v>
      </c>
      <c r="L66" s="14">
        <v>1804.12</v>
      </c>
      <c r="M66" s="4" t="str">
        <f t="shared" ref="M66:M129" si="4">TEXT(B66,"dddd")</f>
        <v>sábado</v>
      </c>
      <c r="N66" s="4" t="str">
        <f t="shared" ref="N66:N129" si="5">TEXT(B66,"mmmm")</f>
        <v>enero</v>
      </c>
      <c r="O66" s="4" t="str">
        <f t="shared" si="2"/>
        <v>SI</v>
      </c>
      <c r="P66" s="4" t="str">
        <f t="shared" si="3"/>
        <v>SI</v>
      </c>
      <c r="Q66" s="4" t="str" cm="1">
        <f t="array" ref="Q66">_xlfn.IFS(AND(H66&gt;=0,H66&lt;=3333),"Grupo 1",AND(H66&gt;3333,H66&lt;=6666),"Grupo 2",AND(H66&gt;6666,H66&lt;=10000),"Grupo 3")</f>
        <v>Grupo 3</v>
      </c>
    </row>
    <row r="67" spans="1:17" x14ac:dyDescent="0.25">
      <c r="A67" t="s">
        <v>77</v>
      </c>
      <c r="B67" s="2">
        <v>45434.519444444442</v>
      </c>
      <c r="C67" t="s">
        <v>326</v>
      </c>
      <c r="D67" t="s">
        <v>219</v>
      </c>
      <c r="E67">
        <v>1</v>
      </c>
      <c r="F67">
        <v>1172.72</v>
      </c>
      <c r="G67" t="s">
        <v>221</v>
      </c>
      <c r="H67">
        <v>1172.72</v>
      </c>
      <c r="I67">
        <v>2024</v>
      </c>
      <c r="J67">
        <v>5</v>
      </c>
      <c r="K67">
        <v>12</v>
      </c>
      <c r="L67" s="14">
        <v>1172.72</v>
      </c>
      <c r="M67" s="4" t="str">
        <f t="shared" si="4"/>
        <v>miércoles</v>
      </c>
      <c r="N67" s="4" t="str">
        <f t="shared" si="5"/>
        <v>mayo</v>
      </c>
      <c r="O67" s="4" t="str">
        <f t="shared" ref="O67:O130" si="6">IF(H67&gt;AVERAGE(H:H),"SI","NO")</f>
        <v>NO</v>
      </c>
      <c r="P67" s="4" t="str">
        <f t="shared" ref="P67:P130" si="7">IF(L67&gt;AVERAGE(L:L),"SI","NO")</f>
        <v>SI</v>
      </c>
      <c r="Q67" s="4" t="str" cm="1">
        <f t="array" ref="Q67">_xlfn.IFS(AND(H67&gt;=0,H67&lt;=3333),"Grupo 1",AND(H67&gt;3333,H67&lt;=6666),"Grupo 2",AND(H67&gt;6666,H67&lt;=10000),"Grupo 3")</f>
        <v>Grupo 1</v>
      </c>
    </row>
    <row r="68" spans="1:17" x14ac:dyDescent="0.25">
      <c r="A68" t="s">
        <v>78</v>
      </c>
      <c r="B68" s="2">
        <v>45290.050694444442</v>
      </c>
      <c r="C68" t="s">
        <v>327</v>
      </c>
      <c r="D68" t="s">
        <v>218</v>
      </c>
      <c r="E68">
        <v>1</v>
      </c>
      <c r="F68">
        <v>725.07</v>
      </c>
      <c r="G68" t="s">
        <v>221</v>
      </c>
      <c r="H68">
        <v>725.07</v>
      </c>
      <c r="I68">
        <v>2023</v>
      </c>
      <c r="J68">
        <v>12</v>
      </c>
      <c r="K68">
        <v>1</v>
      </c>
      <c r="L68" s="14">
        <v>725.07</v>
      </c>
      <c r="M68" s="4" t="str">
        <f t="shared" si="4"/>
        <v>sábado</v>
      </c>
      <c r="N68" s="4" t="str">
        <f t="shared" si="5"/>
        <v>diciembre</v>
      </c>
      <c r="O68" s="4" t="str">
        <f t="shared" si="6"/>
        <v>NO</v>
      </c>
      <c r="P68" s="4" t="str">
        <f t="shared" si="7"/>
        <v>NO</v>
      </c>
      <c r="Q68" s="4" t="str" cm="1">
        <f t="array" ref="Q68">_xlfn.IFS(AND(H68&gt;=0,H68&lt;=3333),"Grupo 1",AND(H68&gt;3333,H68&lt;=6666),"Grupo 2",AND(H68&gt;6666,H68&lt;=10000),"Grupo 3")</f>
        <v>Grupo 1</v>
      </c>
    </row>
    <row r="69" spans="1:17" x14ac:dyDescent="0.25">
      <c r="A69" t="s">
        <v>79</v>
      </c>
      <c r="B69" s="2">
        <v>45684.334027777782</v>
      </c>
      <c r="C69" t="s">
        <v>328</v>
      </c>
      <c r="D69" t="s">
        <v>212</v>
      </c>
      <c r="E69">
        <v>5</v>
      </c>
      <c r="F69">
        <v>563.69000000000005</v>
      </c>
      <c r="G69" t="s">
        <v>220</v>
      </c>
      <c r="H69">
        <v>2818.45</v>
      </c>
      <c r="I69">
        <v>2025</v>
      </c>
      <c r="J69">
        <v>1</v>
      </c>
      <c r="K69">
        <v>8</v>
      </c>
      <c r="L69" s="14">
        <v>563.69000000000005</v>
      </c>
      <c r="M69" s="4" t="str">
        <f t="shared" si="4"/>
        <v>lunes</v>
      </c>
      <c r="N69" s="4" t="str">
        <f t="shared" si="5"/>
        <v>enero</v>
      </c>
      <c r="O69" s="4" t="str">
        <f t="shared" si="6"/>
        <v>NO</v>
      </c>
      <c r="P69" s="4" t="str">
        <f t="shared" si="7"/>
        <v>NO</v>
      </c>
      <c r="Q69" s="4" t="str" cm="1">
        <f t="array" ref="Q69">_xlfn.IFS(AND(H69&gt;=0,H69&lt;=3333),"Grupo 1",AND(H69&gt;3333,H69&lt;=6666),"Grupo 2",AND(H69&gt;6666,H69&lt;=10000),"Grupo 3")</f>
        <v>Grupo 1</v>
      </c>
    </row>
    <row r="70" spans="1:17" x14ac:dyDescent="0.25">
      <c r="A70" t="s">
        <v>80</v>
      </c>
      <c r="B70" s="2">
        <v>45222.202777777777</v>
      </c>
      <c r="C70" t="s">
        <v>329</v>
      </c>
      <c r="D70" t="s">
        <v>219</v>
      </c>
      <c r="E70">
        <v>5</v>
      </c>
      <c r="F70">
        <v>1547.41</v>
      </c>
      <c r="G70" t="s">
        <v>221</v>
      </c>
      <c r="H70">
        <v>7737.05</v>
      </c>
      <c r="I70">
        <v>2023</v>
      </c>
      <c r="J70">
        <v>10</v>
      </c>
      <c r="K70">
        <v>4</v>
      </c>
      <c r="L70" s="14">
        <v>1547.41</v>
      </c>
      <c r="M70" s="4" t="str">
        <f t="shared" si="4"/>
        <v>lunes</v>
      </c>
      <c r="N70" s="4" t="str">
        <f t="shared" si="5"/>
        <v>octubre</v>
      </c>
      <c r="O70" s="4" t="str">
        <f t="shared" si="6"/>
        <v>SI</v>
      </c>
      <c r="P70" s="4" t="str">
        <f t="shared" si="7"/>
        <v>SI</v>
      </c>
      <c r="Q70" s="4" t="str" cm="1">
        <f t="array" ref="Q70">_xlfn.IFS(AND(H70&gt;=0,H70&lt;=3333),"Grupo 1",AND(H70&gt;3333,H70&lt;=6666),"Grupo 2",AND(H70&gt;6666,H70&lt;=10000),"Grupo 3")</f>
        <v>Grupo 3</v>
      </c>
    </row>
    <row r="71" spans="1:17" x14ac:dyDescent="0.25">
      <c r="A71" t="s">
        <v>81</v>
      </c>
      <c r="B71" s="2">
        <v>45274.597916666673</v>
      </c>
      <c r="C71" t="s">
        <v>330</v>
      </c>
      <c r="D71" t="s">
        <v>216</v>
      </c>
      <c r="E71">
        <v>2</v>
      </c>
      <c r="F71">
        <v>1903.65</v>
      </c>
      <c r="G71" t="s">
        <v>221</v>
      </c>
      <c r="H71">
        <v>3807.3</v>
      </c>
      <c r="I71">
        <v>2023</v>
      </c>
      <c r="J71">
        <v>12</v>
      </c>
      <c r="K71">
        <v>14</v>
      </c>
      <c r="L71" s="14">
        <v>1903.65</v>
      </c>
      <c r="M71" s="4" t="str">
        <f t="shared" si="4"/>
        <v>jueves</v>
      </c>
      <c r="N71" s="4" t="str">
        <f t="shared" si="5"/>
        <v>diciembre</v>
      </c>
      <c r="O71" s="4" t="str">
        <f t="shared" si="6"/>
        <v>SI</v>
      </c>
      <c r="P71" s="4" t="str">
        <f t="shared" si="7"/>
        <v>SI</v>
      </c>
      <c r="Q71" s="4" t="str" cm="1">
        <f t="array" ref="Q71">_xlfn.IFS(AND(H71&gt;=0,H71&lt;=3333),"Grupo 1",AND(H71&gt;3333,H71&lt;=6666),"Grupo 2",AND(H71&gt;6666,H71&lt;=10000),"Grupo 3")</f>
        <v>Grupo 2</v>
      </c>
    </row>
    <row r="72" spans="1:17" x14ac:dyDescent="0.25">
      <c r="A72" t="s">
        <v>82</v>
      </c>
      <c r="B72" s="2">
        <v>45358.874305555553</v>
      </c>
      <c r="C72" t="s">
        <v>331</v>
      </c>
      <c r="D72" t="s">
        <v>215</v>
      </c>
      <c r="E72">
        <v>2</v>
      </c>
      <c r="F72">
        <v>1198.2</v>
      </c>
      <c r="G72" t="s">
        <v>220</v>
      </c>
      <c r="H72">
        <v>2396.4</v>
      </c>
      <c r="I72">
        <v>2024</v>
      </c>
      <c r="J72">
        <v>3</v>
      </c>
      <c r="K72">
        <v>20</v>
      </c>
      <c r="L72" s="14">
        <v>1198.2</v>
      </c>
      <c r="M72" s="4" t="str">
        <f t="shared" si="4"/>
        <v>jueves</v>
      </c>
      <c r="N72" s="4" t="str">
        <f t="shared" si="5"/>
        <v>marzo</v>
      </c>
      <c r="O72" s="4" t="str">
        <f t="shared" si="6"/>
        <v>NO</v>
      </c>
      <c r="P72" s="4" t="str">
        <f t="shared" si="7"/>
        <v>SI</v>
      </c>
      <c r="Q72" s="4" t="str" cm="1">
        <f t="array" ref="Q72">_xlfn.IFS(AND(H72&gt;=0,H72&lt;=3333),"Grupo 1",AND(H72&gt;3333,H72&lt;=6666),"Grupo 2",AND(H72&gt;6666,H72&lt;=10000),"Grupo 3")</f>
        <v>Grupo 1</v>
      </c>
    </row>
    <row r="73" spans="1:17" x14ac:dyDescent="0.25">
      <c r="A73" t="s">
        <v>83</v>
      </c>
      <c r="B73" s="2">
        <v>45850.171527777777</v>
      </c>
      <c r="C73" t="s">
        <v>332</v>
      </c>
      <c r="D73" t="s">
        <v>213</v>
      </c>
      <c r="E73">
        <v>3</v>
      </c>
      <c r="F73">
        <v>543.72</v>
      </c>
      <c r="G73" t="s">
        <v>221</v>
      </c>
      <c r="H73">
        <v>1631.16</v>
      </c>
      <c r="I73">
        <v>2025</v>
      </c>
      <c r="J73">
        <v>7</v>
      </c>
      <c r="K73">
        <v>4</v>
      </c>
      <c r="L73" s="14">
        <v>543.72</v>
      </c>
      <c r="M73" s="4" t="str">
        <f t="shared" si="4"/>
        <v>sábado</v>
      </c>
      <c r="N73" s="4" t="str">
        <f t="shared" si="5"/>
        <v>julio</v>
      </c>
      <c r="O73" s="4" t="str">
        <f t="shared" si="6"/>
        <v>NO</v>
      </c>
      <c r="P73" s="4" t="str">
        <f t="shared" si="7"/>
        <v>NO</v>
      </c>
      <c r="Q73" s="4" t="str" cm="1">
        <f t="array" ref="Q73">_xlfn.IFS(AND(H73&gt;=0,H73&lt;=3333),"Grupo 1",AND(H73&gt;3333,H73&lt;=6666),"Grupo 2",AND(H73&gt;6666,H73&lt;=10000),"Grupo 3")</f>
        <v>Grupo 1</v>
      </c>
    </row>
    <row r="74" spans="1:17" x14ac:dyDescent="0.25">
      <c r="A74" t="s">
        <v>84</v>
      </c>
      <c r="B74" s="2">
        <v>45041.884027777778</v>
      </c>
      <c r="C74" t="s">
        <v>333</v>
      </c>
      <c r="D74" t="s">
        <v>216</v>
      </c>
      <c r="E74">
        <v>2</v>
      </c>
      <c r="F74">
        <v>1449.53</v>
      </c>
      <c r="G74" t="s">
        <v>221</v>
      </c>
      <c r="H74">
        <v>2899.06</v>
      </c>
      <c r="I74">
        <v>2023</v>
      </c>
      <c r="J74">
        <v>4</v>
      </c>
      <c r="K74">
        <v>21</v>
      </c>
      <c r="L74" s="14">
        <v>1449.53</v>
      </c>
      <c r="M74" s="4" t="str">
        <f t="shared" si="4"/>
        <v>martes</v>
      </c>
      <c r="N74" s="4" t="str">
        <f t="shared" si="5"/>
        <v>abril</v>
      </c>
      <c r="O74" s="4" t="str">
        <f t="shared" si="6"/>
        <v>SI</v>
      </c>
      <c r="P74" s="4" t="str">
        <f t="shared" si="7"/>
        <v>SI</v>
      </c>
      <c r="Q74" s="4" t="str" cm="1">
        <f t="array" ref="Q74">_xlfn.IFS(AND(H74&gt;=0,H74&lt;=3333),"Grupo 1",AND(H74&gt;3333,H74&lt;=6666),"Grupo 2",AND(H74&gt;6666,H74&lt;=10000),"Grupo 3")</f>
        <v>Grupo 1</v>
      </c>
    </row>
    <row r="75" spans="1:17" x14ac:dyDescent="0.25">
      <c r="A75" t="s">
        <v>85</v>
      </c>
      <c r="B75" s="2">
        <v>45564.772916666669</v>
      </c>
      <c r="C75" t="s">
        <v>334</v>
      </c>
      <c r="D75" t="s">
        <v>214</v>
      </c>
      <c r="E75">
        <v>5</v>
      </c>
      <c r="F75">
        <v>472.42</v>
      </c>
      <c r="G75" t="s">
        <v>222</v>
      </c>
      <c r="H75">
        <v>2362.1</v>
      </c>
      <c r="I75">
        <v>2024</v>
      </c>
      <c r="J75">
        <v>9</v>
      </c>
      <c r="K75">
        <v>18</v>
      </c>
      <c r="L75" s="14">
        <v>472.42</v>
      </c>
      <c r="M75" s="4" t="str">
        <f t="shared" si="4"/>
        <v>domingo</v>
      </c>
      <c r="N75" s="4" t="str">
        <f t="shared" si="5"/>
        <v>septiembre</v>
      </c>
      <c r="O75" s="4" t="str">
        <f t="shared" si="6"/>
        <v>NO</v>
      </c>
      <c r="P75" s="4" t="str">
        <f t="shared" si="7"/>
        <v>NO</v>
      </c>
      <c r="Q75" s="4" t="str" cm="1">
        <f t="array" ref="Q75">_xlfn.IFS(AND(H75&gt;=0,H75&lt;=3333),"Grupo 1",AND(H75&gt;3333,H75&lt;=6666),"Grupo 2",AND(H75&gt;6666,H75&lt;=10000),"Grupo 3")</f>
        <v>Grupo 1</v>
      </c>
    </row>
    <row r="76" spans="1:17" x14ac:dyDescent="0.25">
      <c r="A76" t="s">
        <v>86</v>
      </c>
      <c r="B76" s="2">
        <v>45118.247916666667</v>
      </c>
      <c r="C76" t="s">
        <v>335</v>
      </c>
      <c r="D76" t="s">
        <v>219</v>
      </c>
      <c r="E76">
        <v>3</v>
      </c>
      <c r="F76">
        <v>367.9</v>
      </c>
      <c r="G76" t="s">
        <v>221</v>
      </c>
      <c r="H76">
        <v>1103.7</v>
      </c>
      <c r="I76">
        <v>2023</v>
      </c>
      <c r="J76">
        <v>7</v>
      </c>
      <c r="K76">
        <v>5</v>
      </c>
      <c r="L76" s="14">
        <v>367.89999999999992</v>
      </c>
      <c r="M76" s="4" t="str">
        <f t="shared" si="4"/>
        <v>martes</v>
      </c>
      <c r="N76" s="4" t="str">
        <f t="shared" si="5"/>
        <v>julio</v>
      </c>
      <c r="O76" s="4" t="str">
        <f t="shared" si="6"/>
        <v>NO</v>
      </c>
      <c r="P76" s="4" t="str">
        <f t="shared" si="7"/>
        <v>NO</v>
      </c>
      <c r="Q76" s="4" t="str" cm="1">
        <f t="array" ref="Q76">_xlfn.IFS(AND(H76&gt;=0,H76&lt;=3333),"Grupo 1",AND(H76&gt;3333,H76&lt;=6666),"Grupo 2",AND(H76&gt;6666,H76&lt;=10000),"Grupo 3")</f>
        <v>Grupo 1</v>
      </c>
    </row>
    <row r="77" spans="1:17" x14ac:dyDescent="0.25">
      <c r="A77" t="s">
        <v>87</v>
      </c>
      <c r="B77" s="2">
        <v>45717.986111111109</v>
      </c>
      <c r="C77" t="s">
        <v>336</v>
      </c>
      <c r="D77" t="s">
        <v>219</v>
      </c>
      <c r="E77">
        <v>5</v>
      </c>
      <c r="F77">
        <v>739.51</v>
      </c>
      <c r="G77" t="s">
        <v>221</v>
      </c>
      <c r="H77">
        <v>3697.55</v>
      </c>
      <c r="I77">
        <v>2025</v>
      </c>
      <c r="J77">
        <v>3</v>
      </c>
      <c r="K77">
        <v>23</v>
      </c>
      <c r="L77" s="14">
        <v>739.51</v>
      </c>
      <c r="M77" s="4" t="str">
        <f t="shared" si="4"/>
        <v>sábado</v>
      </c>
      <c r="N77" s="4" t="str">
        <f t="shared" si="5"/>
        <v>marzo</v>
      </c>
      <c r="O77" s="4" t="str">
        <f t="shared" si="6"/>
        <v>SI</v>
      </c>
      <c r="P77" s="4" t="str">
        <f t="shared" si="7"/>
        <v>NO</v>
      </c>
      <c r="Q77" s="4" t="str" cm="1">
        <f t="array" ref="Q77">_xlfn.IFS(AND(H77&gt;=0,H77&lt;=3333),"Grupo 1",AND(H77&gt;3333,H77&lt;=6666),"Grupo 2",AND(H77&gt;6666,H77&lt;=10000),"Grupo 3")</f>
        <v>Grupo 2</v>
      </c>
    </row>
    <row r="78" spans="1:17" x14ac:dyDescent="0.25">
      <c r="A78" t="s">
        <v>88</v>
      </c>
      <c r="B78" s="2">
        <v>45162.795138888891</v>
      </c>
      <c r="C78" t="s">
        <v>337</v>
      </c>
      <c r="D78" t="s">
        <v>217</v>
      </c>
      <c r="E78">
        <v>2</v>
      </c>
      <c r="F78">
        <v>1089.1300000000001</v>
      </c>
      <c r="G78" t="s">
        <v>220</v>
      </c>
      <c r="H78">
        <v>2178.2600000000002</v>
      </c>
      <c r="I78">
        <v>2023</v>
      </c>
      <c r="J78">
        <v>8</v>
      </c>
      <c r="K78">
        <v>19</v>
      </c>
      <c r="L78" s="14">
        <v>1089.1300000000001</v>
      </c>
      <c r="M78" s="4" t="str">
        <f t="shared" si="4"/>
        <v>jueves</v>
      </c>
      <c r="N78" s="4" t="str">
        <f t="shared" si="5"/>
        <v>agosto</v>
      </c>
      <c r="O78" s="4" t="str">
        <f t="shared" si="6"/>
        <v>NO</v>
      </c>
      <c r="P78" s="4" t="str">
        <f t="shared" si="7"/>
        <v>SI</v>
      </c>
      <c r="Q78" s="4" t="str" cm="1">
        <f t="array" ref="Q78">_xlfn.IFS(AND(H78&gt;=0,H78&lt;=3333),"Grupo 1",AND(H78&gt;3333,H78&lt;=6666),"Grupo 2",AND(H78&gt;6666,H78&lt;=10000),"Grupo 3")</f>
        <v>Grupo 1</v>
      </c>
    </row>
    <row r="79" spans="1:17" x14ac:dyDescent="0.25">
      <c r="A79" t="s">
        <v>89</v>
      </c>
      <c r="B79" s="2">
        <v>45517.353472222218</v>
      </c>
      <c r="C79" t="s">
        <v>338</v>
      </c>
      <c r="D79" t="s">
        <v>216</v>
      </c>
      <c r="E79">
        <v>5</v>
      </c>
      <c r="F79">
        <v>1632.75</v>
      </c>
      <c r="G79" t="s">
        <v>221</v>
      </c>
      <c r="H79">
        <v>8163.75</v>
      </c>
      <c r="I79">
        <v>2024</v>
      </c>
      <c r="J79">
        <v>8</v>
      </c>
      <c r="K79">
        <v>8</v>
      </c>
      <c r="L79" s="14">
        <v>1632.75</v>
      </c>
      <c r="M79" s="4" t="str">
        <f t="shared" si="4"/>
        <v>martes</v>
      </c>
      <c r="N79" s="4" t="str">
        <f t="shared" si="5"/>
        <v>agosto</v>
      </c>
      <c r="O79" s="4" t="str">
        <f t="shared" si="6"/>
        <v>SI</v>
      </c>
      <c r="P79" s="4" t="str">
        <f t="shared" si="7"/>
        <v>SI</v>
      </c>
      <c r="Q79" s="4" t="str" cm="1">
        <f t="array" ref="Q79">_xlfn.IFS(AND(H79&gt;=0,H79&lt;=3333),"Grupo 1",AND(H79&gt;3333,H79&lt;=6666),"Grupo 2",AND(H79&gt;6666,H79&lt;=10000),"Grupo 3")</f>
        <v>Grupo 3</v>
      </c>
    </row>
    <row r="80" spans="1:17" x14ac:dyDescent="0.25">
      <c r="A80" t="s">
        <v>90</v>
      </c>
      <c r="B80" s="2">
        <v>45245.664583333331</v>
      </c>
      <c r="C80" t="s">
        <v>339</v>
      </c>
      <c r="D80" t="s">
        <v>212</v>
      </c>
      <c r="E80">
        <v>3</v>
      </c>
      <c r="F80">
        <v>817.35</v>
      </c>
      <c r="G80" t="s">
        <v>220</v>
      </c>
      <c r="H80">
        <v>2452.0500000000002</v>
      </c>
      <c r="I80">
        <v>2023</v>
      </c>
      <c r="J80">
        <v>11</v>
      </c>
      <c r="K80">
        <v>15</v>
      </c>
      <c r="L80" s="14">
        <v>817.35</v>
      </c>
      <c r="M80" s="4" t="str">
        <f t="shared" si="4"/>
        <v>miércoles</v>
      </c>
      <c r="N80" s="4" t="str">
        <f t="shared" si="5"/>
        <v>noviembre</v>
      </c>
      <c r="O80" s="4" t="str">
        <f t="shared" si="6"/>
        <v>NO</v>
      </c>
      <c r="P80" s="4" t="str">
        <f t="shared" si="7"/>
        <v>NO</v>
      </c>
      <c r="Q80" s="4" t="str" cm="1">
        <f t="array" ref="Q80">_xlfn.IFS(AND(H80&gt;=0,H80&lt;=3333),"Grupo 1",AND(H80&gt;3333,H80&lt;=6666),"Grupo 2",AND(H80&gt;6666,H80&lt;=10000),"Grupo 3")</f>
        <v>Grupo 1</v>
      </c>
    </row>
    <row r="81" spans="1:17" x14ac:dyDescent="0.25">
      <c r="A81" t="s">
        <v>91</v>
      </c>
      <c r="B81" s="2">
        <v>45603.368055555547</v>
      </c>
      <c r="C81" t="s">
        <v>340</v>
      </c>
      <c r="D81" t="s">
        <v>213</v>
      </c>
      <c r="E81">
        <v>2</v>
      </c>
      <c r="F81">
        <v>1186.58</v>
      </c>
      <c r="G81" t="s">
        <v>221</v>
      </c>
      <c r="H81">
        <v>2373.16</v>
      </c>
      <c r="I81">
        <v>2024</v>
      </c>
      <c r="J81">
        <v>11</v>
      </c>
      <c r="K81">
        <v>8</v>
      </c>
      <c r="L81" s="14">
        <v>1186.58</v>
      </c>
      <c r="M81" s="4" t="str">
        <f t="shared" si="4"/>
        <v>jueves</v>
      </c>
      <c r="N81" s="4" t="str">
        <f t="shared" si="5"/>
        <v>noviembre</v>
      </c>
      <c r="O81" s="4" t="str">
        <f t="shared" si="6"/>
        <v>NO</v>
      </c>
      <c r="P81" s="4" t="str">
        <f t="shared" si="7"/>
        <v>SI</v>
      </c>
      <c r="Q81" s="4" t="str" cm="1">
        <f t="array" ref="Q81">_xlfn.IFS(AND(H81&gt;=0,H81&lt;=3333),"Grupo 1",AND(H81&gt;3333,H81&lt;=6666),"Grupo 2",AND(H81&gt;6666,H81&lt;=10000),"Grupo 3")</f>
        <v>Grupo 1</v>
      </c>
    </row>
    <row r="82" spans="1:17" x14ac:dyDescent="0.25">
      <c r="A82" t="s">
        <v>92</v>
      </c>
      <c r="B82" s="2">
        <v>44990.597916666673</v>
      </c>
      <c r="C82" t="s">
        <v>341</v>
      </c>
      <c r="D82" t="s">
        <v>215</v>
      </c>
      <c r="E82">
        <v>2</v>
      </c>
      <c r="F82">
        <v>1872.8</v>
      </c>
      <c r="G82" t="s">
        <v>220</v>
      </c>
      <c r="H82">
        <v>3745.6</v>
      </c>
      <c r="I82">
        <v>2023</v>
      </c>
      <c r="J82">
        <v>3</v>
      </c>
      <c r="K82">
        <v>14</v>
      </c>
      <c r="L82" s="14">
        <v>1872.8</v>
      </c>
      <c r="M82" s="4" t="str">
        <f t="shared" si="4"/>
        <v>domingo</v>
      </c>
      <c r="N82" s="4" t="str">
        <f t="shared" si="5"/>
        <v>marzo</v>
      </c>
      <c r="O82" s="4" t="str">
        <f t="shared" si="6"/>
        <v>SI</v>
      </c>
      <c r="P82" s="4" t="str">
        <f t="shared" si="7"/>
        <v>SI</v>
      </c>
      <c r="Q82" s="4" t="str" cm="1">
        <f t="array" ref="Q82">_xlfn.IFS(AND(H82&gt;=0,H82&lt;=3333),"Grupo 1",AND(H82&gt;3333,H82&lt;=6666),"Grupo 2",AND(H82&gt;6666,H82&lt;=10000),"Grupo 3")</f>
        <v>Grupo 2</v>
      </c>
    </row>
    <row r="83" spans="1:17" x14ac:dyDescent="0.25">
      <c r="A83" t="s">
        <v>93</v>
      </c>
      <c r="B83" s="2">
        <v>45273.106249999997</v>
      </c>
      <c r="C83" t="s">
        <v>342</v>
      </c>
      <c r="D83" t="s">
        <v>214</v>
      </c>
      <c r="E83">
        <v>3</v>
      </c>
      <c r="F83">
        <v>680.19</v>
      </c>
      <c r="G83" t="s">
        <v>222</v>
      </c>
      <c r="H83">
        <v>2040.57</v>
      </c>
      <c r="I83">
        <v>2023</v>
      </c>
      <c r="J83">
        <v>12</v>
      </c>
      <c r="K83">
        <v>2</v>
      </c>
      <c r="L83" s="14">
        <v>680.19</v>
      </c>
      <c r="M83" s="4" t="str">
        <f t="shared" si="4"/>
        <v>miércoles</v>
      </c>
      <c r="N83" s="4" t="str">
        <f t="shared" si="5"/>
        <v>diciembre</v>
      </c>
      <c r="O83" s="4" t="str">
        <f t="shared" si="6"/>
        <v>NO</v>
      </c>
      <c r="P83" s="4" t="str">
        <f t="shared" si="7"/>
        <v>NO</v>
      </c>
      <c r="Q83" s="4" t="str" cm="1">
        <f t="array" ref="Q83">_xlfn.IFS(AND(H83&gt;=0,H83&lt;=3333),"Grupo 1",AND(H83&gt;3333,H83&lt;=6666),"Grupo 2",AND(H83&gt;6666,H83&lt;=10000),"Grupo 3")</f>
        <v>Grupo 1</v>
      </c>
    </row>
    <row r="84" spans="1:17" x14ac:dyDescent="0.25">
      <c r="A84" t="s">
        <v>94</v>
      </c>
      <c r="B84" s="2">
        <v>45022.271527777782</v>
      </c>
      <c r="C84" t="s">
        <v>343</v>
      </c>
      <c r="D84" t="s">
        <v>216</v>
      </c>
      <c r="E84">
        <v>4</v>
      </c>
      <c r="F84">
        <v>262.82</v>
      </c>
      <c r="G84" t="s">
        <v>221</v>
      </c>
      <c r="H84">
        <v>1051.28</v>
      </c>
      <c r="I84">
        <v>2023</v>
      </c>
      <c r="J84">
        <v>4</v>
      </c>
      <c r="K84">
        <v>6</v>
      </c>
      <c r="L84" s="14">
        <v>262.82</v>
      </c>
      <c r="M84" s="4" t="str">
        <f t="shared" si="4"/>
        <v>jueves</v>
      </c>
      <c r="N84" s="4" t="str">
        <f t="shared" si="5"/>
        <v>abril</v>
      </c>
      <c r="O84" s="4" t="str">
        <f t="shared" si="6"/>
        <v>NO</v>
      </c>
      <c r="P84" s="4" t="str">
        <f t="shared" si="7"/>
        <v>NO</v>
      </c>
      <c r="Q84" s="4" t="str" cm="1">
        <f t="array" ref="Q84">_xlfn.IFS(AND(H84&gt;=0,H84&lt;=3333),"Grupo 1",AND(H84&gt;3333,H84&lt;=6666),"Grupo 2",AND(H84&gt;6666,H84&lt;=10000),"Grupo 3")</f>
        <v>Grupo 1</v>
      </c>
    </row>
    <row r="85" spans="1:17" x14ac:dyDescent="0.25">
      <c r="A85" t="s">
        <v>95</v>
      </c>
      <c r="B85" s="2">
        <v>45682.68472222222</v>
      </c>
      <c r="C85" t="s">
        <v>344</v>
      </c>
      <c r="D85" t="s">
        <v>215</v>
      </c>
      <c r="E85">
        <v>4</v>
      </c>
      <c r="F85">
        <v>1531.75</v>
      </c>
      <c r="G85" t="s">
        <v>220</v>
      </c>
      <c r="H85">
        <v>6127</v>
      </c>
      <c r="I85">
        <v>2025</v>
      </c>
      <c r="J85">
        <v>1</v>
      </c>
      <c r="K85">
        <v>16</v>
      </c>
      <c r="L85" s="14">
        <v>1531.75</v>
      </c>
      <c r="M85" s="4" t="str">
        <f t="shared" si="4"/>
        <v>sábado</v>
      </c>
      <c r="N85" s="4" t="str">
        <f t="shared" si="5"/>
        <v>enero</v>
      </c>
      <c r="O85" s="4" t="str">
        <f t="shared" si="6"/>
        <v>SI</v>
      </c>
      <c r="P85" s="4" t="str">
        <f t="shared" si="7"/>
        <v>SI</v>
      </c>
      <c r="Q85" s="4" t="str" cm="1">
        <f t="array" ref="Q85">_xlfn.IFS(AND(H85&gt;=0,H85&lt;=3333),"Grupo 1",AND(H85&gt;3333,H85&lt;=6666),"Grupo 2",AND(H85&gt;6666,H85&lt;=10000),"Grupo 3")</f>
        <v>Grupo 2</v>
      </c>
    </row>
    <row r="86" spans="1:17" x14ac:dyDescent="0.25">
      <c r="A86" t="s">
        <v>96</v>
      </c>
      <c r="B86" s="2">
        <v>45099.143750000003</v>
      </c>
      <c r="C86" t="s">
        <v>345</v>
      </c>
      <c r="D86" t="s">
        <v>215</v>
      </c>
      <c r="E86">
        <v>1</v>
      </c>
      <c r="F86">
        <v>503.84</v>
      </c>
      <c r="G86" t="s">
        <v>220</v>
      </c>
      <c r="H86">
        <v>503.84</v>
      </c>
      <c r="I86">
        <v>2023</v>
      </c>
      <c r="J86">
        <v>6</v>
      </c>
      <c r="K86">
        <v>3</v>
      </c>
      <c r="L86" s="14">
        <v>503.84</v>
      </c>
      <c r="M86" s="4" t="str">
        <f t="shared" si="4"/>
        <v>jueves</v>
      </c>
      <c r="N86" s="4" t="str">
        <f t="shared" si="5"/>
        <v>junio</v>
      </c>
      <c r="O86" s="4" t="str">
        <f t="shared" si="6"/>
        <v>NO</v>
      </c>
      <c r="P86" s="4" t="str">
        <f t="shared" si="7"/>
        <v>NO</v>
      </c>
      <c r="Q86" s="4" t="str" cm="1">
        <f t="array" ref="Q86">_xlfn.IFS(AND(H86&gt;=0,H86&lt;=3333),"Grupo 1",AND(H86&gt;3333,H86&lt;=6666),"Grupo 2",AND(H86&gt;6666,H86&lt;=10000),"Grupo 3")</f>
        <v>Grupo 1</v>
      </c>
    </row>
    <row r="87" spans="1:17" x14ac:dyDescent="0.25">
      <c r="A87" t="s">
        <v>97</v>
      </c>
      <c r="B87" s="2">
        <v>45546.810416666667</v>
      </c>
      <c r="C87" t="s">
        <v>346</v>
      </c>
      <c r="D87" t="s">
        <v>217</v>
      </c>
      <c r="E87">
        <v>4</v>
      </c>
      <c r="F87">
        <v>1908.41</v>
      </c>
      <c r="G87" t="s">
        <v>220</v>
      </c>
      <c r="H87">
        <v>7633.64</v>
      </c>
      <c r="I87">
        <v>2024</v>
      </c>
      <c r="J87">
        <v>9</v>
      </c>
      <c r="K87">
        <v>19</v>
      </c>
      <c r="L87" s="14">
        <v>1908.41</v>
      </c>
      <c r="M87" s="4" t="str">
        <f t="shared" si="4"/>
        <v>miércoles</v>
      </c>
      <c r="N87" s="4" t="str">
        <f t="shared" si="5"/>
        <v>septiembre</v>
      </c>
      <c r="O87" s="4" t="str">
        <f t="shared" si="6"/>
        <v>SI</v>
      </c>
      <c r="P87" s="4" t="str">
        <f t="shared" si="7"/>
        <v>SI</v>
      </c>
      <c r="Q87" s="4" t="str" cm="1">
        <f t="array" ref="Q87">_xlfn.IFS(AND(H87&gt;=0,H87&lt;=3333),"Grupo 1",AND(H87&gt;3333,H87&lt;=6666),"Grupo 2",AND(H87&gt;6666,H87&lt;=10000),"Grupo 3")</f>
        <v>Grupo 3</v>
      </c>
    </row>
    <row r="88" spans="1:17" x14ac:dyDescent="0.25">
      <c r="A88" t="s">
        <v>98</v>
      </c>
      <c r="B88" s="2">
        <v>45451.106249999997</v>
      </c>
      <c r="C88" t="s">
        <v>347</v>
      </c>
      <c r="D88" t="s">
        <v>215</v>
      </c>
      <c r="E88">
        <v>2</v>
      </c>
      <c r="F88">
        <v>114.6</v>
      </c>
      <c r="G88" t="s">
        <v>220</v>
      </c>
      <c r="H88">
        <v>229.2</v>
      </c>
      <c r="I88">
        <v>2024</v>
      </c>
      <c r="J88">
        <v>6</v>
      </c>
      <c r="K88">
        <v>2</v>
      </c>
      <c r="L88" s="14">
        <v>114.6</v>
      </c>
      <c r="M88" s="4" t="str">
        <f t="shared" si="4"/>
        <v>sábado</v>
      </c>
      <c r="N88" s="4" t="str">
        <f t="shared" si="5"/>
        <v>junio</v>
      </c>
      <c r="O88" s="4" t="str">
        <f t="shared" si="6"/>
        <v>NO</v>
      </c>
      <c r="P88" s="4" t="str">
        <f t="shared" si="7"/>
        <v>NO</v>
      </c>
      <c r="Q88" s="4" t="str" cm="1">
        <f t="array" ref="Q88">_xlfn.IFS(AND(H88&gt;=0,H88&lt;=3333),"Grupo 1",AND(H88&gt;3333,H88&lt;=6666),"Grupo 2",AND(H88&gt;6666,H88&lt;=10000),"Grupo 3")</f>
        <v>Grupo 1</v>
      </c>
    </row>
    <row r="89" spans="1:17" x14ac:dyDescent="0.25">
      <c r="A89" t="s">
        <v>99</v>
      </c>
      <c r="B89" s="2">
        <v>45101.551388888889</v>
      </c>
      <c r="C89" t="s">
        <v>348</v>
      </c>
      <c r="D89" t="s">
        <v>215</v>
      </c>
      <c r="E89">
        <v>2</v>
      </c>
      <c r="F89">
        <v>595.78</v>
      </c>
      <c r="G89" t="s">
        <v>220</v>
      </c>
      <c r="H89">
        <v>1191.56</v>
      </c>
      <c r="I89">
        <v>2023</v>
      </c>
      <c r="J89">
        <v>6</v>
      </c>
      <c r="K89">
        <v>13</v>
      </c>
      <c r="L89" s="14">
        <v>595.78</v>
      </c>
      <c r="M89" s="4" t="str">
        <f t="shared" si="4"/>
        <v>sábado</v>
      </c>
      <c r="N89" s="4" t="str">
        <f t="shared" si="5"/>
        <v>junio</v>
      </c>
      <c r="O89" s="4" t="str">
        <f t="shared" si="6"/>
        <v>NO</v>
      </c>
      <c r="P89" s="4" t="str">
        <f t="shared" si="7"/>
        <v>NO</v>
      </c>
      <c r="Q89" s="4" t="str" cm="1">
        <f t="array" ref="Q89">_xlfn.IFS(AND(H89&gt;=0,H89&lt;=3333),"Grupo 1",AND(H89&gt;3333,H89&lt;=6666),"Grupo 2",AND(H89&gt;6666,H89&lt;=10000),"Grupo 3")</f>
        <v>Grupo 1</v>
      </c>
    </row>
    <row r="90" spans="1:17" x14ac:dyDescent="0.25">
      <c r="A90" t="s">
        <v>100</v>
      </c>
      <c r="B90" s="2">
        <v>45405.413194444453</v>
      </c>
      <c r="C90" t="s">
        <v>349</v>
      </c>
      <c r="D90" t="s">
        <v>217</v>
      </c>
      <c r="E90">
        <v>2</v>
      </c>
      <c r="F90">
        <v>75.02</v>
      </c>
      <c r="G90" t="s">
        <v>220</v>
      </c>
      <c r="H90">
        <v>150.04</v>
      </c>
      <c r="I90">
        <v>2024</v>
      </c>
      <c r="J90">
        <v>4</v>
      </c>
      <c r="K90">
        <v>9</v>
      </c>
      <c r="L90" s="14">
        <v>75.02</v>
      </c>
      <c r="M90" s="4" t="str">
        <f t="shared" si="4"/>
        <v>martes</v>
      </c>
      <c r="N90" s="4" t="str">
        <f t="shared" si="5"/>
        <v>abril</v>
      </c>
      <c r="O90" s="4" t="str">
        <f t="shared" si="6"/>
        <v>NO</v>
      </c>
      <c r="P90" s="4" t="str">
        <f t="shared" si="7"/>
        <v>NO</v>
      </c>
      <c r="Q90" s="4" t="str" cm="1">
        <f t="array" ref="Q90">_xlfn.IFS(AND(H90&gt;=0,H90&lt;=3333),"Grupo 1",AND(H90&gt;3333,H90&lt;=6666),"Grupo 2",AND(H90&gt;6666,H90&lt;=10000),"Grupo 3")</f>
        <v>Grupo 1</v>
      </c>
    </row>
    <row r="91" spans="1:17" x14ac:dyDescent="0.25">
      <c r="A91" t="s">
        <v>101</v>
      </c>
      <c r="B91" s="2">
        <v>45465.332638888889</v>
      </c>
      <c r="C91" t="s">
        <v>350</v>
      </c>
      <c r="D91" t="s">
        <v>216</v>
      </c>
      <c r="E91">
        <v>5</v>
      </c>
      <c r="F91">
        <v>540.91999999999996</v>
      </c>
      <c r="G91" t="s">
        <v>221</v>
      </c>
      <c r="H91">
        <v>2704.6</v>
      </c>
      <c r="I91">
        <v>2024</v>
      </c>
      <c r="J91">
        <v>6</v>
      </c>
      <c r="K91">
        <v>7</v>
      </c>
      <c r="L91" s="14">
        <v>540.91999999999996</v>
      </c>
      <c r="M91" s="4" t="str">
        <f t="shared" si="4"/>
        <v>sábado</v>
      </c>
      <c r="N91" s="4" t="str">
        <f t="shared" si="5"/>
        <v>junio</v>
      </c>
      <c r="O91" s="4" t="str">
        <f t="shared" si="6"/>
        <v>NO</v>
      </c>
      <c r="P91" s="4" t="str">
        <f t="shared" si="7"/>
        <v>NO</v>
      </c>
      <c r="Q91" s="4" t="str" cm="1">
        <f t="array" ref="Q91">_xlfn.IFS(AND(H91&gt;=0,H91&lt;=3333),"Grupo 1",AND(H91&gt;3333,H91&lt;=6666),"Grupo 2",AND(H91&gt;6666,H91&lt;=10000),"Grupo 3")</f>
        <v>Grupo 1</v>
      </c>
    </row>
    <row r="92" spans="1:17" x14ac:dyDescent="0.25">
      <c r="A92" t="s">
        <v>102</v>
      </c>
      <c r="B92" s="2">
        <v>45863.330555555563</v>
      </c>
      <c r="C92" t="s">
        <v>351</v>
      </c>
      <c r="D92" t="s">
        <v>212</v>
      </c>
      <c r="E92">
        <v>2</v>
      </c>
      <c r="F92">
        <v>356.91</v>
      </c>
      <c r="G92" t="s">
        <v>220</v>
      </c>
      <c r="H92">
        <v>713.82</v>
      </c>
      <c r="I92">
        <v>2025</v>
      </c>
      <c r="J92">
        <v>7</v>
      </c>
      <c r="K92">
        <v>7</v>
      </c>
      <c r="L92" s="14">
        <v>356.91</v>
      </c>
      <c r="M92" s="4" t="str">
        <f t="shared" si="4"/>
        <v>viernes</v>
      </c>
      <c r="N92" s="4" t="str">
        <f t="shared" si="5"/>
        <v>julio</v>
      </c>
      <c r="O92" s="4" t="str">
        <f t="shared" si="6"/>
        <v>NO</v>
      </c>
      <c r="P92" s="4" t="str">
        <f t="shared" si="7"/>
        <v>NO</v>
      </c>
      <c r="Q92" s="4" t="str" cm="1">
        <f t="array" ref="Q92">_xlfn.IFS(AND(H92&gt;=0,H92&lt;=3333),"Grupo 1",AND(H92&gt;3333,H92&lt;=6666),"Grupo 2",AND(H92&gt;6666,H92&lt;=10000),"Grupo 3")</f>
        <v>Grupo 1</v>
      </c>
    </row>
    <row r="93" spans="1:17" x14ac:dyDescent="0.25">
      <c r="A93" t="s">
        <v>103</v>
      </c>
      <c r="B93" s="2">
        <v>45727.712500000001</v>
      </c>
      <c r="C93" t="s">
        <v>352</v>
      </c>
      <c r="D93" t="s">
        <v>219</v>
      </c>
      <c r="E93">
        <v>3</v>
      </c>
      <c r="F93">
        <v>1135.67</v>
      </c>
      <c r="G93" t="s">
        <v>221</v>
      </c>
      <c r="H93">
        <v>3407.01</v>
      </c>
      <c r="I93">
        <v>2025</v>
      </c>
      <c r="J93">
        <v>3</v>
      </c>
      <c r="K93">
        <v>17</v>
      </c>
      <c r="L93" s="14">
        <v>1135.67</v>
      </c>
      <c r="M93" s="4" t="str">
        <f t="shared" si="4"/>
        <v>martes</v>
      </c>
      <c r="N93" s="4" t="str">
        <f t="shared" si="5"/>
        <v>marzo</v>
      </c>
      <c r="O93" s="4" t="str">
        <f t="shared" si="6"/>
        <v>SI</v>
      </c>
      <c r="P93" s="4" t="str">
        <f t="shared" si="7"/>
        <v>SI</v>
      </c>
      <c r="Q93" s="4" t="str" cm="1">
        <f t="array" ref="Q93">_xlfn.IFS(AND(H93&gt;=0,H93&lt;=3333),"Grupo 1",AND(H93&gt;3333,H93&lt;=6666),"Grupo 2",AND(H93&gt;6666,H93&lt;=10000),"Grupo 3")</f>
        <v>Grupo 2</v>
      </c>
    </row>
    <row r="94" spans="1:17" x14ac:dyDescent="0.25">
      <c r="A94" t="s">
        <v>104</v>
      </c>
      <c r="B94" s="2">
        <v>45676.398611111108</v>
      </c>
      <c r="C94" t="s">
        <v>353</v>
      </c>
      <c r="D94" t="s">
        <v>215</v>
      </c>
      <c r="E94">
        <v>3</v>
      </c>
      <c r="F94">
        <v>805.69</v>
      </c>
      <c r="G94" t="s">
        <v>220</v>
      </c>
      <c r="H94">
        <v>2417.0700000000002</v>
      </c>
      <c r="I94">
        <v>2025</v>
      </c>
      <c r="J94">
        <v>1</v>
      </c>
      <c r="K94">
        <v>9</v>
      </c>
      <c r="L94" s="14">
        <v>805.69</v>
      </c>
      <c r="M94" s="4" t="str">
        <f t="shared" si="4"/>
        <v>domingo</v>
      </c>
      <c r="N94" s="4" t="str">
        <f t="shared" si="5"/>
        <v>enero</v>
      </c>
      <c r="O94" s="4" t="str">
        <f t="shared" si="6"/>
        <v>NO</v>
      </c>
      <c r="P94" s="4" t="str">
        <f t="shared" si="7"/>
        <v>NO</v>
      </c>
      <c r="Q94" s="4" t="str" cm="1">
        <f t="array" ref="Q94">_xlfn.IFS(AND(H94&gt;=0,H94&lt;=3333),"Grupo 1",AND(H94&gt;3333,H94&lt;=6666),"Grupo 2",AND(H94&gt;6666,H94&lt;=10000),"Grupo 3")</f>
        <v>Grupo 1</v>
      </c>
    </row>
    <row r="95" spans="1:17" x14ac:dyDescent="0.25">
      <c r="A95" t="s">
        <v>105</v>
      </c>
      <c r="B95" s="2">
        <v>45289.026388888888</v>
      </c>
      <c r="C95" t="s">
        <v>354</v>
      </c>
      <c r="D95" t="s">
        <v>217</v>
      </c>
      <c r="E95">
        <v>2</v>
      </c>
      <c r="F95">
        <v>1259.07</v>
      </c>
      <c r="G95" t="s">
        <v>220</v>
      </c>
      <c r="H95">
        <v>2518.14</v>
      </c>
      <c r="I95">
        <v>2023</v>
      </c>
      <c r="J95">
        <v>12</v>
      </c>
      <c r="K95">
        <v>0</v>
      </c>
      <c r="L95" s="14">
        <v>1259.07</v>
      </c>
      <c r="M95" s="4" t="str">
        <f t="shared" si="4"/>
        <v>viernes</v>
      </c>
      <c r="N95" s="4" t="str">
        <f t="shared" si="5"/>
        <v>diciembre</v>
      </c>
      <c r="O95" s="4" t="str">
        <f t="shared" si="6"/>
        <v>NO</v>
      </c>
      <c r="P95" s="4" t="str">
        <f t="shared" si="7"/>
        <v>SI</v>
      </c>
      <c r="Q95" s="4" t="str" cm="1">
        <f t="array" ref="Q95">_xlfn.IFS(AND(H95&gt;=0,H95&lt;=3333),"Grupo 1",AND(H95&gt;3333,H95&lt;=6666),"Grupo 2",AND(H95&gt;6666,H95&lt;=10000),"Grupo 3")</f>
        <v>Grupo 1</v>
      </c>
    </row>
    <row r="96" spans="1:17" x14ac:dyDescent="0.25">
      <c r="A96" t="s">
        <v>106</v>
      </c>
      <c r="B96" s="2">
        <v>45473.418749999997</v>
      </c>
      <c r="C96" t="s">
        <v>355</v>
      </c>
      <c r="D96" t="s">
        <v>218</v>
      </c>
      <c r="E96">
        <v>3</v>
      </c>
      <c r="F96">
        <v>600.4</v>
      </c>
      <c r="G96" t="s">
        <v>221</v>
      </c>
      <c r="H96">
        <v>1801.2</v>
      </c>
      <c r="I96">
        <v>2024</v>
      </c>
      <c r="J96">
        <v>6</v>
      </c>
      <c r="K96">
        <v>10</v>
      </c>
      <c r="L96" s="14">
        <v>600.4</v>
      </c>
      <c r="M96" s="4" t="str">
        <f t="shared" si="4"/>
        <v>domingo</v>
      </c>
      <c r="N96" s="4" t="str">
        <f t="shared" si="5"/>
        <v>junio</v>
      </c>
      <c r="O96" s="4" t="str">
        <f t="shared" si="6"/>
        <v>NO</v>
      </c>
      <c r="P96" s="4" t="str">
        <f t="shared" si="7"/>
        <v>NO</v>
      </c>
      <c r="Q96" s="4" t="str" cm="1">
        <f t="array" ref="Q96">_xlfn.IFS(AND(H96&gt;=0,H96&lt;=3333),"Grupo 1",AND(H96&gt;3333,H96&lt;=6666),"Grupo 2",AND(H96&gt;6666,H96&lt;=10000),"Grupo 3")</f>
        <v>Grupo 1</v>
      </c>
    </row>
    <row r="97" spans="1:17" x14ac:dyDescent="0.25">
      <c r="A97" t="s">
        <v>107</v>
      </c>
      <c r="B97" s="2">
        <v>45499.757638888892</v>
      </c>
      <c r="C97" t="s">
        <v>356</v>
      </c>
      <c r="D97" t="s">
        <v>214</v>
      </c>
      <c r="E97">
        <v>2</v>
      </c>
      <c r="F97">
        <v>479.81</v>
      </c>
      <c r="G97" t="s">
        <v>222</v>
      </c>
      <c r="H97">
        <v>959.62</v>
      </c>
      <c r="I97">
        <v>2024</v>
      </c>
      <c r="J97">
        <v>7</v>
      </c>
      <c r="K97">
        <v>18</v>
      </c>
      <c r="L97" s="14">
        <v>479.81</v>
      </c>
      <c r="M97" s="4" t="str">
        <f t="shared" si="4"/>
        <v>viernes</v>
      </c>
      <c r="N97" s="4" t="str">
        <f t="shared" si="5"/>
        <v>julio</v>
      </c>
      <c r="O97" s="4" t="str">
        <f t="shared" si="6"/>
        <v>NO</v>
      </c>
      <c r="P97" s="4" t="str">
        <f t="shared" si="7"/>
        <v>NO</v>
      </c>
      <c r="Q97" s="4" t="str" cm="1">
        <f t="array" ref="Q97">_xlfn.IFS(AND(H97&gt;=0,H97&lt;=3333),"Grupo 1",AND(H97&gt;3333,H97&lt;=6666),"Grupo 2",AND(H97&gt;6666,H97&lt;=10000),"Grupo 3")</f>
        <v>Grupo 1</v>
      </c>
    </row>
    <row r="98" spans="1:17" x14ac:dyDescent="0.25">
      <c r="A98" t="s">
        <v>108</v>
      </c>
      <c r="B98" s="2">
        <v>45541.331250000003</v>
      </c>
      <c r="C98" t="s">
        <v>357</v>
      </c>
      <c r="D98" t="s">
        <v>216</v>
      </c>
      <c r="E98">
        <v>1</v>
      </c>
      <c r="F98">
        <v>1888.86</v>
      </c>
      <c r="G98" t="s">
        <v>221</v>
      </c>
      <c r="H98">
        <v>1888.86</v>
      </c>
      <c r="I98">
        <v>2024</v>
      </c>
      <c r="J98">
        <v>9</v>
      </c>
      <c r="K98">
        <v>7</v>
      </c>
      <c r="L98" s="14">
        <v>1888.86</v>
      </c>
      <c r="M98" s="4" t="str">
        <f t="shared" si="4"/>
        <v>viernes</v>
      </c>
      <c r="N98" s="4" t="str">
        <f t="shared" si="5"/>
        <v>septiembre</v>
      </c>
      <c r="O98" s="4" t="str">
        <f t="shared" si="6"/>
        <v>NO</v>
      </c>
      <c r="P98" s="4" t="str">
        <f t="shared" si="7"/>
        <v>SI</v>
      </c>
      <c r="Q98" s="4" t="str" cm="1">
        <f t="array" ref="Q98">_xlfn.IFS(AND(H98&gt;=0,H98&lt;=3333),"Grupo 1",AND(H98&gt;3333,H98&lt;=6666),"Grupo 2",AND(H98&gt;6666,H98&lt;=10000),"Grupo 3")</f>
        <v>Grupo 1</v>
      </c>
    </row>
    <row r="99" spans="1:17" x14ac:dyDescent="0.25">
      <c r="A99" t="s">
        <v>109</v>
      </c>
      <c r="B99" s="2">
        <v>45542.574305555558</v>
      </c>
      <c r="C99" t="s">
        <v>358</v>
      </c>
      <c r="D99" t="s">
        <v>217</v>
      </c>
      <c r="E99">
        <v>4</v>
      </c>
      <c r="F99">
        <v>1821.05</v>
      </c>
      <c r="G99" t="s">
        <v>220</v>
      </c>
      <c r="H99">
        <v>7284.2</v>
      </c>
      <c r="I99">
        <v>2024</v>
      </c>
      <c r="J99">
        <v>9</v>
      </c>
      <c r="K99">
        <v>13</v>
      </c>
      <c r="L99" s="14">
        <v>1821.05</v>
      </c>
      <c r="M99" s="4" t="str">
        <f t="shared" si="4"/>
        <v>sábado</v>
      </c>
      <c r="N99" s="4" t="str">
        <f t="shared" si="5"/>
        <v>septiembre</v>
      </c>
      <c r="O99" s="4" t="str">
        <f t="shared" si="6"/>
        <v>SI</v>
      </c>
      <c r="P99" s="4" t="str">
        <f t="shared" si="7"/>
        <v>SI</v>
      </c>
      <c r="Q99" s="4" t="str" cm="1">
        <f t="array" ref="Q99">_xlfn.IFS(AND(H99&gt;=0,H99&lt;=3333),"Grupo 1",AND(H99&gt;3333,H99&lt;=6666),"Grupo 2",AND(H99&gt;6666,H99&lt;=10000),"Grupo 3")</f>
        <v>Grupo 3</v>
      </c>
    </row>
    <row r="100" spans="1:17" x14ac:dyDescent="0.25">
      <c r="A100" t="s">
        <v>110</v>
      </c>
      <c r="B100" s="2">
        <v>45846.336805555547</v>
      </c>
      <c r="C100" t="s">
        <v>359</v>
      </c>
      <c r="D100" t="s">
        <v>218</v>
      </c>
      <c r="E100">
        <v>3</v>
      </c>
      <c r="F100">
        <v>1537.23</v>
      </c>
      <c r="G100" t="s">
        <v>221</v>
      </c>
      <c r="H100">
        <v>4611.6900000000014</v>
      </c>
      <c r="I100">
        <v>2025</v>
      </c>
      <c r="J100">
        <v>7</v>
      </c>
      <c r="K100">
        <v>8</v>
      </c>
      <c r="L100" s="14">
        <v>1537.23</v>
      </c>
      <c r="M100" s="4" t="str">
        <f t="shared" si="4"/>
        <v>martes</v>
      </c>
      <c r="N100" s="4" t="str">
        <f t="shared" si="5"/>
        <v>julio</v>
      </c>
      <c r="O100" s="4" t="str">
        <f t="shared" si="6"/>
        <v>SI</v>
      </c>
      <c r="P100" s="4" t="str">
        <f t="shared" si="7"/>
        <v>SI</v>
      </c>
      <c r="Q100" s="4" t="str" cm="1">
        <f t="array" ref="Q100">_xlfn.IFS(AND(H100&gt;=0,H100&lt;=3333),"Grupo 1",AND(H100&gt;3333,H100&lt;=6666),"Grupo 2",AND(H100&gt;6666,H100&lt;=10000),"Grupo 3")</f>
        <v>Grupo 2</v>
      </c>
    </row>
    <row r="101" spans="1:17" x14ac:dyDescent="0.25">
      <c r="A101" t="s">
        <v>111</v>
      </c>
      <c r="B101" s="2">
        <v>45318.705555555563</v>
      </c>
      <c r="C101" t="s">
        <v>261</v>
      </c>
      <c r="D101" t="s">
        <v>214</v>
      </c>
      <c r="E101">
        <v>3</v>
      </c>
      <c r="F101">
        <v>311.66000000000003</v>
      </c>
      <c r="G101" t="s">
        <v>222</v>
      </c>
      <c r="H101">
        <v>934.98</v>
      </c>
      <c r="I101">
        <v>2024</v>
      </c>
      <c r="J101">
        <v>1</v>
      </c>
      <c r="K101">
        <v>16</v>
      </c>
      <c r="L101" s="14">
        <v>311.66000000000003</v>
      </c>
      <c r="M101" s="4" t="str">
        <f t="shared" si="4"/>
        <v>sábado</v>
      </c>
      <c r="N101" s="4" t="str">
        <f t="shared" si="5"/>
        <v>enero</v>
      </c>
      <c r="O101" s="4" t="str">
        <f t="shared" si="6"/>
        <v>NO</v>
      </c>
      <c r="P101" s="4" t="str">
        <f t="shared" si="7"/>
        <v>NO</v>
      </c>
      <c r="Q101" s="4" t="str" cm="1">
        <f t="array" ref="Q101">_xlfn.IFS(AND(H101&gt;=0,H101&lt;=3333),"Grupo 1",AND(H101&gt;3333,H101&lt;=6666),"Grupo 2",AND(H101&gt;6666,H101&lt;=10000),"Grupo 3")</f>
        <v>Grupo 1</v>
      </c>
    </row>
    <row r="102" spans="1:17" x14ac:dyDescent="0.25">
      <c r="A102" t="s">
        <v>112</v>
      </c>
      <c r="B102" s="2">
        <v>45595.668055555558</v>
      </c>
      <c r="C102" t="s">
        <v>262</v>
      </c>
      <c r="D102" t="s">
        <v>213</v>
      </c>
      <c r="E102">
        <v>5</v>
      </c>
      <c r="F102">
        <v>149.09</v>
      </c>
      <c r="G102" t="s">
        <v>221</v>
      </c>
      <c r="H102">
        <v>745.45</v>
      </c>
      <c r="I102">
        <v>2024</v>
      </c>
      <c r="J102">
        <v>10</v>
      </c>
      <c r="K102">
        <v>16</v>
      </c>
      <c r="L102" s="14">
        <v>149.09</v>
      </c>
      <c r="M102" s="4" t="str">
        <f t="shared" si="4"/>
        <v>miércoles</v>
      </c>
      <c r="N102" s="4" t="str">
        <f t="shared" si="5"/>
        <v>octubre</v>
      </c>
      <c r="O102" s="4" t="str">
        <f t="shared" si="6"/>
        <v>NO</v>
      </c>
      <c r="P102" s="4" t="str">
        <f t="shared" si="7"/>
        <v>NO</v>
      </c>
      <c r="Q102" s="4" t="str" cm="1">
        <f t="array" ref="Q102">_xlfn.IFS(AND(H102&gt;=0,H102&lt;=3333),"Grupo 1",AND(H102&gt;3333,H102&lt;=6666),"Grupo 2",AND(H102&gt;6666,H102&lt;=10000),"Grupo 3")</f>
        <v>Grupo 1</v>
      </c>
    </row>
    <row r="103" spans="1:17" x14ac:dyDescent="0.25">
      <c r="A103" t="s">
        <v>113</v>
      </c>
      <c r="B103" s="2">
        <v>44984.418055555558</v>
      </c>
      <c r="C103" t="s">
        <v>263</v>
      </c>
      <c r="D103" t="s">
        <v>217</v>
      </c>
      <c r="E103">
        <v>5</v>
      </c>
      <c r="F103">
        <v>1885.48</v>
      </c>
      <c r="G103" t="s">
        <v>220</v>
      </c>
      <c r="H103">
        <v>9427.4</v>
      </c>
      <c r="I103">
        <v>2023</v>
      </c>
      <c r="J103">
        <v>2</v>
      </c>
      <c r="K103">
        <v>10</v>
      </c>
      <c r="L103" s="14">
        <v>1885.48</v>
      </c>
      <c r="M103" s="4" t="str">
        <f t="shared" si="4"/>
        <v>lunes</v>
      </c>
      <c r="N103" s="4" t="str">
        <f t="shared" si="5"/>
        <v>febrero</v>
      </c>
      <c r="O103" s="4" t="str">
        <f t="shared" si="6"/>
        <v>SI</v>
      </c>
      <c r="P103" s="4" t="str">
        <f t="shared" si="7"/>
        <v>SI</v>
      </c>
      <c r="Q103" s="4" t="str" cm="1">
        <f t="array" ref="Q103">_xlfn.IFS(AND(H103&gt;=0,H103&lt;=3333),"Grupo 1",AND(H103&gt;3333,H103&lt;=6666),"Grupo 2",AND(H103&gt;6666,H103&lt;=10000),"Grupo 3")</f>
        <v>Grupo 3</v>
      </c>
    </row>
    <row r="104" spans="1:17" x14ac:dyDescent="0.25">
      <c r="A104" t="s">
        <v>114</v>
      </c>
      <c r="B104" s="2">
        <v>45153.455555555563</v>
      </c>
      <c r="C104" t="s">
        <v>264</v>
      </c>
      <c r="D104" t="s">
        <v>216</v>
      </c>
      <c r="E104">
        <v>3</v>
      </c>
      <c r="F104">
        <v>1591.92</v>
      </c>
      <c r="G104" t="s">
        <v>221</v>
      </c>
      <c r="H104">
        <v>4775.76</v>
      </c>
      <c r="I104">
        <v>2023</v>
      </c>
      <c r="J104">
        <v>8</v>
      </c>
      <c r="K104">
        <v>10</v>
      </c>
      <c r="L104" s="14">
        <v>1591.92</v>
      </c>
      <c r="M104" s="4" t="str">
        <f t="shared" si="4"/>
        <v>martes</v>
      </c>
      <c r="N104" s="4" t="str">
        <f t="shared" si="5"/>
        <v>agosto</v>
      </c>
      <c r="O104" s="4" t="str">
        <f t="shared" si="6"/>
        <v>SI</v>
      </c>
      <c r="P104" s="4" t="str">
        <f t="shared" si="7"/>
        <v>SI</v>
      </c>
      <c r="Q104" s="4" t="str" cm="1">
        <f t="array" ref="Q104">_xlfn.IFS(AND(H104&gt;=0,H104&lt;=3333),"Grupo 1",AND(H104&gt;3333,H104&lt;=6666),"Grupo 2",AND(H104&gt;6666,H104&lt;=10000),"Grupo 3")</f>
        <v>Grupo 2</v>
      </c>
    </row>
    <row r="105" spans="1:17" x14ac:dyDescent="0.25">
      <c r="A105" t="s">
        <v>115</v>
      </c>
      <c r="B105" s="2">
        <v>45919.24722222222</v>
      </c>
      <c r="C105" t="s">
        <v>265</v>
      </c>
      <c r="D105" t="s">
        <v>216</v>
      </c>
      <c r="E105">
        <v>5</v>
      </c>
      <c r="F105">
        <v>1383.33</v>
      </c>
      <c r="G105" t="s">
        <v>221</v>
      </c>
      <c r="H105">
        <v>6916.65</v>
      </c>
      <c r="I105">
        <v>2025</v>
      </c>
      <c r="J105">
        <v>9</v>
      </c>
      <c r="K105">
        <v>5</v>
      </c>
      <c r="L105" s="14">
        <v>1383.33</v>
      </c>
      <c r="M105" s="4" t="str">
        <f t="shared" si="4"/>
        <v>viernes</v>
      </c>
      <c r="N105" s="4" t="str">
        <f t="shared" si="5"/>
        <v>septiembre</v>
      </c>
      <c r="O105" s="4" t="str">
        <f t="shared" si="6"/>
        <v>SI</v>
      </c>
      <c r="P105" s="4" t="str">
        <f t="shared" si="7"/>
        <v>SI</v>
      </c>
      <c r="Q105" s="4" t="str" cm="1">
        <f t="array" ref="Q105">_xlfn.IFS(AND(H105&gt;=0,H105&lt;=3333),"Grupo 1",AND(H105&gt;3333,H105&lt;=6666),"Grupo 2",AND(H105&gt;6666,H105&lt;=10000),"Grupo 3")</f>
        <v>Grupo 3</v>
      </c>
    </row>
    <row r="106" spans="1:17" x14ac:dyDescent="0.25">
      <c r="A106" t="s">
        <v>116</v>
      </c>
      <c r="B106" s="2">
        <v>45815.543055555558</v>
      </c>
      <c r="C106" t="s">
        <v>266</v>
      </c>
      <c r="D106" t="s">
        <v>214</v>
      </c>
      <c r="E106">
        <v>2</v>
      </c>
      <c r="F106">
        <v>1051.23</v>
      </c>
      <c r="G106" t="s">
        <v>222</v>
      </c>
      <c r="H106">
        <v>2102.46</v>
      </c>
      <c r="I106">
        <v>2025</v>
      </c>
      <c r="J106">
        <v>6</v>
      </c>
      <c r="K106">
        <v>13</v>
      </c>
      <c r="L106" s="14">
        <v>1051.23</v>
      </c>
      <c r="M106" s="4" t="str">
        <f t="shared" si="4"/>
        <v>sábado</v>
      </c>
      <c r="N106" s="4" t="str">
        <f t="shared" si="5"/>
        <v>junio</v>
      </c>
      <c r="O106" s="4" t="str">
        <f t="shared" si="6"/>
        <v>NO</v>
      </c>
      <c r="P106" s="4" t="str">
        <f t="shared" si="7"/>
        <v>SI</v>
      </c>
      <c r="Q106" s="4" t="str" cm="1">
        <f t="array" ref="Q106">_xlfn.IFS(AND(H106&gt;=0,H106&lt;=3333),"Grupo 1",AND(H106&gt;3333,H106&lt;=6666),"Grupo 2",AND(H106&gt;6666,H106&lt;=10000),"Grupo 3")</f>
        <v>Grupo 1</v>
      </c>
    </row>
    <row r="107" spans="1:17" x14ac:dyDescent="0.25">
      <c r="A107" t="s">
        <v>117</v>
      </c>
      <c r="B107" s="2">
        <v>45255.4</v>
      </c>
      <c r="C107" t="s">
        <v>267</v>
      </c>
      <c r="D107" t="s">
        <v>219</v>
      </c>
      <c r="E107">
        <v>4</v>
      </c>
      <c r="F107">
        <v>1274.46</v>
      </c>
      <c r="G107" t="s">
        <v>221</v>
      </c>
      <c r="H107">
        <v>5097.84</v>
      </c>
      <c r="I107">
        <v>2023</v>
      </c>
      <c r="J107">
        <v>11</v>
      </c>
      <c r="K107">
        <v>9</v>
      </c>
      <c r="L107" s="14">
        <v>1274.46</v>
      </c>
      <c r="M107" s="4" t="str">
        <f t="shared" si="4"/>
        <v>sábado</v>
      </c>
      <c r="N107" s="4" t="str">
        <f t="shared" si="5"/>
        <v>noviembre</v>
      </c>
      <c r="O107" s="4" t="str">
        <f t="shared" si="6"/>
        <v>SI</v>
      </c>
      <c r="P107" s="4" t="str">
        <f t="shared" si="7"/>
        <v>SI</v>
      </c>
      <c r="Q107" s="4" t="str" cm="1">
        <f t="array" ref="Q107">_xlfn.IFS(AND(H107&gt;=0,H107&lt;=3333),"Grupo 1",AND(H107&gt;3333,H107&lt;=6666),"Grupo 2",AND(H107&gt;6666,H107&lt;=10000),"Grupo 3")</f>
        <v>Grupo 2</v>
      </c>
    </row>
    <row r="108" spans="1:17" x14ac:dyDescent="0.25">
      <c r="A108" t="s">
        <v>118</v>
      </c>
      <c r="B108" s="2">
        <v>45754.797222222223</v>
      </c>
      <c r="C108" t="s">
        <v>268</v>
      </c>
      <c r="D108" t="s">
        <v>212</v>
      </c>
      <c r="E108">
        <v>1</v>
      </c>
      <c r="F108">
        <v>1251.08</v>
      </c>
      <c r="G108" t="s">
        <v>220</v>
      </c>
      <c r="H108">
        <v>1251.08</v>
      </c>
      <c r="I108">
        <v>2025</v>
      </c>
      <c r="J108">
        <v>4</v>
      </c>
      <c r="K108">
        <v>19</v>
      </c>
      <c r="L108" s="14">
        <v>1251.08</v>
      </c>
      <c r="M108" s="4" t="str">
        <f t="shared" si="4"/>
        <v>lunes</v>
      </c>
      <c r="N108" s="4" t="str">
        <f t="shared" si="5"/>
        <v>abril</v>
      </c>
      <c r="O108" s="4" t="str">
        <f t="shared" si="6"/>
        <v>NO</v>
      </c>
      <c r="P108" s="4" t="str">
        <f t="shared" si="7"/>
        <v>SI</v>
      </c>
      <c r="Q108" s="4" t="str" cm="1">
        <f t="array" ref="Q108">_xlfn.IFS(AND(H108&gt;=0,H108&lt;=3333),"Grupo 1",AND(H108&gt;3333,H108&lt;=6666),"Grupo 2",AND(H108&gt;6666,H108&lt;=10000),"Grupo 3")</f>
        <v>Grupo 1</v>
      </c>
    </row>
    <row r="109" spans="1:17" x14ac:dyDescent="0.25">
      <c r="A109" t="s">
        <v>119</v>
      </c>
      <c r="B109" s="2">
        <v>45764.185416666667</v>
      </c>
      <c r="C109" t="s">
        <v>269</v>
      </c>
      <c r="D109" t="s">
        <v>219</v>
      </c>
      <c r="E109">
        <v>5</v>
      </c>
      <c r="F109">
        <v>1582.2</v>
      </c>
      <c r="G109" t="s">
        <v>221</v>
      </c>
      <c r="H109">
        <v>7911</v>
      </c>
      <c r="I109">
        <v>2025</v>
      </c>
      <c r="J109">
        <v>4</v>
      </c>
      <c r="K109">
        <v>4</v>
      </c>
      <c r="L109" s="14">
        <v>1582.2</v>
      </c>
      <c r="M109" s="4" t="str">
        <f t="shared" si="4"/>
        <v>jueves</v>
      </c>
      <c r="N109" s="4" t="str">
        <f t="shared" si="5"/>
        <v>abril</v>
      </c>
      <c r="O109" s="4" t="str">
        <f t="shared" si="6"/>
        <v>SI</v>
      </c>
      <c r="P109" s="4" t="str">
        <f t="shared" si="7"/>
        <v>SI</v>
      </c>
      <c r="Q109" s="4" t="str" cm="1">
        <f t="array" ref="Q109">_xlfn.IFS(AND(H109&gt;=0,H109&lt;=3333),"Grupo 1",AND(H109&gt;3333,H109&lt;=6666),"Grupo 2",AND(H109&gt;6666,H109&lt;=10000),"Grupo 3")</f>
        <v>Grupo 3</v>
      </c>
    </row>
    <row r="110" spans="1:17" x14ac:dyDescent="0.25">
      <c r="A110" t="s">
        <v>120</v>
      </c>
      <c r="B110" s="2">
        <v>45240.82916666667</v>
      </c>
      <c r="C110" t="s">
        <v>270</v>
      </c>
      <c r="D110" t="s">
        <v>214</v>
      </c>
      <c r="E110">
        <v>1</v>
      </c>
      <c r="F110">
        <v>81.92</v>
      </c>
      <c r="G110" t="s">
        <v>222</v>
      </c>
      <c r="H110">
        <v>81.92</v>
      </c>
      <c r="I110">
        <v>2023</v>
      </c>
      <c r="J110">
        <v>11</v>
      </c>
      <c r="K110">
        <v>19</v>
      </c>
      <c r="L110" s="14">
        <v>81.92</v>
      </c>
      <c r="M110" s="4" t="str">
        <f t="shared" si="4"/>
        <v>viernes</v>
      </c>
      <c r="N110" s="4" t="str">
        <f t="shared" si="5"/>
        <v>noviembre</v>
      </c>
      <c r="O110" s="4" t="str">
        <f t="shared" si="6"/>
        <v>NO</v>
      </c>
      <c r="P110" s="4" t="str">
        <f t="shared" si="7"/>
        <v>NO</v>
      </c>
      <c r="Q110" s="4" t="str" cm="1">
        <f t="array" ref="Q110">_xlfn.IFS(AND(H110&gt;=0,H110&lt;=3333),"Grupo 1",AND(H110&gt;3333,H110&lt;=6666),"Grupo 2",AND(H110&gt;6666,H110&lt;=10000),"Grupo 3")</f>
        <v>Grupo 1</v>
      </c>
    </row>
    <row r="111" spans="1:17" x14ac:dyDescent="0.25">
      <c r="A111" t="s">
        <v>121</v>
      </c>
      <c r="B111" s="2">
        <v>45634.470138888893</v>
      </c>
      <c r="C111" t="s">
        <v>271</v>
      </c>
      <c r="D111" t="s">
        <v>218</v>
      </c>
      <c r="E111">
        <v>1</v>
      </c>
      <c r="F111">
        <v>1153.31</v>
      </c>
      <c r="G111" t="s">
        <v>221</v>
      </c>
      <c r="H111">
        <v>1153.31</v>
      </c>
      <c r="I111">
        <v>2024</v>
      </c>
      <c r="J111">
        <v>12</v>
      </c>
      <c r="K111">
        <v>11</v>
      </c>
      <c r="L111" s="14">
        <v>1153.31</v>
      </c>
      <c r="M111" s="4" t="str">
        <f t="shared" si="4"/>
        <v>domingo</v>
      </c>
      <c r="N111" s="4" t="str">
        <f t="shared" si="5"/>
        <v>diciembre</v>
      </c>
      <c r="O111" s="4" t="str">
        <f t="shared" si="6"/>
        <v>NO</v>
      </c>
      <c r="P111" s="4" t="str">
        <f t="shared" si="7"/>
        <v>SI</v>
      </c>
      <c r="Q111" s="4" t="str" cm="1">
        <f t="array" ref="Q111">_xlfn.IFS(AND(H111&gt;=0,H111&lt;=3333),"Grupo 1",AND(H111&gt;3333,H111&lt;=6666),"Grupo 2",AND(H111&gt;6666,H111&lt;=10000),"Grupo 3")</f>
        <v>Grupo 1</v>
      </c>
    </row>
    <row r="112" spans="1:17" x14ac:dyDescent="0.25">
      <c r="A112" t="s">
        <v>122</v>
      </c>
      <c r="B112" s="2">
        <v>45913.939583333333</v>
      </c>
      <c r="C112" t="s">
        <v>272</v>
      </c>
      <c r="D112" t="s">
        <v>218</v>
      </c>
      <c r="E112">
        <v>3</v>
      </c>
      <c r="F112">
        <v>1078.08</v>
      </c>
      <c r="G112" t="s">
        <v>221</v>
      </c>
      <c r="H112">
        <v>3234.24</v>
      </c>
      <c r="I112">
        <v>2025</v>
      </c>
      <c r="J112">
        <v>9</v>
      </c>
      <c r="K112">
        <v>22</v>
      </c>
      <c r="L112" s="14">
        <v>1078.08</v>
      </c>
      <c r="M112" s="4" t="str">
        <f t="shared" si="4"/>
        <v>sábado</v>
      </c>
      <c r="N112" s="4" t="str">
        <f t="shared" si="5"/>
        <v>septiembre</v>
      </c>
      <c r="O112" s="4" t="str">
        <f t="shared" si="6"/>
        <v>SI</v>
      </c>
      <c r="P112" s="4" t="str">
        <f t="shared" si="7"/>
        <v>SI</v>
      </c>
      <c r="Q112" s="4" t="str" cm="1">
        <f t="array" ref="Q112">_xlfn.IFS(AND(H112&gt;=0,H112&lt;=3333),"Grupo 1",AND(H112&gt;3333,H112&lt;=6666),"Grupo 2",AND(H112&gt;6666,H112&lt;=10000),"Grupo 3")</f>
        <v>Grupo 1</v>
      </c>
    </row>
    <row r="113" spans="1:17" x14ac:dyDescent="0.25">
      <c r="A113" t="s">
        <v>123</v>
      </c>
      <c r="B113" s="2">
        <v>45526.149305555547</v>
      </c>
      <c r="C113" t="s">
        <v>273</v>
      </c>
      <c r="D113" t="s">
        <v>215</v>
      </c>
      <c r="E113">
        <v>1</v>
      </c>
      <c r="F113">
        <v>201.91</v>
      </c>
      <c r="G113" t="s">
        <v>220</v>
      </c>
      <c r="H113">
        <v>201.91</v>
      </c>
      <c r="I113">
        <v>2024</v>
      </c>
      <c r="J113">
        <v>8</v>
      </c>
      <c r="K113">
        <v>3</v>
      </c>
      <c r="L113" s="14">
        <v>201.91</v>
      </c>
      <c r="M113" s="4" t="str">
        <f t="shared" si="4"/>
        <v>jueves</v>
      </c>
      <c r="N113" s="4" t="str">
        <f t="shared" si="5"/>
        <v>agosto</v>
      </c>
      <c r="O113" s="4" t="str">
        <f t="shared" si="6"/>
        <v>NO</v>
      </c>
      <c r="P113" s="4" t="str">
        <f t="shared" si="7"/>
        <v>NO</v>
      </c>
      <c r="Q113" s="4" t="str" cm="1">
        <f t="array" ref="Q113">_xlfn.IFS(AND(H113&gt;=0,H113&lt;=3333),"Grupo 1",AND(H113&gt;3333,H113&lt;=6666),"Grupo 2",AND(H113&gt;6666,H113&lt;=10000),"Grupo 3")</f>
        <v>Grupo 1</v>
      </c>
    </row>
    <row r="114" spans="1:17" x14ac:dyDescent="0.25">
      <c r="A114" t="s">
        <v>124</v>
      </c>
      <c r="B114" s="2">
        <v>45487.067361111112</v>
      </c>
      <c r="C114" t="s">
        <v>274</v>
      </c>
      <c r="D114" t="s">
        <v>216</v>
      </c>
      <c r="E114">
        <v>3</v>
      </c>
      <c r="F114">
        <v>727.36</v>
      </c>
      <c r="G114" t="s">
        <v>221</v>
      </c>
      <c r="H114">
        <v>2182.08</v>
      </c>
      <c r="I114">
        <v>2024</v>
      </c>
      <c r="J114">
        <v>7</v>
      </c>
      <c r="K114">
        <v>1</v>
      </c>
      <c r="L114" s="14">
        <v>727.36</v>
      </c>
      <c r="M114" s="4" t="str">
        <f t="shared" si="4"/>
        <v>domingo</v>
      </c>
      <c r="N114" s="4" t="str">
        <f t="shared" si="5"/>
        <v>julio</v>
      </c>
      <c r="O114" s="4" t="str">
        <f t="shared" si="6"/>
        <v>NO</v>
      </c>
      <c r="P114" s="4" t="str">
        <f t="shared" si="7"/>
        <v>NO</v>
      </c>
      <c r="Q114" s="4" t="str" cm="1">
        <f t="array" ref="Q114">_xlfn.IFS(AND(H114&gt;=0,H114&lt;=3333),"Grupo 1",AND(H114&gt;3333,H114&lt;=6666),"Grupo 2",AND(H114&gt;6666,H114&lt;=10000),"Grupo 3")</f>
        <v>Grupo 1</v>
      </c>
    </row>
    <row r="115" spans="1:17" x14ac:dyDescent="0.25">
      <c r="A115" t="s">
        <v>125</v>
      </c>
      <c r="B115" s="2">
        <v>45281.986805555563</v>
      </c>
      <c r="C115" t="s">
        <v>275</v>
      </c>
      <c r="D115" t="s">
        <v>219</v>
      </c>
      <c r="E115">
        <v>3</v>
      </c>
      <c r="F115">
        <v>1645.43</v>
      </c>
      <c r="G115" t="s">
        <v>221</v>
      </c>
      <c r="H115">
        <v>4936.29</v>
      </c>
      <c r="I115">
        <v>2023</v>
      </c>
      <c r="J115">
        <v>12</v>
      </c>
      <c r="K115">
        <v>23</v>
      </c>
      <c r="L115" s="14">
        <v>1645.43</v>
      </c>
      <c r="M115" s="4" t="str">
        <f t="shared" si="4"/>
        <v>jueves</v>
      </c>
      <c r="N115" s="4" t="str">
        <f t="shared" si="5"/>
        <v>diciembre</v>
      </c>
      <c r="O115" s="4" t="str">
        <f t="shared" si="6"/>
        <v>SI</v>
      </c>
      <c r="P115" s="4" t="str">
        <f t="shared" si="7"/>
        <v>SI</v>
      </c>
      <c r="Q115" s="4" t="str" cm="1">
        <f t="array" ref="Q115">_xlfn.IFS(AND(H115&gt;=0,H115&lt;=3333),"Grupo 1",AND(H115&gt;3333,H115&lt;=6666),"Grupo 2",AND(H115&gt;6666,H115&lt;=10000),"Grupo 3")</f>
        <v>Grupo 2</v>
      </c>
    </row>
    <row r="116" spans="1:17" x14ac:dyDescent="0.25">
      <c r="A116" t="s">
        <v>126</v>
      </c>
      <c r="B116" s="2">
        <v>45468.378472222219</v>
      </c>
      <c r="C116" t="s">
        <v>276</v>
      </c>
      <c r="D116" t="s">
        <v>217</v>
      </c>
      <c r="E116">
        <v>3</v>
      </c>
      <c r="F116">
        <v>420.05</v>
      </c>
      <c r="G116" t="s">
        <v>220</v>
      </c>
      <c r="H116">
        <v>1260.1500000000001</v>
      </c>
      <c r="I116">
        <v>2024</v>
      </c>
      <c r="J116">
        <v>6</v>
      </c>
      <c r="K116">
        <v>9</v>
      </c>
      <c r="L116" s="14">
        <v>420.05</v>
      </c>
      <c r="M116" s="4" t="str">
        <f t="shared" si="4"/>
        <v>martes</v>
      </c>
      <c r="N116" s="4" t="str">
        <f t="shared" si="5"/>
        <v>junio</v>
      </c>
      <c r="O116" s="4" t="str">
        <f t="shared" si="6"/>
        <v>NO</v>
      </c>
      <c r="P116" s="4" t="str">
        <f t="shared" si="7"/>
        <v>NO</v>
      </c>
      <c r="Q116" s="4" t="str" cm="1">
        <f t="array" ref="Q116">_xlfn.IFS(AND(H116&gt;=0,H116&lt;=3333),"Grupo 1",AND(H116&gt;3333,H116&lt;=6666),"Grupo 2",AND(H116&gt;6666,H116&lt;=10000),"Grupo 3")</f>
        <v>Grupo 1</v>
      </c>
    </row>
    <row r="117" spans="1:17" x14ac:dyDescent="0.25">
      <c r="A117" t="s">
        <v>127</v>
      </c>
      <c r="B117" s="2">
        <v>45529.436805555553</v>
      </c>
      <c r="C117" t="s">
        <v>277</v>
      </c>
      <c r="D117" t="s">
        <v>214</v>
      </c>
      <c r="E117">
        <v>4</v>
      </c>
      <c r="F117">
        <v>496.9</v>
      </c>
      <c r="G117" t="s">
        <v>222</v>
      </c>
      <c r="H117">
        <v>1987.6</v>
      </c>
      <c r="I117">
        <v>2024</v>
      </c>
      <c r="J117">
        <v>8</v>
      </c>
      <c r="K117">
        <v>10</v>
      </c>
      <c r="L117" s="14">
        <v>496.9</v>
      </c>
      <c r="M117" s="4" t="str">
        <f t="shared" si="4"/>
        <v>domingo</v>
      </c>
      <c r="N117" s="4" t="str">
        <f t="shared" si="5"/>
        <v>agosto</v>
      </c>
      <c r="O117" s="4" t="str">
        <f t="shared" si="6"/>
        <v>NO</v>
      </c>
      <c r="P117" s="4" t="str">
        <f t="shared" si="7"/>
        <v>NO</v>
      </c>
      <c r="Q117" s="4" t="str" cm="1">
        <f t="array" ref="Q117">_xlfn.IFS(AND(H117&gt;=0,H117&lt;=3333),"Grupo 1",AND(H117&gt;3333,H117&lt;=6666),"Grupo 2",AND(H117&gt;6666,H117&lt;=10000),"Grupo 3")</f>
        <v>Grupo 1</v>
      </c>
    </row>
    <row r="118" spans="1:17" x14ac:dyDescent="0.25">
      <c r="A118" t="s">
        <v>128</v>
      </c>
      <c r="B118" s="2">
        <v>44961.01666666667</v>
      </c>
      <c r="C118" t="s">
        <v>278</v>
      </c>
      <c r="D118" t="s">
        <v>213</v>
      </c>
      <c r="E118">
        <v>2</v>
      </c>
      <c r="F118">
        <v>721.56</v>
      </c>
      <c r="G118" t="s">
        <v>221</v>
      </c>
      <c r="H118">
        <v>1443.12</v>
      </c>
      <c r="I118">
        <v>2023</v>
      </c>
      <c r="J118">
        <v>2</v>
      </c>
      <c r="K118">
        <v>0</v>
      </c>
      <c r="L118" s="14">
        <v>721.56</v>
      </c>
      <c r="M118" s="4" t="str">
        <f t="shared" si="4"/>
        <v>sábado</v>
      </c>
      <c r="N118" s="4" t="str">
        <f t="shared" si="5"/>
        <v>febrero</v>
      </c>
      <c r="O118" s="4" t="str">
        <f t="shared" si="6"/>
        <v>NO</v>
      </c>
      <c r="P118" s="4" t="str">
        <f t="shared" si="7"/>
        <v>NO</v>
      </c>
      <c r="Q118" s="4" t="str" cm="1">
        <f t="array" ref="Q118">_xlfn.IFS(AND(H118&gt;=0,H118&lt;=3333),"Grupo 1",AND(H118&gt;3333,H118&lt;=6666),"Grupo 2",AND(H118&gt;6666,H118&lt;=10000),"Grupo 3")</f>
        <v>Grupo 1</v>
      </c>
    </row>
    <row r="119" spans="1:17" x14ac:dyDescent="0.25">
      <c r="A119" t="s">
        <v>129</v>
      </c>
      <c r="B119" s="2">
        <v>45041.746527777781</v>
      </c>
      <c r="C119" t="s">
        <v>279</v>
      </c>
      <c r="D119" t="s">
        <v>219</v>
      </c>
      <c r="E119">
        <v>4</v>
      </c>
      <c r="F119">
        <v>1353.9</v>
      </c>
      <c r="G119" t="s">
        <v>221</v>
      </c>
      <c r="H119">
        <v>5415.6</v>
      </c>
      <c r="I119">
        <v>2023</v>
      </c>
      <c r="J119">
        <v>4</v>
      </c>
      <c r="K119">
        <v>17</v>
      </c>
      <c r="L119" s="14">
        <v>1353.9</v>
      </c>
      <c r="M119" s="4" t="str">
        <f t="shared" si="4"/>
        <v>martes</v>
      </c>
      <c r="N119" s="4" t="str">
        <f t="shared" si="5"/>
        <v>abril</v>
      </c>
      <c r="O119" s="4" t="str">
        <f t="shared" si="6"/>
        <v>SI</v>
      </c>
      <c r="P119" s="4" t="str">
        <f t="shared" si="7"/>
        <v>SI</v>
      </c>
      <c r="Q119" s="4" t="str" cm="1">
        <f t="array" ref="Q119">_xlfn.IFS(AND(H119&gt;=0,H119&lt;=3333),"Grupo 1",AND(H119&gt;3333,H119&lt;=6666),"Grupo 2",AND(H119&gt;6666,H119&lt;=10000),"Grupo 3")</f>
        <v>Grupo 2</v>
      </c>
    </row>
    <row r="120" spans="1:17" x14ac:dyDescent="0.25">
      <c r="A120" t="s">
        <v>130</v>
      </c>
      <c r="B120" s="2">
        <v>45400.756249999999</v>
      </c>
      <c r="C120" t="s">
        <v>280</v>
      </c>
      <c r="D120" t="s">
        <v>215</v>
      </c>
      <c r="E120">
        <v>2</v>
      </c>
      <c r="F120">
        <v>429.52</v>
      </c>
      <c r="G120" t="s">
        <v>220</v>
      </c>
      <c r="H120">
        <v>859.04</v>
      </c>
      <c r="I120">
        <v>2024</v>
      </c>
      <c r="J120">
        <v>4</v>
      </c>
      <c r="K120">
        <v>18</v>
      </c>
      <c r="L120" s="14">
        <v>429.52</v>
      </c>
      <c r="M120" s="4" t="str">
        <f t="shared" si="4"/>
        <v>jueves</v>
      </c>
      <c r="N120" s="4" t="str">
        <f t="shared" si="5"/>
        <v>abril</v>
      </c>
      <c r="O120" s="4" t="str">
        <f t="shared" si="6"/>
        <v>NO</v>
      </c>
      <c r="P120" s="4" t="str">
        <f t="shared" si="7"/>
        <v>NO</v>
      </c>
      <c r="Q120" s="4" t="str" cm="1">
        <f t="array" ref="Q120">_xlfn.IFS(AND(H120&gt;=0,H120&lt;=3333),"Grupo 1",AND(H120&gt;3333,H120&lt;=6666),"Grupo 2",AND(H120&gt;6666,H120&lt;=10000),"Grupo 3")</f>
        <v>Grupo 1</v>
      </c>
    </row>
    <row r="121" spans="1:17" x14ac:dyDescent="0.25">
      <c r="A121" t="s">
        <v>131</v>
      </c>
      <c r="B121" s="2">
        <v>45465.772916666669</v>
      </c>
      <c r="C121" t="s">
        <v>281</v>
      </c>
      <c r="D121" t="s">
        <v>214</v>
      </c>
      <c r="E121">
        <v>2</v>
      </c>
      <c r="F121">
        <v>1824.96</v>
      </c>
      <c r="G121" t="s">
        <v>222</v>
      </c>
      <c r="H121">
        <v>3649.92</v>
      </c>
      <c r="I121">
        <v>2024</v>
      </c>
      <c r="J121">
        <v>6</v>
      </c>
      <c r="K121">
        <v>18</v>
      </c>
      <c r="L121" s="14">
        <v>1824.96</v>
      </c>
      <c r="M121" s="4" t="str">
        <f t="shared" si="4"/>
        <v>sábado</v>
      </c>
      <c r="N121" s="4" t="str">
        <f t="shared" si="5"/>
        <v>junio</v>
      </c>
      <c r="O121" s="4" t="str">
        <f t="shared" si="6"/>
        <v>SI</v>
      </c>
      <c r="P121" s="4" t="str">
        <f t="shared" si="7"/>
        <v>SI</v>
      </c>
      <c r="Q121" s="4" t="str" cm="1">
        <f t="array" ref="Q121">_xlfn.IFS(AND(H121&gt;=0,H121&lt;=3333),"Grupo 1",AND(H121&gt;3333,H121&lt;=6666),"Grupo 2",AND(H121&gt;6666,H121&lt;=10000),"Grupo 3")</f>
        <v>Grupo 2</v>
      </c>
    </row>
    <row r="122" spans="1:17" x14ac:dyDescent="0.25">
      <c r="A122" t="s">
        <v>132</v>
      </c>
      <c r="B122" s="2">
        <v>45316.202777777777</v>
      </c>
      <c r="C122" t="s">
        <v>282</v>
      </c>
      <c r="D122" t="s">
        <v>218</v>
      </c>
      <c r="E122">
        <v>5</v>
      </c>
      <c r="F122">
        <v>1059.81</v>
      </c>
      <c r="G122" t="s">
        <v>221</v>
      </c>
      <c r="H122">
        <v>5299.0499999999993</v>
      </c>
      <c r="I122">
        <v>2024</v>
      </c>
      <c r="J122">
        <v>1</v>
      </c>
      <c r="K122">
        <v>4</v>
      </c>
      <c r="L122" s="14">
        <v>1059.81</v>
      </c>
      <c r="M122" s="4" t="str">
        <f t="shared" si="4"/>
        <v>jueves</v>
      </c>
      <c r="N122" s="4" t="str">
        <f t="shared" si="5"/>
        <v>enero</v>
      </c>
      <c r="O122" s="4" t="str">
        <f t="shared" si="6"/>
        <v>SI</v>
      </c>
      <c r="P122" s="4" t="str">
        <f t="shared" si="7"/>
        <v>SI</v>
      </c>
      <c r="Q122" s="4" t="str" cm="1">
        <f t="array" ref="Q122">_xlfn.IFS(AND(H122&gt;=0,H122&lt;=3333),"Grupo 1",AND(H122&gt;3333,H122&lt;=6666),"Grupo 2",AND(H122&gt;6666,H122&lt;=10000),"Grupo 3")</f>
        <v>Grupo 2</v>
      </c>
    </row>
    <row r="123" spans="1:17" x14ac:dyDescent="0.25">
      <c r="A123" t="s">
        <v>133</v>
      </c>
      <c r="B123" s="2">
        <v>45118.634722222218</v>
      </c>
      <c r="C123" t="s">
        <v>283</v>
      </c>
      <c r="D123" t="s">
        <v>214</v>
      </c>
      <c r="E123">
        <v>4</v>
      </c>
      <c r="F123">
        <v>46.39</v>
      </c>
      <c r="G123" t="s">
        <v>222</v>
      </c>
      <c r="H123">
        <v>185.56</v>
      </c>
      <c r="I123">
        <v>2023</v>
      </c>
      <c r="J123">
        <v>7</v>
      </c>
      <c r="K123">
        <v>15</v>
      </c>
      <c r="L123" s="14">
        <v>46.39</v>
      </c>
      <c r="M123" s="4" t="str">
        <f t="shared" si="4"/>
        <v>martes</v>
      </c>
      <c r="N123" s="4" t="str">
        <f t="shared" si="5"/>
        <v>julio</v>
      </c>
      <c r="O123" s="4" t="str">
        <f t="shared" si="6"/>
        <v>NO</v>
      </c>
      <c r="P123" s="4" t="str">
        <f t="shared" si="7"/>
        <v>NO</v>
      </c>
      <c r="Q123" s="4" t="str" cm="1">
        <f t="array" ref="Q123">_xlfn.IFS(AND(H123&gt;=0,H123&lt;=3333),"Grupo 1",AND(H123&gt;3333,H123&lt;=6666),"Grupo 2",AND(H123&gt;6666,H123&lt;=10000),"Grupo 3")</f>
        <v>Grupo 1</v>
      </c>
    </row>
    <row r="124" spans="1:17" x14ac:dyDescent="0.25">
      <c r="A124" t="s">
        <v>134</v>
      </c>
      <c r="B124" s="2">
        <v>45232.75</v>
      </c>
      <c r="C124" t="s">
        <v>284</v>
      </c>
      <c r="D124" t="s">
        <v>217</v>
      </c>
      <c r="E124">
        <v>1</v>
      </c>
      <c r="F124">
        <v>754.07</v>
      </c>
      <c r="G124" t="s">
        <v>220</v>
      </c>
      <c r="H124">
        <v>754.07</v>
      </c>
      <c r="I124">
        <v>2023</v>
      </c>
      <c r="J124">
        <v>11</v>
      </c>
      <c r="K124">
        <v>18</v>
      </c>
      <c r="L124" s="14">
        <v>754.07</v>
      </c>
      <c r="M124" s="4" t="str">
        <f t="shared" si="4"/>
        <v>jueves</v>
      </c>
      <c r="N124" s="4" t="str">
        <f t="shared" si="5"/>
        <v>noviembre</v>
      </c>
      <c r="O124" s="4" t="str">
        <f t="shared" si="6"/>
        <v>NO</v>
      </c>
      <c r="P124" s="4" t="str">
        <f t="shared" si="7"/>
        <v>NO</v>
      </c>
      <c r="Q124" s="4" t="str" cm="1">
        <f t="array" ref="Q124">_xlfn.IFS(AND(H124&gt;=0,H124&lt;=3333),"Grupo 1",AND(H124&gt;3333,H124&lt;=6666),"Grupo 2",AND(H124&gt;6666,H124&lt;=10000),"Grupo 3")</f>
        <v>Grupo 1</v>
      </c>
    </row>
    <row r="125" spans="1:17" x14ac:dyDescent="0.25">
      <c r="A125" t="s">
        <v>135</v>
      </c>
      <c r="B125" s="2">
        <v>45745.421527777777</v>
      </c>
      <c r="C125" t="s">
        <v>285</v>
      </c>
      <c r="D125" t="s">
        <v>219</v>
      </c>
      <c r="E125">
        <v>1</v>
      </c>
      <c r="F125">
        <v>1681.02</v>
      </c>
      <c r="G125" t="s">
        <v>221</v>
      </c>
      <c r="H125">
        <v>1681.02</v>
      </c>
      <c r="I125">
        <v>2025</v>
      </c>
      <c r="J125">
        <v>3</v>
      </c>
      <c r="K125">
        <v>10</v>
      </c>
      <c r="L125" s="14">
        <v>1681.02</v>
      </c>
      <c r="M125" s="4" t="str">
        <f t="shared" si="4"/>
        <v>sábado</v>
      </c>
      <c r="N125" s="4" t="str">
        <f t="shared" si="5"/>
        <v>marzo</v>
      </c>
      <c r="O125" s="4" t="str">
        <f t="shared" si="6"/>
        <v>NO</v>
      </c>
      <c r="P125" s="4" t="str">
        <f t="shared" si="7"/>
        <v>SI</v>
      </c>
      <c r="Q125" s="4" t="str" cm="1">
        <f t="array" ref="Q125">_xlfn.IFS(AND(H125&gt;=0,H125&lt;=3333),"Grupo 1",AND(H125&gt;3333,H125&lt;=6666),"Grupo 2",AND(H125&gt;6666,H125&lt;=10000),"Grupo 3")</f>
        <v>Grupo 1</v>
      </c>
    </row>
    <row r="126" spans="1:17" x14ac:dyDescent="0.25">
      <c r="A126" t="s">
        <v>136</v>
      </c>
      <c r="B126" s="2">
        <v>45802.370833333327</v>
      </c>
      <c r="C126" t="s">
        <v>286</v>
      </c>
      <c r="D126" t="s">
        <v>212</v>
      </c>
      <c r="E126">
        <v>2</v>
      </c>
      <c r="F126">
        <v>1198.72</v>
      </c>
      <c r="G126" t="s">
        <v>220</v>
      </c>
      <c r="H126">
        <v>2397.44</v>
      </c>
      <c r="I126">
        <v>2025</v>
      </c>
      <c r="J126">
        <v>5</v>
      </c>
      <c r="K126">
        <v>8</v>
      </c>
      <c r="L126" s="14">
        <v>1198.72</v>
      </c>
      <c r="M126" s="4" t="str">
        <f t="shared" si="4"/>
        <v>domingo</v>
      </c>
      <c r="N126" s="4" t="str">
        <f t="shared" si="5"/>
        <v>mayo</v>
      </c>
      <c r="O126" s="4" t="str">
        <f t="shared" si="6"/>
        <v>NO</v>
      </c>
      <c r="P126" s="4" t="str">
        <f t="shared" si="7"/>
        <v>SI</v>
      </c>
      <c r="Q126" s="4" t="str" cm="1">
        <f t="array" ref="Q126">_xlfn.IFS(AND(H126&gt;=0,H126&lt;=3333),"Grupo 1",AND(H126&gt;3333,H126&lt;=6666),"Grupo 2",AND(H126&gt;6666,H126&lt;=10000),"Grupo 3")</f>
        <v>Grupo 1</v>
      </c>
    </row>
    <row r="127" spans="1:17" x14ac:dyDescent="0.25">
      <c r="A127" t="s">
        <v>137</v>
      </c>
      <c r="B127" s="2">
        <v>45249.604861111111</v>
      </c>
      <c r="C127" t="s">
        <v>287</v>
      </c>
      <c r="D127" t="s">
        <v>219</v>
      </c>
      <c r="E127">
        <v>2</v>
      </c>
      <c r="F127">
        <v>1040.2</v>
      </c>
      <c r="G127" t="s">
        <v>221</v>
      </c>
      <c r="H127">
        <v>2080.4</v>
      </c>
      <c r="I127">
        <v>2023</v>
      </c>
      <c r="J127">
        <v>11</v>
      </c>
      <c r="K127">
        <v>14</v>
      </c>
      <c r="L127" s="14">
        <v>1040.2</v>
      </c>
      <c r="M127" s="4" t="str">
        <f t="shared" si="4"/>
        <v>domingo</v>
      </c>
      <c r="N127" s="4" t="str">
        <f t="shared" si="5"/>
        <v>noviembre</v>
      </c>
      <c r="O127" s="4" t="str">
        <f t="shared" si="6"/>
        <v>NO</v>
      </c>
      <c r="P127" s="4" t="str">
        <f t="shared" si="7"/>
        <v>SI</v>
      </c>
      <c r="Q127" s="4" t="str" cm="1">
        <f t="array" ref="Q127">_xlfn.IFS(AND(H127&gt;=0,H127&lt;=3333),"Grupo 1",AND(H127&gt;3333,H127&lt;=6666),"Grupo 2",AND(H127&gt;6666,H127&lt;=10000),"Grupo 3")</f>
        <v>Grupo 1</v>
      </c>
    </row>
    <row r="128" spans="1:17" x14ac:dyDescent="0.25">
      <c r="A128" t="s">
        <v>138</v>
      </c>
      <c r="B128" s="2">
        <v>45854.013194444437</v>
      </c>
      <c r="C128" t="s">
        <v>288</v>
      </c>
      <c r="D128" t="s">
        <v>213</v>
      </c>
      <c r="E128">
        <v>3</v>
      </c>
      <c r="F128">
        <v>107.53</v>
      </c>
      <c r="G128" t="s">
        <v>221</v>
      </c>
      <c r="H128">
        <v>322.58999999999997</v>
      </c>
      <c r="I128">
        <v>2025</v>
      </c>
      <c r="J128">
        <v>7</v>
      </c>
      <c r="K128">
        <v>0</v>
      </c>
      <c r="L128" s="14">
        <v>107.53</v>
      </c>
      <c r="M128" s="4" t="str">
        <f t="shared" si="4"/>
        <v>miércoles</v>
      </c>
      <c r="N128" s="4" t="str">
        <f t="shared" si="5"/>
        <v>julio</v>
      </c>
      <c r="O128" s="4" t="str">
        <f t="shared" si="6"/>
        <v>NO</v>
      </c>
      <c r="P128" s="4" t="str">
        <f t="shared" si="7"/>
        <v>NO</v>
      </c>
      <c r="Q128" s="4" t="str" cm="1">
        <f t="array" ref="Q128">_xlfn.IFS(AND(H128&gt;=0,H128&lt;=3333),"Grupo 1",AND(H128&gt;3333,H128&lt;=6666),"Grupo 2",AND(H128&gt;6666,H128&lt;=10000),"Grupo 3")</f>
        <v>Grupo 1</v>
      </c>
    </row>
    <row r="129" spans="1:17" x14ac:dyDescent="0.25">
      <c r="A129" t="s">
        <v>139</v>
      </c>
      <c r="B129" s="2">
        <v>45828.018055555563</v>
      </c>
      <c r="C129" t="s">
        <v>289</v>
      </c>
      <c r="D129" t="s">
        <v>215</v>
      </c>
      <c r="E129">
        <v>4</v>
      </c>
      <c r="F129">
        <v>380.66</v>
      </c>
      <c r="G129" t="s">
        <v>220</v>
      </c>
      <c r="H129">
        <v>1522.64</v>
      </c>
      <c r="I129">
        <v>2025</v>
      </c>
      <c r="J129">
        <v>6</v>
      </c>
      <c r="K129">
        <v>0</v>
      </c>
      <c r="L129" s="14">
        <v>380.66</v>
      </c>
      <c r="M129" s="4" t="str">
        <f t="shared" si="4"/>
        <v>viernes</v>
      </c>
      <c r="N129" s="4" t="str">
        <f t="shared" si="5"/>
        <v>junio</v>
      </c>
      <c r="O129" s="4" t="str">
        <f t="shared" si="6"/>
        <v>NO</v>
      </c>
      <c r="P129" s="4" t="str">
        <f t="shared" si="7"/>
        <v>NO</v>
      </c>
      <c r="Q129" s="4" t="str" cm="1">
        <f t="array" ref="Q129">_xlfn.IFS(AND(H129&gt;=0,H129&lt;=3333),"Grupo 1",AND(H129&gt;3333,H129&lt;=6666),"Grupo 2",AND(H129&gt;6666,H129&lt;=10000),"Grupo 3")</f>
        <v>Grupo 1</v>
      </c>
    </row>
    <row r="130" spans="1:17" x14ac:dyDescent="0.25">
      <c r="A130" t="s">
        <v>140</v>
      </c>
      <c r="B130" s="2">
        <v>45673.40902777778</v>
      </c>
      <c r="C130" t="s">
        <v>290</v>
      </c>
      <c r="D130" t="s">
        <v>212</v>
      </c>
      <c r="E130">
        <v>2</v>
      </c>
      <c r="F130">
        <v>700.11</v>
      </c>
      <c r="G130" t="s">
        <v>220</v>
      </c>
      <c r="H130">
        <v>1400.22</v>
      </c>
      <c r="I130">
        <v>2025</v>
      </c>
      <c r="J130">
        <v>1</v>
      </c>
      <c r="K130">
        <v>9</v>
      </c>
      <c r="L130" s="14">
        <v>700.11</v>
      </c>
      <c r="M130" s="4" t="str">
        <f t="shared" ref="M130:M193" si="8">TEXT(B130,"dddd")</f>
        <v>jueves</v>
      </c>
      <c r="N130" s="4" t="str">
        <f t="shared" ref="N130:N193" si="9">TEXT(B130,"mmmm")</f>
        <v>enero</v>
      </c>
      <c r="O130" s="4" t="str">
        <f t="shared" si="6"/>
        <v>NO</v>
      </c>
      <c r="P130" s="4" t="str">
        <f t="shared" si="7"/>
        <v>NO</v>
      </c>
      <c r="Q130" s="4" t="str" cm="1">
        <f t="array" ref="Q130">_xlfn.IFS(AND(H130&gt;=0,H130&lt;=3333),"Grupo 1",AND(H130&gt;3333,H130&lt;=6666),"Grupo 2",AND(H130&gt;6666,H130&lt;=10000),"Grupo 3")</f>
        <v>Grupo 1</v>
      </c>
    </row>
    <row r="131" spans="1:17" x14ac:dyDescent="0.25">
      <c r="A131" t="s">
        <v>141</v>
      </c>
      <c r="B131" s="2">
        <v>44932.951388888891</v>
      </c>
      <c r="C131" t="s">
        <v>291</v>
      </c>
      <c r="D131" t="s">
        <v>215</v>
      </c>
      <c r="E131">
        <v>5</v>
      </c>
      <c r="F131">
        <v>358.48</v>
      </c>
      <c r="G131" t="s">
        <v>220</v>
      </c>
      <c r="H131">
        <v>1792.4</v>
      </c>
      <c r="I131">
        <v>2023</v>
      </c>
      <c r="J131">
        <v>1</v>
      </c>
      <c r="K131">
        <v>22</v>
      </c>
      <c r="L131" s="14">
        <v>358.48</v>
      </c>
      <c r="M131" s="4" t="str">
        <f t="shared" si="8"/>
        <v>viernes</v>
      </c>
      <c r="N131" s="4" t="str">
        <f t="shared" si="9"/>
        <v>enero</v>
      </c>
      <c r="O131" s="4" t="str">
        <f t="shared" ref="O131:O194" si="10">IF(H131&gt;AVERAGE(H:H),"SI","NO")</f>
        <v>NO</v>
      </c>
      <c r="P131" s="4" t="str">
        <f t="shared" ref="P131:P194" si="11">IF(L131&gt;AVERAGE(L:L),"SI","NO")</f>
        <v>NO</v>
      </c>
      <c r="Q131" s="4" t="str" cm="1">
        <f t="array" ref="Q131">_xlfn.IFS(AND(H131&gt;=0,H131&lt;=3333),"Grupo 1",AND(H131&gt;3333,H131&lt;=6666),"Grupo 2",AND(H131&gt;6666,H131&lt;=10000),"Grupo 3")</f>
        <v>Grupo 1</v>
      </c>
    </row>
    <row r="132" spans="1:17" x14ac:dyDescent="0.25">
      <c r="A132" t="s">
        <v>142</v>
      </c>
      <c r="B132" s="2">
        <v>45381.871527777781</v>
      </c>
      <c r="C132" t="s">
        <v>292</v>
      </c>
      <c r="D132" t="s">
        <v>214</v>
      </c>
      <c r="E132">
        <v>4</v>
      </c>
      <c r="F132">
        <v>746.6</v>
      </c>
      <c r="G132" t="s">
        <v>222</v>
      </c>
      <c r="H132">
        <v>2986.4</v>
      </c>
      <c r="I132">
        <v>2024</v>
      </c>
      <c r="J132">
        <v>3</v>
      </c>
      <c r="K132">
        <v>20</v>
      </c>
      <c r="L132" s="14">
        <v>746.6</v>
      </c>
      <c r="M132" s="4" t="str">
        <f t="shared" si="8"/>
        <v>sábado</v>
      </c>
      <c r="N132" s="4" t="str">
        <f t="shared" si="9"/>
        <v>marzo</v>
      </c>
      <c r="O132" s="4" t="str">
        <f t="shared" si="10"/>
        <v>SI</v>
      </c>
      <c r="P132" s="4" t="str">
        <f t="shared" si="11"/>
        <v>NO</v>
      </c>
      <c r="Q132" s="4" t="str" cm="1">
        <f t="array" ref="Q132">_xlfn.IFS(AND(H132&gt;=0,H132&lt;=3333),"Grupo 1",AND(H132&gt;3333,H132&lt;=6666),"Grupo 2",AND(H132&gt;6666,H132&lt;=10000),"Grupo 3")</f>
        <v>Grupo 1</v>
      </c>
    </row>
    <row r="133" spans="1:17" x14ac:dyDescent="0.25">
      <c r="A133" t="s">
        <v>143</v>
      </c>
      <c r="B133" s="2">
        <v>45450.97152777778</v>
      </c>
      <c r="C133" t="s">
        <v>293</v>
      </c>
      <c r="D133" t="s">
        <v>217</v>
      </c>
      <c r="E133">
        <v>1</v>
      </c>
      <c r="F133">
        <v>751.43</v>
      </c>
      <c r="G133" t="s">
        <v>220</v>
      </c>
      <c r="H133">
        <v>751.43</v>
      </c>
      <c r="I133">
        <v>2024</v>
      </c>
      <c r="J133">
        <v>6</v>
      </c>
      <c r="K133">
        <v>23</v>
      </c>
      <c r="L133" s="14">
        <v>751.43</v>
      </c>
      <c r="M133" s="4" t="str">
        <f t="shared" si="8"/>
        <v>viernes</v>
      </c>
      <c r="N133" s="4" t="str">
        <f t="shared" si="9"/>
        <v>junio</v>
      </c>
      <c r="O133" s="4" t="str">
        <f t="shared" si="10"/>
        <v>NO</v>
      </c>
      <c r="P133" s="4" t="str">
        <f t="shared" si="11"/>
        <v>NO</v>
      </c>
      <c r="Q133" s="4" t="str" cm="1">
        <f t="array" ref="Q133">_xlfn.IFS(AND(H133&gt;=0,H133&lt;=3333),"Grupo 1",AND(H133&gt;3333,H133&lt;=6666),"Grupo 2",AND(H133&gt;6666,H133&lt;=10000),"Grupo 3")</f>
        <v>Grupo 1</v>
      </c>
    </row>
    <row r="134" spans="1:17" x14ac:dyDescent="0.25">
      <c r="A134" t="s">
        <v>144</v>
      </c>
      <c r="B134" s="2">
        <v>45122.813888888893</v>
      </c>
      <c r="C134" t="s">
        <v>294</v>
      </c>
      <c r="D134" t="s">
        <v>218</v>
      </c>
      <c r="E134">
        <v>5</v>
      </c>
      <c r="F134">
        <v>1109.08</v>
      </c>
      <c r="G134" t="s">
        <v>221</v>
      </c>
      <c r="H134">
        <v>5545.4</v>
      </c>
      <c r="I134">
        <v>2023</v>
      </c>
      <c r="J134">
        <v>7</v>
      </c>
      <c r="K134">
        <v>19</v>
      </c>
      <c r="L134" s="14">
        <v>1109.08</v>
      </c>
      <c r="M134" s="4" t="str">
        <f t="shared" si="8"/>
        <v>sábado</v>
      </c>
      <c r="N134" s="4" t="str">
        <f t="shared" si="9"/>
        <v>julio</v>
      </c>
      <c r="O134" s="4" t="str">
        <f t="shared" si="10"/>
        <v>SI</v>
      </c>
      <c r="P134" s="4" t="str">
        <f t="shared" si="11"/>
        <v>SI</v>
      </c>
      <c r="Q134" s="4" t="str" cm="1">
        <f t="array" ref="Q134">_xlfn.IFS(AND(H134&gt;=0,H134&lt;=3333),"Grupo 1",AND(H134&gt;3333,H134&lt;=6666),"Grupo 2",AND(H134&gt;6666,H134&lt;=10000),"Grupo 3")</f>
        <v>Grupo 2</v>
      </c>
    </row>
    <row r="135" spans="1:17" x14ac:dyDescent="0.25">
      <c r="A135" t="s">
        <v>145</v>
      </c>
      <c r="B135" s="2">
        <v>45329.842361111107</v>
      </c>
      <c r="C135" t="s">
        <v>295</v>
      </c>
      <c r="D135" t="s">
        <v>212</v>
      </c>
      <c r="E135">
        <v>5</v>
      </c>
      <c r="F135">
        <v>642.74</v>
      </c>
      <c r="G135" t="s">
        <v>220</v>
      </c>
      <c r="H135">
        <v>3213.7</v>
      </c>
      <c r="I135">
        <v>2024</v>
      </c>
      <c r="J135">
        <v>2</v>
      </c>
      <c r="K135">
        <v>20</v>
      </c>
      <c r="L135" s="14">
        <v>642.74</v>
      </c>
      <c r="M135" s="4" t="str">
        <f t="shared" si="8"/>
        <v>miércoles</v>
      </c>
      <c r="N135" s="4" t="str">
        <f t="shared" si="9"/>
        <v>febrero</v>
      </c>
      <c r="O135" s="4" t="str">
        <f t="shared" si="10"/>
        <v>SI</v>
      </c>
      <c r="P135" s="4" t="str">
        <f t="shared" si="11"/>
        <v>NO</v>
      </c>
      <c r="Q135" s="4" t="str" cm="1">
        <f t="array" ref="Q135">_xlfn.IFS(AND(H135&gt;=0,H135&lt;=3333),"Grupo 1",AND(H135&gt;3333,H135&lt;=6666),"Grupo 2",AND(H135&gt;6666,H135&lt;=10000),"Grupo 3")</f>
        <v>Grupo 1</v>
      </c>
    </row>
    <row r="136" spans="1:17" x14ac:dyDescent="0.25">
      <c r="A136" t="s">
        <v>146</v>
      </c>
      <c r="B136" s="2">
        <v>45615.539583333331</v>
      </c>
      <c r="C136" t="s">
        <v>296</v>
      </c>
      <c r="D136" t="s">
        <v>219</v>
      </c>
      <c r="E136">
        <v>5</v>
      </c>
      <c r="F136">
        <v>245.73</v>
      </c>
      <c r="G136" t="s">
        <v>221</v>
      </c>
      <c r="H136">
        <v>1228.6500000000001</v>
      </c>
      <c r="I136">
        <v>2024</v>
      </c>
      <c r="J136">
        <v>11</v>
      </c>
      <c r="K136">
        <v>12</v>
      </c>
      <c r="L136" s="14">
        <v>245.73</v>
      </c>
      <c r="M136" s="4" t="str">
        <f t="shared" si="8"/>
        <v>martes</v>
      </c>
      <c r="N136" s="4" t="str">
        <f t="shared" si="9"/>
        <v>noviembre</v>
      </c>
      <c r="O136" s="4" t="str">
        <f t="shared" si="10"/>
        <v>NO</v>
      </c>
      <c r="P136" s="4" t="str">
        <f t="shared" si="11"/>
        <v>NO</v>
      </c>
      <c r="Q136" s="4" t="str" cm="1">
        <f t="array" ref="Q136">_xlfn.IFS(AND(H136&gt;=0,H136&lt;=3333),"Grupo 1",AND(H136&gt;3333,H136&lt;=6666),"Grupo 2",AND(H136&gt;6666,H136&lt;=10000),"Grupo 3")</f>
        <v>Grupo 1</v>
      </c>
    </row>
    <row r="137" spans="1:17" x14ac:dyDescent="0.25">
      <c r="A137" t="s">
        <v>147</v>
      </c>
      <c r="B137" s="2">
        <v>45222.775694444441</v>
      </c>
      <c r="C137" t="s">
        <v>297</v>
      </c>
      <c r="D137" t="s">
        <v>216</v>
      </c>
      <c r="E137">
        <v>3</v>
      </c>
      <c r="F137">
        <v>1782.13</v>
      </c>
      <c r="G137" t="s">
        <v>221</v>
      </c>
      <c r="H137">
        <v>5346.39</v>
      </c>
      <c r="I137">
        <v>2023</v>
      </c>
      <c r="J137">
        <v>10</v>
      </c>
      <c r="K137">
        <v>18</v>
      </c>
      <c r="L137" s="14">
        <v>1782.13</v>
      </c>
      <c r="M137" s="4" t="str">
        <f t="shared" si="8"/>
        <v>lunes</v>
      </c>
      <c r="N137" s="4" t="str">
        <f t="shared" si="9"/>
        <v>octubre</v>
      </c>
      <c r="O137" s="4" t="str">
        <f t="shared" si="10"/>
        <v>SI</v>
      </c>
      <c r="P137" s="4" t="str">
        <f t="shared" si="11"/>
        <v>SI</v>
      </c>
      <c r="Q137" s="4" t="str" cm="1">
        <f t="array" ref="Q137">_xlfn.IFS(AND(H137&gt;=0,H137&lt;=3333),"Grupo 1",AND(H137&gt;3333,H137&lt;=6666),"Grupo 2",AND(H137&gt;6666,H137&lt;=10000),"Grupo 3")</f>
        <v>Grupo 2</v>
      </c>
    </row>
    <row r="138" spans="1:17" x14ac:dyDescent="0.25">
      <c r="A138" t="s">
        <v>148</v>
      </c>
      <c r="B138" s="2">
        <v>45525.048611111109</v>
      </c>
      <c r="C138" t="s">
        <v>298</v>
      </c>
      <c r="D138" t="s">
        <v>215</v>
      </c>
      <c r="E138">
        <v>5</v>
      </c>
      <c r="F138">
        <v>1137.1400000000001</v>
      </c>
      <c r="G138" t="s">
        <v>220</v>
      </c>
      <c r="H138">
        <v>5685.7000000000007</v>
      </c>
      <c r="I138">
        <v>2024</v>
      </c>
      <c r="J138">
        <v>8</v>
      </c>
      <c r="K138">
        <v>1</v>
      </c>
      <c r="L138" s="14">
        <v>1137.1400000000001</v>
      </c>
      <c r="M138" s="4" t="str">
        <f t="shared" si="8"/>
        <v>miércoles</v>
      </c>
      <c r="N138" s="4" t="str">
        <f t="shared" si="9"/>
        <v>agosto</v>
      </c>
      <c r="O138" s="4" t="str">
        <f t="shared" si="10"/>
        <v>SI</v>
      </c>
      <c r="P138" s="4" t="str">
        <f t="shared" si="11"/>
        <v>SI</v>
      </c>
      <c r="Q138" s="4" t="str" cm="1">
        <f t="array" ref="Q138">_xlfn.IFS(AND(H138&gt;=0,H138&lt;=3333),"Grupo 1",AND(H138&gt;3333,H138&lt;=6666),"Grupo 2",AND(H138&gt;6666,H138&lt;=10000),"Grupo 3")</f>
        <v>Grupo 2</v>
      </c>
    </row>
    <row r="139" spans="1:17" x14ac:dyDescent="0.25">
      <c r="A139" t="s">
        <v>149</v>
      </c>
      <c r="B139" s="2">
        <v>45520.686111111107</v>
      </c>
      <c r="C139" t="s">
        <v>299</v>
      </c>
      <c r="D139" t="s">
        <v>213</v>
      </c>
      <c r="E139">
        <v>4</v>
      </c>
      <c r="F139">
        <v>966.72</v>
      </c>
      <c r="G139" t="s">
        <v>221</v>
      </c>
      <c r="H139">
        <v>3866.88</v>
      </c>
      <c r="I139">
        <v>2024</v>
      </c>
      <c r="J139">
        <v>8</v>
      </c>
      <c r="K139">
        <v>16</v>
      </c>
      <c r="L139" s="14">
        <v>966.72</v>
      </c>
      <c r="M139" s="4" t="str">
        <f t="shared" si="8"/>
        <v>viernes</v>
      </c>
      <c r="N139" s="4" t="str">
        <f t="shared" si="9"/>
        <v>agosto</v>
      </c>
      <c r="O139" s="4" t="str">
        <f t="shared" si="10"/>
        <v>SI</v>
      </c>
      <c r="P139" s="4" t="str">
        <f t="shared" si="11"/>
        <v>NO</v>
      </c>
      <c r="Q139" s="4" t="str" cm="1">
        <f t="array" ref="Q139">_xlfn.IFS(AND(H139&gt;=0,H139&lt;=3333),"Grupo 1",AND(H139&gt;3333,H139&lt;=6666),"Grupo 2",AND(H139&gt;6666,H139&lt;=10000),"Grupo 3")</f>
        <v>Grupo 2</v>
      </c>
    </row>
    <row r="140" spans="1:17" x14ac:dyDescent="0.25">
      <c r="A140" t="s">
        <v>150</v>
      </c>
      <c r="B140" s="2">
        <v>45484.331944444442</v>
      </c>
      <c r="C140" t="s">
        <v>300</v>
      </c>
      <c r="D140" t="s">
        <v>215</v>
      </c>
      <c r="E140">
        <v>5</v>
      </c>
      <c r="F140">
        <v>754.88</v>
      </c>
      <c r="G140" t="s">
        <v>220</v>
      </c>
      <c r="H140">
        <v>3774.4</v>
      </c>
      <c r="I140">
        <v>2024</v>
      </c>
      <c r="J140">
        <v>7</v>
      </c>
      <c r="K140">
        <v>7</v>
      </c>
      <c r="L140" s="14">
        <v>754.88</v>
      </c>
      <c r="M140" s="4" t="str">
        <f t="shared" si="8"/>
        <v>jueves</v>
      </c>
      <c r="N140" s="4" t="str">
        <f t="shared" si="9"/>
        <v>julio</v>
      </c>
      <c r="O140" s="4" t="str">
        <f t="shared" si="10"/>
        <v>SI</v>
      </c>
      <c r="P140" s="4" t="str">
        <f t="shared" si="11"/>
        <v>NO</v>
      </c>
      <c r="Q140" s="4" t="str" cm="1">
        <f t="array" ref="Q140">_xlfn.IFS(AND(H140&gt;=0,H140&lt;=3333),"Grupo 1",AND(H140&gt;3333,H140&lt;=6666),"Grupo 2",AND(H140&gt;6666,H140&lt;=10000),"Grupo 3")</f>
        <v>Grupo 2</v>
      </c>
    </row>
    <row r="141" spans="1:17" x14ac:dyDescent="0.25">
      <c r="A141" t="s">
        <v>151</v>
      </c>
      <c r="B141" s="2">
        <v>45842.433333333327</v>
      </c>
      <c r="C141" t="s">
        <v>301</v>
      </c>
      <c r="D141" t="s">
        <v>216</v>
      </c>
      <c r="E141">
        <v>4</v>
      </c>
      <c r="F141">
        <v>902.5</v>
      </c>
      <c r="G141" t="s">
        <v>221</v>
      </c>
      <c r="H141">
        <v>3610</v>
      </c>
      <c r="I141">
        <v>2025</v>
      </c>
      <c r="J141">
        <v>7</v>
      </c>
      <c r="K141">
        <v>10</v>
      </c>
      <c r="L141" s="14">
        <v>902.5</v>
      </c>
      <c r="M141" s="4" t="str">
        <f t="shared" si="8"/>
        <v>viernes</v>
      </c>
      <c r="N141" s="4" t="str">
        <f t="shared" si="9"/>
        <v>julio</v>
      </c>
      <c r="O141" s="4" t="str">
        <f t="shared" si="10"/>
        <v>SI</v>
      </c>
      <c r="P141" s="4" t="str">
        <f t="shared" si="11"/>
        <v>NO</v>
      </c>
      <c r="Q141" s="4" t="str" cm="1">
        <f t="array" ref="Q141">_xlfn.IFS(AND(H141&gt;=0,H141&lt;=3333),"Grupo 1",AND(H141&gt;3333,H141&lt;=6666),"Grupo 2",AND(H141&gt;6666,H141&lt;=10000),"Grupo 3")</f>
        <v>Grupo 2</v>
      </c>
    </row>
    <row r="142" spans="1:17" x14ac:dyDescent="0.25">
      <c r="A142" t="s">
        <v>152</v>
      </c>
      <c r="B142" s="2">
        <v>45697.842361111107</v>
      </c>
      <c r="C142" t="s">
        <v>302</v>
      </c>
      <c r="D142" t="s">
        <v>218</v>
      </c>
      <c r="E142">
        <v>2</v>
      </c>
      <c r="F142">
        <v>78.180000000000007</v>
      </c>
      <c r="G142" t="s">
        <v>221</v>
      </c>
      <c r="H142">
        <v>156.36000000000001</v>
      </c>
      <c r="I142">
        <v>2025</v>
      </c>
      <c r="J142">
        <v>2</v>
      </c>
      <c r="K142">
        <v>20</v>
      </c>
      <c r="L142" s="14">
        <v>78.180000000000007</v>
      </c>
      <c r="M142" s="4" t="str">
        <f t="shared" si="8"/>
        <v>domingo</v>
      </c>
      <c r="N142" s="4" t="str">
        <f t="shared" si="9"/>
        <v>febrero</v>
      </c>
      <c r="O142" s="4" t="str">
        <f t="shared" si="10"/>
        <v>NO</v>
      </c>
      <c r="P142" s="4" t="str">
        <f t="shared" si="11"/>
        <v>NO</v>
      </c>
      <c r="Q142" s="4" t="str" cm="1">
        <f t="array" ref="Q142">_xlfn.IFS(AND(H142&gt;=0,H142&lt;=3333),"Grupo 1",AND(H142&gt;3333,H142&lt;=6666),"Grupo 2",AND(H142&gt;6666,H142&lt;=10000),"Grupo 3")</f>
        <v>Grupo 1</v>
      </c>
    </row>
    <row r="143" spans="1:17" x14ac:dyDescent="0.25">
      <c r="A143" t="s">
        <v>153</v>
      </c>
      <c r="B143" s="2">
        <v>45927.180555555547</v>
      </c>
      <c r="C143" t="s">
        <v>303</v>
      </c>
      <c r="D143" t="s">
        <v>212</v>
      </c>
      <c r="E143">
        <v>2</v>
      </c>
      <c r="F143">
        <v>1615.41</v>
      </c>
      <c r="G143" t="s">
        <v>220</v>
      </c>
      <c r="H143">
        <v>3230.82</v>
      </c>
      <c r="I143">
        <v>2025</v>
      </c>
      <c r="J143">
        <v>9</v>
      </c>
      <c r="K143">
        <v>4</v>
      </c>
      <c r="L143" s="14">
        <v>1615.41</v>
      </c>
      <c r="M143" s="4" t="str">
        <f t="shared" si="8"/>
        <v>sábado</v>
      </c>
      <c r="N143" s="4" t="str">
        <f t="shared" si="9"/>
        <v>septiembre</v>
      </c>
      <c r="O143" s="4" t="str">
        <f t="shared" si="10"/>
        <v>SI</v>
      </c>
      <c r="P143" s="4" t="str">
        <f t="shared" si="11"/>
        <v>SI</v>
      </c>
      <c r="Q143" s="4" t="str" cm="1">
        <f t="array" ref="Q143">_xlfn.IFS(AND(H143&gt;=0,H143&lt;=3333),"Grupo 1",AND(H143&gt;3333,H143&lt;=6666),"Grupo 2",AND(H143&gt;6666,H143&lt;=10000),"Grupo 3")</f>
        <v>Grupo 1</v>
      </c>
    </row>
    <row r="144" spans="1:17" x14ac:dyDescent="0.25">
      <c r="A144" t="s">
        <v>154</v>
      </c>
      <c r="B144" s="2">
        <v>45511.748611111107</v>
      </c>
      <c r="C144" t="s">
        <v>304</v>
      </c>
      <c r="D144" t="s">
        <v>212</v>
      </c>
      <c r="E144">
        <v>5</v>
      </c>
      <c r="F144">
        <v>149.54</v>
      </c>
      <c r="G144" t="s">
        <v>220</v>
      </c>
      <c r="H144">
        <v>747.69999999999993</v>
      </c>
      <c r="I144">
        <v>2024</v>
      </c>
      <c r="J144">
        <v>8</v>
      </c>
      <c r="K144">
        <v>17</v>
      </c>
      <c r="L144" s="14">
        <v>149.54</v>
      </c>
      <c r="M144" s="4" t="str">
        <f t="shared" si="8"/>
        <v>miércoles</v>
      </c>
      <c r="N144" s="4" t="str">
        <f t="shared" si="9"/>
        <v>agosto</v>
      </c>
      <c r="O144" s="4" t="str">
        <f t="shared" si="10"/>
        <v>NO</v>
      </c>
      <c r="P144" s="4" t="str">
        <f t="shared" si="11"/>
        <v>NO</v>
      </c>
      <c r="Q144" s="4" t="str" cm="1">
        <f t="array" ref="Q144">_xlfn.IFS(AND(H144&gt;=0,H144&lt;=3333),"Grupo 1",AND(H144&gt;3333,H144&lt;=6666),"Grupo 2",AND(H144&gt;6666,H144&lt;=10000),"Grupo 3")</f>
        <v>Grupo 1</v>
      </c>
    </row>
    <row r="145" spans="1:17" x14ac:dyDescent="0.25">
      <c r="A145" t="s">
        <v>155</v>
      </c>
      <c r="B145" s="2">
        <v>45867.710416666669</v>
      </c>
      <c r="C145" t="s">
        <v>305</v>
      </c>
      <c r="D145" t="s">
        <v>213</v>
      </c>
      <c r="E145">
        <v>5</v>
      </c>
      <c r="F145">
        <v>955.39</v>
      </c>
      <c r="G145" t="s">
        <v>221</v>
      </c>
      <c r="H145">
        <v>4776.95</v>
      </c>
      <c r="I145">
        <v>2025</v>
      </c>
      <c r="J145">
        <v>7</v>
      </c>
      <c r="K145">
        <v>17</v>
      </c>
      <c r="L145" s="14">
        <v>955.39</v>
      </c>
      <c r="M145" s="4" t="str">
        <f t="shared" si="8"/>
        <v>martes</v>
      </c>
      <c r="N145" s="4" t="str">
        <f t="shared" si="9"/>
        <v>julio</v>
      </c>
      <c r="O145" s="4" t="str">
        <f t="shared" si="10"/>
        <v>SI</v>
      </c>
      <c r="P145" s="4" t="str">
        <f t="shared" si="11"/>
        <v>NO</v>
      </c>
      <c r="Q145" s="4" t="str" cm="1">
        <f t="array" ref="Q145">_xlfn.IFS(AND(H145&gt;=0,H145&lt;=3333),"Grupo 1",AND(H145&gt;3333,H145&lt;=6666),"Grupo 2",AND(H145&gt;6666,H145&lt;=10000),"Grupo 3")</f>
        <v>Grupo 2</v>
      </c>
    </row>
    <row r="146" spans="1:17" x14ac:dyDescent="0.25">
      <c r="A146" t="s">
        <v>156</v>
      </c>
      <c r="B146" s="2">
        <v>45339.555555555547</v>
      </c>
      <c r="C146" t="s">
        <v>306</v>
      </c>
      <c r="D146" t="s">
        <v>214</v>
      </c>
      <c r="E146">
        <v>2</v>
      </c>
      <c r="F146">
        <v>1963.63</v>
      </c>
      <c r="G146" t="s">
        <v>222</v>
      </c>
      <c r="H146">
        <v>3927.26</v>
      </c>
      <c r="I146">
        <v>2024</v>
      </c>
      <c r="J146">
        <v>2</v>
      </c>
      <c r="K146">
        <v>13</v>
      </c>
      <c r="L146" s="14">
        <v>1963.63</v>
      </c>
      <c r="M146" s="4" t="str">
        <f t="shared" si="8"/>
        <v>sábado</v>
      </c>
      <c r="N146" s="4" t="str">
        <f t="shared" si="9"/>
        <v>febrero</v>
      </c>
      <c r="O146" s="4" t="str">
        <f t="shared" si="10"/>
        <v>SI</v>
      </c>
      <c r="P146" s="4" t="str">
        <f t="shared" si="11"/>
        <v>SI</v>
      </c>
      <c r="Q146" s="4" t="str" cm="1">
        <f t="array" ref="Q146">_xlfn.IFS(AND(H146&gt;=0,H146&lt;=3333),"Grupo 1",AND(H146&gt;3333,H146&lt;=6666),"Grupo 2",AND(H146&gt;6666,H146&lt;=10000),"Grupo 3")</f>
        <v>Grupo 2</v>
      </c>
    </row>
    <row r="147" spans="1:17" x14ac:dyDescent="0.25">
      <c r="A147" t="s">
        <v>157</v>
      </c>
      <c r="B147" s="2">
        <v>45538.998611111107</v>
      </c>
      <c r="C147" t="s">
        <v>307</v>
      </c>
      <c r="D147" t="s">
        <v>216</v>
      </c>
      <c r="E147">
        <v>5</v>
      </c>
      <c r="F147">
        <v>1440.14</v>
      </c>
      <c r="G147" t="s">
        <v>221</v>
      </c>
      <c r="H147">
        <v>7200.7000000000007</v>
      </c>
      <c r="I147">
        <v>2024</v>
      </c>
      <c r="J147">
        <v>9</v>
      </c>
      <c r="K147">
        <v>23</v>
      </c>
      <c r="L147" s="14">
        <v>1440.14</v>
      </c>
      <c r="M147" s="4" t="str">
        <f t="shared" si="8"/>
        <v>martes</v>
      </c>
      <c r="N147" s="4" t="str">
        <f t="shared" si="9"/>
        <v>septiembre</v>
      </c>
      <c r="O147" s="4" t="str">
        <f t="shared" si="10"/>
        <v>SI</v>
      </c>
      <c r="P147" s="4" t="str">
        <f t="shared" si="11"/>
        <v>SI</v>
      </c>
      <c r="Q147" s="4" t="str" cm="1">
        <f t="array" ref="Q147">_xlfn.IFS(AND(H147&gt;=0,H147&lt;=3333),"Grupo 1",AND(H147&gt;3333,H147&lt;=6666),"Grupo 2",AND(H147&gt;6666,H147&lt;=10000),"Grupo 3")</f>
        <v>Grupo 3</v>
      </c>
    </row>
    <row r="148" spans="1:17" x14ac:dyDescent="0.25">
      <c r="A148" t="s">
        <v>158</v>
      </c>
      <c r="B148" s="2">
        <v>45105.837500000001</v>
      </c>
      <c r="C148" t="s">
        <v>308</v>
      </c>
      <c r="D148" t="s">
        <v>212</v>
      </c>
      <c r="E148">
        <v>4</v>
      </c>
      <c r="F148">
        <v>283.7</v>
      </c>
      <c r="G148" t="s">
        <v>220</v>
      </c>
      <c r="H148">
        <v>1134.8</v>
      </c>
      <c r="I148">
        <v>2023</v>
      </c>
      <c r="J148">
        <v>6</v>
      </c>
      <c r="K148">
        <v>20</v>
      </c>
      <c r="L148" s="14">
        <v>283.7</v>
      </c>
      <c r="M148" s="4" t="str">
        <f t="shared" si="8"/>
        <v>miércoles</v>
      </c>
      <c r="N148" s="4" t="str">
        <f t="shared" si="9"/>
        <v>junio</v>
      </c>
      <c r="O148" s="4" t="str">
        <f t="shared" si="10"/>
        <v>NO</v>
      </c>
      <c r="P148" s="4" t="str">
        <f t="shared" si="11"/>
        <v>NO</v>
      </c>
      <c r="Q148" s="4" t="str" cm="1">
        <f t="array" ref="Q148">_xlfn.IFS(AND(H148&gt;=0,H148&lt;=3333),"Grupo 1",AND(H148&gt;3333,H148&lt;=6666),"Grupo 2",AND(H148&gt;6666,H148&lt;=10000),"Grupo 3")</f>
        <v>Grupo 1</v>
      </c>
    </row>
    <row r="149" spans="1:17" x14ac:dyDescent="0.25">
      <c r="A149" t="s">
        <v>159</v>
      </c>
      <c r="B149" s="2">
        <v>45470.283333333333</v>
      </c>
      <c r="C149" t="s">
        <v>309</v>
      </c>
      <c r="D149" t="s">
        <v>215</v>
      </c>
      <c r="E149">
        <v>3</v>
      </c>
      <c r="F149">
        <v>687.51</v>
      </c>
      <c r="G149" t="s">
        <v>220</v>
      </c>
      <c r="H149">
        <v>2062.5300000000002</v>
      </c>
      <c r="I149">
        <v>2024</v>
      </c>
      <c r="J149">
        <v>6</v>
      </c>
      <c r="K149">
        <v>6</v>
      </c>
      <c r="L149" s="14">
        <v>687.50999999999988</v>
      </c>
      <c r="M149" s="4" t="str">
        <f t="shared" si="8"/>
        <v>jueves</v>
      </c>
      <c r="N149" s="4" t="str">
        <f t="shared" si="9"/>
        <v>junio</v>
      </c>
      <c r="O149" s="4" t="str">
        <f t="shared" si="10"/>
        <v>NO</v>
      </c>
      <c r="P149" s="4" t="str">
        <f t="shared" si="11"/>
        <v>NO</v>
      </c>
      <c r="Q149" s="4" t="str" cm="1">
        <f t="array" ref="Q149">_xlfn.IFS(AND(H149&gt;=0,H149&lt;=3333),"Grupo 1",AND(H149&gt;3333,H149&lt;=6666),"Grupo 2",AND(H149&gt;6666,H149&lt;=10000),"Grupo 3")</f>
        <v>Grupo 1</v>
      </c>
    </row>
    <row r="150" spans="1:17" x14ac:dyDescent="0.25">
      <c r="A150" t="s">
        <v>160</v>
      </c>
      <c r="B150" s="2">
        <v>45122.511805555558</v>
      </c>
      <c r="C150" t="s">
        <v>310</v>
      </c>
      <c r="D150" t="s">
        <v>216</v>
      </c>
      <c r="E150">
        <v>2</v>
      </c>
      <c r="F150">
        <v>282</v>
      </c>
      <c r="G150" t="s">
        <v>221</v>
      </c>
      <c r="H150">
        <v>564</v>
      </c>
      <c r="I150">
        <v>2023</v>
      </c>
      <c r="J150">
        <v>7</v>
      </c>
      <c r="K150">
        <v>12</v>
      </c>
      <c r="L150" s="14">
        <v>282</v>
      </c>
      <c r="M150" s="4" t="str">
        <f t="shared" si="8"/>
        <v>sábado</v>
      </c>
      <c r="N150" s="4" t="str">
        <f t="shared" si="9"/>
        <v>julio</v>
      </c>
      <c r="O150" s="4" t="str">
        <f t="shared" si="10"/>
        <v>NO</v>
      </c>
      <c r="P150" s="4" t="str">
        <f t="shared" si="11"/>
        <v>NO</v>
      </c>
      <c r="Q150" s="4" t="str" cm="1">
        <f t="array" ref="Q150">_xlfn.IFS(AND(H150&gt;=0,H150&lt;=3333),"Grupo 1",AND(H150&gt;3333,H150&lt;=6666),"Grupo 2",AND(H150&gt;6666,H150&lt;=10000),"Grupo 3")</f>
        <v>Grupo 1</v>
      </c>
    </row>
    <row r="151" spans="1:17" x14ac:dyDescent="0.25">
      <c r="A151" t="s">
        <v>161</v>
      </c>
      <c r="B151" s="2">
        <v>45878.351388888892</v>
      </c>
      <c r="C151" t="s">
        <v>311</v>
      </c>
      <c r="D151" t="s">
        <v>215</v>
      </c>
      <c r="E151">
        <v>4</v>
      </c>
      <c r="F151">
        <v>1471.38</v>
      </c>
      <c r="G151" t="s">
        <v>220</v>
      </c>
      <c r="H151">
        <v>5885.52</v>
      </c>
      <c r="I151">
        <v>2025</v>
      </c>
      <c r="J151">
        <v>8</v>
      </c>
      <c r="K151">
        <v>8</v>
      </c>
      <c r="L151" s="14">
        <v>1471.38</v>
      </c>
      <c r="M151" s="4" t="str">
        <f t="shared" si="8"/>
        <v>sábado</v>
      </c>
      <c r="N151" s="4" t="str">
        <f t="shared" si="9"/>
        <v>agosto</v>
      </c>
      <c r="O151" s="4" t="str">
        <f t="shared" si="10"/>
        <v>SI</v>
      </c>
      <c r="P151" s="4" t="str">
        <f t="shared" si="11"/>
        <v>SI</v>
      </c>
      <c r="Q151" s="4" t="str" cm="1">
        <f t="array" ref="Q151">_xlfn.IFS(AND(H151&gt;=0,H151&lt;=3333),"Grupo 1",AND(H151&gt;3333,H151&lt;=6666),"Grupo 2",AND(H151&gt;6666,H151&lt;=10000),"Grupo 3")</f>
        <v>Grupo 2</v>
      </c>
    </row>
    <row r="152" spans="1:17" x14ac:dyDescent="0.25">
      <c r="A152" t="s">
        <v>162</v>
      </c>
      <c r="B152" s="2">
        <v>45894.257638888892</v>
      </c>
      <c r="C152" t="s">
        <v>312</v>
      </c>
      <c r="D152" t="s">
        <v>216</v>
      </c>
      <c r="E152">
        <v>1</v>
      </c>
      <c r="F152">
        <v>1463.91</v>
      </c>
      <c r="G152" t="s">
        <v>221</v>
      </c>
      <c r="H152">
        <v>1463.91</v>
      </c>
      <c r="I152">
        <v>2025</v>
      </c>
      <c r="J152">
        <v>8</v>
      </c>
      <c r="K152">
        <v>6</v>
      </c>
      <c r="L152" s="14">
        <v>1463.91</v>
      </c>
      <c r="M152" s="4" t="str">
        <f t="shared" si="8"/>
        <v>lunes</v>
      </c>
      <c r="N152" s="4" t="str">
        <f t="shared" si="9"/>
        <v>agosto</v>
      </c>
      <c r="O152" s="4" t="str">
        <f t="shared" si="10"/>
        <v>NO</v>
      </c>
      <c r="P152" s="4" t="str">
        <f t="shared" si="11"/>
        <v>SI</v>
      </c>
      <c r="Q152" s="4" t="str" cm="1">
        <f t="array" ref="Q152">_xlfn.IFS(AND(H152&gt;=0,H152&lt;=3333),"Grupo 1",AND(H152&gt;3333,H152&lt;=6666),"Grupo 2",AND(H152&gt;6666,H152&lt;=10000),"Grupo 3")</f>
        <v>Grupo 1</v>
      </c>
    </row>
    <row r="153" spans="1:17" x14ac:dyDescent="0.25">
      <c r="A153" t="s">
        <v>163</v>
      </c>
      <c r="B153" s="2">
        <v>45321.105555555558</v>
      </c>
      <c r="C153" t="s">
        <v>313</v>
      </c>
      <c r="D153" t="s">
        <v>213</v>
      </c>
      <c r="E153">
        <v>4</v>
      </c>
      <c r="F153">
        <v>1585.49</v>
      </c>
      <c r="G153" t="s">
        <v>221</v>
      </c>
      <c r="H153">
        <v>6341.96</v>
      </c>
      <c r="I153">
        <v>2024</v>
      </c>
      <c r="J153">
        <v>1</v>
      </c>
      <c r="K153">
        <v>2</v>
      </c>
      <c r="L153" s="14">
        <v>1585.49</v>
      </c>
      <c r="M153" s="4" t="str">
        <f t="shared" si="8"/>
        <v>martes</v>
      </c>
      <c r="N153" s="4" t="str">
        <f t="shared" si="9"/>
        <v>enero</v>
      </c>
      <c r="O153" s="4" t="str">
        <f t="shared" si="10"/>
        <v>SI</v>
      </c>
      <c r="P153" s="4" t="str">
        <f t="shared" si="11"/>
        <v>SI</v>
      </c>
      <c r="Q153" s="4" t="str" cm="1">
        <f t="array" ref="Q153">_xlfn.IFS(AND(H153&gt;=0,H153&lt;=3333),"Grupo 1",AND(H153&gt;3333,H153&lt;=6666),"Grupo 2",AND(H153&gt;6666,H153&lt;=10000),"Grupo 3")</f>
        <v>Grupo 2</v>
      </c>
    </row>
    <row r="154" spans="1:17" x14ac:dyDescent="0.25">
      <c r="A154" t="s">
        <v>164</v>
      </c>
      <c r="B154" s="2">
        <v>45571.035416666673</v>
      </c>
      <c r="C154" t="s">
        <v>314</v>
      </c>
      <c r="D154" t="s">
        <v>213</v>
      </c>
      <c r="E154">
        <v>1</v>
      </c>
      <c r="F154">
        <v>662.17</v>
      </c>
      <c r="G154" t="s">
        <v>221</v>
      </c>
      <c r="H154">
        <v>662.17</v>
      </c>
      <c r="I154">
        <v>2024</v>
      </c>
      <c r="J154">
        <v>10</v>
      </c>
      <c r="K154">
        <v>0</v>
      </c>
      <c r="L154" s="14">
        <v>662.17</v>
      </c>
      <c r="M154" s="4" t="str">
        <f t="shared" si="8"/>
        <v>domingo</v>
      </c>
      <c r="N154" s="4" t="str">
        <f t="shared" si="9"/>
        <v>octubre</v>
      </c>
      <c r="O154" s="4" t="str">
        <f t="shared" si="10"/>
        <v>NO</v>
      </c>
      <c r="P154" s="4" t="str">
        <f t="shared" si="11"/>
        <v>NO</v>
      </c>
      <c r="Q154" s="4" t="str" cm="1">
        <f t="array" ref="Q154">_xlfn.IFS(AND(H154&gt;=0,H154&lt;=3333),"Grupo 1",AND(H154&gt;3333,H154&lt;=6666),"Grupo 2",AND(H154&gt;6666,H154&lt;=10000),"Grupo 3")</f>
        <v>Grupo 1</v>
      </c>
    </row>
    <row r="155" spans="1:17" x14ac:dyDescent="0.25">
      <c r="A155" t="s">
        <v>165</v>
      </c>
      <c r="B155" s="2">
        <v>45442.757638888892</v>
      </c>
      <c r="C155" t="s">
        <v>315</v>
      </c>
      <c r="D155" t="s">
        <v>216</v>
      </c>
      <c r="E155">
        <v>2</v>
      </c>
      <c r="F155">
        <v>136.68</v>
      </c>
      <c r="G155" t="s">
        <v>221</v>
      </c>
      <c r="H155">
        <v>273.36</v>
      </c>
      <c r="I155">
        <v>2024</v>
      </c>
      <c r="J155">
        <v>5</v>
      </c>
      <c r="K155">
        <v>18</v>
      </c>
      <c r="L155" s="14">
        <v>136.68</v>
      </c>
      <c r="M155" s="4" t="str">
        <f t="shared" si="8"/>
        <v>jueves</v>
      </c>
      <c r="N155" s="4" t="str">
        <f t="shared" si="9"/>
        <v>mayo</v>
      </c>
      <c r="O155" s="4" t="str">
        <f t="shared" si="10"/>
        <v>NO</v>
      </c>
      <c r="P155" s="4" t="str">
        <f t="shared" si="11"/>
        <v>NO</v>
      </c>
      <c r="Q155" s="4" t="str" cm="1">
        <f t="array" ref="Q155">_xlfn.IFS(AND(H155&gt;=0,H155&lt;=3333),"Grupo 1",AND(H155&gt;3333,H155&lt;=6666),"Grupo 2",AND(H155&gt;6666,H155&lt;=10000),"Grupo 3")</f>
        <v>Grupo 1</v>
      </c>
    </row>
    <row r="156" spans="1:17" x14ac:dyDescent="0.25">
      <c r="A156" t="s">
        <v>166</v>
      </c>
      <c r="B156" s="2">
        <v>45889.054166666669</v>
      </c>
      <c r="C156" t="s">
        <v>316</v>
      </c>
      <c r="D156" t="s">
        <v>215</v>
      </c>
      <c r="E156">
        <v>4</v>
      </c>
      <c r="F156">
        <v>118.64</v>
      </c>
      <c r="G156" t="s">
        <v>220</v>
      </c>
      <c r="H156">
        <v>474.56</v>
      </c>
      <c r="I156">
        <v>2025</v>
      </c>
      <c r="J156">
        <v>8</v>
      </c>
      <c r="K156">
        <v>1</v>
      </c>
      <c r="L156" s="14">
        <v>118.64</v>
      </c>
      <c r="M156" s="4" t="str">
        <f t="shared" si="8"/>
        <v>miércoles</v>
      </c>
      <c r="N156" s="4" t="str">
        <f t="shared" si="9"/>
        <v>agosto</v>
      </c>
      <c r="O156" s="4" t="str">
        <f t="shared" si="10"/>
        <v>NO</v>
      </c>
      <c r="P156" s="4" t="str">
        <f t="shared" si="11"/>
        <v>NO</v>
      </c>
      <c r="Q156" s="4" t="str" cm="1">
        <f t="array" ref="Q156">_xlfn.IFS(AND(H156&gt;=0,H156&lt;=3333),"Grupo 1",AND(H156&gt;3333,H156&lt;=6666),"Grupo 2",AND(H156&gt;6666,H156&lt;=10000),"Grupo 3")</f>
        <v>Grupo 1</v>
      </c>
    </row>
    <row r="157" spans="1:17" x14ac:dyDescent="0.25">
      <c r="A157" t="s">
        <v>167</v>
      </c>
      <c r="B157" s="2">
        <v>45468.727083333331</v>
      </c>
      <c r="C157" t="s">
        <v>317</v>
      </c>
      <c r="D157" t="s">
        <v>217</v>
      </c>
      <c r="E157">
        <v>3</v>
      </c>
      <c r="F157">
        <v>933.49</v>
      </c>
      <c r="G157" t="s">
        <v>220</v>
      </c>
      <c r="H157">
        <v>2800.47</v>
      </c>
      <c r="I157">
        <v>2024</v>
      </c>
      <c r="J157">
        <v>6</v>
      </c>
      <c r="K157">
        <v>17</v>
      </c>
      <c r="L157" s="14">
        <v>933.49000000000012</v>
      </c>
      <c r="M157" s="4" t="str">
        <f t="shared" si="8"/>
        <v>martes</v>
      </c>
      <c r="N157" s="4" t="str">
        <f t="shared" si="9"/>
        <v>junio</v>
      </c>
      <c r="O157" s="4" t="str">
        <f t="shared" si="10"/>
        <v>NO</v>
      </c>
      <c r="P157" s="4" t="str">
        <f t="shared" si="11"/>
        <v>NO</v>
      </c>
      <c r="Q157" s="4" t="str" cm="1">
        <f t="array" ref="Q157">_xlfn.IFS(AND(H157&gt;=0,H157&lt;=3333),"Grupo 1",AND(H157&gt;3333,H157&lt;=6666),"Grupo 2",AND(H157&gt;6666,H157&lt;=10000),"Grupo 3")</f>
        <v>Grupo 1</v>
      </c>
    </row>
    <row r="158" spans="1:17" x14ac:dyDescent="0.25">
      <c r="A158" t="s">
        <v>168</v>
      </c>
      <c r="B158" s="2">
        <v>45202.955555555563</v>
      </c>
      <c r="C158" t="s">
        <v>318</v>
      </c>
      <c r="D158" t="s">
        <v>219</v>
      </c>
      <c r="E158">
        <v>2</v>
      </c>
      <c r="F158">
        <v>1035.0899999999999</v>
      </c>
      <c r="G158" t="s">
        <v>221</v>
      </c>
      <c r="H158">
        <v>2070.1799999999998</v>
      </c>
      <c r="I158">
        <v>2023</v>
      </c>
      <c r="J158">
        <v>10</v>
      </c>
      <c r="K158">
        <v>22</v>
      </c>
      <c r="L158" s="14">
        <v>1035.0899999999999</v>
      </c>
      <c r="M158" s="4" t="str">
        <f t="shared" si="8"/>
        <v>martes</v>
      </c>
      <c r="N158" s="4" t="str">
        <f t="shared" si="9"/>
        <v>octubre</v>
      </c>
      <c r="O158" s="4" t="str">
        <f t="shared" si="10"/>
        <v>NO</v>
      </c>
      <c r="P158" s="4" t="str">
        <f t="shared" si="11"/>
        <v>SI</v>
      </c>
      <c r="Q158" s="4" t="str" cm="1">
        <f t="array" ref="Q158">_xlfn.IFS(AND(H158&gt;=0,H158&lt;=3333),"Grupo 1",AND(H158&gt;3333,H158&lt;=6666),"Grupo 2",AND(H158&gt;6666,H158&lt;=10000),"Grupo 3")</f>
        <v>Grupo 1</v>
      </c>
    </row>
    <row r="159" spans="1:17" x14ac:dyDescent="0.25">
      <c r="A159" t="s">
        <v>169</v>
      </c>
      <c r="B159" s="2">
        <v>45323.202777777777</v>
      </c>
      <c r="C159" t="s">
        <v>319</v>
      </c>
      <c r="D159" t="s">
        <v>215</v>
      </c>
      <c r="E159">
        <v>2</v>
      </c>
      <c r="F159">
        <v>1325.01</v>
      </c>
      <c r="G159" t="s">
        <v>220</v>
      </c>
      <c r="H159">
        <v>2650.02</v>
      </c>
      <c r="I159">
        <v>2024</v>
      </c>
      <c r="J159">
        <v>2</v>
      </c>
      <c r="K159">
        <v>4</v>
      </c>
      <c r="L159" s="14">
        <v>1325.01</v>
      </c>
      <c r="M159" s="4" t="str">
        <f t="shared" si="8"/>
        <v>jueves</v>
      </c>
      <c r="N159" s="4" t="str">
        <f t="shared" si="9"/>
        <v>febrero</v>
      </c>
      <c r="O159" s="4" t="str">
        <f t="shared" si="10"/>
        <v>NO</v>
      </c>
      <c r="P159" s="4" t="str">
        <f t="shared" si="11"/>
        <v>SI</v>
      </c>
      <c r="Q159" s="4" t="str" cm="1">
        <f t="array" ref="Q159">_xlfn.IFS(AND(H159&gt;=0,H159&lt;=3333),"Grupo 1",AND(H159&gt;3333,H159&lt;=6666),"Grupo 2",AND(H159&gt;6666,H159&lt;=10000),"Grupo 3")</f>
        <v>Grupo 1</v>
      </c>
    </row>
    <row r="160" spans="1:17" x14ac:dyDescent="0.25">
      <c r="A160" t="s">
        <v>170</v>
      </c>
      <c r="B160" s="2">
        <v>45288.395833333343</v>
      </c>
      <c r="C160" t="s">
        <v>320</v>
      </c>
      <c r="D160" t="s">
        <v>213</v>
      </c>
      <c r="E160">
        <v>4</v>
      </c>
      <c r="F160">
        <v>710.84</v>
      </c>
      <c r="G160" t="s">
        <v>221</v>
      </c>
      <c r="H160">
        <v>2843.36</v>
      </c>
      <c r="I160">
        <v>2023</v>
      </c>
      <c r="J160">
        <v>12</v>
      </c>
      <c r="K160">
        <v>9</v>
      </c>
      <c r="L160" s="14">
        <v>710.84</v>
      </c>
      <c r="M160" s="4" t="str">
        <f t="shared" si="8"/>
        <v>jueves</v>
      </c>
      <c r="N160" s="4" t="str">
        <f t="shared" si="9"/>
        <v>diciembre</v>
      </c>
      <c r="O160" s="4" t="str">
        <f t="shared" si="10"/>
        <v>NO</v>
      </c>
      <c r="P160" s="4" t="str">
        <f t="shared" si="11"/>
        <v>NO</v>
      </c>
      <c r="Q160" s="4" t="str" cm="1">
        <f t="array" ref="Q160">_xlfn.IFS(AND(H160&gt;=0,H160&lt;=3333),"Grupo 1",AND(H160&gt;3333,H160&lt;=6666),"Grupo 2",AND(H160&gt;6666,H160&lt;=10000),"Grupo 3")</f>
        <v>Grupo 1</v>
      </c>
    </row>
    <row r="161" spans="1:17" x14ac:dyDescent="0.25">
      <c r="A161" t="s">
        <v>171</v>
      </c>
      <c r="B161" s="2">
        <v>45900.337500000001</v>
      </c>
      <c r="C161" t="s">
        <v>321</v>
      </c>
      <c r="D161" t="s">
        <v>214</v>
      </c>
      <c r="E161">
        <v>3</v>
      </c>
      <c r="F161">
        <v>97.27</v>
      </c>
      <c r="G161" t="s">
        <v>222</v>
      </c>
      <c r="H161">
        <v>291.81</v>
      </c>
      <c r="I161">
        <v>2025</v>
      </c>
      <c r="J161">
        <v>8</v>
      </c>
      <c r="K161">
        <v>8</v>
      </c>
      <c r="L161" s="14">
        <v>97.27</v>
      </c>
      <c r="M161" s="4" t="str">
        <f t="shared" si="8"/>
        <v>domingo</v>
      </c>
      <c r="N161" s="4" t="str">
        <f t="shared" si="9"/>
        <v>agosto</v>
      </c>
      <c r="O161" s="4" t="str">
        <f t="shared" si="10"/>
        <v>NO</v>
      </c>
      <c r="P161" s="4" t="str">
        <f t="shared" si="11"/>
        <v>NO</v>
      </c>
      <c r="Q161" s="4" t="str" cm="1">
        <f t="array" ref="Q161">_xlfn.IFS(AND(H161&gt;=0,H161&lt;=3333),"Grupo 1",AND(H161&gt;3333,H161&lt;=6666),"Grupo 2",AND(H161&gt;6666,H161&lt;=10000),"Grupo 3")</f>
        <v>Grupo 1</v>
      </c>
    </row>
    <row r="162" spans="1:17" x14ac:dyDescent="0.25">
      <c r="A162" t="s">
        <v>172</v>
      </c>
      <c r="B162" s="2">
        <v>45576.732638888891</v>
      </c>
      <c r="C162" t="s">
        <v>322</v>
      </c>
      <c r="D162" t="s">
        <v>215</v>
      </c>
      <c r="E162">
        <v>5</v>
      </c>
      <c r="F162">
        <v>498.36</v>
      </c>
      <c r="G162" t="s">
        <v>220</v>
      </c>
      <c r="H162">
        <v>2491.8000000000002</v>
      </c>
      <c r="I162">
        <v>2024</v>
      </c>
      <c r="J162">
        <v>10</v>
      </c>
      <c r="K162">
        <v>17</v>
      </c>
      <c r="L162" s="14">
        <v>498.36</v>
      </c>
      <c r="M162" s="4" t="str">
        <f t="shared" si="8"/>
        <v>viernes</v>
      </c>
      <c r="N162" s="4" t="str">
        <f t="shared" si="9"/>
        <v>octubre</v>
      </c>
      <c r="O162" s="4" t="str">
        <f t="shared" si="10"/>
        <v>NO</v>
      </c>
      <c r="P162" s="4" t="str">
        <f t="shared" si="11"/>
        <v>NO</v>
      </c>
      <c r="Q162" s="4" t="str" cm="1">
        <f t="array" ref="Q162">_xlfn.IFS(AND(H162&gt;=0,H162&lt;=3333),"Grupo 1",AND(H162&gt;3333,H162&lt;=6666),"Grupo 2",AND(H162&gt;6666,H162&lt;=10000),"Grupo 3")</f>
        <v>Grupo 1</v>
      </c>
    </row>
    <row r="163" spans="1:17" x14ac:dyDescent="0.25">
      <c r="A163" t="s">
        <v>173</v>
      </c>
      <c r="B163" s="2">
        <v>45392.97152777778</v>
      </c>
      <c r="C163" t="s">
        <v>323</v>
      </c>
      <c r="D163" t="s">
        <v>214</v>
      </c>
      <c r="E163">
        <v>5</v>
      </c>
      <c r="F163">
        <v>980.89</v>
      </c>
      <c r="G163" t="s">
        <v>222</v>
      </c>
      <c r="H163">
        <v>4904.45</v>
      </c>
      <c r="I163">
        <v>2024</v>
      </c>
      <c r="J163">
        <v>4</v>
      </c>
      <c r="K163">
        <v>23</v>
      </c>
      <c r="L163" s="14">
        <v>980.89</v>
      </c>
      <c r="M163" s="4" t="str">
        <f t="shared" si="8"/>
        <v>miércoles</v>
      </c>
      <c r="N163" s="4" t="str">
        <f t="shared" si="9"/>
        <v>abril</v>
      </c>
      <c r="O163" s="4" t="str">
        <f t="shared" si="10"/>
        <v>SI</v>
      </c>
      <c r="P163" s="4" t="str">
        <f t="shared" si="11"/>
        <v>NO</v>
      </c>
      <c r="Q163" s="4" t="str" cm="1">
        <f t="array" ref="Q163">_xlfn.IFS(AND(H163&gt;=0,H163&lt;=3333),"Grupo 1",AND(H163&gt;3333,H163&lt;=6666),"Grupo 2",AND(H163&gt;6666,H163&lt;=10000),"Grupo 3")</f>
        <v>Grupo 2</v>
      </c>
    </row>
    <row r="164" spans="1:17" x14ac:dyDescent="0.25">
      <c r="A164" t="s">
        <v>174</v>
      </c>
      <c r="B164" s="2">
        <v>45584.049305555563</v>
      </c>
      <c r="C164" t="s">
        <v>324</v>
      </c>
      <c r="D164" t="s">
        <v>213</v>
      </c>
      <c r="E164">
        <v>1</v>
      </c>
      <c r="F164">
        <v>1390.33</v>
      </c>
      <c r="G164" t="s">
        <v>221</v>
      </c>
      <c r="H164">
        <v>1390.33</v>
      </c>
      <c r="I164">
        <v>2024</v>
      </c>
      <c r="J164">
        <v>10</v>
      </c>
      <c r="K164">
        <v>1</v>
      </c>
      <c r="L164" s="14">
        <v>1390.33</v>
      </c>
      <c r="M164" s="4" t="str">
        <f t="shared" si="8"/>
        <v>sábado</v>
      </c>
      <c r="N164" s="4" t="str">
        <f t="shared" si="9"/>
        <v>octubre</v>
      </c>
      <c r="O164" s="4" t="str">
        <f t="shared" si="10"/>
        <v>NO</v>
      </c>
      <c r="P164" s="4" t="str">
        <f t="shared" si="11"/>
        <v>SI</v>
      </c>
      <c r="Q164" s="4" t="str" cm="1">
        <f t="array" ref="Q164">_xlfn.IFS(AND(H164&gt;=0,H164&lt;=3333),"Grupo 1",AND(H164&gt;3333,H164&lt;=6666),"Grupo 2",AND(H164&gt;6666,H164&lt;=10000),"Grupo 3")</f>
        <v>Grupo 1</v>
      </c>
    </row>
    <row r="165" spans="1:17" x14ac:dyDescent="0.25">
      <c r="A165" t="s">
        <v>175</v>
      </c>
      <c r="B165" s="2">
        <v>44941.657638888893</v>
      </c>
      <c r="C165" t="s">
        <v>325</v>
      </c>
      <c r="D165" t="s">
        <v>217</v>
      </c>
      <c r="E165">
        <v>5</v>
      </c>
      <c r="F165">
        <v>1708.09</v>
      </c>
      <c r="G165" t="s">
        <v>220</v>
      </c>
      <c r="H165">
        <v>8540.4499999999989</v>
      </c>
      <c r="I165">
        <v>2023</v>
      </c>
      <c r="J165">
        <v>1</v>
      </c>
      <c r="K165">
        <v>15</v>
      </c>
      <c r="L165" s="14">
        <v>1708.09</v>
      </c>
      <c r="M165" s="4" t="str">
        <f t="shared" si="8"/>
        <v>domingo</v>
      </c>
      <c r="N165" s="4" t="str">
        <f t="shared" si="9"/>
        <v>enero</v>
      </c>
      <c r="O165" s="4" t="str">
        <f t="shared" si="10"/>
        <v>SI</v>
      </c>
      <c r="P165" s="4" t="str">
        <f t="shared" si="11"/>
        <v>SI</v>
      </c>
      <c r="Q165" s="4" t="str" cm="1">
        <f t="array" ref="Q165">_xlfn.IFS(AND(H165&gt;=0,H165&lt;=3333),"Grupo 1",AND(H165&gt;3333,H165&lt;=6666),"Grupo 2",AND(H165&gt;6666,H165&lt;=10000),"Grupo 3")</f>
        <v>Grupo 3</v>
      </c>
    </row>
    <row r="166" spans="1:17" x14ac:dyDescent="0.25">
      <c r="A166" t="s">
        <v>176</v>
      </c>
      <c r="B166" s="2">
        <v>45238.718055555553</v>
      </c>
      <c r="C166" t="s">
        <v>326</v>
      </c>
      <c r="D166" t="s">
        <v>219</v>
      </c>
      <c r="E166">
        <v>3</v>
      </c>
      <c r="F166">
        <v>459.4</v>
      </c>
      <c r="G166" t="s">
        <v>221</v>
      </c>
      <c r="H166">
        <v>1378.2</v>
      </c>
      <c r="I166">
        <v>2023</v>
      </c>
      <c r="J166">
        <v>11</v>
      </c>
      <c r="K166">
        <v>17</v>
      </c>
      <c r="L166" s="14">
        <v>459.39999999999992</v>
      </c>
      <c r="M166" s="4" t="str">
        <f t="shared" si="8"/>
        <v>miércoles</v>
      </c>
      <c r="N166" s="4" t="str">
        <f t="shared" si="9"/>
        <v>noviembre</v>
      </c>
      <c r="O166" s="4" t="str">
        <f t="shared" si="10"/>
        <v>NO</v>
      </c>
      <c r="P166" s="4" t="str">
        <f t="shared" si="11"/>
        <v>NO</v>
      </c>
      <c r="Q166" s="4" t="str" cm="1">
        <f t="array" ref="Q166">_xlfn.IFS(AND(H166&gt;=0,H166&lt;=3333),"Grupo 1",AND(H166&gt;3333,H166&lt;=6666),"Grupo 2",AND(H166&gt;6666,H166&lt;=10000),"Grupo 3")</f>
        <v>Grupo 1</v>
      </c>
    </row>
    <row r="167" spans="1:17" x14ac:dyDescent="0.25">
      <c r="A167" t="s">
        <v>177</v>
      </c>
      <c r="B167" s="2">
        <v>44973.59652777778</v>
      </c>
      <c r="C167" t="s">
        <v>327</v>
      </c>
      <c r="D167" t="s">
        <v>215</v>
      </c>
      <c r="E167">
        <v>1</v>
      </c>
      <c r="F167">
        <v>1578.33</v>
      </c>
      <c r="G167" t="s">
        <v>220</v>
      </c>
      <c r="H167">
        <v>1578.33</v>
      </c>
      <c r="I167">
        <v>2023</v>
      </c>
      <c r="J167">
        <v>2</v>
      </c>
      <c r="K167">
        <v>14</v>
      </c>
      <c r="L167" s="14">
        <v>1578.33</v>
      </c>
      <c r="M167" s="4" t="str">
        <f t="shared" si="8"/>
        <v>jueves</v>
      </c>
      <c r="N167" s="4" t="str">
        <f t="shared" si="9"/>
        <v>febrero</v>
      </c>
      <c r="O167" s="4" t="str">
        <f t="shared" si="10"/>
        <v>NO</v>
      </c>
      <c r="P167" s="4" t="str">
        <f t="shared" si="11"/>
        <v>SI</v>
      </c>
      <c r="Q167" s="4" t="str" cm="1">
        <f t="array" ref="Q167">_xlfn.IFS(AND(H167&gt;=0,H167&lt;=3333),"Grupo 1",AND(H167&gt;3333,H167&lt;=6666),"Grupo 2",AND(H167&gt;6666,H167&lt;=10000),"Grupo 3")</f>
        <v>Grupo 1</v>
      </c>
    </row>
    <row r="168" spans="1:17" x14ac:dyDescent="0.25">
      <c r="A168" t="s">
        <v>178</v>
      </c>
      <c r="B168" s="2">
        <v>45445.690972222219</v>
      </c>
      <c r="C168" t="s">
        <v>328</v>
      </c>
      <c r="D168" t="s">
        <v>213</v>
      </c>
      <c r="E168">
        <v>5</v>
      </c>
      <c r="F168">
        <v>1602.39</v>
      </c>
      <c r="G168" t="s">
        <v>221</v>
      </c>
      <c r="H168">
        <v>8011.9500000000007</v>
      </c>
      <c r="I168">
        <v>2024</v>
      </c>
      <c r="J168">
        <v>6</v>
      </c>
      <c r="K168">
        <v>16</v>
      </c>
      <c r="L168" s="14">
        <v>1602.39</v>
      </c>
      <c r="M168" s="4" t="str">
        <f t="shared" si="8"/>
        <v>domingo</v>
      </c>
      <c r="N168" s="4" t="str">
        <f t="shared" si="9"/>
        <v>junio</v>
      </c>
      <c r="O168" s="4" t="str">
        <f t="shared" si="10"/>
        <v>SI</v>
      </c>
      <c r="P168" s="4" t="str">
        <f t="shared" si="11"/>
        <v>SI</v>
      </c>
      <c r="Q168" s="4" t="str" cm="1">
        <f t="array" ref="Q168">_xlfn.IFS(AND(H168&gt;=0,H168&lt;=3333),"Grupo 1",AND(H168&gt;3333,H168&lt;=6666),"Grupo 2",AND(H168&gt;6666,H168&lt;=10000),"Grupo 3")</f>
        <v>Grupo 3</v>
      </c>
    </row>
    <row r="169" spans="1:17" x14ac:dyDescent="0.25">
      <c r="A169" t="s">
        <v>179</v>
      </c>
      <c r="B169" s="2">
        <v>45035.472916666673</v>
      </c>
      <c r="C169" t="s">
        <v>329</v>
      </c>
      <c r="D169" t="s">
        <v>213</v>
      </c>
      <c r="E169">
        <v>2</v>
      </c>
      <c r="F169">
        <v>714.55</v>
      </c>
      <c r="G169" t="s">
        <v>221</v>
      </c>
      <c r="H169">
        <v>1429.1</v>
      </c>
      <c r="I169">
        <v>2023</v>
      </c>
      <c r="J169">
        <v>4</v>
      </c>
      <c r="K169">
        <v>11</v>
      </c>
      <c r="L169" s="14">
        <v>714.55</v>
      </c>
      <c r="M169" s="4" t="str">
        <f t="shared" si="8"/>
        <v>miércoles</v>
      </c>
      <c r="N169" s="4" t="str">
        <f t="shared" si="9"/>
        <v>abril</v>
      </c>
      <c r="O169" s="4" t="str">
        <f t="shared" si="10"/>
        <v>NO</v>
      </c>
      <c r="P169" s="4" t="str">
        <f t="shared" si="11"/>
        <v>NO</v>
      </c>
      <c r="Q169" s="4" t="str" cm="1">
        <f t="array" ref="Q169">_xlfn.IFS(AND(H169&gt;=0,H169&lt;=3333),"Grupo 1",AND(H169&gt;3333,H169&lt;=6666),"Grupo 2",AND(H169&gt;6666,H169&lt;=10000),"Grupo 3")</f>
        <v>Grupo 1</v>
      </c>
    </row>
    <row r="170" spans="1:17" x14ac:dyDescent="0.25">
      <c r="A170" t="s">
        <v>180</v>
      </c>
      <c r="B170" s="2">
        <v>45836.104166666657</v>
      </c>
      <c r="C170" t="s">
        <v>330</v>
      </c>
      <c r="D170" t="s">
        <v>214</v>
      </c>
      <c r="E170">
        <v>2</v>
      </c>
      <c r="F170">
        <v>140.54</v>
      </c>
      <c r="G170" t="s">
        <v>222</v>
      </c>
      <c r="H170">
        <v>281.08</v>
      </c>
      <c r="I170">
        <v>2025</v>
      </c>
      <c r="J170">
        <v>6</v>
      </c>
      <c r="K170">
        <v>2</v>
      </c>
      <c r="L170" s="14">
        <v>140.54</v>
      </c>
      <c r="M170" s="4" t="str">
        <f t="shared" si="8"/>
        <v>sábado</v>
      </c>
      <c r="N170" s="4" t="str">
        <f t="shared" si="9"/>
        <v>junio</v>
      </c>
      <c r="O170" s="4" t="str">
        <f t="shared" si="10"/>
        <v>NO</v>
      </c>
      <c r="P170" s="4" t="str">
        <f t="shared" si="11"/>
        <v>NO</v>
      </c>
      <c r="Q170" s="4" t="str" cm="1">
        <f t="array" ref="Q170">_xlfn.IFS(AND(H170&gt;=0,H170&lt;=3333),"Grupo 1",AND(H170&gt;3333,H170&lt;=6666),"Grupo 2",AND(H170&gt;6666,H170&lt;=10000),"Grupo 3")</f>
        <v>Grupo 1</v>
      </c>
    </row>
    <row r="171" spans="1:17" x14ac:dyDescent="0.25">
      <c r="A171" t="s">
        <v>181</v>
      </c>
      <c r="B171" s="2">
        <v>45584.553472222222</v>
      </c>
      <c r="C171" t="s">
        <v>331</v>
      </c>
      <c r="D171" t="s">
        <v>218</v>
      </c>
      <c r="E171">
        <v>5</v>
      </c>
      <c r="F171">
        <v>286.87</v>
      </c>
      <c r="G171" t="s">
        <v>221</v>
      </c>
      <c r="H171">
        <v>1434.35</v>
      </c>
      <c r="I171">
        <v>2024</v>
      </c>
      <c r="J171">
        <v>10</v>
      </c>
      <c r="K171">
        <v>13</v>
      </c>
      <c r="L171" s="14">
        <v>286.87</v>
      </c>
      <c r="M171" s="4" t="str">
        <f t="shared" si="8"/>
        <v>sábado</v>
      </c>
      <c r="N171" s="4" t="str">
        <f t="shared" si="9"/>
        <v>octubre</v>
      </c>
      <c r="O171" s="4" t="str">
        <f t="shared" si="10"/>
        <v>NO</v>
      </c>
      <c r="P171" s="4" t="str">
        <f t="shared" si="11"/>
        <v>NO</v>
      </c>
      <c r="Q171" s="4" t="str" cm="1">
        <f t="array" ref="Q171">_xlfn.IFS(AND(H171&gt;=0,H171&lt;=3333),"Grupo 1",AND(H171&gt;3333,H171&lt;=6666),"Grupo 2",AND(H171&gt;6666,H171&lt;=10000),"Grupo 3")</f>
        <v>Grupo 1</v>
      </c>
    </row>
    <row r="172" spans="1:17" x14ac:dyDescent="0.25">
      <c r="A172" t="s">
        <v>182</v>
      </c>
      <c r="B172" s="2">
        <v>45338.585416666669</v>
      </c>
      <c r="C172" t="s">
        <v>332</v>
      </c>
      <c r="D172" t="s">
        <v>216</v>
      </c>
      <c r="E172">
        <v>5</v>
      </c>
      <c r="F172">
        <v>1897.97</v>
      </c>
      <c r="G172" t="s">
        <v>221</v>
      </c>
      <c r="H172">
        <v>9489.85</v>
      </c>
      <c r="I172">
        <v>2024</v>
      </c>
      <c r="J172">
        <v>2</v>
      </c>
      <c r="K172">
        <v>14</v>
      </c>
      <c r="L172" s="14">
        <v>1897.97</v>
      </c>
      <c r="M172" s="4" t="str">
        <f t="shared" si="8"/>
        <v>viernes</v>
      </c>
      <c r="N172" s="4" t="str">
        <f t="shared" si="9"/>
        <v>febrero</v>
      </c>
      <c r="O172" s="4" t="str">
        <f t="shared" si="10"/>
        <v>SI</v>
      </c>
      <c r="P172" s="4" t="str">
        <f t="shared" si="11"/>
        <v>SI</v>
      </c>
      <c r="Q172" s="4" t="str" cm="1">
        <f t="array" ref="Q172">_xlfn.IFS(AND(H172&gt;=0,H172&lt;=3333),"Grupo 1",AND(H172&gt;3333,H172&lt;=6666),"Grupo 2",AND(H172&gt;6666,H172&lt;=10000),"Grupo 3")</f>
        <v>Grupo 3</v>
      </c>
    </row>
    <row r="173" spans="1:17" x14ac:dyDescent="0.25">
      <c r="A173" t="s">
        <v>183</v>
      </c>
      <c r="B173" s="2">
        <v>45625.480555555558</v>
      </c>
      <c r="C173" t="s">
        <v>333</v>
      </c>
      <c r="D173" t="s">
        <v>213</v>
      </c>
      <c r="E173">
        <v>2</v>
      </c>
      <c r="F173">
        <v>587.71</v>
      </c>
      <c r="G173" t="s">
        <v>221</v>
      </c>
      <c r="H173">
        <v>1175.42</v>
      </c>
      <c r="I173">
        <v>2024</v>
      </c>
      <c r="J173">
        <v>11</v>
      </c>
      <c r="K173">
        <v>11</v>
      </c>
      <c r="L173" s="14">
        <v>587.71</v>
      </c>
      <c r="M173" s="4" t="str">
        <f t="shared" si="8"/>
        <v>viernes</v>
      </c>
      <c r="N173" s="4" t="str">
        <f t="shared" si="9"/>
        <v>noviembre</v>
      </c>
      <c r="O173" s="4" t="str">
        <f t="shared" si="10"/>
        <v>NO</v>
      </c>
      <c r="P173" s="4" t="str">
        <f t="shared" si="11"/>
        <v>NO</v>
      </c>
      <c r="Q173" s="4" t="str" cm="1">
        <f t="array" ref="Q173">_xlfn.IFS(AND(H173&gt;=0,H173&lt;=3333),"Grupo 1",AND(H173&gt;3333,H173&lt;=6666),"Grupo 2",AND(H173&gt;6666,H173&lt;=10000),"Grupo 3")</f>
        <v>Grupo 1</v>
      </c>
    </row>
    <row r="174" spans="1:17" x14ac:dyDescent="0.25">
      <c r="A174" t="s">
        <v>184</v>
      </c>
      <c r="B174" s="2">
        <v>45291</v>
      </c>
      <c r="C174" t="s">
        <v>334</v>
      </c>
      <c r="D174" t="s">
        <v>216</v>
      </c>
      <c r="E174">
        <v>4</v>
      </c>
      <c r="F174">
        <v>895.13</v>
      </c>
      <c r="G174" t="s">
        <v>221</v>
      </c>
      <c r="H174">
        <v>3580.52</v>
      </c>
      <c r="I174">
        <v>2023</v>
      </c>
      <c r="J174">
        <v>12</v>
      </c>
      <c r="K174">
        <v>0</v>
      </c>
      <c r="L174" s="14">
        <v>895.13</v>
      </c>
      <c r="M174" s="4" t="str">
        <f t="shared" si="8"/>
        <v>domingo</v>
      </c>
      <c r="N174" s="4" t="str">
        <f t="shared" si="9"/>
        <v>diciembre</v>
      </c>
      <c r="O174" s="4" t="str">
        <f t="shared" si="10"/>
        <v>SI</v>
      </c>
      <c r="P174" s="4" t="str">
        <f t="shared" si="11"/>
        <v>NO</v>
      </c>
      <c r="Q174" s="4" t="str" cm="1">
        <f t="array" ref="Q174">_xlfn.IFS(AND(H174&gt;=0,H174&lt;=3333),"Grupo 1",AND(H174&gt;3333,H174&lt;=6666),"Grupo 2",AND(H174&gt;6666,H174&lt;=10000),"Grupo 3")</f>
        <v>Grupo 2</v>
      </c>
    </row>
    <row r="175" spans="1:17" x14ac:dyDescent="0.25">
      <c r="A175" t="s">
        <v>185</v>
      </c>
      <c r="B175" s="2">
        <v>45548.488194444442</v>
      </c>
      <c r="C175" t="s">
        <v>335</v>
      </c>
      <c r="D175" t="s">
        <v>215</v>
      </c>
      <c r="E175">
        <v>3</v>
      </c>
      <c r="F175">
        <v>1457.35</v>
      </c>
      <c r="G175" t="s">
        <v>220</v>
      </c>
      <c r="H175">
        <v>4372.0499999999993</v>
      </c>
      <c r="I175">
        <v>2024</v>
      </c>
      <c r="J175">
        <v>9</v>
      </c>
      <c r="K175">
        <v>11</v>
      </c>
      <c r="L175" s="14">
        <v>1457.35</v>
      </c>
      <c r="M175" s="4" t="str">
        <f t="shared" si="8"/>
        <v>viernes</v>
      </c>
      <c r="N175" s="4" t="str">
        <f t="shared" si="9"/>
        <v>septiembre</v>
      </c>
      <c r="O175" s="4" t="str">
        <f t="shared" si="10"/>
        <v>SI</v>
      </c>
      <c r="P175" s="4" t="str">
        <f t="shared" si="11"/>
        <v>SI</v>
      </c>
      <c r="Q175" s="4" t="str" cm="1">
        <f t="array" ref="Q175">_xlfn.IFS(AND(H175&gt;=0,H175&lt;=3333),"Grupo 1",AND(H175&gt;3333,H175&lt;=6666),"Grupo 2",AND(H175&gt;6666,H175&lt;=10000),"Grupo 3")</f>
        <v>Grupo 2</v>
      </c>
    </row>
    <row r="176" spans="1:17" x14ac:dyDescent="0.25">
      <c r="A176" t="s">
        <v>186</v>
      </c>
      <c r="B176" s="2">
        <v>45540.261805555558</v>
      </c>
      <c r="C176" t="s">
        <v>336</v>
      </c>
      <c r="D176" t="s">
        <v>214</v>
      </c>
      <c r="E176">
        <v>3</v>
      </c>
      <c r="F176">
        <v>1083.32</v>
      </c>
      <c r="G176" t="s">
        <v>222</v>
      </c>
      <c r="H176">
        <v>3249.96</v>
      </c>
      <c r="I176">
        <v>2024</v>
      </c>
      <c r="J176">
        <v>9</v>
      </c>
      <c r="K176">
        <v>6</v>
      </c>
      <c r="L176" s="14">
        <v>1083.32</v>
      </c>
      <c r="M176" s="4" t="str">
        <f t="shared" si="8"/>
        <v>jueves</v>
      </c>
      <c r="N176" s="4" t="str">
        <f t="shared" si="9"/>
        <v>septiembre</v>
      </c>
      <c r="O176" s="4" t="str">
        <f t="shared" si="10"/>
        <v>SI</v>
      </c>
      <c r="P176" s="4" t="str">
        <f t="shared" si="11"/>
        <v>SI</v>
      </c>
      <c r="Q176" s="4" t="str" cm="1">
        <f t="array" ref="Q176">_xlfn.IFS(AND(H176&gt;=0,H176&lt;=3333),"Grupo 1",AND(H176&gt;3333,H176&lt;=6666),"Grupo 2",AND(H176&gt;6666,H176&lt;=10000),"Grupo 3")</f>
        <v>Grupo 1</v>
      </c>
    </row>
    <row r="177" spans="1:17" x14ac:dyDescent="0.25">
      <c r="A177" t="s">
        <v>187</v>
      </c>
      <c r="B177" s="2">
        <v>45783.684027777781</v>
      </c>
      <c r="C177" t="s">
        <v>337</v>
      </c>
      <c r="D177" t="s">
        <v>217</v>
      </c>
      <c r="E177">
        <v>3</v>
      </c>
      <c r="F177">
        <v>1542.71</v>
      </c>
      <c r="G177" t="s">
        <v>220</v>
      </c>
      <c r="H177">
        <v>4628.13</v>
      </c>
      <c r="I177">
        <v>2025</v>
      </c>
      <c r="J177">
        <v>5</v>
      </c>
      <c r="K177">
        <v>16</v>
      </c>
      <c r="L177" s="14">
        <v>1542.71</v>
      </c>
      <c r="M177" s="4" t="str">
        <f t="shared" si="8"/>
        <v>martes</v>
      </c>
      <c r="N177" s="4" t="str">
        <f t="shared" si="9"/>
        <v>mayo</v>
      </c>
      <c r="O177" s="4" t="str">
        <f t="shared" si="10"/>
        <v>SI</v>
      </c>
      <c r="P177" s="4" t="str">
        <f t="shared" si="11"/>
        <v>SI</v>
      </c>
      <c r="Q177" s="4" t="str" cm="1">
        <f t="array" ref="Q177">_xlfn.IFS(AND(H177&gt;=0,H177&lt;=3333),"Grupo 1",AND(H177&gt;3333,H177&lt;=6666),"Grupo 2",AND(H177&gt;6666,H177&lt;=10000),"Grupo 3")</f>
        <v>Grupo 2</v>
      </c>
    </row>
    <row r="178" spans="1:17" x14ac:dyDescent="0.25">
      <c r="A178" t="s">
        <v>188</v>
      </c>
      <c r="B178" s="2">
        <v>45692.470138888893</v>
      </c>
      <c r="C178" t="s">
        <v>338</v>
      </c>
      <c r="D178" t="s">
        <v>215</v>
      </c>
      <c r="E178">
        <v>5</v>
      </c>
      <c r="F178">
        <v>723.8</v>
      </c>
      <c r="G178" t="s">
        <v>220</v>
      </c>
      <c r="H178">
        <v>3619</v>
      </c>
      <c r="I178">
        <v>2025</v>
      </c>
      <c r="J178">
        <v>2</v>
      </c>
      <c r="K178">
        <v>11</v>
      </c>
      <c r="L178" s="14">
        <v>723.8</v>
      </c>
      <c r="M178" s="4" t="str">
        <f t="shared" si="8"/>
        <v>martes</v>
      </c>
      <c r="N178" s="4" t="str">
        <f t="shared" si="9"/>
        <v>febrero</v>
      </c>
      <c r="O178" s="4" t="str">
        <f t="shared" si="10"/>
        <v>SI</v>
      </c>
      <c r="P178" s="4" t="str">
        <f t="shared" si="11"/>
        <v>NO</v>
      </c>
      <c r="Q178" s="4" t="str" cm="1">
        <f t="array" ref="Q178">_xlfn.IFS(AND(H178&gt;=0,H178&lt;=3333),"Grupo 1",AND(H178&gt;3333,H178&lt;=6666),"Grupo 2",AND(H178&gt;6666,H178&lt;=10000),"Grupo 3")</f>
        <v>Grupo 2</v>
      </c>
    </row>
    <row r="179" spans="1:17" x14ac:dyDescent="0.25">
      <c r="A179" t="s">
        <v>189</v>
      </c>
      <c r="B179" s="2">
        <v>45186.410416666673</v>
      </c>
      <c r="C179" t="s">
        <v>339</v>
      </c>
      <c r="D179" t="s">
        <v>213</v>
      </c>
      <c r="E179">
        <v>5</v>
      </c>
      <c r="F179">
        <v>179.97</v>
      </c>
      <c r="G179" t="s">
        <v>221</v>
      </c>
      <c r="H179">
        <v>899.85</v>
      </c>
      <c r="I179">
        <v>2023</v>
      </c>
      <c r="J179">
        <v>9</v>
      </c>
      <c r="K179">
        <v>9</v>
      </c>
      <c r="L179" s="14">
        <v>179.97</v>
      </c>
      <c r="M179" s="4" t="str">
        <f t="shared" si="8"/>
        <v>domingo</v>
      </c>
      <c r="N179" s="4" t="str">
        <f t="shared" si="9"/>
        <v>septiembre</v>
      </c>
      <c r="O179" s="4" t="str">
        <f t="shared" si="10"/>
        <v>NO</v>
      </c>
      <c r="P179" s="4" t="str">
        <f t="shared" si="11"/>
        <v>NO</v>
      </c>
      <c r="Q179" s="4" t="str" cm="1">
        <f t="array" ref="Q179">_xlfn.IFS(AND(H179&gt;=0,H179&lt;=3333),"Grupo 1",AND(H179&gt;3333,H179&lt;=6666),"Grupo 2",AND(H179&gt;6666,H179&lt;=10000),"Grupo 3")</f>
        <v>Grupo 1</v>
      </c>
    </row>
    <row r="180" spans="1:17" x14ac:dyDescent="0.25">
      <c r="A180" t="s">
        <v>190</v>
      </c>
      <c r="B180" s="2">
        <v>45539.616666666669</v>
      </c>
      <c r="C180" t="s">
        <v>340</v>
      </c>
      <c r="D180" t="s">
        <v>217</v>
      </c>
      <c r="E180">
        <v>1</v>
      </c>
      <c r="F180">
        <v>1318.43</v>
      </c>
      <c r="G180" t="s">
        <v>220</v>
      </c>
      <c r="H180">
        <v>1318.43</v>
      </c>
      <c r="I180">
        <v>2024</v>
      </c>
      <c r="J180">
        <v>9</v>
      </c>
      <c r="K180">
        <v>14</v>
      </c>
      <c r="L180" s="14">
        <v>1318.43</v>
      </c>
      <c r="M180" s="4" t="str">
        <f t="shared" si="8"/>
        <v>miércoles</v>
      </c>
      <c r="N180" s="4" t="str">
        <f t="shared" si="9"/>
        <v>septiembre</v>
      </c>
      <c r="O180" s="4" t="str">
        <f t="shared" si="10"/>
        <v>NO</v>
      </c>
      <c r="P180" s="4" t="str">
        <f t="shared" si="11"/>
        <v>SI</v>
      </c>
      <c r="Q180" s="4" t="str" cm="1">
        <f t="array" ref="Q180">_xlfn.IFS(AND(H180&gt;=0,H180&lt;=3333),"Grupo 1",AND(H180&gt;3333,H180&lt;=6666),"Grupo 2",AND(H180&gt;6666,H180&lt;=10000),"Grupo 3")</f>
        <v>Grupo 1</v>
      </c>
    </row>
    <row r="181" spans="1:17" x14ac:dyDescent="0.25">
      <c r="A181" t="s">
        <v>191</v>
      </c>
      <c r="B181" s="2">
        <v>45073.392361111109</v>
      </c>
      <c r="C181" t="s">
        <v>341</v>
      </c>
      <c r="D181" t="s">
        <v>215</v>
      </c>
      <c r="E181">
        <v>2</v>
      </c>
      <c r="F181">
        <v>307.37</v>
      </c>
      <c r="G181" t="s">
        <v>220</v>
      </c>
      <c r="H181">
        <v>614.74</v>
      </c>
      <c r="I181">
        <v>2023</v>
      </c>
      <c r="J181">
        <v>5</v>
      </c>
      <c r="K181">
        <v>9</v>
      </c>
      <c r="L181" s="14">
        <v>307.37</v>
      </c>
      <c r="M181" s="4" t="str">
        <f t="shared" si="8"/>
        <v>sábado</v>
      </c>
      <c r="N181" s="4" t="str">
        <f t="shared" si="9"/>
        <v>mayo</v>
      </c>
      <c r="O181" s="4" t="str">
        <f t="shared" si="10"/>
        <v>NO</v>
      </c>
      <c r="P181" s="4" t="str">
        <f t="shared" si="11"/>
        <v>NO</v>
      </c>
      <c r="Q181" s="4" t="str" cm="1">
        <f t="array" ref="Q181">_xlfn.IFS(AND(H181&gt;=0,H181&lt;=3333),"Grupo 1",AND(H181&gt;3333,H181&lt;=6666),"Grupo 2",AND(H181&gt;6666,H181&lt;=10000),"Grupo 3")</f>
        <v>Grupo 1</v>
      </c>
    </row>
    <row r="182" spans="1:17" x14ac:dyDescent="0.25">
      <c r="A182" t="s">
        <v>192</v>
      </c>
      <c r="B182" s="2">
        <v>45287.277777777781</v>
      </c>
      <c r="C182" t="s">
        <v>342</v>
      </c>
      <c r="D182" t="s">
        <v>214</v>
      </c>
      <c r="E182">
        <v>1</v>
      </c>
      <c r="F182">
        <v>1364.97</v>
      </c>
      <c r="G182" t="s">
        <v>222</v>
      </c>
      <c r="H182">
        <v>1364.97</v>
      </c>
      <c r="I182">
        <v>2023</v>
      </c>
      <c r="J182">
        <v>12</v>
      </c>
      <c r="K182">
        <v>6</v>
      </c>
      <c r="L182" s="14">
        <v>1364.97</v>
      </c>
      <c r="M182" s="4" t="str">
        <f t="shared" si="8"/>
        <v>miércoles</v>
      </c>
      <c r="N182" s="4" t="str">
        <f t="shared" si="9"/>
        <v>diciembre</v>
      </c>
      <c r="O182" s="4" t="str">
        <f t="shared" si="10"/>
        <v>NO</v>
      </c>
      <c r="P182" s="4" t="str">
        <f t="shared" si="11"/>
        <v>SI</v>
      </c>
      <c r="Q182" s="4" t="str" cm="1">
        <f t="array" ref="Q182">_xlfn.IFS(AND(H182&gt;=0,H182&lt;=3333),"Grupo 1",AND(H182&gt;3333,H182&lt;=6666),"Grupo 2",AND(H182&gt;6666,H182&lt;=10000),"Grupo 3")</f>
        <v>Grupo 1</v>
      </c>
    </row>
    <row r="183" spans="1:17" x14ac:dyDescent="0.25">
      <c r="A183" t="s">
        <v>193</v>
      </c>
      <c r="B183" s="2">
        <v>45398.678472222222</v>
      </c>
      <c r="C183" t="s">
        <v>343</v>
      </c>
      <c r="D183" t="s">
        <v>219</v>
      </c>
      <c r="E183">
        <v>3</v>
      </c>
      <c r="F183">
        <v>244.23</v>
      </c>
      <c r="G183" t="s">
        <v>221</v>
      </c>
      <c r="H183">
        <v>732.68999999999994</v>
      </c>
      <c r="I183">
        <v>2024</v>
      </c>
      <c r="J183">
        <v>4</v>
      </c>
      <c r="K183">
        <v>16</v>
      </c>
      <c r="L183" s="14">
        <v>244.23</v>
      </c>
      <c r="M183" s="4" t="str">
        <f t="shared" si="8"/>
        <v>martes</v>
      </c>
      <c r="N183" s="4" t="str">
        <f t="shared" si="9"/>
        <v>abril</v>
      </c>
      <c r="O183" s="4" t="str">
        <f t="shared" si="10"/>
        <v>NO</v>
      </c>
      <c r="P183" s="4" t="str">
        <f t="shared" si="11"/>
        <v>NO</v>
      </c>
      <c r="Q183" s="4" t="str" cm="1">
        <f t="array" ref="Q183">_xlfn.IFS(AND(H183&gt;=0,H183&lt;=3333),"Grupo 1",AND(H183&gt;3333,H183&lt;=6666),"Grupo 2",AND(H183&gt;6666,H183&lt;=10000),"Grupo 3")</f>
        <v>Grupo 1</v>
      </c>
    </row>
    <row r="184" spans="1:17" x14ac:dyDescent="0.25">
      <c r="A184" t="s">
        <v>194</v>
      </c>
      <c r="B184" s="2">
        <v>44949.395833333343</v>
      </c>
      <c r="C184" t="s">
        <v>344</v>
      </c>
      <c r="D184" t="s">
        <v>216</v>
      </c>
      <c r="E184">
        <v>3</v>
      </c>
      <c r="F184">
        <v>245.64</v>
      </c>
      <c r="G184" t="s">
        <v>221</v>
      </c>
      <c r="H184">
        <v>736.92</v>
      </c>
      <c r="I184">
        <v>2023</v>
      </c>
      <c r="J184">
        <v>1</v>
      </c>
      <c r="K184">
        <v>9</v>
      </c>
      <c r="L184" s="14">
        <v>245.64</v>
      </c>
      <c r="M184" s="4" t="str">
        <f t="shared" si="8"/>
        <v>lunes</v>
      </c>
      <c r="N184" s="4" t="str">
        <f t="shared" si="9"/>
        <v>enero</v>
      </c>
      <c r="O184" s="4" t="str">
        <f t="shared" si="10"/>
        <v>NO</v>
      </c>
      <c r="P184" s="4" t="str">
        <f t="shared" si="11"/>
        <v>NO</v>
      </c>
      <c r="Q184" s="4" t="str" cm="1">
        <f t="array" ref="Q184">_xlfn.IFS(AND(H184&gt;=0,H184&lt;=3333),"Grupo 1",AND(H184&gt;3333,H184&lt;=6666),"Grupo 2",AND(H184&gt;6666,H184&lt;=10000),"Grupo 3")</f>
        <v>Grupo 1</v>
      </c>
    </row>
    <row r="185" spans="1:17" x14ac:dyDescent="0.25">
      <c r="A185" t="s">
        <v>195</v>
      </c>
      <c r="B185" s="2">
        <v>45560.538194444453</v>
      </c>
      <c r="C185" t="s">
        <v>345</v>
      </c>
      <c r="D185" t="s">
        <v>216</v>
      </c>
      <c r="E185">
        <v>1</v>
      </c>
      <c r="F185">
        <v>1501.34</v>
      </c>
      <c r="G185" t="s">
        <v>221</v>
      </c>
      <c r="H185">
        <v>1501.34</v>
      </c>
      <c r="I185">
        <v>2024</v>
      </c>
      <c r="J185">
        <v>9</v>
      </c>
      <c r="K185">
        <v>12</v>
      </c>
      <c r="L185" s="14">
        <v>1501.34</v>
      </c>
      <c r="M185" s="4" t="str">
        <f t="shared" si="8"/>
        <v>miércoles</v>
      </c>
      <c r="N185" s="4" t="str">
        <f t="shared" si="9"/>
        <v>septiembre</v>
      </c>
      <c r="O185" s="4" t="str">
        <f t="shared" si="10"/>
        <v>NO</v>
      </c>
      <c r="P185" s="4" t="str">
        <f t="shared" si="11"/>
        <v>SI</v>
      </c>
      <c r="Q185" s="4" t="str" cm="1">
        <f t="array" ref="Q185">_xlfn.IFS(AND(H185&gt;=0,H185&lt;=3333),"Grupo 1",AND(H185&gt;3333,H185&lt;=6666),"Grupo 2",AND(H185&gt;6666,H185&lt;=10000),"Grupo 3")</f>
        <v>Grupo 1</v>
      </c>
    </row>
    <row r="186" spans="1:17" x14ac:dyDescent="0.25">
      <c r="A186" t="s">
        <v>196</v>
      </c>
      <c r="B186" s="2">
        <v>45636.231249999997</v>
      </c>
      <c r="C186" t="s">
        <v>346</v>
      </c>
      <c r="D186" t="s">
        <v>213</v>
      </c>
      <c r="E186">
        <v>4</v>
      </c>
      <c r="F186">
        <v>995.18</v>
      </c>
      <c r="G186" t="s">
        <v>221</v>
      </c>
      <c r="H186">
        <v>3980.72</v>
      </c>
      <c r="I186">
        <v>2024</v>
      </c>
      <c r="J186">
        <v>12</v>
      </c>
      <c r="K186">
        <v>5</v>
      </c>
      <c r="L186" s="14">
        <v>995.18</v>
      </c>
      <c r="M186" s="4" t="str">
        <f t="shared" si="8"/>
        <v>martes</v>
      </c>
      <c r="N186" s="4" t="str">
        <f t="shared" si="9"/>
        <v>diciembre</v>
      </c>
      <c r="O186" s="4" t="str">
        <f t="shared" si="10"/>
        <v>SI</v>
      </c>
      <c r="P186" s="4" t="str">
        <f t="shared" si="11"/>
        <v>SI</v>
      </c>
      <c r="Q186" s="4" t="str" cm="1">
        <f t="array" ref="Q186">_xlfn.IFS(AND(H186&gt;=0,H186&lt;=3333),"Grupo 1",AND(H186&gt;3333,H186&lt;=6666),"Grupo 2",AND(H186&gt;6666,H186&lt;=10000),"Grupo 3")</f>
        <v>Grupo 2</v>
      </c>
    </row>
    <row r="187" spans="1:17" x14ac:dyDescent="0.25">
      <c r="A187" t="s">
        <v>197</v>
      </c>
      <c r="B187" s="2">
        <v>45218.252083333333</v>
      </c>
      <c r="C187" t="s">
        <v>347</v>
      </c>
      <c r="D187" t="s">
        <v>213</v>
      </c>
      <c r="E187">
        <v>2</v>
      </c>
      <c r="F187">
        <v>1834.72</v>
      </c>
      <c r="G187" t="s">
        <v>221</v>
      </c>
      <c r="H187">
        <v>3669.44</v>
      </c>
      <c r="I187">
        <v>2023</v>
      </c>
      <c r="J187">
        <v>10</v>
      </c>
      <c r="K187">
        <v>6</v>
      </c>
      <c r="L187" s="14">
        <v>1834.72</v>
      </c>
      <c r="M187" s="4" t="str">
        <f t="shared" si="8"/>
        <v>jueves</v>
      </c>
      <c r="N187" s="4" t="str">
        <f t="shared" si="9"/>
        <v>octubre</v>
      </c>
      <c r="O187" s="4" t="str">
        <f t="shared" si="10"/>
        <v>SI</v>
      </c>
      <c r="P187" s="4" t="str">
        <f t="shared" si="11"/>
        <v>SI</v>
      </c>
      <c r="Q187" s="4" t="str" cm="1">
        <f t="array" ref="Q187">_xlfn.IFS(AND(H187&gt;=0,H187&lt;=3333),"Grupo 1",AND(H187&gt;3333,H187&lt;=6666),"Grupo 2",AND(H187&gt;6666,H187&lt;=10000),"Grupo 3")</f>
        <v>Grupo 2</v>
      </c>
    </row>
    <row r="188" spans="1:17" x14ac:dyDescent="0.25">
      <c r="A188" t="s">
        <v>198</v>
      </c>
      <c r="B188" s="2">
        <v>45615.827777777777</v>
      </c>
      <c r="C188" t="s">
        <v>348</v>
      </c>
      <c r="D188" t="s">
        <v>219</v>
      </c>
      <c r="E188">
        <v>2</v>
      </c>
      <c r="F188">
        <v>1942.31</v>
      </c>
      <c r="G188" t="s">
        <v>221</v>
      </c>
      <c r="H188">
        <v>3884.62</v>
      </c>
      <c r="I188">
        <v>2024</v>
      </c>
      <c r="J188">
        <v>11</v>
      </c>
      <c r="K188">
        <v>19</v>
      </c>
      <c r="L188" s="14">
        <v>1942.31</v>
      </c>
      <c r="M188" s="4" t="str">
        <f t="shared" si="8"/>
        <v>martes</v>
      </c>
      <c r="N188" s="4" t="str">
        <f t="shared" si="9"/>
        <v>noviembre</v>
      </c>
      <c r="O188" s="4" t="str">
        <f t="shared" si="10"/>
        <v>SI</v>
      </c>
      <c r="P188" s="4" t="str">
        <f t="shared" si="11"/>
        <v>SI</v>
      </c>
      <c r="Q188" s="4" t="str" cm="1">
        <f t="array" ref="Q188">_xlfn.IFS(AND(H188&gt;=0,H188&lt;=3333),"Grupo 1",AND(H188&gt;3333,H188&lt;=6666),"Grupo 2",AND(H188&gt;6666,H188&lt;=10000),"Grupo 3")</f>
        <v>Grupo 2</v>
      </c>
    </row>
    <row r="189" spans="1:17" x14ac:dyDescent="0.25">
      <c r="A189" t="s">
        <v>199</v>
      </c>
      <c r="B189" s="2">
        <v>45755.705555555563</v>
      </c>
      <c r="C189" t="s">
        <v>349</v>
      </c>
      <c r="D189" t="s">
        <v>219</v>
      </c>
      <c r="E189">
        <v>3</v>
      </c>
      <c r="F189">
        <v>1025.57</v>
      </c>
      <c r="G189" t="s">
        <v>221</v>
      </c>
      <c r="H189">
        <v>3076.71</v>
      </c>
      <c r="I189">
        <v>2025</v>
      </c>
      <c r="J189">
        <v>4</v>
      </c>
      <c r="K189">
        <v>16</v>
      </c>
      <c r="L189" s="14">
        <v>1025.57</v>
      </c>
      <c r="M189" s="4" t="str">
        <f t="shared" si="8"/>
        <v>martes</v>
      </c>
      <c r="N189" s="4" t="str">
        <f t="shared" si="9"/>
        <v>abril</v>
      </c>
      <c r="O189" s="4" t="str">
        <f t="shared" si="10"/>
        <v>SI</v>
      </c>
      <c r="P189" s="4" t="str">
        <f t="shared" si="11"/>
        <v>SI</v>
      </c>
      <c r="Q189" s="4" t="str" cm="1">
        <f t="array" ref="Q189">_xlfn.IFS(AND(H189&gt;=0,H189&lt;=3333),"Grupo 1",AND(H189&gt;3333,H189&lt;=6666),"Grupo 2",AND(H189&gt;6666,H189&lt;=10000),"Grupo 3")</f>
        <v>Grupo 1</v>
      </c>
    </row>
    <row r="190" spans="1:17" x14ac:dyDescent="0.25">
      <c r="A190" t="s">
        <v>200</v>
      </c>
      <c r="B190" s="2">
        <v>44962.009722222218</v>
      </c>
      <c r="C190" t="s">
        <v>350</v>
      </c>
      <c r="D190" t="s">
        <v>215</v>
      </c>
      <c r="E190">
        <v>4</v>
      </c>
      <c r="F190">
        <v>555.19000000000005</v>
      </c>
      <c r="G190" t="s">
        <v>220</v>
      </c>
      <c r="H190">
        <v>2220.7600000000002</v>
      </c>
      <c r="I190">
        <v>2023</v>
      </c>
      <c r="J190">
        <v>2</v>
      </c>
      <c r="K190">
        <v>0</v>
      </c>
      <c r="L190" s="14">
        <v>555.19000000000005</v>
      </c>
      <c r="M190" s="4" t="str">
        <f t="shared" si="8"/>
        <v>domingo</v>
      </c>
      <c r="N190" s="4" t="str">
        <f t="shared" si="9"/>
        <v>febrero</v>
      </c>
      <c r="O190" s="4" t="str">
        <f t="shared" si="10"/>
        <v>NO</v>
      </c>
      <c r="P190" s="4" t="str">
        <f t="shared" si="11"/>
        <v>NO</v>
      </c>
      <c r="Q190" s="4" t="str" cm="1">
        <f t="array" ref="Q190">_xlfn.IFS(AND(H190&gt;=0,H190&lt;=3333),"Grupo 1",AND(H190&gt;3333,H190&lt;=6666),"Grupo 2",AND(H190&gt;6666,H190&lt;=10000),"Grupo 3")</f>
        <v>Grupo 1</v>
      </c>
    </row>
    <row r="191" spans="1:17" x14ac:dyDescent="0.25">
      <c r="A191" t="s">
        <v>201</v>
      </c>
      <c r="B191" s="2">
        <v>45194.675000000003</v>
      </c>
      <c r="C191" t="s">
        <v>351</v>
      </c>
      <c r="D191" t="s">
        <v>214</v>
      </c>
      <c r="E191">
        <v>5</v>
      </c>
      <c r="F191">
        <v>750.82</v>
      </c>
      <c r="G191" t="s">
        <v>222</v>
      </c>
      <c r="H191">
        <v>3754.1</v>
      </c>
      <c r="I191">
        <v>2023</v>
      </c>
      <c r="J191">
        <v>9</v>
      </c>
      <c r="K191">
        <v>16</v>
      </c>
      <c r="L191" s="14">
        <v>750.82</v>
      </c>
      <c r="M191" s="4" t="str">
        <f t="shared" si="8"/>
        <v>lunes</v>
      </c>
      <c r="N191" s="4" t="str">
        <f t="shared" si="9"/>
        <v>septiembre</v>
      </c>
      <c r="O191" s="4" t="str">
        <f t="shared" si="10"/>
        <v>SI</v>
      </c>
      <c r="P191" s="4" t="str">
        <f t="shared" si="11"/>
        <v>NO</v>
      </c>
      <c r="Q191" s="4" t="str" cm="1">
        <f t="array" ref="Q191">_xlfn.IFS(AND(H191&gt;=0,H191&lt;=3333),"Grupo 1",AND(H191&gt;3333,H191&lt;=6666),"Grupo 2",AND(H191&gt;6666,H191&lt;=10000),"Grupo 3")</f>
        <v>Grupo 2</v>
      </c>
    </row>
    <row r="192" spans="1:17" x14ac:dyDescent="0.25">
      <c r="A192" t="s">
        <v>202</v>
      </c>
      <c r="B192" s="2">
        <v>45818.179861111108</v>
      </c>
      <c r="C192" t="s">
        <v>352</v>
      </c>
      <c r="D192" t="s">
        <v>215</v>
      </c>
      <c r="E192">
        <v>2</v>
      </c>
      <c r="F192">
        <v>1609.9</v>
      </c>
      <c r="G192" t="s">
        <v>220</v>
      </c>
      <c r="H192">
        <v>3219.8</v>
      </c>
      <c r="I192">
        <v>2025</v>
      </c>
      <c r="J192">
        <v>6</v>
      </c>
      <c r="K192">
        <v>4</v>
      </c>
      <c r="L192" s="14">
        <v>1609.9</v>
      </c>
      <c r="M192" s="4" t="str">
        <f t="shared" si="8"/>
        <v>martes</v>
      </c>
      <c r="N192" s="4" t="str">
        <f t="shared" si="9"/>
        <v>junio</v>
      </c>
      <c r="O192" s="4" t="str">
        <f t="shared" si="10"/>
        <v>SI</v>
      </c>
      <c r="P192" s="4" t="str">
        <f t="shared" si="11"/>
        <v>SI</v>
      </c>
      <c r="Q192" s="4" t="str" cm="1">
        <f t="array" ref="Q192">_xlfn.IFS(AND(H192&gt;=0,H192&lt;=3333),"Grupo 1",AND(H192&gt;3333,H192&lt;=6666),"Grupo 2",AND(H192&gt;6666,H192&lt;=10000),"Grupo 3")</f>
        <v>Grupo 1</v>
      </c>
    </row>
    <row r="193" spans="1:17" x14ac:dyDescent="0.25">
      <c r="A193" t="s">
        <v>203</v>
      </c>
      <c r="B193" s="2">
        <v>45755.011111111111</v>
      </c>
      <c r="C193" t="s">
        <v>353</v>
      </c>
      <c r="D193" t="s">
        <v>214</v>
      </c>
      <c r="E193">
        <v>3</v>
      </c>
      <c r="F193">
        <v>27.89</v>
      </c>
      <c r="G193" t="s">
        <v>222</v>
      </c>
      <c r="H193">
        <v>83.67</v>
      </c>
      <c r="I193">
        <v>2025</v>
      </c>
      <c r="J193">
        <v>4</v>
      </c>
      <c r="K193">
        <v>0</v>
      </c>
      <c r="L193" s="14">
        <v>27.89</v>
      </c>
      <c r="M193" s="4" t="str">
        <f t="shared" si="8"/>
        <v>martes</v>
      </c>
      <c r="N193" s="4" t="str">
        <f t="shared" si="9"/>
        <v>abril</v>
      </c>
      <c r="O193" s="4" t="str">
        <f t="shared" si="10"/>
        <v>NO</v>
      </c>
      <c r="P193" s="4" t="str">
        <f t="shared" si="11"/>
        <v>NO</v>
      </c>
      <c r="Q193" s="4" t="str" cm="1">
        <f t="array" ref="Q193">_xlfn.IFS(AND(H193&gt;=0,H193&lt;=3333),"Grupo 1",AND(H193&gt;3333,H193&lt;=6666),"Grupo 2",AND(H193&gt;6666,H193&lt;=10000),"Grupo 3")</f>
        <v>Grupo 1</v>
      </c>
    </row>
    <row r="194" spans="1:17" x14ac:dyDescent="0.25">
      <c r="A194" t="s">
        <v>204</v>
      </c>
      <c r="B194" s="2">
        <v>45862.584722222222</v>
      </c>
      <c r="C194" t="s">
        <v>354</v>
      </c>
      <c r="D194" t="s">
        <v>219</v>
      </c>
      <c r="E194">
        <v>1</v>
      </c>
      <c r="F194">
        <v>1700.54</v>
      </c>
      <c r="G194" t="s">
        <v>221</v>
      </c>
      <c r="H194">
        <v>1700.54</v>
      </c>
      <c r="I194">
        <v>2025</v>
      </c>
      <c r="J194">
        <v>7</v>
      </c>
      <c r="K194">
        <v>14</v>
      </c>
      <c r="L194" s="14">
        <v>1700.54</v>
      </c>
      <c r="M194" s="4" t="str">
        <f t="shared" ref="M194:M257" si="12">TEXT(B194,"dddd")</f>
        <v>jueves</v>
      </c>
      <c r="N194" s="4" t="str">
        <f t="shared" ref="N194:N257" si="13">TEXT(B194,"mmmm")</f>
        <v>julio</v>
      </c>
      <c r="O194" s="4" t="str">
        <f t="shared" si="10"/>
        <v>NO</v>
      </c>
      <c r="P194" s="4" t="str">
        <f t="shared" si="11"/>
        <v>SI</v>
      </c>
      <c r="Q194" s="4" t="str" cm="1">
        <f t="array" ref="Q194">_xlfn.IFS(AND(H194&gt;=0,H194&lt;=3333),"Grupo 1",AND(H194&gt;3333,H194&lt;=6666),"Grupo 2",AND(H194&gt;6666,H194&lt;=10000),"Grupo 3")</f>
        <v>Grupo 1</v>
      </c>
    </row>
    <row r="195" spans="1:17" x14ac:dyDescent="0.25">
      <c r="A195" t="s">
        <v>205</v>
      </c>
      <c r="B195" s="2">
        <v>45802.370833333327</v>
      </c>
      <c r="C195" t="s">
        <v>355</v>
      </c>
      <c r="D195" t="s">
        <v>219</v>
      </c>
      <c r="E195">
        <v>3</v>
      </c>
      <c r="F195">
        <v>473.4</v>
      </c>
      <c r="G195" t="s">
        <v>221</v>
      </c>
      <c r="H195">
        <v>1420.2</v>
      </c>
      <c r="I195">
        <v>2025</v>
      </c>
      <c r="J195">
        <v>5</v>
      </c>
      <c r="K195">
        <v>8</v>
      </c>
      <c r="L195" s="14">
        <v>473.39999999999992</v>
      </c>
      <c r="M195" s="4" t="str">
        <f t="shared" si="12"/>
        <v>domingo</v>
      </c>
      <c r="N195" s="4" t="str">
        <f t="shared" si="13"/>
        <v>mayo</v>
      </c>
      <c r="O195" s="4" t="str">
        <f t="shared" ref="O195:O258" si="14">IF(H195&gt;AVERAGE(H:H),"SI","NO")</f>
        <v>NO</v>
      </c>
      <c r="P195" s="4" t="str">
        <f t="shared" ref="P195:P258" si="15">IF(L195&gt;AVERAGE(L:L),"SI","NO")</f>
        <v>NO</v>
      </c>
      <c r="Q195" s="4" t="str" cm="1">
        <f t="array" ref="Q195">_xlfn.IFS(AND(H195&gt;=0,H195&lt;=3333),"Grupo 1",AND(H195&gt;3333,H195&lt;=6666),"Grupo 2",AND(H195&gt;6666,H195&lt;=10000),"Grupo 3")</f>
        <v>Grupo 1</v>
      </c>
    </row>
    <row r="196" spans="1:17" x14ac:dyDescent="0.25">
      <c r="A196" t="s">
        <v>206</v>
      </c>
      <c r="B196" s="2">
        <v>45178.038888888892</v>
      </c>
      <c r="C196" t="s">
        <v>356</v>
      </c>
      <c r="D196" t="s">
        <v>215</v>
      </c>
      <c r="E196">
        <v>1</v>
      </c>
      <c r="F196">
        <v>521.32000000000005</v>
      </c>
      <c r="G196" t="s">
        <v>220</v>
      </c>
      <c r="H196">
        <v>521.32000000000005</v>
      </c>
      <c r="I196">
        <v>2023</v>
      </c>
      <c r="J196">
        <v>9</v>
      </c>
      <c r="K196">
        <v>0</v>
      </c>
      <c r="L196" s="14">
        <v>521.32000000000005</v>
      </c>
      <c r="M196" s="4" t="str">
        <f t="shared" si="12"/>
        <v>sábado</v>
      </c>
      <c r="N196" s="4" t="str">
        <f t="shared" si="13"/>
        <v>septiembre</v>
      </c>
      <c r="O196" s="4" t="str">
        <f t="shared" si="14"/>
        <v>NO</v>
      </c>
      <c r="P196" s="4" t="str">
        <f t="shared" si="15"/>
        <v>NO</v>
      </c>
      <c r="Q196" s="4" t="str" cm="1">
        <f t="array" ref="Q196">_xlfn.IFS(AND(H196&gt;=0,H196&lt;=3333),"Grupo 1",AND(H196&gt;3333,H196&lt;=6666),"Grupo 2",AND(H196&gt;6666,H196&lt;=10000),"Grupo 3")</f>
        <v>Grupo 1</v>
      </c>
    </row>
    <row r="197" spans="1:17" x14ac:dyDescent="0.25">
      <c r="A197" t="s">
        <v>207</v>
      </c>
      <c r="B197" s="2">
        <v>45748.34097222222</v>
      </c>
      <c r="C197" t="s">
        <v>357</v>
      </c>
      <c r="D197" t="s">
        <v>213</v>
      </c>
      <c r="E197">
        <v>1</v>
      </c>
      <c r="F197">
        <v>1067.6400000000001</v>
      </c>
      <c r="G197" t="s">
        <v>221</v>
      </c>
      <c r="H197">
        <v>1067.6400000000001</v>
      </c>
      <c r="I197">
        <v>2025</v>
      </c>
      <c r="J197">
        <v>4</v>
      </c>
      <c r="K197">
        <v>8</v>
      </c>
      <c r="L197" s="14">
        <v>1067.6400000000001</v>
      </c>
      <c r="M197" s="4" t="str">
        <f t="shared" si="12"/>
        <v>martes</v>
      </c>
      <c r="N197" s="4" t="str">
        <f t="shared" si="13"/>
        <v>abril</v>
      </c>
      <c r="O197" s="4" t="str">
        <f t="shared" si="14"/>
        <v>NO</v>
      </c>
      <c r="P197" s="4" t="str">
        <f t="shared" si="15"/>
        <v>SI</v>
      </c>
      <c r="Q197" s="4" t="str" cm="1">
        <f t="array" ref="Q197">_xlfn.IFS(AND(H197&gt;=0,H197&lt;=3333),"Grupo 1",AND(H197&gt;3333,H197&lt;=6666),"Grupo 2",AND(H197&gt;6666,H197&lt;=10000),"Grupo 3")</f>
        <v>Grupo 1</v>
      </c>
    </row>
    <row r="198" spans="1:17" x14ac:dyDescent="0.25">
      <c r="A198" t="s">
        <v>208</v>
      </c>
      <c r="B198" s="2">
        <v>45055.556250000001</v>
      </c>
      <c r="C198" t="s">
        <v>358</v>
      </c>
      <c r="D198" t="s">
        <v>218</v>
      </c>
      <c r="E198">
        <v>1</v>
      </c>
      <c r="F198">
        <v>1903.64</v>
      </c>
      <c r="G198" t="s">
        <v>221</v>
      </c>
      <c r="H198">
        <v>1903.64</v>
      </c>
      <c r="I198">
        <v>2023</v>
      </c>
      <c r="J198">
        <v>5</v>
      </c>
      <c r="K198">
        <v>13</v>
      </c>
      <c r="L198" s="14">
        <v>1903.64</v>
      </c>
      <c r="M198" s="4" t="str">
        <f t="shared" si="12"/>
        <v>martes</v>
      </c>
      <c r="N198" s="4" t="str">
        <f t="shared" si="13"/>
        <v>mayo</v>
      </c>
      <c r="O198" s="4" t="str">
        <f t="shared" si="14"/>
        <v>NO</v>
      </c>
      <c r="P198" s="4" t="str">
        <f t="shared" si="15"/>
        <v>SI</v>
      </c>
      <c r="Q198" s="4" t="str" cm="1">
        <f t="array" ref="Q198">_xlfn.IFS(AND(H198&gt;=0,H198&lt;=3333),"Grupo 1",AND(H198&gt;3333,H198&lt;=6666),"Grupo 2",AND(H198&gt;6666,H198&lt;=10000),"Grupo 3")</f>
        <v>Grupo 1</v>
      </c>
    </row>
    <row r="199" spans="1:17" x14ac:dyDescent="0.25">
      <c r="A199" t="s">
        <v>209</v>
      </c>
      <c r="B199" s="2">
        <v>44958.773611111108</v>
      </c>
      <c r="C199" t="s">
        <v>359</v>
      </c>
      <c r="D199" t="s">
        <v>214</v>
      </c>
      <c r="E199">
        <v>2</v>
      </c>
      <c r="F199">
        <v>1460.16</v>
      </c>
      <c r="G199" t="s">
        <v>222</v>
      </c>
      <c r="H199">
        <v>2920.32</v>
      </c>
      <c r="I199">
        <v>2023</v>
      </c>
      <c r="J199">
        <v>2</v>
      </c>
      <c r="K199">
        <v>18</v>
      </c>
      <c r="L199" s="14">
        <v>1460.16</v>
      </c>
      <c r="M199" s="4" t="str">
        <f t="shared" si="12"/>
        <v>miércoles</v>
      </c>
      <c r="N199" s="4" t="str">
        <f t="shared" si="13"/>
        <v>febrero</v>
      </c>
      <c r="O199" s="4" t="str">
        <f t="shared" si="14"/>
        <v>SI</v>
      </c>
      <c r="P199" s="4" t="str">
        <f t="shared" si="15"/>
        <v>SI</v>
      </c>
      <c r="Q199" s="4" t="str" cm="1">
        <f t="array" ref="Q199">_xlfn.IFS(AND(H199&gt;=0,H199&lt;=3333),"Grupo 1",AND(H199&gt;3333,H199&lt;=6666),"Grupo 2",AND(H199&gt;6666,H199&lt;=10000),"Grupo 3")</f>
        <v>Grupo 1</v>
      </c>
    </row>
    <row r="200" spans="1:17" x14ac:dyDescent="0.25">
      <c r="A200" t="s">
        <v>210</v>
      </c>
      <c r="B200" s="2">
        <v>45816.563888888893</v>
      </c>
      <c r="C200" t="s">
        <v>261</v>
      </c>
      <c r="D200" t="s">
        <v>212</v>
      </c>
      <c r="E200">
        <v>4</v>
      </c>
      <c r="F200">
        <v>847</v>
      </c>
      <c r="G200" t="s">
        <v>220</v>
      </c>
      <c r="H200">
        <v>3388</v>
      </c>
      <c r="I200">
        <v>2025</v>
      </c>
      <c r="J200">
        <v>6</v>
      </c>
      <c r="K200">
        <v>13</v>
      </c>
      <c r="L200" s="14">
        <v>847</v>
      </c>
      <c r="M200" s="4" t="str">
        <f t="shared" si="12"/>
        <v>domingo</v>
      </c>
      <c r="N200" s="4" t="str">
        <f t="shared" si="13"/>
        <v>junio</v>
      </c>
      <c r="O200" s="4" t="str">
        <f t="shared" si="14"/>
        <v>SI</v>
      </c>
      <c r="P200" s="4" t="str">
        <f t="shared" si="15"/>
        <v>NO</v>
      </c>
      <c r="Q200" s="4" t="str" cm="1">
        <f t="array" ref="Q200">_xlfn.IFS(AND(H200&gt;=0,H200&lt;=3333),"Grupo 1",AND(H200&gt;3333,H200&lt;=6666),"Grupo 2",AND(H200&gt;6666,H200&lt;=10000),"Grupo 3")</f>
        <v>Grupo 2</v>
      </c>
    </row>
    <row r="201" spans="1:17" x14ac:dyDescent="0.25">
      <c r="A201" t="s">
        <v>211</v>
      </c>
      <c r="B201" s="2">
        <v>45089.396527777782</v>
      </c>
      <c r="C201" t="s">
        <v>262</v>
      </c>
      <c r="D201" t="s">
        <v>218</v>
      </c>
      <c r="E201">
        <v>2</v>
      </c>
      <c r="F201">
        <v>1243.3399999999999</v>
      </c>
      <c r="G201" t="s">
        <v>221</v>
      </c>
      <c r="H201">
        <v>2486.6799999999998</v>
      </c>
      <c r="I201">
        <v>2023</v>
      </c>
      <c r="J201">
        <v>6</v>
      </c>
      <c r="K201">
        <v>9</v>
      </c>
      <c r="L201" s="14">
        <v>1243.3399999999999</v>
      </c>
      <c r="M201" s="4" t="str">
        <f t="shared" si="12"/>
        <v>lunes</v>
      </c>
      <c r="N201" s="4" t="str">
        <f t="shared" si="13"/>
        <v>junio</v>
      </c>
      <c r="O201" s="4" t="str">
        <f t="shared" si="14"/>
        <v>NO</v>
      </c>
      <c r="P201" s="4" t="str">
        <f t="shared" si="15"/>
        <v>SI</v>
      </c>
      <c r="Q201" s="4" t="str" cm="1">
        <f t="array" ref="Q201">_xlfn.IFS(AND(H201&gt;=0,H201&lt;=3333),"Grupo 1",AND(H201&gt;3333,H201&lt;=6666),"Grupo 2",AND(H201&gt;6666,H201&lt;=10000),"Grupo 3")</f>
        <v>Grupo 1</v>
      </c>
    </row>
    <row r="202" spans="1:17" x14ac:dyDescent="0.25">
      <c r="A202" t="s">
        <v>12</v>
      </c>
      <c r="B202" s="2">
        <v>45280.478472222218</v>
      </c>
      <c r="C202" t="s">
        <v>263</v>
      </c>
      <c r="D202" t="s">
        <v>212</v>
      </c>
      <c r="E202">
        <v>5</v>
      </c>
      <c r="F202">
        <v>1497.24</v>
      </c>
      <c r="G202" t="s">
        <v>220</v>
      </c>
      <c r="H202">
        <v>7486.2</v>
      </c>
      <c r="I202">
        <v>2023</v>
      </c>
      <c r="J202">
        <v>12</v>
      </c>
      <c r="K202">
        <v>11</v>
      </c>
      <c r="L202" s="14">
        <v>1497.24</v>
      </c>
      <c r="M202" s="4" t="str">
        <f t="shared" si="12"/>
        <v>miércoles</v>
      </c>
      <c r="N202" s="4" t="str">
        <f t="shared" si="13"/>
        <v>diciembre</v>
      </c>
      <c r="O202" s="4" t="str">
        <f t="shared" si="14"/>
        <v>SI</v>
      </c>
      <c r="P202" s="4" t="str">
        <f t="shared" si="15"/>
        <v>SI</v>
      </c>
      <c r="Q202" s="4" t="str" cm="1">
        <f t="array" ref="Q202">_xlfn.IFS(AND(H202&gt;=0,H202&lt;=3333),"Grupo 1",AND(H202&gt;3333,H202&lt;=6666),"Grupo 2",AND(H202&gt;6666,H202&lt;=10000),"Grupo 3")</f>
        <v>Grupo 3</v>
      </c>
    </row>
    <row r="203" spans="1:17" x14ac:dyDescent="0.25">
      <c r="A203" t="s">
        <v>13</v>
      </c>
      <c r="B203" s="2">
        <v>45008.840277777781</v>
      </c>
      <c r="C203" t="s">
        <v>264</v>
      </c>
      <c r="D203" t="s">
        <v>212</v>
      </c>
      <c r="E203">
        <v>1</v>
      </c>
      <c r="F203">
        <v>1687.54</v>
      </c>
      <c r="G203" t="s">
        <v>220</v>
      </c>
      <c r="H203">
        <v>1687.54</v>
      </c>
      <c r="I203">
        <v>2023</v>
      </c>
      <c r="J203">
        <v>3</v>
      </c>
      <c r="K203">
        <v>20</v>
      </c>
      <c r="L203" s="14">
        <v>1687.54</v>
      </c>
      <c r="M203" s="4" t="str">
        <f t="shared" si="12"/>
        <v>jueves</v>
      </c>
      <c r="N203" s="4" t="str">
        <f t="shared" si="13"/>
        <v>marzo</v>
      </c>
      <c r="O203" s="4" t="str">
        <f t="shared" si="14"/>
        <v>NO</v>
      </c>
      <c r="P203" s="4" t="str">
        <f t="shared" si="15"/>
        <v>SI</v>
      </c>
      <c r="Q203" s="4" t="str" cm="1">
        <f t="array" ref="Q203">_xlfn.IFS(AND(H203&gt;=0,H203&lt;=3333),"Grupo 1",AND(H203&gt;3333,H203&lt;=6666),"Grupo 2",AND(H203&gt;6666,H203&lt;=10000),"Grupo 3")</f>
        <v>Grupo 1</v>
      </c>
    </row>
    <row r="204" spans="1:17" x14ac:dyDescent="0.25">
      <c r="A204" t="s">
        <v>14</v>
      </c>
      <c r="B204" s="2">
        <v>45355.443749999999</v>
      </c>
      <c r="C204" t="s">
        <v>265</v>
      </c>
      <c r="D204" t="s">
        <v>213</v>
      </c>
      <c r="E204">
        <v>3</v>
      </c>
      <c r="F204">
        <v>768.8</v>
      </c>
      <c r="G204" t="s">
        <v>221</v>
      </c>
      <c r="H204">
        <v>2306.4</v>
      </c>
      <c r="I204">
        <v>2024</v>
      </c>
      <c r="J204">
        <v>3</v>
      </c>
      <c r="K204">
        <v>10</v>
      </c>
      <c r="L204" s="14">
        <v>768.79999999999984</v>
      </c>
      <c r="M204" s="4" t="str">
        <f t="shared" si="12"/>
        <v>lunes</v>
      </c>
      <c r="N204" s="4" t="str">
        <f t="shared" si="13"/>
        <v>marzo</v>
      </c>
      <c r="O204" s="4" t="str">
        <f t="shared" si="14"/>
        <v>NO</v>
      </c>
      <c r="P204" s="4" t="str">
        <f t="shared" si="15"/>
        <v>NO</v>
      </c>
      <c r="Q204" s="4" t="str" cm="1">
        <f t="array" ref="Q204">_xlfn.IFS(AND(H204&gt;=0,H204&lt;=3333),"Grupo 1",AND(H204&gt;3333,H204&lt;=6666),"Grupo 2",AND(H204&gt;6666,H204&lt;=10000),"Grupo 3")</f>
        <v>Grupo 1</v>
      </c>
    </row>
    <row r="205" spans="1:17" x14ac:dyDescent="0.25">
      <c r="A205" t="s">
        <v>15</v>
      </c>
      <c r="B205" s="2">
        <v>45704.374305555553</v>
      </c>
      <c r="C205" t="s">
        <v>266</v>
      </c>
      <c r="D205" t="s">
        <v>214</v>
      </c>
      <c r="E205">
        <v>1</v>
      </c>
      <c r="F205">
        <v>1532.67</v>
      </c>
      <c r="G205" t="s">
        <v>222</v>
      </c>
      <c r="H205">
        <v>1532.67</v>
      </c>
      <c r="I205">
        <v>2025</v>
      </c>
      <c r="J205">
        <v>2</v>
      </c>
      <c r="K205">
        <v>8</v>
      </c>
      <c r="L205" s="14">
        <v>1532.67</v>
      </c>
      <c r="M205" s="4" t="str">
        <f t="shared" si="12"/>
        <v>domingo</v>
      </c>
      <c r="N205" s="4" t="str">
        <f t="shared" si="13"/>
        <v>febrero</v>
      </c>
      <c r="O205" s="4" t="str">
        <f t="shared" si="14"/>
        <v>NO</v>
      </c>
      <c r="P205" s="4" t="str">
        <f t="shared" si="15"/>
        <v>SI</v>
      </c>
      <c r="Q205" s="4" t="str" cm="1">
        <f t="array" ref="Q205">_xlfn.IFS(AND(H205&gt;=0,H205&lt;=3333),"Grupo 1",AND(H205&gt;3333,H205&lt;=6666),"Grupo 2",AND(H205&gt;6666,H205&lt;=10000),"Grupo 3")</f>
        <v>Grupo 1</v>
      </c>
    </row>
    <row r="206" spans="1:17" x14ac:dyDescent="0.25">
      <c r="A206" t="s">
        <v>16</v>
      </c>
      <c r="B206" s="2">
        <v>45772.848611111112</v>
      </c>
      <c r="C206" t="s">
        <v>267</v>
      </c>
      <c r="D206" t="s">
        <v>214</v>
      </c>
      <c r="E206">
        <v>3</v>
      </c>
      <c r="F206">
        <v>1709.47</v>
      </c>
      <c r="G206" t="s">
        <v>222</v>
      </c>
      <c r="H206">
        <v>5128.41</v>
      </c>
      <c r="I206">
        <v>2025</v>
      </c>
      <c r="J206">
        <v>4</v>
      </c>
      <c r="K206">
        <v>20</v>
      </c>
      <c r="L206" s="14">
        <v>1709.47</v>
      </c>
      <c r="M206" s="4" t="str">
        <f t="shared" si="12"/>
        <v>viernes</v>
      </c>
      <c r="N206" s="4" t="str">
        <f t="shared" si="13"/>
        <v>abril</v>
      </c>
      <c r="O206" s="4" t="str">
        <f t="shared" si="14"/>
        <v>SI</v>
      </c>
      <c r="P206" s="4" t="str">
        <f t="shared" si="15"/>
        <v>SI</v>
      </c>
      <c r="Q206" s="4" t="str" cm="1">
        <f t="array" ref="Q206">_xlfn.IFS(AND(H206&gt;=0,H206&lt;=3333),"Grupo 1",AND(H206&gt;3333,H206&lt;=6666),"Grupo 2",AND(H206&gt;6666,H206&lt;=10000),"Grupo 3")</f>
        <v>Grupo 2</v>
      </c>
    </row>
    <row r="207" spans="1:17" x14ac:dyDescent="0.25">
      <c r="A207" t="s">
        <v>17</v>
      </c>
      <c r="B207" s="2">
        <v>45101.225694444453</v>
      </c>
      <c r="C207" t="s">
        <v>268</v>
      </c>
      <c r="D207" t="s">
        <v>215</v>
      </c>
      <c r="E207">
        <v>3</v>
      </c>
      <c r="F207">
        <v>297.54000000000002</v>
      </c>
      <c r="G207" t="s">
        <v>220</v>
      </c>
      <c r="H207">
        <v>892.62000000000012</v>
      </c>
      <c r="I207">
        <v>2023</v>
      </c>
      <c r="J207">
        <v>6</v>
      </c>
      <c r="K207">
        <v>5</v>
      </c>
      <c r="L207" s="14">
        <v>297.54000000000002</v>
      </c>
      <c r="M207" s="4" t="str">
        <f t="shared" si="12"/>
        <v>sábado</v>
      </c>
      <c r="N207" s="4" t="str">
        <f t="shared" si="13"/>
        <v>junio</v>
      </c>
      <c r="O207" s="4" t="str">
        <f t="shared" si="14"/>
        <v>NO</v>
      </c>
      <c r="P207" s="4" t="str">
        <f t="shared" si="15"/>
        <v>NO</v>
      </c>
      <c r="Q207" s="4" t="str" cm="1">
        <f t="array" ref="Q207">_xlfn.IFS(AND(H207&gt;=0,H207&lt;=3333),"Grupo 1",AND(H207&gt;3333,H207&lt;=6666),"Grupo 2",AND(H207&gt;6666,H207&lt;=10000),"Grupo 3")</f>
        <v>Grupo 1</v>
      </c>
    </row>
    <row r="208" spans="1:17" x14ac:dyDescent="0.25">
      <c r="A208" t="s">
        <v>18</v>
      </c>
      <c r="B208" s="2">
        <v>45694.432638888888</v>
      </c>
      <c r="C208" t="s">
        <v>269</v>
      </c>
      <c r="D208" t="s">
        <v>216</v>
      </c>
      <c r="E208">
        <v>4</v>
      </c>
      <c r="F208">
        <v>1546.65</v>
      </c>
      <c r="G208" t="s">
        <v>221</v>
      </c>
      <c r="H208">
        <v>6186.6</v>
      </c>
      <c r="I208">
        <v>2025</v>
      </c>
      <c r="J208">
        <v>2</v>
      </c>
      <c r="K208">
        <v>10</v>
      </c>
      <c r="L208" s="14">
        <v>1546.65</v>
      </c>
      <c r="M208" s="4" t="str">
        <f t="shared" si="12"/>
        <v>jueves</v>
      </c>
      <c r="N208" s="4" t="str">
        <f t="shared" si="13"/>
        <v>febrero</v>
      </c>
      <c r="O208" s="4" t="str">
        <f t="shared" si="14"/>
        <v>SI</v>
      </c>
      <c r="P208" s="4" t="str">
        <f t="shared" si="15"/>
        <v>SI</v>
      </c>
      <c r="Q208" s="4" t="str" cm="1">
        <f t="array" ref="Q208">_xlfn.IFS(AND(H208&gt;=0,H208&lt;=3333),"Grupo 1",AND(H208&gt;3333,H208&lt;=6666),"Grupo 2",AND(H208&gt;6666,H208&lt;=10000),"Grupo 3")</f>
        <v>Grupo 2</v>
      </c>
    </row>
    <row r="209" spans="1:17" x14ac:dyDescent="0.25">
      <c r="A209" t="s">
        <v>19</v>
      </c>
      <c r="B209" s="2">
        <v>45798.69027777778</v>
      </c>
      <c r="C209" t="s">
        <v>270</v>
      </c>
      <c r="D209" t="s">
        <v>212</v>
      </c>
      <c r="E209">
        <v>1</v>
      </c>
      <c r="F209">
        <v>1575.18</v>
      </c>
      <c r="G209" t="s">
        <v>220</v>
      </c>
      <c r="H209">
        <v>1575.18</v>
      </c>
      <c r="I209">
        <v>2025</v>
      </c>
      <c r="J209">
        <v>5</v>
      </c>
      <c r="K209">
        <v>16</v>
      </c>
      <c r="L209" s="14">
        <v>1575.18</v>
      </c>
      <c r="M209" s="4" t="str">
        <f t="shared" si="12"/>
        <v>miércoles</v>
      </c>
      <c r="N209" s="4" t="str">
        <f t="shared" si="13"/>
        <v>mayo</v>
      </c>
      <c r="O209" s="4" t="str">
        <f t="shared" si="14"/>
        <v>NO</v>
      </c>
      <c r="P209" s="4" t="str">
        <f t="shared" si="15"/>
        <v>SI</v>
      </c>
      <c r="Q209" s="4" t="str" cm="1">
        <f t="array" ref="Q209">_xlfn.IFS(AND(H209&gt;=0,H209&lt;=3333),"Grupo 1",AND(H209&gt;3333,H209&lt;=6666),"Grupo 2",AND(H209&gt;6666,H209&lt;=10000),"Grupo 3")</f>
        <v>Grupo 1</v>
      </c>
    </row>
    <row r="210" spans="1:17" x14ac:dyDescent="0.25">
      <c r="A210" t="s">
        <v>20</v>
      </c>
      <c r="B210" s="2">
        <v>45425.797222222223</v>
      </c>
      <c r="C210" t="s">
        <v>271</v>
      </c>
      <c r="D210" t="s">
        <v>217</v>
      </c>
      <c r="E210">
        <v>5</v>
      </c>
      <c r="F210">
        <v>1815.86</v>
      </c>
      <c r="G210" t="s">
        <v>220</v>
      </c>
      <c r="H210">
        <v>9079.2999999999993</v>
      </c>
      <c r="I210">
        <v>2024</v>
      </c>
      <c r="J210">
        <v>5</v>
      </c>
      <c r="K210">
        <v>19</v>
      </c>
      <c r="L210" s="14">
        <v>1815.86</v>
      </c>
      <c r="M210" s="4" t="str">
        <f t="shared" si="12"/>
        <v>lunes</v>
      </c>
      <c r="N210" s="4" t="str">
        <f t="shared" si="13"/>
        <v>mayo</v>
      </c>
      <c r="O210" s="4" t="str">
        <f t="shared" si="14"/>
        <v>SI</v>
      </c>
      <c r="P210" s="4" t="str">
        <f t="shared" si="15"/>
        <v>SI</v>
      </c>
      <c r="Q210" s="4" t="str" cm="1">
        <f t="array" ref="Q210">_xlfn.IFS(AND(H210&gt;=0,H210&lt;=3333),"Grupo 1",AND(H210&gt;3333,H210&lt;=6666),"Grupo 2",AND(H210&gt;6666,H210&lt;=10000),"Grupo 3")</f>
        <v>Grupo 3</v>
      </c>
    </row>
    <row r="211" spans="1:17" x14ac:dyDescent="0.25">
      <c r="A211" t="s">
        <v>21</v>
      </c>
      <c r="B211" s="2">
        <v>45525.152083333327</v>
      </c>
      <c r="C211" t="s">
        <v>272</v>
      </c>
      <c r="D211" t="s">
        <v>212</v>
      </c>
      <c r="E211">
        <v>1</v>
      </c>
      <c r="F211">
        <v>564.11</v>
      </c>
      <c r="G211" t="s">
        <v>220</v>
      </c>
      <c r="H211">
        <v>564.11</v>
      </c>
      <c r="I211">
        <v>2024</v>
      </c>
      <c r="J211">
        <v>8</v>
      </c>
      <c r="K211">
        <v>3</v>
      </c>
      <c r="L211" s="14">
        <v>564.11</v>
      </c>
      <c r="M211" s="4" t="str">
        <f t="shared" si="12"/>
        <v>miércoles</v>
      </c>
      <c r="N211" s="4" t="str">
        <f t="shared" si="13"/>
        <v>agosto</v>
      </c>
      <c r="O211" s="4" t="str">
        <f t="shared" si="14"/>
        <v>NO</v>
      </c>
      <c r="P211" s="4" t="str">
        <f t="shared" si="15"/>
        <v>NO</v>
      </c>
      <c r="Q211" s="4" t="str" cm="1">
        <f t="array" ref="Q211">_xlfn.IFS(AND(H211&gt;=0,H211&lt;=3333),"Grupo 1",AND(H211&gt;3333,H211&lt;=6666),"Grupo 2",AND(H211&gt;6666,H211&lt;=10000),"Grupo 3")</f>
        <v>Grupo 1</v>
      </c>
    </row>
    <row r="212" spans="1:17" x14ac:dyDescent="0.25">
      <c r="A212" t="s">
        <v>22</v>
      </c>
      <c r="B212" s="2">
        <v>45580.043749999997</v>
      </c>
      <c r="C212" t="s">
        <v>273</v>
      </c>
      <c r="D212" t="s">
        <v>217</v>
      </c>
      <c r="E212">
        <v>1</v>
      </c>
      <c r="F212">
        <v>454.9</v>
      </c>
      <c r="G212" t="s">
        <v>220</v>
      </c>
      <c r="H212">
        <v>454.9</v>
      </c>
      <c r="I212">
        <v>2024</v>
      </c>
      <c r="J212">
        <v>10</v>
      </c>
      <c r="K212">
        <v>1</v>
      </c>
      <c r="L212" s="14">
        <v>454.9</v>
      </c>
      <c r="M212" s="4" t="str">
        <f t="shared" si="12"/>
        <v>martes</v>
      </c>
      <c r="N212" s="4" t="str">
        <f t="shared" si="13"/>
        <v>octubre</v>
      </c>
      <c r="O212" s="4" t="str">
        <f t="shared" si="14"/>
        <v>NO</v>
      </c>
      <c r="P212" s="4" t="str">
        <f t="shared" si="15"/>
        <v>NO</v>
      </c>
      <c r="Q212" s="4" t="str" cm="1">
        <f t="array" ref="Q212">_xlfn.IFS(AND(H212&gt;=0,H212&lt;=3333),"Grupo 1",AND(H212&gt;3333,H212&lt;=6666),"Grupo 2",AND(H212&gt;6666,H212&lt;=10000),"Grupo 3")</f>
        <v>Grupo 1</v>
      </c>
    </row>
    <row r="213" spans="1:17" x14ac:dyDescent="0.25">
      <c r="A213" t="s">
        <v>23</v>
      </c>
      <c r="B213" s="2">
        <v>45551.151388888888</v>
      </c>
      <c r="C213" t="s">
        <v>274</v>
      </c>
      <c r="D213" t="s">
        <v>218</v>
      </c>
      <c r="E213">
        <v>3</v>
      </c>
      <c r="F213">
        <v>1277.51</v>
      </c>
      <c r="G213" t="s">
        <v>221</v>
      </c>
      <c r="H213">
        <v>3832.53</v>
      </c>
      <c r="I213">
        <v>2024</v>
      </c>
      <c r="J213">
        <v>9</v>
      </c>
      <c r="K213">
        <v>3</v>
      </c>
      <c r="L213" s="14">
        <v>1277.51</v>
      </c>
      <c r="M213" s="4" t="str">
        <f t="shared" si="12"/>
        <v>lunes</v>
      </c>
      <c r="N213" s="4" t="str">
        <f t="shared" si="13"/>
        <v>septiembre</v>
      </c>
      <c r="O213" s="4" t="str">
        <f t="shared" si="14"/>
        <v>SI</v>
      </c>
      <c r="P213" s="4" t="str">
        <f t="shared" si="15"/>
        <v>SI</v>
      </c>
      <c r="Q213" s="4" t="str" cm="1">
        <f t="array" ref="Q213">_xlfn.IFS(AND(H213&gt;=0,H213&lt;=3333),"Grupo 1",AND(H213&gt;3333,H213&lt;=6666),"Grupo 2",AND(H213&gt;6666,H213&lt;=10000),"Grupo 3")</f>
        <v>Grupo 2</v>
      </c>
    </row>
    <row r="214" spans="1:17" x14ac:dyDescent="0.25">
      <c r="A214" t="s">
        <v>24</v>
      </c>
      <c r="B214" s="2">
        <v>45230.395833333343</v>
      </c>
      <c r="C214" t="s">
        <v>275</v>
      </c>
      <c r="D214" t="s">
        <v>214</v>
      </c>
      <c r="E214">
        <v>2</v>
      </c>
      <c r="F214">
        <v>1870.95</v>
      </c>
      <c r="G214" t="s">
        <v>222</v>
      </c>
      <c r="H214">
        <v>3741.9</v>
      </c>
      <c r="I214">
        <v>2023</v>
      </c>
      <c r="J214">
        <v>10</v>
      </c>
      <c r="K214">
        <v>9</v>
      </c>
      <c r="L214" s="14">
        <v>1870.95</v>
      </c>
      <c r="M214" s="4" t="str">
        <f t="shared" si="12"/>
        <v>martes</v>
      </c>
      <c r="N214" s="4" t="str">
        <f t="shared" si="13"/>
        <v>octubre</v>
      </c>
      <c r="O214" s="4" t="str">
        <f t="shared" si="14"/>
        <v>SI</v>
      </c>
      <c r="P214" s="4" t="str">
        <f t="shared" si="15"/>
        <v>SI</v>
      </c>
      <c r="Q214" s="4" t="str" cm="1">
        <f t="array" ref="Q214">_xlfn.IFS(AND(H214&gt;=0,H214&lt;=3333),"Grupo 1",AND(H214&gt;3333,H214&lt;=6666),"Grupo 2",AND(H214&gt;6666,H214&lt;=10000),"Grupo 3")</f>
        <v>Grupo 2</v>
      </c>
    </row>
    <row r="215" spans="1:17" x14ac:dyDescent="0.25">
      <c r="A215" t="s">
        <v>25</v>
      </c>
      <c r="B215" s="2">
        <v>45234.645833333343</v>
      </c>
      <c r="C215" t="s">
        <v>276</v>
      </c>
      <c r="D215" t="s">
        <v>212</v>
      </c>
      <c r="E215">
        <v>4</v>
      </c>
      <c r="F215">
        <v>1227.23</v>
      </c>
      <c r="G215" t="s">
        <v>220</v>
      </c>
      <c r="H215">
        <v>4908.92</v>
      </c>
      <c r="I215">
        <v>2023</v>
      </c>
      <c r="J215">
        <v>11</v>
      </c>
      <c r="K215">
        <v>15</v>
      </c>
      <c r="L215" s="14">
        <v>1227.23</v>
      </c>
      <c r="M215" s="4" t="str">
        <f t="shared" si="12"/>
        <v>sábado</v>
      </c>
      <c r="N215" s="4" t="str">
        <f t="shared" si="13"/>
        <v>noviembre</v>
      </c>
      <c r="O215" s="4" t="str">
        <f t="shared" si="14"/>
        <v>SI</v>
      </c>
      <c r="P215" s="4" t="str">
        <f t="shared" si="15"/>
        <v>SI</v>
      </c>
      <c r="Q215" s="4" t="str" cm="1">
        <f t="array" ref="Q215">_xlfn.IFS(AND(H215&gt;=0,H215&lt;=3333),"Grupo 1",AND(H215&gt;3333,H215&lt;=6666),"Grupo 2",AND(H215&gt;6666,H215&lt;=10000),"Grupo 3")</f>
        <v>Grupo 2</v>
      </c>
    </row>
    <row r="216" spans="1:17" x14ac:dyDescent="0.25">
      <c r="A216" t="s">
        <v>26</v>
      </c>
      <c r="B216" s="2">
        <v>45464.76666666667</v>
      </c>
      <c r="C216" t="s">
        <v>277</v>
      </c>
      <c r="D216" t="s">
        <v>215</v>
      </c>
      <c r="E216">
        <v>1</v>
      </c>
      <c r="F216">
        <v>1329.6</v>
      </c>
      <c r="G216" t="s">
        <v>220</v>
      </c>
      <c r="H216">
        <v>1329.6</v>
      </c>
      <c r="I216">
        <v>2024</v>
      </c>
      <c r="J216">
        <v>6</v>
      </c>
      <c r="K216">
        <v>18</v>
      </c>
      <c r="L216" s="14">
        <v>1329.6</v>
      </c>
      <c r="M216" s="4" t="str">
        <f t="shared" si="12"/>
        <v>viernes</v>
      </c>
      <c r="N216" s="4" t="str">
        <f t="shared" si="13"/>
        <v>junio</v>
      </c>
      <c r="O216" s="4" t="str">
        <f t="shared" si="14"/>
        <v>NO</v>
      </c>
      <c r="P216" s="4" t="str">
        <f t="shared" si="15"/>
        <v>SI</v>
      </c>
      <c r="Q216" s="4" t="str" cm="1">
        <f t="array" ref="Q216">_xlfn.IFS(AND(H216&gt;=0,H216&lt;=3333),"Grupo 1",AND(H216&gt;3333,H216&lt;=6666),"Grupo 2",AND(H216&gt;6666,H216&lt;=10000),"Grupo 3")</f>
        <v>Grupo 1</v>
      </c>
    </row>
    <row r="217" spans="1:17" x14ac:dyDescent="0.25">
      <c r="A217" t="s">
        <v>27</v>
      </c>
      <c r="B217" s="2">
        <v>45138.240277777782</v>
      </c>
      <c r="C217" t="s">
        <v>278</v>
      </c>
      <c r="D217" t="s">
        <v>212</v>
      </c>
      <c r="E217">
        <v>3</v>
      </c>
      <c r="F217">
        <v>1734.12</v>
      </c>
      <c r="G217" t="s">
        <v>220</v>
      </c>
      <c r="H217">
        <v>5202.3599999999997</v>
      </c>
      <c r="I217">
        <v>2023</v>
      </c>
      <c r="J217">
        <v>7</v>
      </c>
      <c r="K217">
        <v>5</v>
      </c>
      <c r="L217" s="14">
        <v>1734.12</v>
      </c>
      <c r="M217" s="4" t="str">
        <f t="shared" si="12"/>
        <v>lunes</v>
      </c>
      <c r="N217" s="4" t="str">
        <f t="shared" si="13"/>
        <v>julio</v>
      </c>
      <c r="O217" s="4" t="str">
        <f t="shared" si="14"/>
        <v>SI</v>
      </c>
      <c r="P217" s="4" t="str">
        <f t="shared" si="15"/>
        <v>SI</v>
      </c>
      <c r="Q217" s="4" t="str" cm="1">
        <f t="array" ref="Q217">_xlfn.IFS(AND(H217&gt;=0,H217&lt;=3333),"Grupo 1",AND(H217&gt;3333,H217&lt;=6666),"Grupo 2",AND(H217&gt;6666,H217&lt;=10000),"Grupo 3")</f>
        <v>Grupo 2</v>
      </c>
    </row>
    <row r="218" spans="1:17" x14ac:dyDescent="0.25">
      <c r="A218" t="s">
        <v>28</v>
      </c>
      <c r="B218" s="2">
        <v>45455.688888888893</v>
      </c>
      <c r="C218" t="s">
        <v>279</v>
      </c>
      <c r="D218" t="s">
        <v>212</v>
      </c>
      <c r="E218">
        <v>1</v>
      </c>
      <c r="F218">
        <v>1209.6199999999999</v>
      </c>
      <c r="G218" t="s">
        <v>220</v>
      </c>
      <c r="H218">
        <v>1209.6199999999999</v>
      </c>
      <c r="I218">
        <v>2024</v>
      </c>
      <c r="J218">
        <v>6</v>
      </c>
      <c r="K218">
        <v>16</v>
      </c>
      <c r="L218" s="14">
        <v>1209.6199999999999</v>
      </c>
      <c r="M218" s="4" t="str">
        <f t="shared" si="12"/>
        <v>miércoles</v>
      </c>
      <c r="N218" s="4" t="str">
        <f t="shared" si="13"/>
        <v>junio</v>
      </c>
      <c r="O218" s="4" t="str">
        <f t="shared" si="14"/>
        <v>NO</v>
      </c>
      <c r="P218" s="4" t="str">
        <f t="shared" si="15"/>
        <v>SI</v>
      </c>
      <c r="Q218" s="4" t="str" cm="1">
        <f t="array" ref="Q218">_xlfn.IFS(AND(H218&gt;=0,H218&lt;=3333),"Grupo 1",AND(H218&gt;3333,H218&lt;=6666),"Grupo 2",AND(H218&gt;6666,H218&lt;=10000),"Grupo 3")</f>
        <v>Grupo 1</v>
      </c>
    </row>
    <row r="219" spans="1:17" x14ac:dyDescent="0.25">
      <c r="A219" t="s">
        <v>29</v>
      </c>
      <c r="B219" s="2">
        <v>45301.151388888888</v>
      </c>
      <c r="C219" t="s">
        <v>280</v>
      </c>
      <c r="D219" t="s">
        <v>218</v>
      </c>
      <c r="E219">
        <v>3</v>
      </c>
      <c r="F219">
        <v>922.33</v>
      </c>
      <c r="G219" t="s">
        <v>221</v>
      </c>
      <c r="H219">
        <v>2766.99</v>
      </c>
      <c r="I219">
        <v>2024</v>
      </c>
      <c r="J219">
        <v>1</v>
      </c>
      <c r="K219">
        <v>3</v>
      </c>
      <c r="L219" s="14">
        <v>922.33</v>
      </c>
      <c r="M219" s="4" t="str">
        <f t="shared" si="12"/>
        <v>miércoles</v>
      </c>
      <c r="N219" s="4" t="str">
        <f t="shared" si="13"/>
        <v>enero</v>
      </c>
      <c r="O219" s="4" t="str">
        <f t="shared" si="14"/>
        <v>NO</v>
      </c>
      <c r="P219" s="4" t="str">
        <f t="shared" si="15"/>
        <v>NO</v>
      </c>
      <c r="Q219" s="4" t="str" cm="1">
        <f t="array" ref="Q219">_xlfn.IFS(AND(H219&gt;=0,H219&lt;=3333),"Grupo 1",AND(H219&gt;3333,H219&lt;=6666),"Grupo 2",AND(H219&gt;6666,H219&lt;=10000),"Grupo 3")</f>
        <v>Grupo 1</v>
      </c>
    </row>
    <row r="220" spans="1:17" x14ac:dyDescent="0.25">
      <c r="A220" t="s">
        <v>30</v>
      </c>
      <c r="B220" s="2">
        <v>45677.761111111111</v>
      </c>
      <c r="C220" t="s">
        <v>281</v>
      </c>
      <c r="D220" t="s">
        <v>216</v>
      </c>
      <c r="E220">
        <v>4</v>
      </c>
      <c r="F220">
        <v>54.42</v>
      </c>
      <c r="G220" t="s">
        <v>221</v>
      </c>
      <c r="H220">
        <v>217.68</v>
      </c>
      <c r="I220">
        <v>2025</v>
      </c>
      <c r="J220">
        <v>1</v>
      </c>
      <c r="K220">
        <v>18</v>
      </c>
      <c r="L220" s="14">
        <v>54.42</v>
      </c>
      <c r="M220" s="4" t="str">
        <f t="shared" si="12"/>
        <v>lunes</v>
      </c>
      <c r="N220" s="4" t="str">
        <f t="shared" si="13"/>
        <v>enero</v>
      </c>
      <c r="O220" s="4" t="str">
        <f t="shared" si="14"/>
        <v>NO</v>
      </c>
      <c r="P220" s="4" t="str">
        <f t="shared" si="15"/>
        <v>NO</v>
      </c>
      <c r="Q220" s="4" t="str" cm="1">
        <f t="array" ref="Q220">_xlfn.IFS(AND(H220&gt;=0,H220&lt;=3333),"Grupo 1",AND(H220&gt;3333,H220&lt;=6666),"Grupo 2",AND(H220&gt;6666,H220&lt;=10000),"Grupo 3")</f>
        <v>Grupo 1</v>
      </c>
    </row>
    <row r="221" spans="1:17" x14ac:dyDescent="0.25">
      <c r="A221" t="s">
        <v>31</v>
      </c>
      <c r="B221" s="2">
        <v>45238.713888888888</v>
      </c>
      <c r="C221" t="s">
        <v>282</v>
      </c>
      <c r="D221" t="s">
        <v>218</v>
      </c>
      <c r="E221">
        <v>2</v>
      </c>
      <c r="F221">
        <v>1567.18</v>
      </c>
      <c r="G221" t="s">
        <v>221</v>
      </c>
      <c r="H221">
        <v>3134.36</v>
      </c>
      <c r="I221">
        <v>2023</v>
      </c>
      <c r="J221">
        <v>11</v>
      </c>
      <c r="K221">
        <v>17</v>
      </c>
      <c r="L221" s="14">
        <v>1567.18</v>
      </c>
      <c r="M221" s="4" t="str">
        <f t="shared" si="12"/>
        <v>miércoles</v>
      </c>
      <c r="N221" s="4" t="str">
        <f t="shared" si="13"/>
        <v>noviembre</v>
      </c>
      <c r="O221" s="4" t="str">
        <f t="shared" si="14"/>
        <v>SI</v>
      </c>
      <c r="P221" s="4" t="str">
        <f t="shared" si="15"/>
        <v>SI</v>
      </c>
      <c r="Q221" s="4" t="str" cm="1">
        <f t="array" ref="Q221">_xlfn.IFS(AND(H221&gt;=0,H221&lt;=3333),"Grupo 1",AND(H221&gt;3333,H221&lt;=6666),"Grupo 2",AND(H221&gt;6666,H221&lt;=10000),"Grupo 3")</f>
        <v>Grupo 1</v>
      </c>
    </row>
    <row r="222" spans="1:17" x14ac:dyDescent="0.25">
      <c r="A222" t="s">
        <v>32</v>
      </c>
      <c r="B222" s="2">
        <v>45231.386111111111</v>
      </c>
      <c r="C222" t="s">
        <v>283</v>
      </c>
      <c r="D222" t="s">
        <v>213</v>
      </c>
      <c r="E222">
        <v>2</v>
      </c>
      <c r="F222">
        <v>519.79999999999995</v>
      </c>
      <c r="G222" t="s">
        <v>221</v>
      </c>
      <c r="H222">
        <v>1039.5999999999999</v>
      </c>
      <c r="I222">
        <v>2023</v>
      </c>
      <c r="J222">
        <v>11</v>
      </c>
      <c r="K222">
        <v>9</v>
      </c>
      <c r="L222" s="14">
        <v>519.79999999999995</v>
      </c>
      <c r="M222" s="4" t="str">
        <f t="shared" si="12"/>
        <v>miércoles</v>
      </c>
      <c r="N222" s="4" t="str">
        <f t="shared" si="13"/>
        <v>noviembre</v>
      </c>
      <c r="O222" s="4" t="str">
        <f t="shared" si="14"/>
        <v>NO</v>
      </c>
      <c r="P222" s="4" t="str">
        <f t="shared" si="15"/>
        <v>NO</v>
      </c>
      <c r="Q222" s="4" t="str" cm="1">
        <f t="array" ref="Q222">_xlfn.IFS(AND(H222&gt;=0,H222&lt;=3333),"Grupo 1",AND(H222&gt;3333,H222&lt;=6666),"Grupo 2",AND(H222&gt;6666,H222&lt;=10000),"Grupo 3")</f>
        <v>Grupo 1</v>
      </c>
    </row>
    <row r="223" spans="1:17" x14ac:dyDescent="0.25">
      <c r="A223" t="s">
        <v>33</v>
      </c>
      <c r="B223" s="2">
        <v>45421.563888888893</v>
      </c>
      <c r="C223" t="s">
        <v>284</v>
      </c>
      <c r="D223" t="s">
        <v>214</v>
      </c>
      <c r="E223">
        <v>1</v>
      </c>
      <c r="F223">
        <v>1267.01</v>
      </c>
      <c r="G223" t="s">
        <v>222</v>
      </c>
      <c r="H223">
        <v>1267.01</v>
      </c>
      <c r="I223">
        <v>2024</v>
      </c>
      <c r="J223">
        <v>5</v>
      </c>
      <c r="K223">
        <v>13</v>
      </c>
      <c r="L223" s="14">
        <v>1267.01</v>
      </c>
      <c r="M223" s="4" t="str">
        <f t="shared" si="12"/>
        <v>jueves</v>
      </c>
      <c r="N223" s="4" t="str">
        <f t="shared" si="13"/>
        <v>mayo</v>
      </c>
      <c r="O223" s="4" t="str">
        <f t="shared" si="14"/>
        <v>NO</v>
      </c>
      <c r="P223" s="4" t="str">
        <f t="shared" si="15"/>
        <v>SI</v>
      </c>
      <c r="Q223" s="4" t="str" cm="1">
        <f t="array" ref="Q223">_xlfn.IFS(AND(H223&gt;=0,H223&lt;=3333),"Grupo 1",AND(H223&gt;3333,H223&lt;=6666),"Grupo 2",AND(H223&gt;6666,H223&lt;=10000),"Grupo 3")</f>
        <v>Grupo 1</v>
      </c>
    </row>
    <row r="224" spans="1:17" x14ac:dyDescent="0.25">
      <c r="A224" t="s">
        <v>34</v>
      </c>
      <c r="B224" s="2">
        <v>45437.592361111107</v>
      </c>
      <c r="C224" t="s">
        <v>285</v>
      </c>
      <c r="D224" t="s">
        <v>212</v>
      </c>
      <c r="E224">
        <v>4</v>
      </c>
      <c r="F224">
        <v>1027.81</v>
      </c>
      <c r="G224" t="s">
        <v>220</v>
      </c>
      <c r="H224">
        <v>4111.24</v>
      </c>
      <c r="I224">
        <v>2024</v>
      </c>
      <c r="J224">
        <v>5</v>
      </c>
      <c r="K224">
        <v>14</v>
      </c>
      <c r="L224" s="14">
        <v>1027.81</v>
      </c>
      <c r="M224" s="4" t="str">
        <f t="shared" si="12"/>
        <v>sábado</v>
      </c>
      <c r="N224" s="4" t="str">
        <f t="shared" si="13"/>
        <v>mayo</v>
      </c>
      <c r="O224" s="4" t="str">
        <f t="shared" si="14"/>
        <v>SI</v>
      </c>
      <c r="P224" s="4" t="str">
        <f t="shared" si="15"/>
        <v>SI</v>
      </c>
      <c r="Q224" s="4" t="str" cm="1">
        <f t="array" ref="Q224">_xlfn.IFS(AND(H224&gt;=0,H224&lt;=3333),"Grupo 1",AND(H224&gt;3333,H224&lt;=6666),"Grupo 2",AND(H224&gt;6666,H224&lt;=10000),"Grupo 3")</f>
        <v>Grupo 2</v>
      </c>
    </row>
    <row r="225" spans="1:17" x14ac:dyDescent="0.25">
      <c r="A225" t="s">
        <v>35</v>
      </c>
      <c r="B225" s="2">
        <v>45355.487500000003</v>
      </c>
      <c r="C225" t="s">
        <v>286</v>
      </c>
      <c r="D225" t="s">
        <v>216</v>
      </c>
      <c r="E225">
        <v>3</v>
      </c>
      <c r="F225">
        <v>925.62</v>
      </c>
      <c r="G225" t="s">
        <v>221</v>
      </c>
      <c r="H225">
        <v>2776.86</v>
      </c>
      <c r="I225">
        <v>2024</v>
      </c>
      <c r="J225">
        <v>3</v>
      </c>
      <c r="K225">
        <v>11</v>
      </c>
      <c r="L225" s="14">
        <v>925.62</v>
      </c>
      <c r="M225" s="4" t="str">
        <f t="shared" si="12"/>
        <v>lunes</v>
      </c>
      <c r="N225" s="4" t="str">
        <f t="shared" si="13"/>
        <v>marzo</v>
      </c>
      <c r="O225" s="4" t="str">
        <f t="shared" si="14"/>
        <v>NO</v>
      </c>
      <c r="P225" s="4" t="str">
        <f t="shared" si="15"/>
        <v>NO</v>
      </c>
      <c r="Q225" s="4" t="str" cm="1">
        <f t="array" ref="Q225">_xlfn.IFS(AND(H225&gt;=0,H225&lt;=3333),"Grupo 1",AND(H225&gt;3333,H225&lt;=6666),"Grupo 2",AND(H225&gt;6666,H225&lt;=10000),"Grupo 3")</f>
        <v>Grupo 1</v>
      </c>
    </row>
    <row r="226" spans="1:17" x14ac:dyDescent="0.25">
      <c r="A226" t="s">
        <v>36</v>
      </c>
      <c r="B226" s="2">
        <v>45924.43472222222</v>
      </c>
      <c r="C226" t="s">
        <v>287</v>
      </c>
      <c r="D226" t="s">
        <v>212</v>
      </c>
      <c r="E226">
        <v>3</v>
      </c>
      <c r="F226">
        <v>213.71</v>
      </c>
      <c r="G226" t="s">
        <v>220</v>
      </c>
      <c r="H226">
        <v>641.13</v>
      </c>
      <c r="I226">
        <v>2025</v>
      </c>
      <c r="J226">
        <v>9</v>
      </c>
      <c r="K226">
        <v>10</v>
      </c>
      <c r="L226" s="14">
        <v>213.71</v>
      </c>
      <c r="M226" s="4" t="str">
        <f t="shared" si="12"/>
        <v>miércoles</v>
      </c>
      <c r="N226" s="4" t="str">
        <f t="shared" si="13"/>
        <v>septiembre</v>
      </c>
      <c r="O226" s="4" t="str">
        <f t="shared" si="14"/>
        <v>NO</v>
      </c>
      <c r="P226" s="4" t="str">
        <f t="shared" si="15"/>
        <v>NO</v>
      </c>
      <c r="Q226" s="4" t="str" cm="1">
        <f t="array" ref="Q226">_xlfn.IFS(AND(H226&gt;=0,H226&lt;=3333),"Grupo 1",AND(H226&gt;3333,H226&lt;=6666),"Grupo 2",AND(H226&gt;6666,H226&lt;=10000),"Grupo 3")</f>
        <v>Grupo 1</v>
      </c>
    </row>
    <row r="227" spans="1:17" x14ac:dyDescent="0.25">
      <c r="A227" t="s">
        <v>37</v>
      </c>
      <c r="B227" s="2">
        <v>45471.931250000001</v>
      </c>
      <c r="C227" t="s">
        <v>288</v>
      </c>
      <c r="D227" t="s">
        <v>217</v>
      </c>
      <c r="E227">
        <v>2</v>
      </c>
      <c r="F227">
        <v>1146.75</v>
      </c>
      <c r="G227" t="s">
        <v>220</v>
      </c>
      <c r="H227">
        <v>2293.5</v>
      </c>
      <c r="I227">
        <v>2024</v>
      </c>
      <c r="J227">
        <v>6</v>
      </c>
      <c r="K227">
        <v>22</v>
      </c>
      <c r="L227" s="14">
        <v>1146.75</v>
      </c>
      <c r="M227" s="4" t="str">
        <f t="shared" si="12"/>
        <v>viernes</v>
      </c>
      <c r="N227" s="4" t="str">
        <f t="shared" si="13"/>
        <v>junio</v>
      </c>
      <c r="O227" s="4" t="str">
        <f t="shared" si="14"/>
        <v>NO</v>
      </c>
      <c r="P227" s="4" t="str">
        <f t="shared" si="15"/>
        <v>SI</v>
      </c>
      <c r="Q227" s="4" t="str" cm="1">
        <f t="array" ref="Q227">_xlfn.IFS(AND(H227&gt;=0,H227&lt;=3333),"Grupo 1",AND(H227&gt;3333,H227&lt;=6666),"Grupo 2",AND(H227&gt;6666,H227&lt;=10000),"Grupo 3")</f>
        <v>Grupo 1</v>
      </c>
    </row>
    <row r="228" spans="1:17" x14ac:dyDescent="0.25">
      <c r="A228" t="s">
        <v>38</v>
      </c>
      <c r="B228" s="2">
        <v>45003.59097222222</v>
      </c>
      <c r="C228" t="s">
        <v>289</v>
      </c>
      <c r="D228" t="s">
        <v>217</v>
      </c>
      <c r="E228">
        <v>5</v>
      </c>
      <c r="F228">
        <v>907.28</v>
      </c>
      <c r="G228" t="s">
        <v>220</v>
      </c>
      <c r="H228">
        <v>4536.3999999999996</v>
      </c>
      <c r="I228">
        <v>2023</v>
      </c>
      <c r="J228">
        <v>3</v>
      </c>
      <c r="K228">
        <v>14</v>
      </c>
      <c r="L228" s="14">
        <v>907.28</v>
      </c>
      <c r="M228" s="4" t="str">
        <f t="shared" si="12"/>
        <v>sábado</v>
      </c>
      <c r="N228" s="4" t="str">
        <f t="shared" si="13"/>
        <v>marzo</v>
      </c>
      <c r="O228" s="4" t="str">
        <f t="shared" si="14"/>
        <v>SI</v>
      </c>
      <c r="P228" s="4" t="str">
        <f t="shared" si="15"/>
        <v>NO</v>
      </c>
      <c r="Q228" s="4" t="str" cm="1">
        <f t="array" ref="Q228">_xlfn.IFS(AND(H228&gt;=0,H228&lt;=3333),"Grupo 1",AND(H228&gt;3333,H228&lt;=6666),"Grupo 2",AND(H228&gt;6666,H228&lt;=10000),"Grupo 3")</f>
        <v>Grupo 2</v>
      </c>
    </row>
    <row r="229" spans="1:17" x14ac:dyDescent="0.25">
      <c r="A229" t="s">
        <v>39</v>
      </c>
      <c r="B229" s="2">
        <v>45206.394444444442</v>
      </c>
      <c r="C229" t="s">
        <v>290</v>
      </c>
      <c r="D229" t="s">
        <v>216</v>
      </c>
      <c r="E229">
        <v>2</v>
      </c>
      <c r="F229">
        <v>1734.44</v>
      </c>
      <c r="G229" t="s">
        <v>221</v>
      </c>
      <c r="H229">
        <v>3468.88</v>
      </c>
      <c r="I229">
        <v>2023</v>
      </c>
      <c r="J229">
        <v>10</v>
      </c>
      <c r="K229">
        <v>9</v>
      </c>
      <c r="L229" s="14">
        <v>1734.44</v>
      </c>
      <c r="M229" s="4" t="str">
        <f t="shared" si="12"/>
        <v>sábado</v>
      </c>
      <c r="N229" s="4" t="str">
        <f t="shared" si="13"/>
        <v>octubre</v>
      </c>
      <c r="O229" s="4" t="str">
        <f t="shared" si="14"/>
        <v>SI</v>
      </c>
      <c r="P229" s="4" t="str">
        <f t="shared" si="15"/>
        <v>SI</v>
      </c>
      <c r="Q229" s="4" t="str" cm="1">
        <f t="array" ref="Q229">_xlfn.IFS(AND(H229&gt;=0,H229&lt;=3333),"Grupo 1",AND(H229&gt;3333,H229&lt;=6666),"Grupo 2",AND(H229&gt;6666,H229&lt;=10000),"Grupo 3")</f>
        <v>Grupo 2</v>
      </c>
    </row>
    <row r="230" spans="1:17" x14ac:dyDescent="0.25">
      <c r="A230" t="s">
        <v>40</v>
      </c>
      <c r="B230" s="2">
        <v>45595.773611111108</v>
      </c>
      <c r="C230" t="s">
        <v>291</v>
      </c>
      <c r="D230" t="s">
        <v>213</v>
      </c>
      <c r="E230">
        <v>1</v>
      </c>
      <c r="F230">
        <v>424.35</v>
      </c>
      <c r="G230" t="s">
        <v>221</v>
      </c>
      <c r="H230">
        <v>424.35</v>
      </c>
      <c r="I230">
        <v>2024</v>
      </c>
      <c r="J230">
        <v>10</v>
      </c>
      <c r="K230">
        <v>18</v>
      </c>
      <c r="L230" s="14">
        <v>424.35</v>
      </c>
      <c r="M230" s="4" t="str">
        <f t="shared" si="12"/>
        <v>miércoles</v>
      </c>
      <c r="N230" s="4" t="str">
        <f t="shared" si="13"/>
        <v>octubre</v>
      </c>
      <c r="O230" s="4" t="str">
        <f t="shared" si="14"/>
        <v>NO</v>
      </c>
      <c r="P230" s="4" t="str">
        <f t="shared" si="15"/>
        <v>NO</v>
      </c>
      <c r="Q230" s="4" t="str" cm="1">
        <f t="array" ref="Q230">_xlfn.IFS(AND(H230&gt;=0,H230&lt;=3333),"Grupo 1",AND(H230&gt;3333,H230&lt;=6666),"Grupo 2",AND(H230&gt;6666,H230&lt;=10000),"Grupo 3")</f>
        <v>Grupo 1</v>
      </c>
    </row>
    <row r="231" spans="1:17" x14ac:dyDescent="0.25">
      <c r="A231" t="s">
        <v>41</v>
      </c>
      <c r="B231" s="2">
        <v>45888.736805555563</v>
      </c>
      <c r="C231" t="s">
        <v>292</v>
      </c>
      <c r="D231" t="s">
        <v>212</v>
      </c>
      <c r="E231">
        <v>1</v>
      </c>
      <c r="F231">
        <v>252.57</v>
      </c>
      <c r="G231" t="s">
        <v>220</v>
      </c>
      <c r="H231">
        <v>252.57</v>
      </c>
      <c r="I231">
        <v>2025</v>
      </c>
      <c r="J231">
        <v>8</v>
      </c>
      <c r="K231">
        <v>17</v>
      </c>
      <c r="L231" s="14">
        <v>252.57</v>
      </c>
      <c r="M231" s="4" t="str">
        <f t="shared" si="12"/>
        <v>martes</v>
      </c>
      <c r="N231" s="4" t="str">
        <f t="shared" si="13"/>
        <v>agosto</v>
      </c>
      <c r="O231" s="4" t="str">
        <f t="shared" si="14"/>
        <v>NO</v>
      </c>
      <c r="P231" s="4" t="str">
        <f t="shared" si="15"/>
        <v>NO</v>
      </c>
      <c r="Q231" s="4" t="str" cm="1">
        <f t="array" ref="Q231">_xlfn.IFS(AND(H231&gt;=0,H231&lt;=3333),"Grupo 1",AND(H231&gt;3333,H231&lt;=6666),"Grupo 2",AND(H231&gt;6666,H231&lt;=10000),"Grupo 3")</f>
        <v>Grupo 1</v>
      </c>
    </row>
    <row r="232" spans="1:17" x14ac:dyDescent="0.25">
      <c r="A232" t="s">
        <v>42</v>
      </c>
      <c r="B232" s="2">
        <v>45478.06527777778</v>
      </c>
      <c r="C232" t="s">
        <v>293</v>
      </c>
      <c r="D232" t="s">
        <v>218</v>
      </c>
      <c r="E232">
        <v>3</v>
      </c>
      <c r="F232">
        <v>21.56</v>
      </c>
      <c r="G232" t="s">
        <v>221</v>
      </c>
      <c r="H232">
        <v>64.679999999999993</v>
      </c>
      <c r="I232">
        <v>2024</v>
      </c>
      <c r="J232">
        <v>7</v>
      </c>
      <c r="K232">
        <v>1</v>
      </c>
      <c r="L232" s="14">
        <v>21.56</v>
      </c>
      <c r="M232" s="4" t="str">
        <f t="shared" si="12"/>
        <v>viernes</v>
      </c>
      <c r="N232" s="4" t="str">
        <f t="shared" si="13"/>
        <v>julio</v>
      </c>
      <c r="O232" s="4" t="str">
        <f t="shared" si="14"/>
        <v>NO</v>
      </c>
      <c r="P232" s="4" t="str">
        <f t="shared" si="15"/>
        <v>NO</v>
      </c>
      <c r="Q232" s="4" t="str" cm="1">
        <f t="array" ref="Q232">_xlfn.IFS(AND(H232&gt;=0,H232&lt;=3333),"Grupo 1",AND(H232&gt;3333,H232&lt;=6666),"Grupo 2",AND(H232&gt;6666,H232&lt;=10000),"Grupo 3")</f>
        <v>Grupo 1</v>
      </c>
    </row>
    <row r="233" spans="1:17" x14ac:dyDescent="0.25">
      <c r="A233" t="s">
        <v>43</v>
      </c>
      <c r="B233" s="2">
        <v>45402.668749999997</v>
      </c>
      <c r="C233" t="s">
        <v>294</v>
      </c>
      <c r="D233" t="s">
        <v>214</v>
      </c>
      <c r="E233">
        <v>1</v>
      </c>
      <c r="F233">
        <v>446.81</v>
      </c>
      <c r="G233" t="s">
        <v>222</v>
      </c>
      <c r="H233">
        <v>446.81</v>
      </c>
      <c r="I233">
        <v>2024</v>
      </c>
      <c r="J233">
        <v>4</v>
      </c>
      <c r="K233">
        <v>16</v>
      </c>
      <c r="L233" s="14">
        <v>446.81</v>
      </c>
      <c r="M233" s="4" t="str">
        <f t="shared" si="12"/>
        <v>sábado</v>
      </c>
      <c r="N233" s="4" t="str">
        <f t="shared" si="13"/>
        <v>abril</v>
      </c>
      <c r="O233" s="4" t="str">
        <f t="shared" si="14"/>
        <v>NO</v>
      </c>
      <c r="P233" s="4" t="str">
        <f t="shared" si="15"/>
        <v>NO</v>
      </c>
      <c r="Q233" s="4" t="str" cm="1">
        <f t="array" ref="Q233">_xlfn.IFS(AND(H233&gt;=0,H233&lt;=3333),"Grupo 1",AND(H233&gt;3333,H233&lt;=6666),"Grupo 2",AND(H233&gt;6666,H233&lt;=10000),"Grupo 3")</f>
        <v>Grupo 1</v>
      </c>
    </row>
    <row r="234" spans="1:17" x14ac:dyDescent="0.25">
      <c r="A234" t="s">
        <v>44</v>
      </c>
      <c r="B234" s="2">
        <v>45033.806944444441</v>
      </c>
      <c r="C234" t="s">
        <v>295</v>
      </c>
      <c r="D234" t="s">
        <v>218</v>
      </c>
      <c r="E234">
        <v>2</v>
      </c>
      <c r="F234">
        <v>64.67</v>
      </c>
      <c r="G234" t="s">
        <v>221</v>
      </c>
      <c r="H234">
        <v>129.34</v>
      </c>
      <c r="I234">
        <v>2023</v>
      </c>
      <c r="J234">
        <v>4</v>
      </c>
      <c r="K234">
        <v>19</v>
      </c>
      <c r="L234" s="14">
        <v>64.67</v>
      </c>
      <c r="M234" s="4" t="str">
        <f t="shared" si="12"/>
        <v>lunes</v>
      </c>
      <c r="N234" s="4" t="str">
        <f t="shared" si="13"/>
        <v>abril</v>
      </c>
      <c r="O234" s="4" t="str">
        <f t="shared" si="14"/>
        <v>NO</v>
      </c>
      <c r="P234" s="4" t="str">
        <f t="shared" si="15"/>
        <v>NO</v>
      </c>
      <c r="Q234" s="4" t="str" cm="1">
        <f t="array" ref="Q234">_xlfn.IFS(AND(H234&gt;=0,H234&lt;=3333),"Grupo 1",AND(H234&gt;3333,H234&lt;=6666),"Grupo 2",AND(H234&gt;6666,H234&lt;=10000),"Grupo 3")</f>
        <v>Grupo 1</v>
      </c>
    </row>
    <row r="235" spans="1:17" x14ac:dyDescent="0.25">
      <c r="A235" t="s">
        <v>45</v>
      </c>
      <c r="B235" s="2">
        <v>45432.781944444447</v>
      </c>
      <c r="C235" t="s">
        <v>296</v>
      </c>
      <c r="D235" t="s">
        <v>216</v>
      </c>
      <c r="E235">
        <v>5</v>
      </c>
      <c r="F235">
        <v>1168.3499999999999</v>
      </c>
      <c r="G235" t="s">
        <v>221</v>
      </c>
      <c r="H235">
        <v>5841.75</v>
      </c>
      <c r="I235">
        <v>2024</v>
      </c>
      <c r="J235">
        <v>5</v>
      </c>
      <c r="K235">
        <v>18</v>
      </c>
      <c r="L235" s="14">
        <v>1168.3499999999999</v>
      </c>
      <c r="M235" s="4" t="str">
        <f t="shared" si="12"/>
        <v>lunes</v>
      </c>
      <c r="N235" s="4" t="str">
        <f t="shared" si="13"/>
        <v>mayo</v>
      </c>
      <c r="O235" s="4" t="str">
        <f t="shared" si="14"/>
        <v>SI</v>
      </c>
      <c r="P235" s="4" t="str">
        <f t="shared" si="15"/>
        <v>SI</v>
      </c>
      <c r="Q235" s="4" t="str" cm="1">
        <f t="array" ref="Q235">_xlfn.IFS(AND(H235&gt;=0,H235&lt;=3333),"Grupo 1",AND(H235&gt;3333,H235&lt;=6666),"Grupo 2",AND(H235&gt;6666,H235&lt;=10000),"Grupo 3")</f>
        <v>Grupo 2</v>
      </c>
    </row>
    <row r="236" spans="1:17" x14ac:dyDescent="0.25">
      <c r="A236" t="s">
        <v>46</v>
      </c>
      <c r="B236" s="2">
        <v>45746.083333333343</v>
      </c>
      <c r="C236" t="s">
        <v>297</v>
      </c>
      <c r="D236" t="s">
        <v>214</v>
      </c>
      <c r="E236">
        <v>2</v>
      </c>
      <c r="F236">
        <v>349.3</v>
      </c>
      <c r="G236" t="s">
        <v>222</v>
      </c>
      <c r="H236">
        <v>698.6</v>
      </c>
      <c r="I236">
        <v>2025</v>
      </c>
      <c r="J236">
        <v>3</v>
      </c>
      <c r="K236">
        <v>2</v>
      </c>
      <c r="L236" s="14">
        <v>349.3</v>
      </c>
      <c r="M236" s="4" t="str">
        <f t="shared" si="12"/>
        <v>domingo</v>
      </c>
      <c r="N236" s="4" t="str">
        <f t="shared" si="13"/>
        <v>marzo</v>
      </c>
      <c r="O236" s="4" t="str">
        <f t="shared" si="14"/>
        <v>NO</v>
      </c>
      <c r="P236" s="4" t="str">
        <f t="shared" si="15"/>
        <v>NO</v>
      </c>
      <c r="Q236" s="4" t="str" cm="1">
        <f t="array" ref="Q236">_xlfn.IFS(AND(H236&gt;=0,H236&lt;=3333),"Grupo 1",AND(H236&gt;3333,H236&lt;=6666),"Grupo 2",AND(H236&gt;6666,H236&lt;=10000),"Grupo 3")</f>
        <v>Grupo 1</v>
      </c>
    </row>
    <row r="237" spans="1:17" x14ac:dyDescent="0.25">
      <c r="A237" t="s">
        <v>47</v>
      </c>
      <c r="B237" s="2">
        <v>45515.355555555558</v>
      </c>
      <c r="C237" t="s">
        <v>298</v>
      </c>
      <c r="D237" t="s">
        <v>216</v>
      </c>
      <c r="E237">
        <v>3</v>
      </c>
      <c r="F237">
        <v>1154.06</v>
      </c>
      <c r="G237" t="s">
        <v>221</v>
      </c>
      <c r="H237">
        <v>3462.18</v>
      </c>
      <c r="I237">
        <v>2024</v>
      </c>
      <c r="J237">
        <v>8</v>
      </c>
      <c r="K237">
        <v>8</v>
      </c>
      <c r="L237" s="14">
        <v>1154.06</v>
      </c>
      <c r="M237" s="4" t="str">
        <f t="shared" si="12"/>
        <v>domingo</v>
      </c>
      <c r="N237" s="4" t="str">
        <f t="shared" si="13"/>
        <v>agosto</v>
      </c>
      <c r="O237" s="4" t="str">
        <f t="shared" si="14"/>
        <v>SI</v>
      </c>
      <c r="P237" s="4" t="str">
        <f t="shared" si="15"/>
        <v>SI</v>
      </c>
      <c r="Q237" s="4" t="str" cm="1">
        <f t="array" ref="Q237">_xlfn.IFS(AND(H237&gt;=0,H237&lt;=3333),"Grupo 1",AND(H237&gt;3333,H237&lt;=6666),"Grupo 2",AND(H237&gt;6666,H237&lt;=10000),"Grupo 3")</f>
        <v>Grupo 2</v>
      </c>
    </row>
    <row r="238" spans="1:17" x14ac:dyDescent="0.25">
      <c r="A238" t="s">
        <v>48</v>
      </c>
      <c r="B238" s="2">
        <v>45730.554861111108</v>
      </c>
      <c r="C238" t="s">
        <v>299</v>
      </c>
      <c r="D238" t="s">
        <v>215</v>
      </c>
      <c r="E238">
        <v>4</v>
      </c>
      <c r="F238">
        <v>1566.37</v>
      </c>
      <c r="G238" t="s">
        <v>220</v>
      </c>
      <c r="H238">
        <v>6265.48</v>
      </c>
      <c r="I238">
        <v>2025</v>
      </c>
      <c r="J238">
        <v>3</v>
      </c>
      <c r="K238">
        <v>13</v>
      </c>
      <c r="L238" s="14">
        <v>1566.37</v>
      </c>
      <c r="M238" s="4" t="str">
        <f t="shared" si="12"/>
        <v>viernes</v>
      </c>
      <c r="N238" s="4" t="str">
        <f t="shared" si="13"/>
        <v>marzo</v>
      </c>
      <c r="O238" s="4" t="str">
        <f t="shared" si="14"/>
        <v>SI</v>
      </c>
      <c r="P238" s="4" t="str">
        <f t="shared" si="15"/>
        <v>SI</v>
      </c>
      <c r="Q238" s="4" t="str" cm="1">
        <f t="array" ref="Q238">_xlfn.IFS(AND(H238&gt;=0,H238&lt;=3333),"Grupo 1",AND(H238&gt;3333,H238&lt;=6666),"Grupo 2",AND(H238&gt;6666,H238&lt;=10000),"Grupo 3")</f>
        <v>Grupo 2</v>
      </c>
    </row>
    <row r="239" spans="1:17" x14ac:dyDescent="0.25">
      <c r="A239" t="s">
        <v>49</v>
      </c>
      <c r="B239" s="2">
        <v>45603.252083333333</v>
      </c>
      <c r="C239" t="s">
        <v>300</v>
      </c>
      <c r="D239" t="s">
        <v>212</v>
      </c>
      <c r="E239">
        <v>2</v>
      </c>
      <c r="F239">
        <v>674.48</v>
      </c>
      <c r="G239" t="s">
        <v>220</v>
      </c>
      <c r="H239">
        <v>1348.96</v>
      </c>
      <c r="I239">
        <v>2024</v>
      </c>
      <c r="J239">
        <v>11</v>
      </c>
      <c r="K239">
        <v>6</v>
      </c>
      <c r="L239" s="14">
        <v>674.48</v>
      </c>
      <c r="M239" s="4" t="str">
        <f t="shared" si="12"/>
        <v>jueves</v>
      </c>
      <c r="N239" s="4" t="str">
        <f t="shared" si="13"/>
        <v>noviembre</v>
      </c>
      <c r="O239" s="4" t="str">
        <f t="shared" si="14"/>
        <v>NO</v>
      </c>
      <c r="P239" s="4" t="str">
        <f t="shared" si="15"/>
        <v>NO</v>
      </c>
      <c r="Q239" s="4" t="str" cm="1">
        <f t="array" ref="Q239">_xlfn.IFS(AND(H239&gt;=0,H239&lt;=3333),"Grupo 1",AND(H239&gt;3333,H239&lt;=6666),"Grupo 2",AND(H239&gt;6666,H239&lt;=10000),"Grupo 3")</f>
        <v>Grupo 1</v>
      </c>
    </row>
    <row r="240" spans="1:17" x14ac:dyDescent="0.25">
      <c r="A240" t="s">
        <v>50</v>
      </c>
      <c r="B240" s="2">
        <v>45420.054861111108</v>
      </c>
      <c r="C240" t="s">
        <v>301</v>
      </c>
      <c r="D240" t="s">
        <v>212</v>
      </c>
      <c r="E240">
        <v>2</v>
      </c>
      <c r="F240">
        <v>1543.98</v>
      </c>
      <c r="G240" t="s">
        <v>220</v>
      </c>
      <c r="H240">
        <v>3087.96</v>
      </c>
      <c r="I240">
        <v>2024</v>
      </c>
      <c r="J240">
        <v>5</v>
      </c>
      <c r="K240">
        <v>1</v>
      </c>
      <c r="L240" s="14">
        <v>1543.98</v>
      </c>
      <c r="M240" s="4" t="str">
        <f t="shared" si="12"/>
        <v>miércoles</v>
      </c>
      <c r="N240" s="4" t="str">
        <f t="shared" si="13"/>
        <v>mayo</v>
      </c>
      <c r="O240" s="4" t="str">
        <f t="shared" si="14"/>
        <v>SI</v>
      </c>
      <c r="P240" s="4" t="str">
        <f t="shared" si="15"/>
        <v>SI</v>
      </c>
      <c r="Q240" s="4" t="str" cm="1">
        <f t="array" ref="Q240">_xlfn.IFS(AND(H240&gt;=0,H240&lt;=3333),"Grupo 1",AND(H240&gt;3333,H240&lt;=6666),"Grupo 2",AND(H240&gt;6666,H240&lt;=10000),"Grupo 3")</f>
        <v>Grupo 1</v>
      </c>
    </row>
    <row r="241" spans="1:17" x14ac:dyDescent="0.25">
      <c r="A241" t="s">
        <v>51</v>
      </c>
      <c r="B241" s="2">
        <v>44931.743055555547</v>
      </c>
      <c r="C241" t="s">
        <v>302</v>
      </c>
      <c r="D241" t="s">
        <v>217</v>
      </c>
      <c r="E241">
        <v>5</v>
      </c>
      <c r="F241">
        <v>917.31</v>
      </c>
      <c r="G241" t="s">
        <v>220</v>
      </c>
      <c r="H241">
        <v>4586.5499999999993</v>
      </c>
      <c r="I241">
        <v>2023</v>
      </c>
      <c r="J241">
        <v>1</v>
      </c>
      <c r="K241">
        <v>17</v>
      </c>
      <c r="L241" s="14">
        <v>917.30999999999983</v>
      </c>
      <c r="M241" s="4" t="str">
        <f t="shared" si="12"/>
        <v>jueves</v>
      </c>
      <c r="N241" s="4" t="str">
        <f t="shared" si="13"/>
        <v>enero</v>
      </c>
      <c r="O241" s="4" t="str">
        <f t="shared" si="14"/>
        <v>SI</v>
      </c>
      <c r="P241" s="4" t="str">
        <f t="shared" si="15"/>
        <v>NO</v>
      </c>
      <c r="Q241" s="4" t="str" cm="1">
        <f t="array" ref="Q241">_xlfn.IFS(AND(H241&gt;=0,H241&lt;=3333),"Grupo 1",AND(H241&gt;3333,H241&lt;=6666),"Grupo 2",AND(H241&gt;6666,H241&lt;=10000),"Grupo 3")</f>
        <v>Grupo 2</v>
      </c>
    </row>
    <row r="242" spans="1:17" x14ac:dyDescent="0.25">
      <c r="A242" t="s">
        <v>52</v>
      </c>
      <c r="B242" s="2">
        <v>45326.684027777781</v>
      </c>
      <c r="C242" t="s">
        <v>303</v>
      </c>
      <c r="D242" t="s">
        <v>219</v>
      </c>
      <c r="E242">
        <v>4</v>
      </c>
      <c r="F242">
        <v>450.36</v>
      </c>
      <c r="G242" t="s">
        <v>221</v>
      </c>
      <c r="H242">
        <v>1801.44</v>
      </c>
      <c r="I242">
        <v>2024</v>
      </c>
      <c r="J242">
        <v>2</v>
      </c>
      <c r="K242">
        <v>16</v>
      </c>
      <c r="L242" s="14">
        <v>450.36</v>
      </c>
      <c r="M242" s="4" t="str">
        <f t="shared" si="12"/>
        <v>domingo</v>
      </c>
      <c r="N242" s="4" t="str">
        <f t="shared" si="13"/>
        <v>febrero</v>
      </c>
      <c r="O242" s="4" t="str">
        <f t="shared" si="14"/>
        <v>NO</v>
      </c>
      <c r="P242" s="4" t="str">
        <f t="shared" si="15"/>
        <v>NO</v>
      </c>
      <c r="Q242" s="4" t="str" cm="1">
        <f t="array" ref="Q242">_xlfn.IFS(AND(H242&gt;=0,H242&lt;=3333),"Grupo 1",AND(H242&gt;3333,H242&lt;=6666),"Grupo 2",AND(H242&gt;6666,H242&lt;=10000),"Grupo 3")</f>
        <v>Grupo 1</v>
      </c>
    </row>
    <row r="243" spans="1:17" x14ac:dyDescent="0.25">
      <c r="A243" t="s">
        <v>53</v>
      </c>
      <c r="B243" s="2">
        <v>45146.872916666667</v>
      </c>
      <c r="C243" t="s">
        <v>304</v>
      </c>
      <c r="D243" t="s">
        <v>215</v>
      </c>
      <c r="E243">
        <v>2</v>
      </c>
      <c r="F243">
        <v>755.48</v>
      </c>
      <c r="G243" t="s">
        <v>220</v>
      </c>
      <c r="H243">
        <v>1510.96</v>
      </c>
      <c r="I243">
        <v>2023</v>
      </c>
      <c r="J243">
        <v>8</v>
      </c>
      <c r="K243">
        <v>20</v>
      </c>
      <c r="L243" s="14">
        <v>755.48</v>
      </c>
      <c r="M243" s="4" t="str">
        <f t="shared" si="12"/>
        <v>martes</v>
      </c>
      <c r="N243" s="4" t="str">
        <f t="shared" si="13"/>
        <v>agosto</v>
      </c>
      <c r="O243" s="4" t="str">
        <f t="shared" si="14"/>
        <v>NO</v>
      </c>
      <c r="P243" s="4" t="str">
        <f t="shared" si="15"/>
        <v>NO</v>
      </c>
      <c r="Q243" s="4" t="str" cm="1">
        <f t="array" ref="Q243">_xlfn.IFS(AND(H243&gt;=0,H243&lt;=3333),"Grupo 1",AND(H243&gt;3333,H243&lt;=6666),"Grupo 2",AND(H243&gt;6666,H243&lt;=10000),"Grupo 3")</f>
        <v>Grupo 1</v>
      </c>
    </row>
    <row r="244" spans="1:17" x14ac:dyDescent="0.25">
      <c r="A244" t="s">
        <v>54</v>
      </c>
      <c r="B244" s="2">
        <v>45464.595833333333</v>
      </c>
      <c r="C244" t="s">
        <v>305</v>
      </c>
      <c r="D244" t="s">
        <v>213</v>
      </c>
      <c r="E244">
        <v>3</v>
      </c>
      <c r="F244">
        <v>1855.55</v>
      </c>
      <c r="G244" t="s">
        <v>221</v>
      </c>
      <c r="H244">
        <v>5566.65</v>
      </c>
      <c r="I244">
        <v>2024</v>
      </c>
      <c r="J244">
        <v>6</v>
      </c>
      <c r="K244">
        <v>14</v>
      </c>
      <c r="L244" s="14">
        <v>1855.55</v>
      </c>
      <c r="M244" s="4" t="str">
        <f t="shared" si="12"/>
        <v>viernes</v>
      </c>
      <c r="N244" s="4" t="str">
        <f t="shared" si="13"/>
        <v>junio</v>
      </c>
      <c r="O244" s="4" t="str">
        <f t="shared" si="14"/>
        <v>SI</v>
      </c>
      <c r="P244" s="4" t="str">
        <f t="shared" si="15"/>
        <v>SI</v>
      </c>
      <c r="Q244" s="4" t="str" cm="1">
        <f t="array" ref="Q244">_xlfn.IFS(AND(H244&gt;=0,H244&lt;=3333),"Grupo 1",AND(H244&gt;3333,H244&lt;=6666),"Grupo 2",AND(H244&gt;6666,H244&lt;=10000),"Grupo 3")</f>
        <v>Grupo 2</v>
      </c>
    </row>
    <row r="245" spans="1:17" x14ac:dyDescent="0.25">
      <c r="A245" t="s">
        <v>55</v>
      </c>
      <c r="B245" s="2">
        <v>45171.9</v>
      </c>
      <c r="C245" t="s">
        <v>306</v>
      </c>
      <c r="D245" t="s">
        <v>216</v>
      </c>
      <c r="E245">
        <v>5</v>
      </c>
      <c r="F245">
        <v>1011.75</v>
      </c>
      <c r="G245" t="s">
        <v>221</v>
      </c>
      <c r="H245">
        <v>5058.75</v>
      </c>
      <c r="I245">
        <v>2023</v>
      </c>
      <c r="J245">
        <v>9</v>
      </c>
      <c r="K245">
        <v>21</v>
      </c>
      <c r="L245" s="14">
        <v>1011.75</v>
      </c>
      <c r="M245" s="4" t="str">
        <f t="shared" si="12"/>
        <v>sábado</v>
      </c>
      <c r="N245" s="4" t="str">
        <f t="shared" si="13"/>
        <v>septiembre</v>
      </c>
      <c r="O245" s="4" t="str">
        <f t="shared" si="14"/>
        <v>SI</v>
      </c>
      <c r="P245" s="4" t="str">
        <f t="shared" si="15"/>
        <v>SI</v>
      </c>
      <c r="Q245" s="4" t="str" cm="1">
        <f t="array" ref="Q245">_xlfn.IFS(AND(H245&gt;=0,H245&lt;=3333),"Grupo 1",AND(H245&gt;3333,H245&lt;=6666),"Grupo 2",AND(H245&gt;6666,H245&lt;=10000),"Grupo 3")</f>
        <v>Grupo 2</v>
      </c>
    </row>
    <row r="246" spans="1:17" x14ac:dyDescent="0.25">
      <c r="A246" t="s">
        <v>56</v>
      </c>
      <c r="B246" s="2">
        <v>44992.136111111111</v>
      </c>
      <c r="C246" t="s">
        <v>307</v>
      </c>
      <c r="D246" t="s">
        <v>213</v>
      </c>
      <c r="E246">
        <v>5</v>
      </c>
      <c r="F246">
        <v>1218.3399999999999</v>
      </c>
      <c r="G246" t="s">
        <v>221</v>
      </c>
      <c r="H246">
        <v>6091.7</v>
      </c>
      <c r="I246">
        <v>2023</v>
      </c>
      <c r="J246">
        <v>3</v>
      </c>
      <c r="K246">
        <v>3</v>
      </c>
      <c r="L246" s="14">
        <v>1218.3399999999999</v>
      </c>
      <c r="M246" s="4" t="str">
        <f t="shared" si="12"/>
        <v>martes</v>
      </c>
      <c r="N246" s="4" t="str">
        <f t="shared" si="13"/>
        <v>marzo</v>
      </c>
      <c r="O246" s="4" t="str">
        <f t="shared" si="14"/>
        <v>SI</v>
      </c>
      <c r="P246" s="4" t="str">
        <f t="shared" si="15"/>
        <v>SI</v>
      </c>
      <c r="Q246" s="4" t="str" cm="1">
        <f t="array" ref="Q246">_xlfn.IFS(AND(H246&gt;=0,H246&lt;=3333),"Grupo 1",AND(H246&gt;3333,H246&lt;=6666),"Grupo 2",AND(H246&gt;6666,H246&lt;=10000),"Grupo 3")</f>
        <v>Grupo 2</v>
      </c>
    </row>
    <row r="247" spans="1:17" x14ac:dyDescent="0.25">
      <c r="A247" t="s">
        <v>57</v>
      </c>
      <c r="B247" s="2">
        <v>44927.061111111107</v>
      </c>
      <c r="C247" t="s">
        <v>308</v>
      </c>
      <c r="D247" t="s">
        <v>216</v>
      </c>
      <c r="E247">
        <v>2</v>
      </c>
      <c r="F247">
        <v>361.59</v>
      </c>
      <c r="G247" t="s">
        <v>221</v>
      </c>
      <c r="H247">
        <v>723.18</v>
      </c>
      <c r="I247">
        <v>2023</v>
      </c>
      <c r="J247">
        <v>1</v>
      </c>
      <c r="K247">
        <v>1</v>
      </c>
      <c r="L247" s="14">
        <v>361.59</v>
      </c>
      <c r="M247" s="4" t="str">
        <f t="shared" si="12"/>
        <v>domingo</v>
      </c>
      <c r="N247" s="4" t="str">
        <f t="shared" si="13"/>
        <v>enero</v>
      </c>
      <c r="O247" s="4" t="str">
        <f t="shared" si="14"/>
        <v>NO</v>
      </c>
      <c r="P247" s="4" t="str">
        <f t="shared" si="15"/>
        <v>NO</v>
      </c>
      <c r="Q247" s="4" t="str" cm="1">
        <f t="array" ref="Q247">_xlfn.IFS(AND(H247&gt;=0,H247&lt;=3333),"Grupo 1",AND(H247&gt;3333,H247&lt;=6666),"Grupo 2",AND(H247&gt;6666,H247&lt;=10000),"Grupo 3")</f>
        <v>Grupo 1</v>
      </c>
    </row>
    <row r="248" spans="1:17" x14ac:dyDescent="0.25">
      <c r="A248" t="s">
        <v>58</v>
      </c>
      <c r="B248" s="2">
        <v>45097.359027777777</v>
      </c>
      <c r="C248" t="s">
        <v>309</v>
      </c>
      <c r="D248" t="s">
        <v>213</v>
      </c>
      <c r="E248">
        <v>5</v>
      </c>
      <c r="F248">
        <v>958.8</v>
      </c>
      <c r="G248" t="s">
        <v>221</v>
      </c>
      <c r="H248">
        <v>4794</v>
      </c>
      <c r="I248">
        <v>2023</v>
      </c>
      <c r="J248">
        <v>6</v>
      </c>
      <c r="K248">
        <v>8</v>
      </c>
      <c r="L248" s="14">
        <v>958.8</v>
      </c>
      <c r="M248" s="4" t="str">
        <f t="shared" si="12"/>
        <v>martes</v>
      </c>
      <c r="N248" s="4" t="str">
        <f t="shared" si="13"/>
        <v>junio</v>
      </c>
      <c r="O248" s="4" t="str">
        <f t="shared" si="14"/>
        <v>SI</v>
      </c>
      <c r="P248" s="4" t="str">
        <f t="shared" si="15"/>
        <v>NO</v>
      </c>
      <c r="Q248" s="4" t="str" cm="1">
        <f t="array" ref="Q248">_xlfn.IFS(AND(H248&gt;=0,H248&lt;=3333),"Grupo 1",AND(H248&gt;3333,H248&lt;=6666),"Grupo 2",AND(H248&gt;6666,H248&lt;=10000),"Grupo 3")</f>
        <v>Grupo 2</v>
      </c>
    </row>
    <row r="249" spans="1:17" x14ac:dyDescent="0.25">
      <c r="A249" t="s">
        <v>59</v>
      </c>
      <c r="B249" s="2">
        <v>45755.288194444453</v>
      </c>
      <c r="C249" t="s">
        <v>310</v>
      </c>
      <c r="D249" t="s">
        <v>214</v>
      </c>
      <c r="E249">
        <v>5</v>
      </c>
      <c r="F249">
        <v>1776.87</v>
      </c>
      <c r="G249" t="s">
        <v>222</v>
      </c>
      <c r="H249">
        <v>8884.3499999999985</v>
      </c>
      <c r="I249">
        <v>2025</v>
      </c>
      <c r="J249">
        <v>4</v>
      </c>
      <c r="K249">
        <v>6</v>
      </c>
      <c r="L249" s="14">
        <v>1776.87</v>
      </c>
      <c r="M249" s="4" t="str">
        <f t="shared" si="12"/>
        <v>martes</v>
      </c>
      <c r="N249" s="4" t="str">
        <f t="shared" si="13"/>
        <v>abril</v>
      </c>
      <c r="O249" s="4" t="str">
        <f t="shared" si="14"/>
        <v>SI</v>
      </c>
      <c r="P249" s="4" t="str">
        <f t="shared" si="15"/>
        <v>SI</v>
      </c>
      <c r="Q249" s="4" t="str" cm="1">
        <f t="array" ref="Q249">_xlfn.IFS(AND(H249&gt;=0,H249&lt;=3333),"Grupo 1",AND(H249&gt;3333,H249&lt;=6666),"Grupo 2",AND(H249&gt;6666,H249&lt;=10000),"Grupo 3")</f>
        <v>Grupo 3</v>
      </c>
    </row>
    <row r="250" spans="1:17" x14ac:dyDescent="0.25">
      <c r="A250" t="s">
        <v>60</v>
      </c>
      <c r="B250" s="2">
        <v>45782.866666666669</v>
      </c>
      <c r="C250" t="s">
        <v>311</v>
      </c>
      <c r="D250" t="s">
        <v>219</v>
      </c>
      <c r="E250">
        <v>1</v>
      </c>
      <c r="F250">
        <v>1467.34</v>
      </c>
      <c r="G250" t="s">
        <v>221</v>
      </c>
      <c r="H250">
        <v>1467.34</v>
      </c>
      <c r="I250">
        <v>2025</v>
      </c>
      <c r="J250">
        <v>5</v>
      </c>
      <c r="K250">
        <v>20</v>
      </c>
      <c r="L250" s="14">
        <v>1467.34</v>
      </c>
      <c r="M250" s="4" t="str">
        <f t="shared" si="12"/>
        <v>lunes</v>
      </c>
      <c r="N250" s="4" t="str">
        <f t="shared" si="13"/>
        <v>mayo</v>
      </c>
      <c r="O250" s="4" t="str">
        <f t="shared" si="14"/>
        <v>NO</v>
      </c>
      <c r="P250" s="4" t="str">
        <f t="shared" si="15"/>
        <v>SI</v>
      </c>
      <c r="Q250" s="4" t="str" cm="1">
        <f t="array" ref="Q250">_xlfn.IFS(AND(H250&gt;=0,H250&lt;=3333),"Grupo 1",AND(H250&gt;3333,H250&lt;=6666),"Grupo 2",AND(H250&gt;6666,H250&lt;=10000),"Grupo 3")</f>
        <v>Grupo 1</v>
      </c>
    </row>
    <row r="251" spans="1:17" x14ac:dyDescent="0.25">
      <c r="A251" t="s">
        <v>61</v>
      </c>
      <c r="B251" s="2">
        <v>45819.341666666667</v>
      </c>
      <c r="C251" t="s">
        <v>312</v>
      </c>
      <c r="D251" t="s">
        <v>214</v>
      </c>
      <c r="E251">
        <v>3</v>
      </c>
      <c r="F251">
        <v>683.91</v>
      </c>
      <c r="G251" t="s">
        <v>222</v>
      </c>
      <c r="H251">
        <v>2051.73</v>
      </c>
      <c r="I251">
        <v>2025</v>
      </c>
      <c r="J251">
        <v>6</v>
      </c>
      <c r="K251">
        <v>8</v>
      </c>
      <c r="L251" s="14">
        <v>683.91</v>
      </c>
      <c r="M251" s="4" t="str">
        <f t="shared" si="12"/>
        <v>miércoles</v>
      </c>
      <c r="N251" s="4" t="str">
        <f t="shared" si="13"/>
        <v>junio</v>
      </c>
      <c r="O251" s="4" t="str">
        <f t="shared" si="14"/>
        <v>NO</v>
      </c>
      <c r="P251" s="4" t="str">
        <f t="shared" si="15"/>
        <v>NO</v>
      </c>
      <c r="Q251" s="4" t="str" cm="1">
        <f t="array" ref="Q251">_xlfn.IFS(AND(H251&gt;=0,H251&lt;=3333),"Grupo 1",AND(H251&gt;3333,H251&lt;=6666),"Grupo 2",AND(H251&gt;6666,H251&lt;=10000),"Grupo 3")</f>
        <v>Grupo 1</v>
      </c>
    </row>
    <row r="252" spans="1:17" x14ac:dyDescent="0.25">
      <c r="A252" t="s">
        <v>62</v>
      </c>
      <c r="B252" s="2">
        <v>45441.993055555547</v>
      </c>
      <c r="C252" t="s">
        <v>313</v>
      </c>
      <c r="D252" t="s">
        <v>214</v>
      </c>
      <c r="E252">
        <v>1</v>
      </c>
      <c r="F252">
        <v>1083.8599999999999</v>
      </c>
      <c r="G252" t="s">
        <v>222</v>
      </c>
      <c r="H252">
        <v>1083.8599999999999</v>
      </c>
      <c r="I252">
        <v>2024</v>
      </c>
      <c r="J252">
        <v>5</v>
      </c>
      <c r="K252">
        <v>23</v>
      </c>
      <c r="L252" s="14">
        <v>1083.8599999999999</v>
      </c>
      <c r="M252" s="4" t="str">
        <f t="shared" si="12"/>
        <v>miércoles</v>
      </c>
      <c r="N252" s="4" t="str">
        <f t="shared" si="13"/>
        <v>mayo</v>
      </c>
      <c r="O252" s="4" t="str">
        <f t="shared" si="14"/>
        <v>NO</v>
      </c>
      <c r="P252" s="4" t="str">
        <f t="shared" si="15"/>
        <v>SI</v>
      </c>
      <c r="Q252" s="4" t="str" cm="1">
        <f t="array" ref="Q252">_xlfn.IFS(AND(H252&gt;=0,H252&lt;=3333),"Grupo 1",AND(H252&gt;3333,H252&lt;=6666),"Grupo 2",AND(H252&gt;6666,H252&lt;=10000),"Grupo 3")</f>
        <v>Grupo 1</v>
      </c>
    </row>
    <row r="253" spans="1:17" x14ac:dyDescent="0.25">
      <c r="A253" t="s">
        <v>63</v>
      </c>
      <c r="B253" s="2">
        <v>45180.999305555553</v>
      </c>
      <c r="C253" t="s">
        <v>314</v>
      </c>
      <c r="D253" t="s">
        <v>212</v>
      </c>
      <c r="E253">
        <v>2</v>
      </c>
      <c r="F253">
        <v>1551.85</v>
      </c>
      <c r="G253" t="s">
        <v>220</v>
      </c>
      <c r="H253">
        <v>3103.7</v>
      </c>
      <c r="I253">
        <v>2023</v>
      </c>
      <c r="J253">
        <v>9</v>
      </c>
      <c r="K253">
        <v>23</v>
      </c>
      <c r="L253" s="14">
        <v>1551.85</v>
      </c>
      <c r="M253" s="4" t="str">
        <f t="shared" si="12"/>
        <v>lunes</v>
      </c>
      <c r="N253" s="4" t="str">
        <f t="shared" si="13"/>
        <v>septiembre</v>
      </c>
      <c r="O253" s="4" t="str">
        <f t="shared" si="14"/>
        <v>SI</v>
      </c>
      <c r="P253" s="4" t="str">
        <f t="shared" si="15"/>
        <v>SI</v>
      </c>
      <c r="Q253" s="4" t="str" cm="1">
        <f t="array" ref="Q253">_xlfn.IFS(AND(H253&gt;=0,H253&lt;=3333),"Grupo 1",AND(H253&gt;3333,H253&lt;=6666),"Grupo 2",AND(H253&gt;6666,H253&lt;=10000),"Grupo 3")</f>
        <v>Grupo 1</v>
      </c>
    </row>
    <row r="254" spans="1:17" x14ac:dyDescent="0.25">
      <c r="A254" t="s">
        <v>64</v>
      </c>
      <c r="B254" s="2">
        <v>45624.619444444441</v>
      </c>
      <c r="C254" t="s">
        <v>315</v>
      </c>
      <c r="D254" t="s">
        <v>217</v>
      </c>
      <c r="E254">
        <v>5</v>
      </c>
      <c r="F254">
        <v>1368.27</v>
      </c>
      <c r="G254" t="s">
        <v>220</v>
      </c>
      <c r="H254">
        <v>6841.35</v>
      </c>
      <c r="I254">
        <v>2024</v>
      </c>
      <c r="J254">
        <v>11</v>
      </c>
      <c r="K254">
        <v>14</v>
      </c>
      <c r="L254" s="14">
        <v>1368.27</v>
      </c>
      <c r="M254" s="4" t="str">
        <f t="shared" si="12"/>
        <v>jueves</v>
      </c>
      <c r="N254" s="4" t="str">
        <f t="shared" si="13"/>
        <v>noviembre</v>
      </c>
      <c r="O254" s="4" t="str">
        <f t="shared" si="14"/>
        <v>SI</v>
      </c>
      <c r="P254" s="4" t="str">
        <f t="shared" si="15"/>
        <v>SI</v>
      </c>
      <c r="Q254" s="4" t="str" cm="1">
        <f t="array" ref="Q254">_xlfn.IFS(AND(H254&gt;=0,H254&lt;=3333),"Grupo 1",AND(H254&gt;3333,H254&lt;=6666),"Grupo 2",AND(H254&gt;6666,H254&lt;=10000),"Grupo 3")</f>
        <v>Grupo 3</v>
      </c>
    </row>
    <row r="255" spans="1:17" x14ac:dyDescent="0.25">
      <c r="A255" t="s">
        <v>65</v>
      </c>
      <c r="B255" s="2">
        <v>45447.955555555563</v>
      </c>
      <c r="C255" t="s">
        <v>316</v>
      </c>
      <c r="D255" t="s">
        <v>217</v>
      </c>
      <c r="E255">
        <v>4</v>
      </c>
      <c r="F255">
        <v>1818.88</v>
      </c>
      <c r="G255" t="s">
        <v>220</v>
      </c>
      <c r="H255">
        <v>7275.52</v>
      </c>
      <c r="I255">
        <v>2024</v>
      </c>
      <c r="J255">
        <v>6</v>
      </c>
      <c r="K255">
        <v>22</v>
      </c>
      <c r="L255" s="14">
        <v>1818.88</v>
      </c>
      <c r="M255" s="4" t="str">
        <f t="shared" si="12"/>
        <v>martes</v>
      </c>
      <c r="N255" s="4" t="str">
        <f t="shared" si="13"/>
        <v>junio</v>
      </c>
      <c r="O255" s="4" t="str">
        <f t="shared" si="14"/>
        <v>SI</v>
      </c>
      <c r="P255" s="4" t="str">
        <f t="shared" si="15"/>
        <v>SI</v>
      </c>
      <c r="Q255" s="4" t="str" cm="1">
        <f t="array" ref="Q255">_xlfn.IFS(AND(H255&gt;=0,H255&lt;=3333),"Grupo 1",AND(H255&gt;3333,H255&lt;=6666),"Grupo 2",AND(H255&gt;6666,H255&lt;=10000),"Grupo 3")</f>
        <v>Grupo 3</v>
      </c>
    </row>
    <row r="256" spans="1:17" x14ac:dyDescent="0.25">
      <c r="A256" t="s">
        <v>66</v>
      </c>
      <c r="B256" s="2">
        <v>45051.74722222222</v>
      </c>
      <c r="C256" t="s">
        <v>317</v>
      </c>
      <c r="D256" t="s">
        <v>218</v>
      </c>
      <c r="E256">
        <v>4</v>
      </c>
      <c r="F256">
        <v>1601.32</v>
      </c>
      <c r="G256" t="s">
        <v>221</v>
      </c>
      <c r="H256">
        <v>6405.28</v>
      </c>
      <c r="I256">
        <v>2023</v>
      </c>
      <c r="J256">
        <v>5</v>
      </c>
      <c r="K256">
        <v>17</v>
      </c>
      <c r="L256" s="14">
        <v>1601.32</v>
      </c>
      <c r="M256" s="4" t="str">
        <f t="shared" si="12"/>
        <v>viernes</v>
      </c>
      <c r="N256" s="4" t="str">
        <f t="shared" si="13"/>
        <v>mayo</v>
      </c>
      <c r="O256" s="4" t="str">
        <f t="shared" si="14"/>
        <v>SI</v>
      </c>
      <c r="P256" s="4" t="str">
        <f t="shared" si="15"/>
        <v>SI</v>
      </c>
      <c r="Q256" s="4" t="str" cm="1">
        <f t="array" ref="Q256">_xlfn.IFS(AND(H256&gt;=0,H256&lt;=3333),"Grupo 1",AND(H256&gt;3333,H256&lt;=6666),"Grupo 2",AND(H256&gt;6666,H256&lt;=10000),"Grupo 3")</f>
        <v>Grupo 2</v>
      </c>
    </row>
    <row r="257" spans="1:17" x14ac:dyDescent="0.25">
      <c r="A257" t="s">
        <v>67</v>
      </c>
      <c r="B257" s="2">
        <v>45019.26666666667</v>
      </c>
      <c r="C257" t="s">
        <v>318</v>
      </c>
      <c r="D257" t="s">
        <v>213</v>
      </c>
      <c r="E257">
        <v>4</v>
      </c>
      <c r="F257">
        <v>177.79</v>
      </c>
      <c r="G257" t="s">
        <v>221</v>
      </c>
      <c r="H257">
        <v>711.16</v>
      </c>
      <c r="I257">
        <v>2023</v>
      </c>
      <c r="J257">
        <v>4</v>
      </c>
      <c r="K257">
        <v>6</v>
      </c>
      <c r="L257" s="14">
        <v>177.79</v>
      </c>
      <c r="M257" s="4" t="str">
        <f t="shared" si="12"/>
        <v>lunes</v>
      </c>
      <c r="N257" s="4" t="str">
        <f t="shared" si="13"/>
        <v>abril</v>
      </c>
      <c r="O257" s="4" t="str">
        <f t="shared" si="14"/>
        <v>NO</v>
      </c>
      <c r="P257" s="4" t="str">
        <f t="shared" si="15"/>
        <v>NO</v>
      </c>
      <c r="Q257" s="4" t="str" cm="1">
        <f t="array" ref="Q257">_xlfn.IFS(AND(H257&gt;=0,H257&lt;=3333),"Grupo 1",AND(H257&gt;3333,H257&lt;=6666),"Grupo 2",AND(H257&gt;6666,H257&lt;=10000),"Grupo 3")</f>
        <v>Grupo 1</v>
      </c>
    </row>
    <row r="258" spans="1:17" x14ac:dyDescent="0.25">
      <c r="A258" t="s">
        <v>68</v>
      </c>
      <c r="B258" s="2">
        <v>44969.094444444447</v>
      </c>
      <c r="C258" t="s">
        <v>319</v>
      </c>
      <c r="D258" t="s">
        <v>213</v>
      </c>
      <c r="E258">
        <v>1</v>
      </c>
      <c r="F258">
        <v>83.48</v>
      </c>
      <c r="G258" t="s">
        <v>221</v>
      </c>
      <c r="H258">
        <v>83.48</v>
      </c>
      <c r="I258">
        <v>2023</v>
      </c>
      <c r="J258">
        <v>2</v>
      </c>
      <c r="K258">
        <v>2</v>
      </c>
      <c r="L258" s="14">
        <v>83.48</v>
      </c>
      <c r="M258" s="4" t="str">
        <f t="shared" ref="M258:M321" si="16">TEXT(B258,"dddd")</f>
        <v>domingo</v>
      </c>
      <c r="N258" s="4" t="str">
        <f t="shared" ref="N258:N321" si="17">TEXT(B258,"mmmm")</f>
        <v>febrero</v>
      </c>
      <c r="O258" s="4" t="str">
        <f t="shared" si="14"/>
        <v>NO</v>
      </c>
      <c r="P258" s="4" t="str">
        <f t="shared" si="15"/>
        <v>NO</v>
      </c>
      <c r="Q258" s="4" t="str" cm="1">
        <f t="array" ref="Q258">_xlfn.IFS(AND(H258&gt;=0,H258&lt;=3333),"Grupo 1",AND(H258&gt;3333,H258&lt;=6666),"Grupo 2",AND(H258&gt;6666,H258&lt;=10000),"Grupo 3")</f>
        <v>Grupo 1</v>
      </c>
    </row>
    <row r="259" spans="1:17" x14ac:dyDescent="0.25">
      <c r="A259" t="s">
        <v>69</v>
      </c>
      <c r="B259" s="2">
        <v>45091.519444444442</v>
      </c>
      <c r="C259" t="s">
        <v>320</v>
      </c>
      <c r="D259" t="s">
        <v>219</v>
      </c>
      <c r="E259">
        <v>1</v>
      </c>
      <c r="F259">
        <v>1372.72</v>
      </c>
      <c r="G259" t="s">
        <v>221</v>
      </c>
      <c r="H259">
        <v>1372.72</v>
      </c>
      <c r="I259">
        <v>2023</v>
      </c>
      <c r="J259">
        <v>6</v>
      </c>
      <c r="K259">
        <v>12</v>
      </c>
      <c r="L259" s="14">
        <v>1372.72</v>
      </c>
      <c r="M259" s="4" t="str">
        <f t="shared" si="16"/>
        <v>miércoles</v>
      </c>
      <c r="N259" s="4" t="str">
        <f t="shared" si="17"/>
        <v>junio</v>
      </c>
      <c r="O259" s="4" t="str">
        <f t="shared" ref="O259:O322" si="18">IF(H259&gt;AVERAGE(H:H),"SI","NO")</f>
        <v>NO</v>
      </c>
      <c r="P259" s="4" t="str">
        <f t="shared" ref="P259:P322" si="19">IF(L259&gt;AVERAGE(L:L),"SI","NO")</f>
        <v>SI</v>
      </c>
      <c r="Q259" s="4" t="str" cm="1">
        <f t="array" ref="Q259">_xlfn.IFS(AND(H259&gt;=0,H259&lt;=3333),"Grupo 1",AND(H259&gt;3333,H259&lt;=6666),"Grupo 2",AND(H259&gt;6666,H259&lt;=10000),"Grupo 3")</f>
        <v>Grupo 1</v>
      </c>
    </row>
    <row r="260" spans="1:17" x14ac:dyDescent="0.25">
      <c r="A260" t="s">
        <v>70</v>
      </c>
      <c r="B260" s="2">
        <v>45494</v>
      </c>
      <c r="C260" t="s">
        <v>321</v>
      </c>
      <c r="D260" t="s">
        <v>212</v>
      </c>
      <c r="E260">
        <v>1</v>
      </c>
      <c r="F260">
        <v>1618.91</v>
      </c>
      <c r="G260" t="s">
        <v>220</v>
      </c>
      <c r="H260">
        <v>1618.91</v>
      </c>
      <c r="I260">
        <v>2024</v>
      </c>
      <c r="J260">
        <v>7</v>
      </c>
      <c r="K260">
        <v>0</v>
      </c>
      <c r="L260" s="14">
        <v>1618.91</v>
      </c>
      <c r="M260" s="4" t="str">
        <f t="shared" si="16"/>
        <v>domingo</v>
      </c>
      <c r="N260" s="4" t="str">
        <f t="shared" si="17"/>
        <v>julio</v>
      </c>
      <c r="O260" s="4" t="str">
        <f t="shared" si="18"/>
        <v>NO</v>
      </c>
      <c r="P260" s="4" t="str">
        <f t="shared" si="19"/>
        <v>SI</v>
      </c>
      <c r="Q260" s="4" t="str" cm="1">
        <f t="array" ref="Q260">_xlfn.IFS(AND(H260&gt;=0,H260&lt;=3333),"Grupo 1",AND(H260&gt;3333,H260&lt;=6666),"Grupo 2",AND(H260&gt;6666,H260&lt;=10000),"Grupo 3")</f>
        <v>Grupo 1</v>
      </c>
    </row>
    <row r="261" spans="1:17" x14ac:dyDescent="0.25">
      <c r="A261" t="s">
        <v>71</v>
      </c>
      <c r="B261" s="2">
        <v>45364.463194444441</v>
      </c>
      <c r="C261" t="s">
        <v>322</v>
      </c>
      <c r="D261" t="s">
        <v>215</v>
      </c>
      <c r="E261">
        <v>4</v>
      </c>
      <c r="F261">
        <v>530.65</v>
      </c>
      <c r="G261" t="s">
        <v>220</v>
      </c>
      <c r="H261">
        <v>2122.6</v>
      </c>
      <c r="I261">
        <v>2024</v>
      </c>
      <c r="J261">
        <v>3</v>
      </c>
      <c r="K261">
        <v>11</v>
      </c>
      <c r="L261" s="14">
        <v>530.65</v>
      </c>
      <c r="M261" s="4" t="str">
        <f t="shared" si="16"/>
        <v>miércoles</v>
      </c>
      <c r="N261" s="4" t="str">
        <f t="shared" si="17"/>
        <v>marzo</v>
      </c>
      <c r="O261" s="4" t="str">
        <f t="shared" si="18"/>
        <v>NO</v>
      </c>
      <c r="P261" s="4" t="str">
        <f t="shared" si="19"/>
        <v>NO</v>
      </c>
      <c r="Q261" s="4" t="str" cm="1">
        <f t="array" ref="Q261">_xlfn.IFS(AND(H261&gt;=0,H261&lt;=3333),"Grupo 1",AND(H261&gt;3333,H261&lt;=6666),"Grupo 2",AND(H261&gt;6666,H261&lt;=10000),"Grupo 3")</f>
        <v>Grupo 1</v>
      </c>
    </row>
    <row r="262" spans="1:17" x14ac:dyDescent="0.25">
      <c r="A262" t="s">
        <v>72</v>
      </c>
      <c r="B262" s="2">
        <v>45583.023611111108</v>
      </c>
      <c r="C262" t="s">
        <v>323</v>
      </c>
      <c r="D262" t="s">
        <v>216</v>
      </c>
      <c r="E262">
        <v>5</v>
      </c>
      <c r="F262">
        <v>418.83</v>
      </c>
      <c r="G262" t="s">
        <v>221</v>
      </c>
      <c r="H262">
        <v>2094.15</v>
      </c>
      <c r="I262">
        <v>2024</v>
      </c>
      <c r="J262">
        <v>10</v>
      </c>
      <c r="K262">
        <v>0</v>
      </c>
      <c r="L262" s="14">
        <v>418.83</v>
      </c>
      <c r="M262" s="4" t="str">
        <f t="shared" si="16"/>
        <v>viernes</v>
      </c>
      <c r="N262" s="4" t="str">
        <f t="shared" si="17"/>
        <v>octubre</v>
      </c>
      <c r="O262" s="4" t="str">
        <f t="shared" si="18"/>
        <v>NO</v>
      </c>
      <c r="P262" s="4" t="str">
        <f t="shared" si="19"/>
        <v>NO</v>
      </c>
      <c r="Q262" s="4" t="str" cm="1">
        <f t="array" ref="Q262">_xlfn.IFS(AND(H262&gt;=0,H262&lt;=3333),"Grupo 1",AND(H262&gt;3333,H262&lt;=6666),"Grupo 2",AND(H262&gt;6666,H262&lt;=10000),"Grupo 3")</f>
        <v>Grupo 1</v>
      </c>
    </row>
    <row r="263" spans="1:17" x14ac:dyDescent="0.25">
      <c r="A263" t="s">
        <v>73</v>
      </c>
      <c r="B263" s="2">
        <v>45779.546527777777</v>
      </c>
      <c r="C263" t="s">
        <v>324</v>
      </c>
      <c r="D263" t="s">
        <v>214</v>
      </c>
      <c r="E263">
        <v>3</v>
      </c>
      <c r="F263">
        <v>664.98</v>
      </c>
      <c r="G263" t="s">
        <v>222</v>
      </c>
      <c r="H263">
        <v>1994.94</v>
      </c>
      <c r="I263">
        <v>2025</v>
      </c>
      <c r="J263">
        <v>5</v>
      </c>
      <c r="K263">
        <v>13</v>
      </c>
      <c r="L263" s="14">
        <v>664.98</v>
      </c>
      <c r="M263" s="4" t="str">
        <f t="shared" si="16"/>
        <v>viernes</v>
      </c>
      <c r="N263" s="4" t="str">
        <f t="shared" si="17"/>
        <v>mayo</v>
      </c>
      <c r="O263" s="4" t="str">
        <f t="shared" si="18"/>
        <v>NO</v>
      </c>
      <c r="P263" s="4" t="str">
        <f t="shared" si="19"/>
        <v>NO</v>
      </c>
      <c r="Q263" s="4" t="str" cm="1">
        <f t="array" ref="Q263">_xlfn.IFS(AND(H263&gt;=0,H263&lt;=3333),"Grupo 1",AND(H263&gt;3333,H263&lt;=6666),"Grupo 2",AND(H263&gt;6666,H263&lt;=10000),"Grupo 3")</f>
        <v>Grupo 1</v>
      </c>
    </row>
    <row r="264" spans="1:17" x14ac:dyDescent="0.25">
      <c r="A264" t="s">
        <v>74</v>
      </c>
      <c r="B264" s="2">
        <v>45516.480555555558</v>
      </c>
      <c r="C264" t="s">
        <v>325</v>
      </c>
      <c r="D264" t="s">
        <v>217</v>
      </c>
      <c r="E264">
        <v>1</v>
      </c>
      <c r="F264">
        <v>1322.41</v>
      </c>
      <c r="G264" t="s">
        <v>220</v>
      </c>
      <c r="H264">
        <v>1322.41</v>
      </c>
      <c r="I264">
        <v>2024</v>
      </c>
      <c r="J264">
        <v>8</v>
      </c>
      <c r="K264">
        <v>11</v>
      </c>
      <c r="L264" s="14">
        <v>1322.41</v>
      </c>
      <c r="M264" s="4" t="str">
        <f t="shared" si="16"/>
        <v>lunes</v>
      </c>
      <c r="N264" s="4" t="str">
        <f t="shared" si="17"/>
        <v>agosto</v>
      </c>
      <c r="O264" s="4" t="str">
        <f t="shared" si="18"/>
        <v>NO</v>
      </c>
      <c r="P264" s="4" t="str">
        <f t="shared" si="19"/>
        <v>SI</v>
      </c>
      <c r="Q264" s="4" t="str" cm="1">
        <f t="array" ref="Q264">_xlfn.IFS(AND(H264&gt;=0,H264&lt;=3333),"Grupo 1",AND(H264&gt;3333,H264&lt;=6666),"Grupo 2",AND(H264&gt;6666,H264&lt;=10000),"Grupo 3")</f>
        <v>Grupo 1</v>
      </c>
    </row>
    <row r="265" spans="1:17" x14ac:dyDescent="0.25">
      <c r="A265" t="s">
        <v>75</v>
      </c>
      <c r="B265" s="2">
        <v>45285.25277777778</v>
      </c>
      <c r="C265" t="s">
        <v>326</v>
      </c>
      <c r="D265" t="s">
        <v>212</v>
      </c>
      <c r="E265">
        <v>4</v>
      </c>
      <c r="F265">
        <v>1467.27</v>
      </c>
      <c r="G265" t="s">
        <v>220</v>
      </c>
      <c r="H265">
        <v>5869.08</v>
      </c>
      <c r="I265">
        <v>2023</v>
      </c>
      <c r="J265">
        <v>12</v>
      </c>
      <c r="K265">
        <v>6</v>
      </c>
      <c r="L265" s="14">
        <v>1467.27</v>
      </c>
      <c r="M265" s="4" t="str">
        <f t="shared" si="16"/>
        <v>lunes</v>
      </c>
      <c r="N265" s="4" t="str">
        <f t="shared" si="17"/>
        <v>diciembre</v>
      </c>
      <c r="O265" s="4" t="str">
        <f t="shared" si="18"/>
        <v>SI</v>
      </c>
      <c r="P265" s="4" t="str">
        <f t="shared" si="19"/>
        <v>SI</v>
      </c>
      <c r="Q265" s="4" t="str" cm="1">
        <f t="array" ref="Q265">_xlfn.IFS(AND(H265&gt;=0,H265&lt;=3333),"Grupo 1",AND(H265&gt;3333,H265&lt;=6666),"Grupo 2",AND(H265&gt;6666,H265&lt;=10000),"Grupo 3")</f>
        <v>Grupo 2</v>
      </c>
    </row>
    <row r="266" spans="1:17" x14ac:dyDescent="0.25">
      <c r="A266" t="s">
        <v>76</v>
      </c>
      <c r="B266" s="2">
        <v>45297.965277777781</v>
      </c>
      <c r="C266" t="s">
        <v>327</v>
      </c>
      <c r="D266" t="s">
        <v>215</v>
      </c>
      <c r="E266">
        <v>4</v>
      </c>
      <c r="F266">
        <v>1804.12</v>
      </c>
      <c r="G266" t="s">
        <v>220</v>
      </c>
      <c r="H266">
        <v>7216.48</v>
      </c>
      <c r="I266">
        <v>2024</v>
      </c>
      <c r="J266">
        <v>1</v>
      </c>
      <c r="K266">
        <v>23</v>
      </c>
      <c r="L266" s="14">
        <v>1804.12</v>
      </c>
      <c r="M266" s="4" t="str">
        <f t="shared" si="16"/>
        <v>sábado</v>
      </c>
      <c r="N266" s="4" t="str">
        <f t="shared" si="17"/>
        <v>enero</v>
      </c>
      <c r="O266" s="4" t="str">
        <f t="shared" si="18"/>
        <v>SI</v>
      </c>
      <c r="P266" s="4" t="str">
        <f t="shared" si="19"/>
        <v>SI</v>
      </c>
      <c r="Q266" s="4" t="str" cm="1">
        <f t="array" ref="Q266">_xlfn.IFS(AND(H266&gt;=0,H266&lt;=3333),"Grupo 1",AND(H266&gt;3333,H266&lt;=6666),"Grupo 2",AND(H266&gt;6666,H266&lt;=10000),"Grupo 3")</f>
        <v>Grupo 3</v>
      </c>
    </row>
    <row r="267" spans="1:17" x14ac:dyDescent="0.25">
      <c r="A267" t="s">
        <v>77</v>
      </c>
      <c r="B267" s="2">
        <v>45434.519444444442</v>
      </c>
      <c r="C267" t="s">
        <v>328</v>
      </c>
      <c r="D267" t="s">
        <v>219</v>
      </c>
      <c r="E267">
        <v>1</v>
      </c>
      <c r="F267">
        <v>1172.72</v>
      </c>
      <c r="G267" t="s">
        <v>221</v>
      </c>
      <c r="H267">
        <v>1172.72</v>
      </c>
      <c r="I267">
        <v>2024</v>
      </c>
      <c r="J267">
        <v>5</v>
      </c>
      <c r="K267">
        <v>12</v>
      </c>
      <c r="L267" s="14">
        <v>1172.72</v>
      </c>
      <c r="M267" s="4" t="str">
        <f t="shared" si="16"/>
        <v>miércoles</v>
      </c>
      <c r="N267" s="4" t="str">
        <f t="shared" si="17"/>
        <v>mayo</v>
      </c>
      <c r="O267" s="4" t="str">
        <f t="shared" si="18"/>
        <v>NO</v>
      </c>
      <c r="P267" s="4" t="str">
        <f t="shared" si="19"/>
        <v>SI</v>
      </c>
      <c r="Q267" s="4" t="str" cm="1">
        <f t="array" ref="Q267">_xlfn.IFS(AND(H267&gt;=0,H267&lt;=3333),"Grupo 1",AND(H267&gt;3333,H267&lt;=6666),"Grupo 2",AND(H267&gt;6666,H267&lt;=10000),"Grupo 3")</f>
        <v>Grupo 1</v>
      </c>
    </row>
    <row r="268" spans="1:17" x14ac:dyDescent="0.25">
      <c r="A268" t="s">
        <v>78</v>
      </c>
      <c r="B268" s="2">
        <v>45290.050694444442</v>
      </c>
      <c r="C268" t="s">
        <v>329</v>
      </c>
      <c r="D268" t="s">
        <v>218</v>
      </c>
      <c r="E268">
        <v>1</v>
      </c>
      <c r="F268">
        <v>725.07</v>
      </c>
      <c r="G268" t="s">
        <v>221</v>
      </c>
      <c r="H268">
        <v>725.07</v>
      </c>
      <c r="I268">
        <v>2023</v>
      </c>
      <c r="J268">
        <v>12</v>
      </c>
      <c r="K268">
        <v>1</v>
      </c>
      <c r="L268" s="14">
        <v>725.07</v>
      </c>
      <c r="M268" s="4" t="str">
        <f t="shared" si="16"/>
        <v>sábado</v>
      </c>
      <c r="N268" s="4" t="str">
        <f t="shared" si="17"/>
        <v>diciembre</v>
      </c>
      <c r="O268" s="4" t="str">
        <f t="shared" si="18"/>
        <v>NO</v>
      </c>
      <c r="P268" s="4" t="str">
        <f t="shared" si="19"/>
        <v>NO</v>
      </c>
      <c r="Q268" s="4" t="str" cm="1">
        <f t="array" ref="Q268">_xlfn.IFS(AND(H268&gt;=0,H268&lt;=3333),"Grupo 1",AND(H268&gt;3333,H268&lt;=6666),"Grupo 2",AND(H268&gt;6666,H268&lt;=10000),"Grupo 3")</f>
        <v>Grupo 1</v>
      </c>
    </row>
    <row r="269" spans="1:17" x14ac:dyDescent="0.25">
      <c r="A269" t="s">
        <v>79</v>
      </c>
      <c r="B269" s="2">
        <v>45684.334027777782</v>
      </c>
      <c r="C269" t="s">
        <v>330</v>
      </c>
      <c r="D269" t="s">
        <v>212</v>
      </c>
      <c r="E269">
        <v>5</v>
      </c>
      <c r="F269">
        <v>563.69000000000005</v>
      </c>
      <c r="G269" t="s">
        <v>220</v>
      </c>
      <c r="H269">
        <v>2818.45</v>
      </c>
      <c r="I269">
        <v>2025</v>
      </c>
      <c r="J269">
        <v>1</v>
      </c>
      <c r="K269">
        <v>8</v>
      </c>
      <c r="L269" s="14">
        <v>563.69000000000005</v>
      </c>
      <c r="M269" s="4" t="str">
        <f t="shared" si="16"/>
        <v>lunes</v>
      </c>
      <c r="N269" s="4" t="str">
        <f t="shared" si="17"/>
        <v>enero</v>
      </c>
      <c r="O269" s="4" t="str">
        <f t="shared" si="18"/>
        <v>NO</v>
      </c>
      <c r="P269" s="4" t="str">
        <f t="shared" si="19"/>
        <v>NO</v>
      </c>
      <c r="Q269" s="4" t="str" cm="1">
        <f t="array" ref="Q269">_xlfn.IFS(AND(H269&gt;=0,H269&lt;=3333),"Grupo 1",AND(H269&gt;3333,H269&lt;=6666),"Grupo 2",AND(H269&gt;6666,H269&lt;=10000),"Grupo 3")</f>
        <v>Grupo 1</v>
      </c>
    </row>
    <row r="270" spans="1:17" x14ac:dyDescent="0.25">
      <c r="A270" t="s">
        <v>80</v>
      </c>
      <c r="B270" s="2">
        <v>45222.202777777777</v>
      </c>
      <c r="C270" t="s">
        <v>331</v>
      </c>
      <c r="D270" t="s">
        <v>219</v>
      </c>
      <c r="E270">
        <v>5</v>
      </c>
      <c r="F270">
        <v>1547.41</v>
      </c>
      <c r="G270" t="s">
        <v>221</v>
      </c>
      <c r="H270">
        <v>7737.05</v>
      </c>
      <c r="I270">
        <v>2023</v>
      </c>
      <c r="J270">
        <v>10</v>
      </c>
      <c r="K270">
        <v>4</v>
      </c>
      <c r="L270" s="14">
        <v>1547.41</v>
      </c>
      <c r="M270" s="4" t="str">
        <f t="shared" si="16"/>
        <v>lunes</v>
      </c>
      <c r="N270" s="4" t="str">
        <f t="shared" si="17"/>
        <v>octubre</v>
      </c>
      <c r="O270" s="4" t="str">
        <f t="shared" si="18"/>
        <v>SI</v>
      </c>
      <c r="P270" s="4" t="str">
        <f t="shared" si="19"/>
        <v>SI</v>
      </c>
      <c r="Q270" s="4" t="str" cm="1">
        <f t="array" ref="Q270">_xlfn.IFS(AND(H270&gt;=0,H270&lt;=3333),"Grupo 1",AND(H270&gt;3333,H270&lt;=6666),"Grupo 2",AND(H270&gt;6666,H270&lt;=10000),"Grupo 3")</f>
        <v>Grupo 3</v>
      </c>
    </row>
    <row r="271" spans="1:17" x14ac:dyDescent="0.25">
      <c r="A271" t="s">
        <v>81</v>
      </c>
      <c r="B271" s="2">
        <v>45274.597916666673</v>
      </c>
      <c r="C271" t="s">
        <v>332</v>
      </c>
      <c r="D271" t="s">
        <v>216</v>
      </c>
      <c r="E271">
        <v>2</v>
      </c>
      <c r="F271">
        <v>1903.65</v>
      </c>
      <c r="G271" t="s">
        <v>221</v>
      </c>
      <c r="H271">
        <v>3807.3</v>
      </c>
      <c r="I271">
        <v>2023</v>
      </c>
      <c r="J271">
        <v>12</v>
      </c>
      <c r="K271">
        <v>14</v>
      </c>
      <c r="L271" s="14">
        <v>1903.65</v>
      </c>
      <c r="M271" s="4" t="str">
        <f t="shared" si="16"/>
        <v>jueves</v>
      </c>
      <c r="N271" s="4" t="str">
        <f t="shared" si="17"/>
        <v>diciembre</v>
      </c>
      <c r="O271" s="4" t="str">
        <f t="shared" si="18"/>
        <v>SI</v>
      </c>
      <c r="P271" s="4" t="str">
        <f t="shared" si="19"/>
        <v>SI</v>
      </c>
      <c r="Q271" s="4" t="str" cm="1">
        <f t="array" ref="Q271">_xlfn.IFS(AND(H271&gt;=0,H271&lt;=3333),"Grupo 1",AND(H271&gt;3333,H271&lt;=6666),"Grupo 2",AND(H271&gt;6666,H271&lt;=10000),"Grupo 3")</f>
        <v>Grupo 2</v>
      </c>
    </row>
    <row r="272" spans="1:17" x14ac:dyDescent="0.25">
      <c r="A272" t="s">
        <v>82</v>
      </c>
      <c r="B272" s="2">
        <v>45358.874305555553</v>
      </c>
      <c r="C272" t="s">
        <v>333</v>
      </c>
      <c r="D272" t="s">
        <v>215</v>
      </c>
      <c r="E272">
        <v>2</v>
      </c>
      <c r="F272">
        <v>1198.2</v>
      </c>
      <c r="G272" t="s">
        <v>220</v>
      </c>
      <c r="H272">
        <v>2396.4</v>
      </c>
      <c r="I272">
        <v>2024</v>
      </c>
      <c r="J272">
        <v>3</v>
      </c>
      <c r="K272">
        <v>20</v>
      </c>
      <c r="L272" s="14">
        <v>1198.2</v>
      </c>
      <c r="M272" s="4" t="str">
        <f t="shared" si="16"/>
        <v>jueves</v>
      </c>
      <c r="N272" s="4" t="str">
        <f t="shared" si="17"/>
        <v>marzo</v>
      </c>
      <c r="O272" s="4" t="str">
        <f t="shared" si="18"/>
        <v>NO</v>
      </c>
      <c r="P272" s="4" t="str">
        <f t="shared" si="19"/>
        <v>SI</v>
      </c>
      <c r="Q272" s="4" t="str" cm="1">
        <f t="array" ref="Q272">_xlfn.IFS(AND(H272&gt;=0,H272&lt;=3333),"Grupo 1",AND(H272&gt;3333,H272&lt;=6666),"Grupo 2",AND(H272&gt;6666,H272&lt;=10000),"Grupo 3")</f>
        <v>Grupo 1</v>
      </c>
    </row>
    <row r="273" spans="1:17" x14ac:dyDescent="0.25">
      <c r="A273" t="s">
        <v>83</v>
      </c>
      <c r="B273" s="2">
        <v>45850.171527777777</v>
      </c>
      <c r="C273" t="s">
        <v>334</v>
      </c>
      <c r="D273" t="s">
        <v>213</v>
      </c>
      <c r="E273">
        <v>3</v>
      </c>
      <c r="F273">
        <v>543.72</v>
      </c>
      <c r="G273" t="s">
        <v>221</v>
      </c>
      <c r="H273">
        <v>1631.16</v>
      </c>
      <c r="I273">
        <v>2025</v>
      </c>
      <c r="J273">
        <v>7</v>
      </c>
      <c r="K273">
        <v>4</v>
      </c>
      <c r="L273" s="14">
        <v>543.72</v>
      </c>
      <c r="M273" s="4" t="str">
        <f t="shared" si="16"/>
        <v>sábado</v>
      </c>
      <c r="N273" s="4" t="str">
        <f t="shared" si="17"/>
        <v>julio</v>
      </c>
      <c r="O273" s="4" t="str">
        <f t="shared" si="18"/>
        <v>NO</v>
      </c>
      <c r="P273" s="4" t="str">
        <f t="shared" si="19"/>
        <v>NO</v>
      </c>
      <c r="Q273" s="4" t="str" cm="1">
        <f t="array" ref="Q273">_xlfn.IFS(AND(H273&gt;=0,H273&lt;=3333),"Grupo 1",AND(H273&gt;3333,H273&lt;=6666),"Grupo 2",AND(H273&gt;6666,H273&lt;=10000),"Grupo 3")</f>
        <v>Grupo 1</v>
      </c>
    </row>
    <row r="274" spans="1:17" x14ac:dyDescent="0.25">
      <c r="A274" t="s">
        <v>84</v>
      </c>
      <c r="B274" s="2">
        <v>45041.884027777778</v>
      </c>
      <c r="C274" t="s">
        <v>335</v>
      </c>
      <c r="D274" t="s">
        <v>216</v>
      </c>
      <c r="E274">
        <v>2</v>
      </c>
      <c r="F274">
        <v>1449.53</v>
      </c>
      <c r="G274" t="s">
        <v>221</v>
      </c>
      <c r="H274">
        <v>2899.06</v>
      </c>
      <c r="I274">
        <v>2023</v>
      </c>
      <c r="J274">
        <v>4</v>
      </c>
      <c r="K274">
        <v>21</v>
      </c>
      <c r="L274" s="14">
        <v>1449.53</v>
      </c>
      <c r="M274" s="4" t="str">
        <f t="shared" si="16"/>
        <v>martes</v>
      </c>
      <c r="N274" s="4" t="str">
        <f t="shared" si="17"/>
        <v>abril</v>
      </c>
      <c r="O274" s="4" t="str">
        <f t="shared" si="18"/>
        <v>SI</v>
      </c>
      <c r="P274" s="4" t="str">
        <f t="shared" si="19"/>
        <v>SI</v>
      </c>
      <c r="Q274" s="4" t="str" cm="1">
        <f t="array" ref="Q274">_xlfn.IFS(AND(H274&gt;=0,H274&lt;=3333),"Grupo 1",AND(H274&gt;3333,H274&lt;=6666),"Grupo 2",AND(H274&gt;6666,H274&lt;=10000),"Grupo 3")</f>
        <v>Grupo 1</v>
      </c>
    </row>
    <row r="275" spans="1:17" x14ac:dyDescent="0.25">
      <c r="A275" t="s">
        <v>85</v>
      </c>
      <c r="B275" s="2">
        <v>45564.772916666669</v>
      </c>
      <c r="C275" t="s">
        <v>336</v>
      </c>
      <c r="D275" t="s">
        <v>214</v>
      </c>
      <c r="E275">
        <v>5</v>
      </c>
      <c r="F275">
        <v>472.42</v>
      </c>
      <c r="G275" t="s">
        <v>222</v>
      </c>
      <c r="H275">
        <v>2362.1</v>
      </c>
      <c r="I275">
        <v>2024</v>
      </c>
      <c r="J275">
        <v>9</v>
      </c>
      <c r="K275">
        <v>18</v>
      </c>
      <c r="L275" s="14">
        <v>472.42</v>
      </c>
      <c r="M275" s="4" t="str">
        <f t="shared" si="16"/>
        <v>domingo</v>
      </c>
      <c r="N275" s="4" t="str">
        <f t="shared" si="17"/>
        <v>septiembre</v>
      </c>
      <c r="O275" s="4" t="str">
        <f t="shared" si="18"/>
        <v>NO</v>
      </c>
      <c r="P275" s="4" t="str">
        <f t="shared" si="19"/>
        <v>NO</v>
      </c>
      <c r="Q275" s="4" t="str" cm="1">
        <f t="array" ref="Q275">_xlfn.IFS(AND(H275&gt;=0,H275&lt;=3333),"Grupo 1",AND(H275&gt;3333,H275&lt;=6666),"Grupo 2",AND(H275&gt;6666,H275&lt;=10000),"Grupo 3")</f>
        <v>Grupo 1</v>
      </c>
    </row>
    <row r="276" spans="1:17" x14ac:dyDescent="0.25">
      <c r="A276" t="s">
        <v>86</v>
      </c>
      <c r="B276" s="2">
        <v>45118.247916666667</v>
      </c>
      <c r="C276" t="s">
        <v>337</v>
      </c>
      <c r="D276" t="s">
        <v>219</v>
      </c>
      <c r="E276">
        <v>3</v>
      </c>
      <c r="F276">
        <v>367.9</v>
      </c>
      <c r="G276" t="s">
        <v>221</v>
      </c>
      <c r="H276">
        <v>1103.7</v>
      </c>
      <c r="I276">
        <v>2023</v>
      </c>
      <c r="J276">
        <v>7</v>
      </c>
      <c r="K276">
        <v>5</v>
      </c>
      <c r="L276" s="14">
        <v>367.89999999999992</v>
      </c>
      <c r="M276" s="4" t="str">
        <f t="shared" si="16"/>
        <v>martes</v>
      </c>
      <c r="N276" s="4" t="str">
        <f t="shared" si="17"/>
        <v>julio</v>
      </c>
      <c r="O276" s="4" t="str">
        <f t="shared" si="18"/>
        <v>NO</v>
      </c>
      <c r="P276" s="4" t="str">
        <f t="shared" si="19"/>
        <v>NO</v>
      </c>
      <c r="Q276" s="4" t="str" cm="1">
        <f t="array" ref="Q276">_xlfn.IFS(AND(H276&gt;=0,H276&lt;=3333),"Grupo 1",AND(H276&gt;3333,H276&lt;=6666),"Grupo 2",AND(H276&gt;6666,H276&lt;=10000),"Grupo 3")</f>
        <v>Grupo 1</v>
      </c>
    </row>
    <row r="277" spans="1:17" x14ac:dyDescent="0.25">
      <c r="A277" t="s">
        <v>87</v>
      </c>
      <c r="B277" s="2">
        <v>45717.986111111109</v>
      </c>
      <c r="C277" t="s">
        <v>338</v>
      </c>
      <c r="D277" t="s">
        <v>219</v>
      </c>
      <c r="E277">
        <v>5</v>
      </c>
      <c r="F277">
        <v>739.51</v>
      </c>
      <c r="G277" t="s">
        <v>221</v>
      </c>
      <c r="H277">
        <v>3697.55</v>
      </c>
      <c r="I277">
        <v>2025</v>
      </c>
      <c r="J277">
        <v>3</v>
      </c>
      <c r="K277">
        <v>23</v>
      </c>
      <c r="L277" s="14">
        <v>739.51</v>
      </c>
      <c r="M277" s="4" t="str">
        <f t="shared" si="16"/>
        <v>sábado</v>
      </c>
      <c r="N277" s="4" t="str">
        <f t="shared" si="17"/>
        <v>marzo</v>
      </c>
      <c r="O277" s="4" t="str">
        <f t="shared" si="18"/>
        <v>SI</v>
      </c>
      <c r="P277" s="4" t="str">
        <f t="shared" si="19"/>
        <v>NO</v>
      </c>
      <c r="Q277" s="4" t="str" cm="1">
        <f t="array" ref="Q277">_xlfn.IFS(AND(H277&gt;=0,H277&lt;=3333),"Grupo 1",AND(H277&gt;3333,H277&lt;=6666),"Grupo 2",AND(H277&gt;6666,H277&lt;=10000),"Grupo 3")</f>
        <v>Grupo 2</v>
      </c>
    </row>
    <row r="278" spans="1:17" x14ac:dyDescent="0.25">
      <c r="A278" t="s">
        <v>88</v>
      </c>
      <c r="B278" s="2">
        <v>45162.795138888891</v>
      </c>
      <c r="C278" t="s">
        <v>339</v>
      </c>
      <c r="D278" t="s">
        <v>217</v>
      </c>
      <c r="E278">
        <v>2</v>
      </c>
      <c r="F278">
        <v>1089.1300000000001</v>
      </c>
      <c r="G278" t="s">
        <v>220</v>
      </c>
      <c r="H278">
        <v>2178.2600000000002</v>
      </c>
      <c r="I278">
        <v>2023</v>
      </c>
      <c r="J278">
        <v>8</v>
      </c>
      <c r="K278">
        <v>19</v>
      </c>
      <c r="L278" s="14">
        <v>1089.1300000000001</v>
      </c>
      <c r="M278" s="4" t="str">
        <f t="shared" si="16"/>
        <v>jueves</v>
      </c>
      <c r="N278" s="4" t="str">
        <f t="shared" si="17"/>
        <v>agosto</v>
      </c>
      <c r="O278" s="4" t="str">
        <f t="shared" si="18"/>
        <v>NO</v>
      </c>
      <c r="P278" s="4" t="str">
        <f t="shared" si="19"/>
        <v>SI</v>
      </c>
      <c r="Q278" s="4" t="str" cm="1">
        <f t="array" ref="Q278">_xlfn.IFS(AND(H278&gt;=0,H278&lt;=3333),"Grupo 1",AND(H278&gt;3333,H278&lt;=6666),"Grupo 2",AND(H278&gt;6666,H278&lt;=10000),"Grupo 3")</f>
        <v>Grupo 1</v>
      </c>
    </row>
    <row r="279" spans="1:17" x14ac:dyDescent="0.25">
      <c r="A279" t="s">
        <v>89</v>
      </c>
      <c r="B279" s="2">
        <v>45517.353472222218</v>
      </c>
      <c r="C279" t="s">
        <v>340</v>
      </c>
      <c r="D279" t="s">
        <v>216</v>
      </c>
      <c r="E279">
        <v>5</v>
      </c>
      <c r="F279">
        <v>1632.75</v>
      </c>
      <c r="G279" t="s">
        <v>221</v>
      </c>
      <c r="H279">
        <v>8163.75</v>
      </c>
      <c r="I279">
        <v>2024</v>
      </c>
      <c r="J279">
        <v>8</v>
      </c>
      <c r="K279">
        <v>8</v>
      </c>
      <c r="L279" s="14">
        <v>1632.75</v>
      </c>
      <c r="M279" s="4" t="str">
        <f t="shared" si="16"/>
        <v>martes</v>
      </c>
      <c r="N279" s="4" t="str">
        <f t="shared" si="17"/>
        <v>agosto</v>
      </c>
      <c r="O279" s="4" t="str">
        <f t="shared" si="18"/>
        <v>SI</v>
      </c>
      <c r="P279" s="4" t="str">
        <f t="shared" si="19"/>
        <v>SI</v>
      </c>
      <c r="Q279" s="4" t="str" cm="1">
        <f t="array" ref="Q279">_xlfn.IFS(AND(H279&gt;=0,H279&lt;=3333),"Grupo 1",AND(H279&gt;3333,H279&lt;=6666),"Grupo 2",AND(H279&gt;6666,H279&lt;=10000),"Grupo 3")</f>
        <v>Grupo 3</v>
      </c>
    </row>
    <row r="280" spans="1:17" x14ac:dyDescent="0.25">
      <c r="A280" t="s">
        <v>90</v>
      </c>
      <c r="B280" s="2">
        <v>45245.664583333331</v>
      </c>
      <c r="C280" t="s">
        <v>341</v>
      </c>
      <c r="D280" t="s">
        <v>212</v>
      </c>
      <c r="E280">
        <v>3</v>
      </c>
      <c r="F280">
        <v>817.35</v>
      </c>
      <c r="G280" t="s">
        <v>220</v>
      </c>
      <c r="H280">
        <v>2452.0500000000002</v>
      </c>
      <c r="I280">
        <v>2023</v>
      </c>
      <c r="J280">
        <v>11</v>
      </c>
      <c r="K280">
        <v>15</v>
      </c>
      <c r="L280" s="14">
        <v>817.35</v>
      </c>
      <c r="M280" s="4" t="str">
        <f t="shared" si="16"/>
        <v>miércoles</v>
      </c>
      <c r="N280" s="4" t="str">
        <f t="shared" si="17"/>
        <v>noviembre</v>
      </c>
      <c r="O280" s="4" t="str">
        <f t="shared" si="18"/>
        <v>NO</v>
      </c>
      <c r="P280" s="4" t="str">
        <f t="shared" si="19"/>
        <v>NO</v>
      </c>
      <c r="Q280" s="4" t="str" cm="1">
        <f t="array" ref="Q280">_xlfn.IFS(AND(H280&gt;=0,H280&lt;=3333),"Grupo 1",AND(H280&gt;3333,H280&lt;=6666),"Grupo 2",AND(H280&gt;6666,H280&lt;=10000),"Grupo 3")</f>
        <v>Grupo 1</v>
      </c>
    </row>
    <row r="281" spans="1:17" x14ac:dyDescent="0.25">
      <c r="A281" t="s">
        <v>91</v>
      </c>
      <c r="B281" s="2">
        <v>45603.368055555547</v>
      </c>
      <c r="C281" t="s">
        <v>342</v>
      </c>
      <c r="D281" t="s">
        <v>213</v>
      </c>
      <c r="E281">
        <v>2</v>
      </c>
      <c r="F281">
        <v>1186.58</v>
      </c>
      <c r="G281" t="s">
        <v>221</v>
      </c>
      <c r="H281">
        <v>2373.16</v>
      </c>
      <c r="I281">
        <v>2024</v>
      </c>
      <c r="J281">
        <v>11</v>
      </c>
      <c r="K281">
        <v>8</v>
      </c>
      <c r="L281" s="14">
        <v>1186.58</v>
      </c>
      <c r="M281" s="4" t="str">
        <f t="shared" si="16"/>
        <v>jueves</v>
      </c>
      <c r="N281" s="4" t="str">
        <f t="shared" si="17"/>
        <v>noviembre</v>
      </c>
      <c r="O281" s="4" t="str">
        <f t="shared" si="18"/>
        <v>NO</v>
      </c>
      <c r="P281" s="4" t="str">
        <f t="shared" si="19"/>
        <v>SI</v>
      </c>
      <c r="Q281" s="4" t="str" cm="1">
        <f t="array" ref="Q281">_xlfn.IFS(AND(H281&gt;=0,H281&lt;=3333),"Grupo 1",AND(H281&gt;3333,H281&lt;=6666),"Grupo 2",AND(H281&gt;6666,H281&lt;=10000),"Grupo 3")</f>
        <v>Grupo 1</v>
      </c>
    </row>
    <row r="282" spans="1:17" x14ac:dyDescent="0.25">
      <c r="A282" t="s">
        <v>92</v>
      </c>
      <c r="B282" s="2">
        <v>44990.597916666673</v>
      </c>
      <c r="C282" t="s">
        <v>343</v>
      </c>
      <c r="D282" t="s">
        <v>215</v>
      </c>
      <c r="E282">
        <v>2</v>
      </c>
      <c r="F282">
        <v>1872.8</v>
      </c>
      <c r="G282" t="s">
        <v>220</v>
      </c>
      <c r="H282">
        <v>3745.6</v>
      </c>
      <c r="I282">
        <v>2023</v>
      </c>
      <c r="J282">
        <v>3</v>
      </c>
      <c r="K282">
        <v>14</v>
      </c>
      <c r="L282" s="14">
        <v>1872.8</v>
      </c>
      <c r="M282" s="4" t="str">
        <f t="shared" si="16"/>
        <v>domingo</v>
      </c>
      <c r="N282" s="4" t="str">
        <f t="shared" si="17"/>
        <v>marzo</v>
      </c>
      <c r="O282" s="4" t="str">
        <f t="shared" si="18"/>
        <v>SI</v>
      </c>
      <c r="P282" s="4" t="str">
        <f t="shared" si="19"/>
        <v>SI</v>
      </c>
      <c r="Q282" s="4" t="str" cm="1">
        <f t="array" ref="Q282">_xlfn.IFS(AND(H282&gt;=0,H282&lt;=3333),"Grupo 1",AND(H282&gt;3333,H282&lt;=6666),"Grupo 2",AND(H282&gt;6666,H282&lt;=10000),"Grupo 3")</f>
        <v>Grupo 2</v>
      </c>
    </row>
    <row r="283" spans="1:17" x14ac:dyDescent="0.25">
      <c r="A283" t="s">
        <v>93</v>
      </c>
      <c r="B283" s="2">
        <v>45273.106249999997</v>
      </c>
      <c r="C283" t="s">
        <v>344</v>
      </c>
      <c r="D283" t="s">
        <v>214</v>
      </c>
      <c r="E283">
        <v>3</v>
      </c>
      <c r="F283">
        <v>680.19</v>
      </c>
      <c r="G283" t="s">
        <v>222</v>
      </c>
      <c r="H283">
        <v>2040.57</v>
      </c>
      <c r="I283">
        <v>2023</v>
      </c>
      <c r="J283">
        <v>12</v>
      </c>
      <c r="K283">
        <v>2</v>
      </c>
      <c r="L283" s="14">
        <v>680.19</v>
      </c>
      <c r="M283" s="4" t="str">
        <f t="shared" si="16"/>
        <v>miércoles</v>
      </c>
      <c r="N283" s="4" t="str">
        <f t="shared" si="17"/>
        <v>diciembre</v>
      </c>
      <c r="O283" s="4" t="str">
        <f t="shared" si="18"/>
        <v>NO</v>
      </c>
      <c r="P283" s="4" t="str">
        <f t="shared" si="19"/>
        <v>NO</v>
      </c>
      <c r="Q283" s="4" t="str" cm="1">
        <f t="array" ref="Q283">_xlfn.IFS(AND(H283&gt;=0,H283&lt;=3333),"Grupo 1",AND(H283&gt;3333,H283&lt;=6666),"Grupo 2",AND(H283&gt;6666,H283&lt;=10000),"Grupo 3")</f>
        <v>Grupo 1</v>
      </c>
    </row>
    <row r="284" spans="1:17" x14ac:dyDescent="0.25">
      <c r="A284" t="s">
        <v>94</v>
      </c>
      <c r="B284" s="2">
        <v>45022.271527777782</v>
      </c>
      <c r="C284" t="s">
        <v>345</v>
      </c>
      <c r="D284" t="s">
        <v>216</v>
      </c>
      <c r="E284">
        <v>4</v>
      </c>
      <c r="F284">
        <v>262.82</v>
      </c>
      <c r="G284" t="s">
        <v>221</v>
      </c>
      <c r="H284">
        <v>1051.28</v>
      </c>
      <c r="I284">
        <v>2023</v>
      </c>
      <c r="J284">
        <v>4</v>
      </c>
      <c r="K284">
        <v>6</v>
      </c>
      <c r="L284" s="14">
        <v>262.82</v>
      </c>
      <c r="M284" s="4" t="str">
        <f t="shared" si="16"/>
        <v>jueves</v>
      </c>
      <c r="N284" s="4" t="str">
        <f t="shared" si="17"/>
        <v>abril</v>
      </c>
      <c r="O284" s="4" t="str">
        <f t="shared" si="18"/>
        <v>NO</v>
      </c>
      <c r="P284" s="4" t="str">
        <f t="shared" si="19"/>
        <v>NO</v>
      </c>
      <c r="Q284" s="4" t="str" cm="1">
        <f t="array" ref="Q284">_xlfn.IFS(AND(H284&gt;=0,H284&lt;=3333),"Grupo 1",AND(H284&gt;3333,H284&lt;=6666),"Grupo 2",AND(H284&gt;6666,H284&lt;=10000),"Grupo 3")</f>
        <v>Grupo 1</v>
      </c>
    </row>
    <row r="285" spans="1:17" x14ac:dyDescent="0.25">
      <c r="A285" t="s">
        <v>95</v>
      </c>
      <c r="B285" s="2">
        <v>45682.68472222222</v>
      </c>
      <c r="C285" t="s">
        <v>346</v>
      </c>
      <c r="D285" t="s">
        <v>215</v>
      </c>
      <c r="E285">
        <v>4</v>
      </c>
      <c r="F285">
        <v>1531.75</v>
      </c>
      <c r="G285" t="s">
        <v>220</v>
      </c>
      <c r="H285">
        <v>6127</v>
      </c>
      <c r="I285">
        <v>2025</v>
      </c>
      <c r="J285">
        <v>1</v>
      </c>
      <c r="K285">
        <v>16</v>
      </c>
      <c r="L285" s="14">
        <v>1531.75</v>
      </c>
      <c r="M285" s="4" t="str">
        <f t="shared" si="16"/>
        <v>sábado</v>
      </c>
      <c r="N285" s="4" t="str">
        <f t="shared" si="17"/>
        <v>enero</v>
      </c>
      <c r="O285" s="4" t="str">
        <f t="shared" si="18"/>
        <v>SI</v>
      </c>
      <c r="P285" s="4" t="str">
        <f t="shared" si="19"/>
        <v>SI</v>
      </c>
      <c r="Q285" s="4" t="str" cm="1">
        <f t="array" ref="Q285">_xlfn.IFS(AND(H285&gt;=0,H285&lt;=3333),"Grupo 1",AND(H285&gt;3333,H285&lt;=6666),"Grupo 2",AND(H285&gt;6666,H285&lt;=10000),"Grupo 3")</f>
        <v>Grupo 2</v>
      </c>
    </row>
    <row r="286" spans="1:17" x14ac:dyDescent="0.25">
      <c r="A286" t="s">
        <v>96</v>
      </c>
      <c r="B286" s="2">
        <v>45099.143750000003</v>
      </c>
      <c r="C286" t="s">
        <v>347</v>
      </c>
      <c r="D286" t="s">
        <v>215</v>
      </c>
      <c r="E286">
        <v>1</v>
      </c>
      <c r="F286">
        <v>503.84</v>
      </c>
      <c r="G286" t="s">
        <v>220</v>
      </c>
      <c r="H286">
        <v>503.84</v>
      </c>
      <c r="I286">
        <v>2023</v>
      </c>
      <c r="J286">
        <v>6</v>
      </c>
      <c r="K286">
        <v>3</v>
      </c>
      <c r="L286" s="14">
        <v>503.84</v>
      </c>
      <c r="M286" s="4" t="str">
        <f t="shared" si="16"/>
        <v>jueves</v>
      </c>
      <c r="N286" s="4" t="str">
        <f t="shared" si="17"/>
        <v>junio</v>
      </c>
      <c r="O286" s="4" t="str">
        <f t="shared" si="18"/>
        <v>NO</v>
      </c>
      <c r="P286" s="4" t="str">
        <f t="shared" si="19"/>
        <v>NO</v>
      </c>
      <c r="Q286" s="4" t="str" cm="1">
        <f t="array" ref="Q286">_xlfn.IFS(AND(H286&gt;=0,H286&lt;=3333),"Grupo 1",AND(H286&gt;3333,H286&lt;=6666),"Grupo 2",AND(H286&gt;6666,H286&lt;=10000),"Grupo 3")</f>
        <v>Grupo 1</v>
      </c>
    </row>
    <row r="287" spans="1:17" x14ac:dyDescent="0.25">
      <c r="A287" t="s">
        <v>97</v>
      </c>
      <c r="B287" s="2">
        <v>45546.810416666667</v>
      </c>
      <c r="C287" t="s">
        <v>348</v>
      </c>
      <c r="D287" t="s">
        <v>217</v>
      </c>
      <c r="E287">
        <v>4</v>
      </c>
      <c r="F287">
        <v>1908.41</v>
      </c>
      <c r="G287" t="s">
        <v>220</v>
      </c>
      <c r="H287">
        <v>7633.64</v>
      </c>
      <c r="I287">
        <v>2024</v>
      </c>
      <c r="J287">
        <v>9</v>
      </c>
      <c r="K287">
        <v>19</v>
      </c>
      <c r="L287" s="14">
        <v>1908.41</v>
      </c>
      <c r="M287" s="4" t="str">
        <f t="shared" si="16"/>
        <v>miércoles</v>
      </c>
      <c r="N287" s="4" t="str">
        <f t="shared" si="17"/>
        <v>septiembre</v>
      </c>
      <c r="O287" s="4" t="str">
        <f t="shared" si="18"/>
        <v>SI</v>
      </c>
      <c r="P287" s="4" t="str">
        <f t="shared" si="19"/>
        <v>SI</v>
      </c>
      <c r="Q287" s="4" t="str" cm="1">
        <f t="array" ref="Q287">_xlfn.IFS(AND(H287&gt;=0,H287&lt;=3333),"Grupo 1",AND(H287&gt;3333,H287&lt;=6666),"Grupo 2",AND(H287&gt;6666,H287&lt;=10000),"Grupo 3")</f>
        <v>Grupo 3</v>
      </c>
    </row>
    <row r="288" spans="1:17" x14ac:dyDescent="0.25">
      <c r="A288" t="s">
        <v>98</v>
      </c>
      <c r="B288" s="2">
        <v>45451.106249999997</v>
      </c>
      <c r="C288" t="s">
        <v>349</v>
      </c>
      <c r="D288" t="s">
        <v>215</v>
      </c>
      <c r="E288">
        <v>2</v>
      </c>
      <c r="F288">
        <v>114.6</v>
      </c>
      <c r="G288" t="s">
        <v>220</v>
      </c>
      <c r="H288">
        <v>229.2</v>
      </c>
      <c r="I288">
        <v>2024</v>
      </c>
      <c r="J288">
        <v>6</v>
      </c>
      <c r="K288">
        <v>2</v>
      </c>
      <c r="L288" s="14">
        <v>114.6</v>
      </c>
      <c r="M288" s="4" t="str">
        <f t="shared" si="16"/>
        <v>sábado</v>
      </c>
      <c r="N288" s="4" t="str">
        <f t="shared" si="17"/>
        <v>junio</v>
      </c>
      <c r="O288" s="4" t="str">
        <f t="shared" si="18"/>
        <v>NO</v>
      </c>
      <c r="P288" s="4" t="str">
        <f t="shared" si="19"/>
        <v>NO</v>
      </c>
      <c r="Q288" s="4" t="str" cm="1">
        <f t="array" ref="Q288">_xlfn.IFS(AND(H288&gt;=0,H288&lt;=3333),"Grupo 1",AND(H288&gt;3333,H288&lt;=6666),"Grupo 2",AND(H288&gt;6666,H288&lt;=10000),"Grupo 3")</f>
        <v>Grupo 1</v>
      </c>
    </row>
    <row r="289" spans="1:17" x14ac:dyDescent="0.25">
      <c r="A289" t="s">
        <v>99</v>
      </c>
      <c r="B289" s="2">
        <v>45101.551388888889</v>
      </c>
      <c r="C289" t="s">
        <v>350</v>
      </c>
      <c r="D289" t="s">
        <v>215</v>
      </c>
      <c r="E289">
        <v>2</v>
      </c>
      <c r="F289">
        <v>595.78</v>
      </c>
      <c r="G289" t="s">
        <v>220</v>
      </c>
      <c r="H289">
        <v>1191.56</v>
      </c>
      <c r="I289">
        <v>2023</v>
      </c>
      <c r="J289">
        <v>6</v>
      </c>
      <c r="K289">
        <v>13</v>
      </c>
      <c r="L289" s="14">
        <v>595.78</v>
      </c>
      <c r="M289" s="4" t="str">
        <f t="shared" si="16"/>
        <v>sábado</v>
      </c>
      <c r="N289" s="4" t="str">
        <f t="shared" si="17"/>
        <v>junio</v>
      </c>
      <c r="O289" s="4" t="str">
        <f t="shared" si="18"/>
        <v>NO</v>
      </c>
      <c r="P289" s="4" t="str">
        <f t="shared" si="19"/>
        <v>NO</v>
      </c>
      <c r="Q289" s="4" t="str" cm="1">
        <f t="array" ref="Q289">_xlfn.IFS(AND(H289&gt;=0,H289&lt;=3333),"Grupo 1",AND(H289&gt;3333,H289&lt;=6666),"Grupo 2",AND(H289&gt;6666,H289&lt;=10000),"Grupo 3")</f>
        <v>Grupo 1</v>
      </c>
    </row>
    <row r="290" spans="1:17" x14ac:dyDescent="0.25">
      <c r="A290" t="s">
        <v>100</v>
      </c>
      <c r="B290" s="2">
        <v>45405.413194444453</v>
      </c>
      <c r="C290" t="s">
        <v>351</v>
      </c>
      <c r="D290" t="s">
        <v>217</v>
      </c>
      <c r="E290">
        <v>2</v>
      </c>
      <c r="F290">
        <v>75.02</v>
      </c>
      <c r="G290" t="s">
        <v>220</v>
      </c>
      <c r="H290">
        <v>150.04</v>
      </c>
      <c r="I290">
        <v>2024</v>
      </c>
      <c r="J290">
        <v>4</v>
      </c>
      <c r="K290">
        <v>9</v>
      </c>
      <c r="L290" s="14">
        <v>75.02</v>
      </c>
      <c r="M290" s="4" t="str">
        <f t="shared" si="16"/>
        <v>martes</v>
      </c>
      <c r="N290" s="4" t="str">
        <f t="shared" si="17"/>
        <v>abril</v>
      </c>
      <c r="O290" s="4" t="str">
        <f t="shared" si="18"/>
        <v>NO</v>
      </c>
      <c r="P290" s="4" t="str">
        <f t="shared" si="19"/>
        <v>NO</v>
      </c>
      <c r="Q290" s="4" t="str" cm="1">
        <f t="array" ref="Q290">_xlfn.IFS(AND(H290&gt;=0,H290&lt;=3333),"Grupo 1",AND(H290&gt;3333,H290&lt;=6666),"Grupo 2",AND(H290&gt;6666,H290&lt;=10000),"Grupo 3")</f>
        <v>Grupo 1</v>
      </c>
    </row>
    <row r="291" spans="1:17" x14ac:dyDescent="0.25">
      <c r="A291" t="s">
        <v>101</v>
      </c>
      <c r="B291" s="2">
        <v>45465.332638888889</v>
      </c>
      <c r="C291" t="s">
        <v>352</v>
      </c>
      <c r="D291" t="s">
        <v>216</v>
      </c>
      <c r="E291">
        <v>5</v>
      </c>
      <c r="F291">
        <v>540.91999999999996</v>
      </c>
      <c r="G291" t="s">
        <v>221</v>
      </c>
      <c r="H291">
        <v>2704.6</v>
      </c>
      <c r="I291">
        <v>2024</v>
      </c>
      <c r="J291">
        <v>6</v>
      </c>
      <c r="K291">
        <v>7</v>
      </c>
      <c r="L291" s="14">
        <v>540.91999999999996</v>
      </c>
      <c r="M291" s="4" t="str">
        <f t="shared" si="16"/>
        <v>sábado</v>
      </c>
      <c r="N291" s="4" t="str">
        <f t="shared" si="17"/>
        <v>junio</v>
      </c>
      <c r="O291" s="4" t="str">
        <f t="shared" si="18"/>
        <v>NO</v>
      </c>
      <c r="P291" s="4" t="str">
        <f t="shared" si="19"/>
        <v>NO</v>
      </c>
      <c r="Q291" s="4" t="str" cm="1">
        <f t="array" ref="Q291">_xlfn.IFS(AND(H291&gt;=0,H291&lt;=3333),"Grupo 1",AND(H291&gt;3333,H291&lt;=6666),"Grupo 2",AND(H291&gt;6666,H291&lt;=10000),"Grupo 3")</f>
        <v>Grupo 1</v>
      </c>
    </row>
    <row r="292" spans="1:17" x14ac:dyDescent="0.25">
      <c r="A292" t="s">
        <v>102</v>
      </c>
      <c r="B292" s="2">
        <v>45863.330555555563</v>
      </c>
      <c r="C292" t="s">
        <v>353</v>
      </c>
      <c r="D292" t="s">
        <v>212</v>
      </c>
      <c r="E292">
        <v>2</v>
      </c>
      <c r="F292">
        <v>356.91</v>
      </c>
      <c r="G292" t="s">
        <v>220</v>
      </c>
      <c r="H292">
        <v>713.82</v>
      </c>
      <c r="I292">
        <v>2025</v>
      </c>
      <c r="J292">
        <v>7</v>
      </c>
      <c r="K292">
        <v>7</v>
      </c>
      <c r="L292" s="14">
        <v>356.91</v>
      </c>
      <c r="M292" s="4" t="str">
        <f t="shared" si="16"/>
        <v>viernes</v>
      </c>
      <c r="N292" s="4" t="str">
        <f t="shared" si="17"/>
        <v>julio</v>
      </c>
      <c r="O292" s="4" t="str">
        <f t="shared" si="18"/>
        <v>NO</v>
      </c>
      <c r="P292" s="4" t="str">
        <f t="shared" si="19"/>
        <v>NO</v>
      </c>
      <c r="Q292" s="4" t="str" cm="1">
        <f t="array" ref="Q292">_xlfn.IFS(AND(H292&gt;=0,H292&lt;=3333),"Grupo 1",AND(H292&gt;3333,H292&lt;=6666),"Grupo 2",AND(H292&gt;6666,H292&lt;=10000),"Grupo 3")</f>
        <v>Grupo 1</v>
      </c>
    </row>
    <row r="293" spans="1:17" x14ac:dyDescent="0.25">
      <c r="A293" t="s">
        <v>103</v>
      </c>
      <c r="B293" s="2">
        <v>45727.712500000001</v>
      </c>
      <c r="C293" t="s">
        <v>354</v>
      </c>
      <c r="D293" t="s">
        <v>219</v>
      </c>
      <c r="E293">
        <v>3</v>
      </c>
      <c r="F293">
        <v>1135.67</v>
      </c>
      <c r="G293" t="s">
        <v>221</v>
      </c>
      <c r="H293">
        <v>3407.01</v>
      </c>
      <c r="I293">
        <v>2025</v>
      </c>
      <c r="J293">
        <v>3</v>
      </c>
      <c r="K293">
        <v>17</v>
      </c>
      <c r="L293" s="14">
        <v>1135.67</v>
      </c>
      <c r="M293" s="4" t="str">
        <f t="shared" si="16"/>
        <v>martes</v>
      </c>
      <c r="N293" s="4" t="str">
        <f t="shared" si="17"/>
        <v>marzo</v>
      </c>
      <c r="O293" s="4" t="str">
        <f t="shared" si="18"/>
        <v>SI</v>
      </c>
      <c r="P293" s="4" t="str">
        <f t="shared" si="19"/>
        <v>SI</v>
      </c>
      <c r="Q293" s="4" t="str" cm="1">
        <f t="array" ref="Q293">_xlfn.IFS(AND(H293&gt;=0,H293&lt;=3333),"Grupo 1",AND(H293&gt;3333,H293&lt;=6666),"Grupo 2",AND(H293&gt;6666,H293&lt;=10000),"Grupo 3")</f>
        <v>Grupo 2</v>
      </c>
    </row>
    <row r="294" spans="1:17" x14ac:dyDescent="0.25">
      <c r="A294" t="s">
        <v>104</v>
      </c>
      <c r="B294" s="2">
        <v>45676.398611111108</v>
      </c>
      <c r="C294" t="s">
        <v>355</v>
      </c>
      <c r="D294" t="s">
        <v>215</v>
      </c>
      <c r="E294">
        <v>3</v>
      </c>
      <c r="F294">
        <v>805.69</v>
      </c>
      <c r="G294" t="s">
        <v>220</v>
      </c>
      <c r="H294">
        <v>2417.0700000000002</v>
      </c>
      <c r="I294">
        <v>2025</v>
      </c>
      <c r="J294">
        <v>1</v>
      </c>
      <c r="K294">
        <v>9</v>
      </c>
      <c r="L294" s="14">
        <v>805.69</v>
      </c>
      <c r="M294" s="4" t="str">
        <f t="shared" si="16"/>
        <v>domingo</v>
      </c>
      <c r="N294" s="4" t="str">
        <f t="shared" si="17"/>
        <v>enero</v>
      </c>
      <c r="O294" s="4" t="str">
        <f t="shared" si="18"/>
        <v>NO</v>
      </c>
      <c r="P294" s="4" t="str">
        <f t="shared" si="19"/>
        <v>NO</v>
      </c>
      <c r="Q294" s="4" t="str" cm="1">
        <f t="array" ref="Q294">_xlfn.IFS(AND(H294&gt;=0,H294&lt;=3333),"Grupo 1",AND(H294&gt;3333,H294&lt;=6666),"Grupo 2",AND(H294&gt;6666,H294&lt;=10000),"Grupo 3")</f>
        <v>Grupo 1</v>
      </c>
    </row>
    <row r="295" spans="1:17" x14ac:dyDescent="0.25">
      <c r="A295" t="s">
        <v>105</v>
      </c>
      <c r="B295" s="2">
        <v>45289.026388888888</v>
      </c>
      <c r="C295" t="s">
        <v>356</v>
      </c>
      <c r="D295" t="s">
        <v>217</v>
      </c>
      <c r="E295">
        <v>2</v>
      </c>
      <c r="F295">
        <v>1259.07</v>
      </c>
      <c r="G295" t="s">
        <v>220</v>
      </c>
      <c r="H295">
        <v>2518.14</v>
      </c>
      <c r="I295">
        <v>2023</v>
      </c>
      <c r="J295">
        <v>12</v>
      </c>
      <c r="K295">
        <v>0</v>
      </c>
      <c r="L295" s="14">
        <v>1259.07</v>
      </c>
      <c r="M295" s="4" t="str">
        <f t="shared" si="16"/>
        <v>viernes</v>
      </c>
      <c r="N295" s="4" t="str">
        <f t="shared" si="17"/>
        <v>diciembre</v>
      </c>
      <c r="O295" s="4" t="str">
        <f t="shared" si="18"/>
        <v>NO</v>
      </c>
      <c r="P295" s="4" t="str">
        <f t="shared" si="19"/>
        <v>SI</v>
      </c>
      <c r="Q295" s="4" t="str" cm="1">
        <f t="array" ref="Q295">_xlfn.IFS(AND(H295&gt;=0,H295&lt;=3333),"Grupo 1",AND(H295&gt;3333,H295&lt;=6666),"Grupo 2",AND(H295&gt;6666,H295&lt;=10000),"Grupo 3")</f>
        <v>Grupo 1</v>
      </c>
    </row>
    <row r="296" spans="1:17" x14ac:dyDescent="0.25">
      <c r="A296" t="s">
        <v>106</v>
      </c>
      <c r="B296" s="2">
        <v>45473.418749999997</v>
      </c>
      <c r="C296" t="s">
        <v>357</v>
      </c>
      <c r="D296" t="s">
        <v>218</v>
      </c>
      <c r="E296">
        <v>3</v>
      </c>
      <c r="F296">
        <v>600.4</v>
      </c>
      <c r="G296" t="s">
        <v>221</v>
      </c>
      <c r="H296">
        <v>1801.2</v>
      </c>
      <c r="I296">
        <v>2024</v>
      </c>
      <c r="J296">
        <v>6</v>
      </c>
      <c r="K296">
        <v>10</v>
      </c>
      <c r="L296" s="14">
        <v>600.4</v>
      </c>
      <c r="M296" s="4" t="str">
        <f t="shared" si="16"/>
        <v>domingo</v>
      </c>
      <c r="N296" s="4" t="str">
        <f t="shared" si="17"/>
        <v>junio</v>
      </c>
      <c r="O296" s="4" t="str">
        <f t="shared" si="18"/>
        <v>NO</v>
      </c>
      <c r="P296" s="4" t="str">
        <f t="shared" si="19"/>
        <v>NO</v>
      </c>
      <c r="Q296" s="4" t="str" cm="1">
        <f t="array" ref="Q296">_xlfn.IFS(AND(H296&gt;=0,H296&lt;=3333),"Grupo 1",AND(H296&gt;3333,H296&lt;=6666),"Grupo 2",AND(H296&gt;6666,H296&lt;=10000),"Grupo 3")</f>
        <v>Grupo 1</v>
      </c>
    </row>
    <row r="297" spans="1:17" x14ac:dyDescent="0.25">
      <c r="A297" t="s">
        <v>107</v>
      </c>
      <c r="B297" s="2">
        <v>45499.757638888892</v>
      </c>
      <c r="C297" t="s">
        <v>358</v>
      </c>
      <c r="D297" t="s">
        <v>214</v>
      </c>
      <c r="E297">
        <v>2</v>
      </c>
      <c r="F297">
        <v>479.81</v>
      </c>
      <c r="G297" t="s">
        <v>222</v>
      </c>
      <c r="H297">
        <v>959.62</v>
      </c>
      <c r="I297">
        <v>2024</v>
      </c>
      <c r="J297">
        <v>7</v>
      </c>
      <c r="K297">
        <v>18</v>
      </c>
      <c r="L297" s="14">
        <v>479.81</v>
      </c>
      <c r="M297" s="4" t="str">
        <f t="shared" si="16"/>
        <v>viernes</v>
      </c>
      <c r="N297" s="4" t="str">
        <f t="shared" si="17"/>
        <v>julio</v>
      </c>
      <c r="O297" s="4" t="str">
        <f t="shared" si="18"/>
        <v>NO</v>
      </c>
      <c r="P297" s="4" t="str">
        <f t="shared" si="19"/>
        <v>NO</v>
      </c>
      <c r="Q297" s="4" t="str" cm="1">
        <f t="array" ref="Q297">_xlfn.IFS(AND(H297&gt;=0,H297&lt;=3333),"Grupo 1",AND(H297&gt;3333,H297&lt;=6666),"Grupo 2",AND(H297&gt;6666,H297&lt;=10000),"Grupo 3")</f>
        <v>Grupo 1</v>
      </c>
    </row>
    <row r="298" spans="1:17" x14ac:dyDescent="0.25">
      <c r="A298" t="s">
        <v>108</v>
      </c>
      <c r="B298" s="2">
        <v>45541.331250000003</v>
      </c>
      <c r="C298" t="s">
        <v>359</v>
      </c>
      <c r="D298" t="s">
        <v>216</v>
      </c>
      <c r="E298">
        <v>1</v>
      </c>
      <c r="F298">
        <v>1888.86</v>
      </c>
      <c r="G298" t="s">
        <v>221</v>
      </c>
      <c r="H298">
        <v>1888.86</v>
      </c>
      <c r="I298">
        <v>2024</v>
      </c>
      <c r="J298">
        <v>9</v>
      </c>
      <c r="K298">
        <v>7</v>
      </c>
      <c r="L298" s="14">
        <v>1888.86</v>
      </c>
      <c r="M298" s="4" t="str">
        <f t="shared" si="16"/>
        <v>viernes</v>
      </c>
      <c r="N298" s="4" t="str">
        <f t="shared" si="17"/>
        <v>septiembre</v>
      </c>
      <c r="O298" s="4" t="str">
        <f t="shared" si="18"/>
        <v>NO</v>
      </c>
      <c r="P298" s="4" t="str">
        <f t="shared" si="19"/>
        <v>SI</v>
      </c>
      <c r="Q298" s="4" t="str" cm="1">
        <f t="array" ref="Q298">_xlfn.IFS(AND(H298&gt;=0,H298&lt;=3333),"Grupo 1",AND(H298&gt;3333,H298&lt;=6666),"Grupo 2",AND(H298&gt;6666,H298&lt;=10000),"Grupo 3")</f>
        <v>Grupo 1</v>
      </c>
    </row>
    <row r="299" spans="1:17" x14ac:dyDescent="0.25">
      <c r="A299" t="s">
        <v>109</v>
      </c>
      <c r="B299" s="2">
        <v>45542.574305555558</v>
      </c>
      <c r="C299" t="s">
        <v>261</v>
      </c>
      <c r="D299" t="s">
        <v>217</v>
      </c>
      <c r="E299">
        <v>4</v>
      </c>
      <c r="F299">
        <v>1821.05</v>
      </c>
      <c r="G299" t="s">
        <v>220</v>
      </c>
      <c r="H299">
        <v>7284.2</v>
      </c>
      <c r="I299">
        <v>2024</v>
      </c>
      <c r="J299">
        <v>9</v>
      </c>
      <c r="K299">
        <v>13</v>
      </c>
      <c r="L299" s="14">
        <v>1821.05</v>
      </c>
      <c r="M299" s="4" t="str">
        <f t="shared" si="16"/>
        <v>sábado</v>
      </c>
      <c r="N299" s="4" t="str">
        <f t="shared" si="17"/>
        <v>septiembre</v>
      </c>
      <c r="O299" s="4" t="str">
        <f t="shared" si="18"/>
        <v>SI</v>
      </c>
      <c r="P299" s="4" t="str">
        <f t="shared" si="19"/>
        <v>SI</v>
      </c>
      <c r="Q299" s="4" t="str" cm="1">
        <f t="array" ref="Q299">_xlfn.IFS(AND(H299&gt;=0,H299&lt;=3333),"Grupo 1",AND(H299&gt;3333,H299&lt;=6666),"Grupo 2",AND(H299&gt;6666,H299&lt;=10000),"Grupo 3")</f>
        <v>Grupo 3</v>
      </c>
    </row>
    <row r="300" spans="1:17" x14ac:dyDescent="0.25">
      <c r="A300" t="s">
        <v>110</v>
      </c>
      <c r="B300" s="2">
        <v>45846.336805555547</v>
      </c>
      <c r="C300" t="s">
        <v>262</v>
      </c>
      <c r="D300" t="s">
        <v>218</v>
      </c>
      <c r="E300">
        <v>3</v>
      </c>
      <c r="F300">
        <v>1537.23</v>
      </c>
      <c r="G300" t="s">
        <v>221</v>
      </c>
      <c r="H300">
        <v>4611.6900000000014</v>
      </c>
      <c r="I300">
        <v>2025</v>
      </c>
      <c r="J300">
        <v>7</v>
      </c>
      <c r="K300">
        <v>8</v>
      </c>
      <c r="L300" s="14">
        <v>1537.23</v>
      </c>
      <c r="M300" s="4" t="str">
        <f t="shared" si="16"/>
        <v>martes</v>
      </c>
      <c r="N300" s="4" t="str">
        <f t="shared" si="17"/>
        <v>julio</v>
      </c>
      <c r="O300" s="4" t="str">
        <f t="shared" si="18"/>
        <v>SI</v>
      </c>
      <c r="P300" s="4" t="str">
        <f t="shared" si="19"/>
        <v>SI</v>
      </c>
      <c r="Q300" s="4" t="str" cm="1">
        <f t="array" ref="Q300">_xlfn.IFS(AND(H300&gt;=0,H300&lt;=3333),"Grupo 1",AND(H300&gt;3333,H300&lt;=6666),"Grupo 2",AND(H300&gt;6666,H300&lt;=10000),"Grupo 3")</f>
        <v>Grupo 2</v>
      </c>
    </row>
    <row r="301" spans="1:17" x14ac:dyDescent="0.25">
      <c r="A301" t="s">
        <v>111</v>
      </c>
      <c r="B301" s="2">
        <v>45318.705555555563</v>
      </c>
      <c r="C301" t="s">
        <v>263</v>
      </c>
      <c r="D301" t="s">
        <v>214</v>
      </c>
      <c r="E301">
        <v>3</v>
      </c>
      <c r="F301">
        <v>311.66000000000003</v>
      </c>
      <c r="G301" t="s">
        <v>222</v>
      </c>
      <c r="H301">
        <v>934.98</v>
      </c>
      <c r="I301">
        <v>2024</v>
      </c>
      <c r="J301">
        <v>1</v>
      </c>
      <c r="K301">
        <v>16</v>
      </c>
      <c r="L301" s="14">
        <v>311.66000000000003</v>
      </c>
      <c r="M301" s="4" t="str">
        <f t="shared" si="16"/>
        <v>sábado</v>
      </c>
      <c r="N301" s="4" t="str">
        <f t="shared" si="17"/>
        <v>enero</v>
      </c>
      <c r="O301" s="4" t="str">
        <f t="shared" si="18"/>
        <v>NO</v>
      </c>
      <c r="P301" s="4" t="str">
        <f t="shared" si="19"/>
        <v>NO</v>
      </c>
      <c r="Q301" s="4" t="str" cm="1">
        <f t="array" ref="Q301">_xlfn.IFS(AND(H301&gt;=0,H301&lt;=3333),"Grupo 1",AND(H301&gt;3333,H301&lt;=6666),"Grupo 2",AND(H301&gt;6666,H301&lt;=10000),"Grupo 3")</f>
        <v>Grupo 1</v>
      </c>
    </row>
    <row r="302" spans="1:17" x14ac:dyDescent="0.25">
      <c r="A302" t="s">
        <v>112</v>
      </c>
      <c r="B302" s="2">
        <v>45595.668055555558</v>
      </c>
      <c r="C302" t="s">
        <v>264</v>
      </c>
      <c r="D302" t="s">
        <v>213</v>
      </c>
      <c r="E302">
        <v>5</v>
      </c>
      <c r="F302">
        <v>149.09</v>
      </c>
      <c r="G302" t="s">
        <v>221</v>
      </c>
      <c r="H302">
        <v>745.45</v>
      </c>
      <c r="I302">
        <v>2024</v>
      </c>
      <c r="J302">
        <v>10</v>
      </c>
      <c r="K302">
        <v>16</v>
      </c>
      <c r="L302" s="14">
        <v>149.09</v>
      </c>
      <c r="M302" s="4" t="str">
        <f t="shared" si="16"/>
        <v>miércoles</v>
      </c>
      <c r="N302" s="4" t="str">
        <f t="shared" si="17"/>
        <v>octubre</v>
      </c>
      <c r="O302" s="4" t="str">
        <f t="shared" si="18"/>
        <v>NO</v>
      </c>
      <c r="P302" s="4" t="str">
        <f t="shared" si="19"/>
        <v>NO</v>
      </c>
      <c r="Q302" s="4" t="str" cm="1">
        <f t="array" ref="Q302">_xlfn.IFS(AND(H302&gt;=0,H302&lt;=3333),"Grupo 1",AND(H302&gt;3333,H302&lt;=6666),"Grupo 2",AND(H302&gt;6666,H302&lt;=10000),"Grupo 3")</f>
        <v>Grupo 1</v>
      </c>
    </row>
    <row r="303" spans="1:17" x14ac:dyDescent="0.25">
      <c r="A303" t="s">
        <v>113</v>
      </c>
      <c r="B303" s="2">
        <v>44984.418055555558</v>
      </c>
      <c r="C303" t="s">
        <v>265</v>
      </c>
      <c r="D303" t="s">
        <v>217</v>
      </c>
      <c r="E303">
        <v>5</v>
      </c>
      <c r="F303">
        <v>1885.48</v>
      </c>
      <c r="G303" t="s">
        <v>220</v>
      </c>
      <c r="H303">
        <v>9427.4</v>
      </c>
      <c r="I303">
        <v>2023</v>
      </c>
      <c r="J303">
        <v>2</v>
      </c>
      <c r="K303">
        <v>10</v>
      </c>
      <c r="L303" s="14">
        <v>1885.48</v>
      </c>
      <c r="M303" s="4" t="str">
        <f t="shared" si="16"/>
        <v>lunes</v>
      </c>
      <c r="N303" s="4" t="str">
        <f t="shared" si="17"/>
        <v>febrero</v>
      </c>
      <c r="O303" s="4" t="str">
        <f t="shared" si="18"/>
        <v>SI</v>
      </c>
      <c r="P303" s="4" t="str">
        <f t="shared" si="19"/>
        <v>SI</v>
      </c>
      <c r="Q303" s="4" t="str" cm="1">
        <f t="array" ref="Q303">_xlfn.IFS(AND(H303&gt;=0,H303&lt;=3333),"Grupo 1",AND(H303&gt;3333,H303&lt;=6666),"Grupo 2",AND(H303&gt;6666,H303&lt;=10000),"Grupo 3")</f>
        <v>Grupo 3</v>
      </c>
    </row>
    <row r="304" spans="1:17" x14ac:dyDescent="0.25">
      <c r="A304" t="s">
        <v>114</v>
      </c>
      <c r="B304" s="2">
        <v>45153.455555555563</v>
      </c>
      <c r="C304" t="s">
        <v>266</v>
      </c>
      <c r="D304" t="s">
        <v>216</v>
      </c>
      <c r="E304">
        <v>3</v>
      </c>
      <c r="F304">
        <v>1591.92</v>
      </c>
      <c r="G304" t="s">
        <v>221</v>
      </c>
      <c r="H304">
        <v>4775.76</v>
      </c>
      <c r="I304">
        <v>2023</v>
      </c>
      <c r="J304">
        <v>8</v>
      </c>
      <c r="K304">
        <v>10</v>
      </c>
      <c r="L304" s="14">
        <v>1591.92</v>
      </c>
      <c r="M304" s="4" t="str">
        <f t="shared" si="16"/>
        <v>martes</v>
      </c>
      <c r="N304" s="4" t="str">
        <f t="shared" si="17"/>
        <v>agosto</v>
      </c>
      <c r="O304" s="4" t="str">
        <f t="shared" si="18"/>
        <v>SI</v>
      </c>
      <c r="P304" s="4" t="str">
        <f t="shared" si="19"/>
        <v>SI</v>
      </c>
      <c r="Q304" s="4" t="str" cm="1">
        <f t="array" ref="Q304">_xlfn.IFS(AND(H304&gt;=0,H304&lt;=3333),"Grupo 1",AND(H304&gt;3333,H304&lt;=6666),"Grupo 2",AND(H304&gt;6666,H304&lt;=10000),"Grupo 3")</f>
        <v>Grupo 2</v>
      </c>
    </row>
    <row r="305" spans="1:17" x14ac:dyDescent="0.25">
      <c r="A305" t="s">
        <v>115</v>
      </c>
      <c r="B305" s="2">
        <v>45919.24722222222</v>
      </c>
      <c r="C305" t="s">
        <v>267</v>
      </c>
      <c r="D305" t="s">
        <v>216</v>
      </c>
      <c r="E305">
        <v>5</v>
      </c>
      <c r="F305">
        <v>1383.33</v>
      </c>
      <c r="G305" t="s">
        <v>221</v>
      </c>
      <c r="H305">
        <v>6916.65</v>
      </c>
      <c r="I305">
        <v>2025</v>
      </c>
      <c r="J305">
        <v>9</v>
      </c>
      <c r="K305">
        <v>5</v>
      </c>
      <c r="L305" s="14">
        <v>1383.33</v>
      </c>
      <c r="M305" s="4" t="str">
        <f t="shared" si="16"/>
        <v>viernes</v>
      </c>
      <c r="N305" s="4" t="str">
        <f t="shared" si="17"/>
        <v>septiembre</v>
      </c>
      <c r="O305" s="4" t="str">
        <f t="shared" si="18"/>
        <v>SI</v>
      </c>
      <c r="P305" s="4" t="str">
        <f t="shared" si="19"/>
        <v>SI</v>
      </c>
      <c r="Q305" s="4" t="str" cm="1">
        <f t="array" ref="Q305">_xlfn.IFS(AND(H305&gt;=0,H305&lt;=3333),"Grupo 1",AND(H305&gt;3333,H305&lt;=6666),"Grupo 2",AND(H305&gt;6666,H305&lt;=10000),"Grupo 3")</f>
        <v>Grupo 3</v>
      </c>
    </row>
    <row r="306" spans="1:17" x14ac:dyDescent="0.25">
      <c r="A306" t="s">
        <v>116</v>
      </c>
      <c r="B306" s="2">
        <v>45815.543055555558</v>
      </c>
      <c r="C306" t="s">
        <v>268</v>
      </c>
      <c r="D306" t="s">
        <v>214</v>
      </c>
      <c r="E306">
        <v>2</v>
      </c>
      <c r="F306">
        <v>1051.23</v>
      </c>
      <c r="G306" t="s">
        <v>222</v>
      </c>
      <c r="H306">
        <v>2102.46</v>
      </c>
      <c r="I306">
        <v>2025</v>
      </c>
      <c r="J306">
        <v>6</v>
      </c>
      <c r="K306">
        <v>13</v>
      </c>
      <c r="L306" s="14">
        <v>1051.23</v>
      </c>
      <c r="M306" s="4" t="str">
        <f t="shared" si="16"/>
        <v>sábado</v>
      </c>
      <c r="N306" s="4" t="str">
        <f t="shared" si="17"/>
        <v>junio</v>
      </c>
      <c r="O306" s="4" t="str">
        <f t="shared" si="18"/>
        <v>NO</v>
      </c>
      <c r="P306" s="4" t="str">
        <f t="shared" si="19"/>
        <v>SI</v>
      </c>
      <c r="Q306" s="4" t="str" cm="1">
        <f t="array" ref="Q306">_xlfn.IFS(AND(H306&gt;=0,H306&lt;=3333),"Grupo 1",AND(H306&gt;3333,H306&lt;=6666),"Grupo 2",AND(H306&gt;6666,H306&lt;=10000),"Grupo 3")</f>
        <v>Grupo 1</v>
      </c>
    </row>
    <row r="307" spans="1:17" x14ac:dyDescent="0.25">
      <c r="A307" t="s">
        <v>117</v>
      </c>
      <c r="B307" s="2">
        <v>45255.4</v>
      </c>
      <c r="C307" t="s">
        <v>269</v>
      </c>
      <c r="D307" t="s">
        <v>219</v>
      </c>
      <c r="E307">
        <v>4</v>
      </c>
      <c r="F307">
        <v>1274.46</v>
      </c>
      <c r="G307" t="s">
        <v>221</v>
      </c>
      <c r="H307">
        <v>5097.84</v>
      </c>
      <c r="I307">
        <v>2023</v>
      </c>
      <c r="J307">
        <v>11</v>
      </c>
      <c r="K307">
        <v>9</v>
      </c>
      <c r="L307" s="14">
        <v>1274.46</v>
      </c>
      <c r="M307" s="4" t="str">
        <f t="shared" si="16"/>
        <v>sábado</v>
      </c>
      <c r="N307" s="4" t="str">
        <f t="shared" si="17"/>
        <v>noviembre</v>
      </c>
      <c r="O307" s="4" t="str">
        <f t="shared" si="18"/>
        <v>SI</v>
      </c>
      <c r="P307" s="4" t="str">
        <f t="shared" si="19"/>
        <v>SI</v>
      </c>
      <c r="Q307" s="4" t="str" cm="1">
        <f t="array" ref="Q307">_xlfn.IFS(AND(H307&gt;=0,H307&lt;=3333),"Grupo 1",AND(H307&gt;3333,H307&lt;=6666),"Grupo 2",AND(H307&gt;6666,H307&lt;=10000),"Grupo 3")</f>
        <v>Grupo 2</v>
      </c>
    </row>
    <row r="308" spans="1:17" x14ac:dyDescent="0.25">
      <c r="A308" t="s">
        <v>118</v>
      </c>
      <c r="B308" s="2">
        <v>45754.797222222223</v>
      </c>
      <c r="C308" t="s">
        <v>270</v>
      </c>
      <c r="D308" t="s">
        <v>212</v>
      </c>
      <c r="E308">
        <v>1</v>
      </c>
      <c r="F308">
        <v>1251.08</v>
      </c>
      <c r="G308" t="s">
        <v>220</v>
      </c>
      <c r="H308">
        <v>1251.08</v>
      </c>
      <c r="I308">
        <v>2025</v>
      </c>
      <c r="J308">
        <v>4</v>
      </c>
      <c r="K308">
        <v>19</v>
      </c>
      <c r="L308" s="14">
        <v>1251.08</v>
      </c>
      <c r="M308" s="4" t="str">
        <f t="shared" si="16"/>
        <v>lunes</v>
      </c>
      <c r="N308" s="4" t="str">
        <f t="shared" si="17"/>
        <v>abril</v>
      </c>
      <c r="O308" s="4" t="str">
        <f t="shared" si="18"/>
        <v>NO</v>
      </c>
      <c r="P308" s="4" t="str">
        <f t="shared" si="19"/>
        <v>SI</v>
      </c>
      <c r="Q308" s="4" t="str" cm="1">
        <f t="array" ref="Q308">_xlfn.IFS(AND(H308&gt;=0,H308&lt;=3333),"Grupo 1",AND(H308&gt;3333,H308&lt;=6666),"Grupo 2",AND(H308&gt;6666,H308&lt;=10000),"Grupo 3")</f>
        <v>Grupo 1</v>
      </c>
    </row>
    <row r="309" spans="1:17" x14ac:dyDescent="0.25">
      <c r="A309" t="s">
        <v>119</v>
      </c>
      <c r="B309" s="2">
        <v>45764.185416666667</v>
      </c>
      <c r="C309" t="s">
        <v>271</v>
      </c>
      <c r="D309" t="s">
        <v>219</v>
      </c>
      <c r="E309">
        <v>5</v>
      </c>
      <c r="F309">
        <v>1582.2</v>
      </c>
      <c r="G309" t="s">
        <v>221</v>
      </c>
      <c r="H309">
        <v>7911</v>
      </c>
      <c r="I309">
        <v>2025</v>
      </c>
      <c r="J309">
        <v>4</v>
      </c>
      <c r="K309">
        <v>4</v>
      </c>
      <c r="L309" s="14">
        <v>1582.2</v>
      </c>
      <c r="M309" s="4" t="str">
        <f t="shared" si="16"/>
        <v>jueves</v>
      </c>
      <c r="N309" s="4" t="str">
        <f t="shared" si="17"/>
        <v>abril</v>
      </c>
      <c r="O309" s="4" t="str">
        <f t="shared" si="18"/>
        <v>SI</v>
      </c>
      <c r="P309" s="4" t="str">
        <f t="shared" si="19"/>
        <v>SI</v>
      </c>
      <c r="Q309" s="4" t="str" cm="1">
        <f t="array" ref="Q309">_xlfn.IFS(AND(H309&gt;=0,H309&lt;=3333),"Grupo 1",AND(H309&gt;3333,H309&lt;=6666),"Grupo 2",AND(H309&gt;6666,H309&lt;=10000),"Grupo 3")</f>
        <v>Grupo 3</v>
      </c>
    </row>
    <row r="310" spans="1:17" x14ac:dyDescent="0.25">
      <c r="A310" t="s">
        <v>120</v>
      </c>
      <c r="B310" s="2">
        <v>45240.82916666667</v>
      </c>
      <c r="C310" t="s">
        <v>272</v>
      </c>
      <c r="D310" t="s">
        <v>214</v>
      </c>
      <c r="E310">
        <v>1</v>
      </c>
      <c r="F310">
        <v>81.92</v>
      </c>
      <c r="G310" t="s">
        <v>222</v>
      </c>
      <c r="H310">
        <v>81.92</v>
      </c>
      <c r="I310">
        <v>2023</v>
      </c>
      <c r="J310">
        <v>11</v>
      </c>
      <c r="K310">
        <v>19</v>
      </c>
      <c r="L310" s="14">
        <v>81.92</v>
      </c>
      <c r="M310" s="4" t="str">
        <f t="shared" si="16"/>
        <v>viernes</v>
      </c>
      <c r="N310" s="4" t="str">
        <f t="shared" si="17"/>
        <v>noviembre</v>
      </c>
      <c r="O310" s="4" t="str">
        <f t="shared" si="18"/>
        <v>NO</v>
      </c>
      <c r="P310" s="4" t="str">
        <f t="shared" si="19"/>
        <v>NO</v>
      </c>
      <c r="Q310" s="4" t="str" cm="1">
        <f t="array" ref="Q310">_xlfn.IFS(AND(H310&gt;=0,H310&lt;=3333),"Grupo 1",AND(H310&gt;3333,H310&lt;=6666),"Grupo 2",AND(H310&gt;6666,H310&lt;=10000),"Grupo 3")</f>
        <v>Grupo 1</v>
      </c>
    </row>
    <row r="311" spans="1:17" x14ac:dyDescent="0.25">
      <c r="A311" t="s">
        <v>121</v>
      </c>
      <c r="B311" s="2">
        <v>45634.470138888893</v>
      </c>
      <c r="C311" t="s">
        <v>273</v>
      </c>
      <c r="D311" t="s">
        <v>218</v>
      </c>
      <c r="E311">
        <v>1</v>
      </c>
      <c r="F311">
        <v>1153.31</v>
      </c>
      <c r="G311" t="s">
        <v>221</v>
      </c>
      <c r="H311">
        <v>1153.31</v>
      </c>
      <c r="I311">
        <v>2024</v>
      </c>
      <c r="J311">
        <v>12</v>
      </c>
      <c r="K311">
        <v>11</v>
      </c>
      <c r="L311" s="14">
        <v>1153.31</v>
      </c>
      <c r="M311" s="4" t="str">
        <f t="shared" si="16"/>
        <v>domingo</v>
      </c>
      <c r="N311" s="4" t="str">
        <f t="shared" si="17"/>
        <v>diciembre</v>
      </c>
      <c r="O311" s="4" t="str">
        <f t="shared" si="18"/>
        <v>NO</v>
      </c>
      <c r="P311" s="4" t="str">
        <f t="shared" si="19"/>
        <v>SI</v>
      </c>
      <c r="Q311" s="4" t="str" cm="1">
        <f t="array" ref="Q311">_xlfn.IFS(AND(H311&gt;=0,H311&lt;=3333),"Grupo 1",AND(H311&gt;3333,H311&lt;=6666),"Grupo 2",AND(H311&gt;6666,H311&lt;=10000),"Grupo 3")</f>
        <v>Grupo 1</v>
      </c>
    </row>
    <row r="312" spans="1:17" x14ac:dyDescent="0.25">
      <c r="A312" t="s">
        <v>122</v>
      </c>
      <c r="B312" s="2">
        <v>45913.939583333333</v>
      </c>
      <c r="C312" t="s">
        <v>274</v>
      </c>
      <c r="D312" t="s">
        <v>218</v>
      </c>
      <c r="E312">
        <v>3</v>
      </c>
      <c r="F312">
        <v>1078.08</v>
      </c>
      <c r="G312" t="s">
        <v>221</v>
      </c>
      <c r="H312">
        <v>3234.24</v>
      </c>
      <c r="I312">
        <v>2025</v>
      </c>
      <c r="J312">
        <v>9</v>
      </c>
      <c r="K312">
        <v>22</v>
      </c>
      <c r="L312" s="14">
        <v>1078.08</v>
      </c>
      <c r="M312" s="4" t="str">
        <f t="shared" si="16"/>
        <v>sábado</v>
      </c>
      <c r="N312" s="4" t="str">
        <f t="shared" si="17"/>
        <v>septiembre</v>
      </c>
      <c r="O312" s="4" t="str">
        <f t="shared" si="18"/>
        <v>SI</v>
      </c>
      <c r="P312" s="4" t="str">
        <f t="shared" si="19"/>
        <v>SI</v>
      </c>
      <c r="Q312" s="4" t="str" cm="1">
        <f t="array" ref="Q312">_xlfn.IFS(AND(H312&gt;=0,H312&lt;=3333),"Grupo 1",AND(H312&gt;3333,H312&lt;=6666),"Grupo 2",AND(H312&gt;6666,H312&lt;=10000),"Grupo 3")</f>
        <v>Grupo 1</v>
      </c>
    </row>
    <row r="313" spans="1:17" x14ac:dyDescent="0.25">
      <c r="A313" t="s">
        <v>123</v>
      </c>
      <c r="B313" s="2">
        <v>45526.149305555547</v>
      </c>
      <c r="C313" t="s">
        <v>275</v>
      </c>
      <c r="D313" t="s">
        <v>215</v>
      </c>
      <c r="E313">
        <v>1</v>
      </c>
      <c r="F313">
        <v>201.91</v>
      </c>
      <c r="G313" t="s">
        <v>220</v>
      </c>
      <c r="H313">
        <v>201.91</v>
      </c>
      <c r="I313">
        <v>2024</v>
      </c>
      <c r="J313">
        <v>8</v>
      </c>
      <c r="K313">
        <v>3</v>
      </c>
      <c r="L313" s="14">
        <v>201.91</v>
      </c>
      <c r="M313" s="4" t="str">
        <f t="shared" si="16"/>
        <v>jueves</v>
      </c>
      <c r="N313" s="4" t="str">
        <f t="shared" si="17"/>
        <v>agosto</v>
      </c>
      <c r="O313" s="4" t="str">
        <f t="shared" si="18"/>
        <v>NO</v>
      </c>
      <c r="P313" s="4" t="str">
        <f t="shared" si="19"/>
        <v>NO</v>
      </c>
      <c r="Q313" s="4" t="str" cm="1">
        <f t="array" ref="Q313">_xlfn.IFS(AND(H313&gt;=0,H313&lt;=3333),"Grupo 1",AND(H313&gt;3333,H313&lt;=6666),"Grupo 2",AND(H313&gt;6666,H313&lt;=10000),"Grupo 3")</f>
        <v>Grupo 1</v>
      </c>
    </row>
    <row r="314" spans="1:17" x14ac:dyDescent="0.25">
      <c r="A314" t="s">
        <v>124</v>
      </c>
      <c r="B314" s="2">
        <v>45487.067361111112</v>
      </c>
      <c r="C314" t="s">
        <v>276</v>
      </c>
      <c r="D314" t="s">
        <v>216</v>
      </c>
      <c r="E314">
        <v>3</v>
      </c>
      <c r="F314">
        <v>727.36</v>
      </c>
      <c r="G314" t="s">
        <v>221</v>
      </c>
      <c r="H314">
        <v>2182.08</v>
      </c>
      <c r="I314">
        <v>2024</v>
      </c>
      <c r="J314">
        <v>7</v>
      </c>
      <c r="K314">
        <v>1</v>
      </c>
      <c r="L314" s="14">
        <v>727.36</v>
      </c>
      <c r="M314" s="4" t="str">
        <f t="shared" si="16"/>
        <v>domingo</v>
      </c>
      <c r="N314" s="4" t="str">
        <f t="shared" si="17"/>
        <v>julio</v>
      </c>
      <c r="O314" s="4" t="str">
        <f t="shared" si="18"/>
        <v>NO</v>
      </c>
      <c r="P314" s="4" t="str">
        <f t="shared" si="19"/>
        <v>NO</v>
      </c>
      <c r="Q314" s="4" t="str" cm="1">
        <f t="array" ref="Q314">_xlfn.IFS(AND(H314&gt;=0,H314&lt;=3333),"Grupo 1",AND(H314&gt;3333,H314&lt;=6666),"Grupo 2",AND(H314&gt;6666,H314&lt;=10000),"Grupo 3")</f>
        <v>Grupo 1</v>
      </c>
    </row>
    <row r="315" spans="1:17" x14ac:dyDescent="0.25">
      <c r="A315" t="s">
        <v>125</v>
      </c>
      <c r="B315" s="2">
        <v>45281.986805555563</v>
      </c>
      <c r="C315" t="s">
        <v>277</v>
      </c>
      <c r="D315" t="s">
        <v>219</v>
      </c>
      <c r="E315">
        <v>3</v>
      </c>
      <c r="F315">
        <v>1645.43</v>
      </c>
      <c r="G315" t="s">
        <v>221</v>
      </c>
      <c r="H315">
        <v>4936.29</v>
      </c>
      <c r="I315">
        <v>2023</v>
      </c>
      <c r="J315">
        <v>12</v>
      </c>
      <c r="K315">
        <v>23</v>
      </c>
      <c r="L315" s="14">
        <v>1645.43</v>
      </c>
      <c r="M315" s="4" t="str">
        <f t="shared" si="16"/>
        <v>jueves</v>
      </c>
      <c r="N315" s="4" t="str">
        <f t="shared" si="17"/>
        <v>diciembre</v>
      </c>
      <c r="O315" s="4" t="str">
        <f t="shared" si="18"/>
        <v>SI</v>
      </c>
      <c r="P315" s="4" t="str">
        <f t="shared" si="19"/>
        <v>SI</v>
      </c>
      <c r="Q315" s="4" t="str" cm="1">
        <f t="array" ref="Q315">_xlfn.IFS(AND(H315&gt;=0,H315&lt;=3333),"Grupo 1",AND(H315&gt;3333,H315&lt;=6666),"Grupo 2",AND(H315&gt;6666,H315&lt;=10000),"Grupo 3")</f>
        <v>Grupo 2</v>
      </c>
    </row>
    <row r="316" spans="1:17" x14ac:dyDescent="0.25">
      <c r="A316" t="s">
        <v>126</v>
      </c>
      <c r="B316" s="2">
        <v>45468.378472222219</v>
      </c>
      <c r="C316" t="s">
        <v>278</v>
      </c>
      <c r="D316" t="s">
        <v>217</v>
      </c>
      <c r="E316">
        <v>3</v>
      </c>
      <c r="F316">
        <v>420.05</v>
      </c>
      <c r="G316" t="s">
        <v>220</v>
      </c>
      <c r="H316">
        <v>1260.1500000000001</v>
      </c>
      <c r="I316">
        <v>2024</v>
      </c>
      <c r="J316">
        <v>6</v>
      </c>
      <c r="K316">
        <v>9</v>
      </c>
      <c r="L316" s="14">
        <v>420.05</v>
      </c>
      <c r="M316" s="4" t="str">
        <f t="shared" si="16"/>
        <v>martes</v>
      </c>
      <c r="N316" s="4" t="str">
        <f t="shared" si="17"/>
        <v>junio</v>
      </c>
      <c r="O316" s="4" t="str">
        <f t="shared" si="18"/>
        <v>NO</v>
      </c>
      <c r="P316" s="4" t="str">
        <f t="shared" si="19"/>
        <v>NO</v>
      </c>
      <c r="Q316" s="4" t="str" cm="1">
        <f t="array" ref="Q316">_xlfn.IFS(AND(H316&gt;=0,H316&lt;=3333),"Grupo 1",AND(H316&gt;3333,H316&lt;=6666),"Grupo 2",AND(H316&gt;6666,H316&lt;=10000),"Grupo 3")</f>
        <v>Grupo 1</v>
      </c>
    </row>
    <row r="317" spans="1:17" x14ac:dyDescent="0.25">
      <c r="A317" t="s">
        <v>127</v>
      </c>
      <c r="B317" s="2">
        <v>45529.436805555553</v>
      </c>
      <c r="C317" t="s">
        <v>279</v>
      </c>
      <c r="D317" t="s">
        <v>214</v>
      </c>
      <c r="E317">
        <v>4</v>
      </c>
      <c r="F317">
        <v>496.9</v>
      </c>
      <c r="G317" t="s">
        <v>222</v>
      </c>
      <c r="H317">
        <v>1987.6</v>
      </c>
      <c r="I317">
        <v>2024</v>
      </c>
      <c r="J317">
        <v>8</v>
      </c>
      <c r="K317">
        <v>10</v>
      </c>
      <c r="L317" s="14">
        <v>496.9</v>
      </c>
      <c r="M317" s="4" t="str">
        <f t="shared" si="16"/>
        <v>domingo</v>
      </c>
      <c r="N317" s="4" t="str">
        <f t="shared" si="17"/>
        <v>agosto</v>
      </c>
      <c r="O317" s="4" t="str">
        <f t="shared" si="18"/>
        <v>NO</v>
      </c>
      <c r="P317" s="4" t="str">
        <f t="shared" si="19"/>
        <v>NO</v>
      </c>
      <c r="Q317" s="4" t="str" cm="1">
        <f t="array" ref="Q317">_xlfn.IFS(AND(H317&gt;=0,H317&lt;=3333),"Grupo 1",AND(H317&gt;3333,H317&lt;=6666),"Grupo 2",AND(H317&gt;6666,H317&lt;=10000),"Grupo 3")</f>
        <v>Grupo 1</v>
      </c>
    </row>
    <row r="318" spans="1:17" x14ac:dyDescent="0.25">
      <c r="A318" t="s">
        <v>128</v>
      </c>
      <c r="B318" s="2">
        <v>44961.01666666667</v>
      </c>
      <c r="C318" t="s">
        <v>280</v>
      </c>
      <c r="D318" t="s">
        <v>213</v>
      </c>
      <c r="E318">
        <v>2</v>
      </c>
      <c r="F318">
        <v>721.56</v>
      </c>
      <c r="G318" t="s">
        <v>221</v>
      </c>
      <c r="H318">
        <v>1443.12</v>
      </c>
      <c r="I318">
        <v>2023</v>
      </c>
      <c r="J318">
        <v>2</v>
      </c>
      <c r="K318">
        <v>0</v>
      </c>
      <c r="L318" s="14">
        <v>721.56</v>
      </c>
      <c r="M318" s="4" t="str">
        <f t="shared" si="16"/>
        <v>sábado</v>
      </c>
      <c r="N318" s="4" t="str">
        <f t="shared" si="17"/>
        <v>febrero</v>
      </c>
      <c r="O318" s="4" t="str">
        <f t="shared" si="18"/>
        <v>NO</v>
      </c>
      <c r="P318" s="4" t="str">
        <f t="shared" si="19"/>
        <v>NO</v>
      </c>
      <c r="Q318" s="4" t="str" cm="1">
        <f t="array" ref="Q318">_xlfn.IFS(AND(H318&gt;=0,H318&lt;=3333),"Grupo 1",AND(H318&gt;3333,H318&lt;=6666),"Grupo 2",AND(H318&gt;6666,H318&lt;=10000),"Grupo 3")</f>
        <v>Grupo 1</v>
      </c>
    </row>
    <row r="319" spans="1:17" x14ac:dyDescent="0.25">
      <c r="A319" t="s">
        <v>129</v>
      </c>
      <c r="B319" s="2">
        <v>45041.746527777781</v>
      </c>
      <c r="C319" t="s">
        <v>281</v>
      </c>
      <c r="D319" t="s">
        <v>219</v>
      </c>
      <c r="E319">
        <v>4</v>
      </c>
      <c r="F319">
        <v>1353.9</v>
      </c>
      <c r="G319" t="s">
        <v>221</v>
      </c>
      <c r="H319">
        <v>5415.6</v>
      </c>
      <c r="I319">
        <v>2023</v>
      </c>
      <c r="J319">
        <v>4</v>
      </c>
      <c r="K319">
        <v>17</v>
      </c>
      <c r="L319" s="14">
        <v>1353.9</v>
      </c>
      <c r="M319" s="4" t="str">
        <f t="shared" si="16"/>
        <v>martes</v>
      </c>
      <c r="N319" s="4" t="str">
        <f t="shared" si="17"/>
        <v>abril</v>
      </c>
      <c r="O319" s="4" t="str">
        <f t="shared" si="18"/>
        <v>SI</v>
      </c>
      <c r="P319" s="4" t="str">
        <f t="shared" si="19"/>
        <v>SI</v>
      </c>
      <c r="Q319" s="4" t="str" cm="1">
        <f t="array" ref="Q319">_xlfn.IFS(AND(H319&gt;=0,H319&lt;=3333),"Grupo 1",AND(H319&gt;3333,H319&lt;=6666),"Grupo 2",AND(H319&gt;6666,H319&lt;=10000),"Grupo 3")</f>
        <v>Grupo 2</v>
      </c>
    </row>
    <row r="320" spans="1:17" x14ac:dyDescent="0.25">
      <c r="A320" t="s">
        <v>130</v>
      </c>
      <c r="B320" s="2">
        <v>45400.756249999999</v>
      </c>
      <c r="C320" t="s">
        <v>282</v>
      </c>
      <c r="D320" t="s">
        <v>215</v>
      </c>
      <c r="E320">
        <v>2</v>
      </c>
      <c r="F320">
        <v>429.52</v>
      </c>
      <c r="G320" t="s">
        <v>220</v>
      </c>
      <c r="H320">
        <v>859.04</v>
      </c>
      <c r="I320">
        <v>2024</v>
      </c>
      <c r="J320">
        <v>4</v>
      </c>
      <c r="K320">
        <v>18</v>
      </c>
      <c r="L320" s="14">
        <v>429.52</v>
      </c>
      <c r="M320" s="4" t="str">
        <f t="shared" si="16"/>
        <v>jueves</v>
      </c>
      <c r="N320" s="4" t="str">
        <f t="shared" si="17"/>
        <v>abril</v>
      </c>
      <c r="O320" s="4" t="str">
        <f t="shared" si="18"/>
        <v>NO</v>
      </c>
      <c r="P320" s="4" t="str">
        <f t="shared" si="19"/>
        <v>NO</v>
      </c>
      <c r="Q320" s="4" t="str" cm="1">
        <f t="array" ref="Q320">_xlfn.IFS(AND(H320&gt;=0,H320&lt;=3333),"Grupo 1",AND(H320&gt;3333,H320&lt;=6666),"Grupo 2",AND(H320&gt;6666,H320&lt;=10000),"Grupo 3")</f>
        <v>Grupo 1</v>
      </c>
    </row>
    <row r="321" spans="1:17" x14ac:dyDescent="0.25">
      <c r="A321" t="s">
        <v>131</v>
      </c>
      <c r="B321" s="2">
        <v>45465.772916666669</v>
      </c>
      <c r="C321" t="s">
        <v>283</v>
      </c>
      <c r="D321" t="s">
        <v>214</v>
      </c>
      <c r="E321">
        <v>2</v>
      </c>
      <c r="F321">
        <v>1824.96</v>
      </c>
      <c r="G321" t="s">
        <v>222</v>
      </c>
      <c r="H321">
        <v>3649.92</v>
      </c>
      <c r="I321">
        <v>2024</v>
      </c>
      <c r="J321">
        <v>6</v>
      </c>
      <c r="K321">
        <v>18</v>
      </c>
      <c r="L321" s="14">
        <v>1824.96</v>
      </c>
      <c r="M321" s="4" t="str">
        <f t="shared" si="16"/>
        <v>sábado</v>
      </c>
      <c r="N321" s="4" t="str">
        <f t="shared" si="17"/>
        <v>junio</v>
      </c>
      <c r="O321" s="4" t="str">
        <f t="shared" si="18"/>
        <v>SI</v>
      </c>
      <c r="P321" s="4" t="str">
        <f t="shared" si="19"/>
        <v>SI</v>
      </c>
      <c r="Q321" s="4" t="str" cm="1">
        <f t="array" ref="Q321">_xlfn.IFS(AND(H321&gt;=0,H321&lt;=3333),"Grupo 1",AND(H321&gt;3333,H321&lt;=6666),"Grupo 2",AND(H321&gt;6666,H321&lt;=10000),"Grupo 3")</f>
        <v>Grupo 2</v>
      </c>
    </row>
    <row r="322" spans="1:17" x14ac:dyDescent="0.25">
      <c r="A322" t="s">
        <v>132</v>
      </c>
      <c r="B322" s="2">
        <v>45316.202777777777</v>
      </c>
      <c r="C322" t="s">
        <v>284</v>
      </c>
      <c r="D322" t="s">
        <v>218</v>
      </c>
      <c r="E322">
        <v>5</v>
      </c>
      <c r="F322">
        <v>1059.81</v>
      </c>
      <c r="G322" t="s">
        <v>221</v>
      </c>
      <c r="H322">
        <v>5299.0499999999993</v>
      </c>
      <c r="I322">
        <v>2024</v>
      </c>
      <c r="J322">
        <v>1</v>
      </c>
      <c r="K322">
        <v>4</v>
      </c>
      <c r="L322" s="14">
        <v>1059.81</v>
      </c>
      <c r="M322" s="4" t="str">
        <f t="shared" ref="M322:M385" si="20">TEXT(B322,"dddd")</f>
        <v>jueves</v>
      </c>
      <c r="N322" s="4" t="str">
        <f t="shared" ref="N322:N385" si="21">TEXT(B322,"mmmm")</f>
        <v>enero</v>
      </c>
      <c r="O322" s="4" t="str">
        <f t="shared" si="18"/>
        <v>SI</v>
      </c>
      <c r="P322" s="4" t="str">
        <f t="shared" si="19"/>
        <v>SI</v>
      </c>
      <c r="Q322" s="4" t="str" cm="1">
        <f t="array" ref="Q322">_xlfn.IFS(AND(H322&gt;=0,H322&lt;=3333),"Grupo 1",AND(H322&gt;3333,H322&lt;=6666),"Grupo 2",AND(H322&gt;6666,H322&lt;=10000),"Grupo 3")</f>
        <v>Grupo 2</v>
      </c>
    </row>
    <row r="323" spans="1:17" x14ac:dyDescent="0.25">
      <c r="A323" t="s">
        <v>133</v>
      </c>
      <c r="B323" s="2">
        <v>45118.634722222218</v>
      </c>
      <c r="C323" t="s">
        <v>285</v>
      </c>
      <c r="D323" t="s">
        <v>214</v>
      </c>
      <c r="E323">
        <v>4</v>
      </c>
      <c r="F323">
        <v>46.39</v>
      </c>
      <c r="G323" t="s">
        <v>222</v>
      </c>
      <c r="H323">
        <v>185.56</v>
      </c>
      <c r="I323">
        <v>2023</v>
      </c>
      <c r="J323">
        <v>7</v>
      </c>
      <c r="K323">
        <v>15</v>
      </c>
      <c r="L323" s="14">
        <v>46.39</v>
      </c>
      <c r="M323" s="4" t="str">
        <f t="shared" si="20"/>
        <v>martes</v>
      </c>
      <c r="N323" s="4" t="str">
        <f t="shared" si="21"/>
        <v>julio</v>
      </c>
      <c r="O323" s="4" t="str">
        <f t="shared" ref="O323:O386" si="22">IF(H323&gt;AVERAGE(H:H),"SI","NO")</f>
        <v>NO</v>
      </c>
      <c r="P323" s="4" t="str">
        <f t="shared" ref="P323:P386" si="23">IF(L323&gt;AVERAGE(L:L),"SI","NO")</f>
        <v>NO</v>
      </c>
      <c r="Q323" s="4" t="str" cm="1">
        <f t="array" ref="Q323">_xlfn.IFS(AND(H323&gt;=0,H323&lt;=3333),"Grupo 1",AND(H323&gt;3333,H323&lt;=6666),"Grupo 2",AND(H323&gt;6666,H323&lt;=10000),"Grupo 3")</f>
        <v>Grupo 1</v>
      </c>
    </row>
    <row r="324" spans="1:17" x14ac:dyDescent="0.25">
      <c r="A324" t="s">
        <v>134</v>
      </c>
      <c r="B324" s="2">
        <v>45232.75</v>
      </c>
      <c r="C324" t="s">
        <v>286</v>
      </c>
      <c r="D324" t="s">
        <v>217</v>
      </c>
      <c r="E324">
        <v>1</v>
      </c>
      <c r="F324">
        <v>754.07</v>
      </c>
      <c r="G324" t="s">
        <v>220</v>
      </c>
      <c r="H324">
        <v>754.07</v>
      </c>
      <c r="I324">
        <v>2023</v>
      </c>
      <c r="J324">
        <v>11</v>
      </c>
      <c r="K324">
        <v>18</v>
      </c>
      <c r="L324" s="14">
        <v>754.07</v>
      </c>
      <c r="M324" s="4" t="str">
        <f t="shared" si="20"/>
        <v>jueves</v>
      </c>
      <c r="N324" s="4" t="str">
        <f t="shared" si="21"/>
        <v>noviembre</v>
      </c>
      <c r="O324" s="4" t="str">
        <f t="shared" si="22"/>
        <v>NO</v>
      </c>
      <c r="P324" s="4" t="str">
        <f t="shared" si="23"/>
        <v>NO</v>
      </c>
      <c r="Q324" s="4" t="str" cm="1">
        <f t="array" ref="Q324">_xlfn.IFS(AND(H324&gt;=0,H324&lt;=3333),"Grupo 1",AND(H324&gt;3333,H324&lt;=6666),"Grupo 2",AND(H324&gt;6666,H324&lt;=10000),"Grupo 3")</f>
        <v>Grupo 1</v>
      </c>
    </row>
    <row r="325" spans="1:17" x14ac:dyDescent="0.25">
      <c r="A325" t="s">
        <v>135</v>
      </c>
      <c r="B325" s="2">
        <v>45745.421527777777</v>
      </c>
      <c r="C325" t="s">
        <v>287</v>
      </c>
      <c r="D325" t="s">
        <v>219</v>
      </c>
      <c r="E325">
        <v>1</v>
      </c>
      <c r="F325">
        <v>1681.02</v>
      </c>
      <c r="G325" t="s">
        <v>221</v>
      </c>
      <c r="H325">
        <v>1681.02</v>
      </c>
      <c r="I325">
        <v>2025</v>
      </c>
      <c r="J325">
        <v>3</v>
      </c>
      <c r="K325">
        <v>10</v>
      </c>
      <c r="L325" s="14">
        <v>1681.02</v>
      </c>
      <c r="M325" s="4" t="str">
        <f t="shared" si="20"/>
        <v>sábado</v>
      </c>
      <c r="N325" s="4" t="str">
        <f t="shared" si="21"/>
        <v>marzo</v>
      </c>
      <c r="O325" s="4" t="str">
        <f t="shared" si="22"/>
        <v>NO</v>
      </c>
      <c r="P325" s="4" t="str">
        <f t="shared" si="23"/>
        <v>SI</v>
      </c>
      <c r="Q325" s="4" t="str" cm="1">
        <f t="array" ref="Q325">_xlfn.IFS(AND(H325&gt;=0,H325&lt;=3333),"Grupo 1",AND(H325&gt;3333,H325&lt;=6666),"Grupo 2",AND(H325&gt;6666,H325&lt;=10000),"Grupo 3")</f>
        <v>Grupo 1</v>
      </c>
    </row>
    <row r="326" spans="1:17" x14ac:dyDescent="0.25">
      <c r="A326" t="s">
        <v>136</v>
      </c>
      <c r="B326" s="2">
        <v>45802.370833333327</v>
      </c>
      <c r="C326" t="s">
        <v>288</v>
      </c>
      <c r="D326" t="s">
        <v>212</v>
      </c>
      <c r="E326">
        <v>2</v>
      </c>
      <c r="F326">
        <v>1198.72</v>
      </c>
      <c r="G326" t="s">
        <v>220</v>
      </c>
      <c r="H326">
        <v>2397.44</v>
      </c>
      <c r="I326">
        <v>2025</v>
      </c>
      <c r="J326">
        <v>5</v>
      </c>
      <c r="K326">
        <v>8</v>
      </c>
      <c r="L326" s="14">
        <v>1198.72</v>
      </c>
      <c r="M326" s="4" t="str">
        <f t="shared" si="20"/>
        <v>domingo</v>
      </c>
      <c r="N326" s="4" t="str">
        <f t="shared" si="21"/>
        <v>mayo</v>
      </c>
      <c r="O326" s="4" t="str">
        <f t="shared" si="22"/>
        <v>NO</v>
      </c>
      <c r="P326" s="4" t="str">
        <f t="shared" si="23"/>
        <v>SI</v>
      </c>
      <c r="Q326" s="4" t="str" cm="1">
        <f t="array" ref="Q326">_xlfn.IFS(AND(H326&gt;=0,H326&lt;=3333),"Grupo 1",AND(H326&gt;3333,H326&lt;=6666),"Grupo 2",AND(H326&gt;6666,H326&lt;=10000),"Grupo 3")</f>
        <v>Grupo 1</v>
      </c>
    </row>
    <row r="327" spans="1:17" x14ac:dyDescent="0.25">
      <c r="A327" t="s">
        <v>137</v>
      </c>
      <c r="B327" s="2">
        <v>45249.604861111111</v>
      </c>
      <c r="C327" t="s">
        <v>289</v>
      </c>
      <c r="D327" t="s">
        <v>219</v>
      </c>
      <c r="E327">
        <v>2</v>
      </c>
      <c r="F327">
        <v>1040.2</v>
      </c>
      <c r="G327" t="s">
        <v>221</v>
      </c>
      <c r="H327">
        <v>2080.4</v>
      </c>
      <c r="I327">
        <v>2023</v>
      </c>
      <c r="J327">
        <v>11</v>
      </c>
      <c r="K327">
        <v>14</v>
      </c>
      <c r="L327" s="14">
        <v>1040.2</v>
      </c>
      <c r="M327" s="4" t="str">
        <f t="shared" si="20"/>
        <v>domingo</v>
      </c>
      <c r="N327" s="4" t="str">
        <f t="shared" si="21"/>
        <v>noviembre</v>
      </c>
      <c r="O327" s="4" t="str">
        <f t="shared" si="22"/>
        <v>NO</v>
      </c>
      <c r="P327" s="4" t="str">
        <f t="shared" si="23"/>
        <v>SI</v>
      </c>
      <c r="Q327" s="4" t="str" cm="1">
        <f t="array" ref="Q327">_xlfn.IFS(AND(H327&gt;=0,H327&lt;=3333),"Grupo 1",AND(H327&gt;3333,H327&lt;=6666),"Grupo 2",AND(H327&gt;6666,H327&lt;=10000),"Grupo 3")</f>
        <v>Grupo 1</v>
      </c>
    </row>
    <row r="328" spans="1:17" x14ac:dyDescent="0.25">
      <c r="A328" t="s">
        <v>138</v>
      </c>
      <c r="B328" s="2">
        <v>45854.013194444437</v>
      </c>
      <c r="C328" t="s">
        <v>290</v>
      </c>
      <c r="D328" t="s">
        <v>213</v>
      </c>
      <c r="E328">
        <v>3</v>
      </c>
      <c r="F328">
        <v>107.53</v>
      </c>
      <c r="G328" t="s">
        <v>221</v>
      </c>
      <c r="H328">
        <v>322.58999999999997</v>
      </c>
      <c r="I328">
        <v>2025</v>
      </c>
      <c r="J328">
        <v>7</v>
      </c>
      <c r="K328">
        <v>0</v>
      </c>
      <c r="L328" s="14">
        <v>107.53</v>
      </c>
      <c r="M328" s="4" t="str">
        <f t="shared" si="20"/>
        <v>miércoles</v>
      </c>
      <c r="N328" s="4" t="str">
        <f t="shared" si="21"/>
        <v>julio</v>
      </c>
      <c r="O328" s="4" t="str">
        <f t="shared" si="22"/>
        <v>NO</v>
      </c>
      <c r="P328" s="4" t="str">
        <f t="shared" si="23"/>
        <v>NO</v>
      </c>
      <c r="Q328" s="4" t="str" cm="1">
        <f t="array" ref="Q328">_xlfn.IFS(AND(H328&gt;=0,H328&lt;=3333),"Grupo 1",AND(H328&gt;3333,H328&lt;=6666),"Grupo 2",AND(H328&gt;6666,H328&lt;=10000),"Grupo 3")</f>
        <v>Grupo 1</v>
      </c>
    </row>
    <row r="329" spans="1:17" x14ac:dyDescent="0.25">
      <c r="A329" t="s">
        <v>139</v>
      </c>
      <c r="B329" s="2">
        <v>45828.018055555563</v>
      </c>
      <c r="C329" t="s">
        <v>291</v>
      </c>
      <c r="D329" t="s">
        <v>215</v>
      </c>
      <c r="E329">
        <v>4</v>
      </c>
      <c r="F329">
        <v>380.66</v>
      </c>
      <c r="G329" t="s">
        <v>220</v>
      </c>
      <c r="H329">
        <v>1522.64</v>
      </c>
      <c r="I329">
        <v>2025</v>
      </c>
      <c r="J329">
        <v>6</v>
      </c>
      <c r="K329">
        <v>0</v>
      </c>
      <c r="L329" s="14">
        <v>380.66</v>
      </c>
      <c r="M329" s="4" t="str">
        <f t="shared" si="20"/>
        <v>viernes</v>
      </c>
      <c r="N329" s="4" t="str">
        <f t="shared" si="21"/>
        <v>junio</v>
      </c>
      <c r="O329" s="4" t="str">
        <f t="shared" si="22"/>
        <v>NO</v>
      </c>
      <c r="P329" s="4" t="str">
        <f t="shared" si="23"/>
        <v>NO</v>
      </c>
      <c r="Q329" s="4" t="str" cm="1">
        <f t="array" ref="Q329">_xlfn.IFS(AND(H329&gt;=0,H329&lt;=3333),"Grupo 1",AND(H329&gt;3333,H329&lt;=6666),"Grupo 2",AND(H329&gt;6666,H329&lt;=10000),"Grupo 3")</f>
        <v>Grupo 1</v>
      </c>
    </row>
    <row r="330" spans="1:17" x14ac:dyDescent="0.25">
      <c r="A330" t="s">
        <v>140</v>
      </c>
      <c r="B330" s="2">
        <v>45673.40902777778</v>
      </c>
      <c r="C330" t="s">
        <v>292</v>
      </c>
      <c r="D330" t="s">
        <v>212</v>
      </c>
      <c r="E330">
        <v>2</v>
      </c>
      <c r="F330">
        <v>700.11</v>
      </c>
      <c r="G330" t="s">
        <v>220</v>
      </c>
      <c r="H330">
        <v>1400.22</v>
      </c>
      <c r="I330">
        <v>2025</v>
      </c>
      <c r="J330">
        <v>1</v>
      </c>
      <c r="K330">
        <v>9</v>
      </c>
      <c r="L330" s="14">
        <v>700.11</v>
      </c>
      <c r="M330" s="4" t="str">
        <f t="shared" si="20"/>
        <v>jueves</v>
      </c>
      <c r="N330" s="4" t="str">
        <f t="shared" si="21"/>
        <v>enero</v>
      </c>
      <c r="O330" s="4" t="str">
        <f t="shared" si="22"/>
        <v>NO</v>
      </c>
      <c r="P330" s="4" t="str">
        <f t="shared" si="23"/>
        <v>NO</v>
      </c>
      <c r="Q330" s="4" t="str" cm="1">
        <f t="array" ref="Q330">_xlfn.IFS(AND(H330&gt;=0,H330&lt;=3333),"Grupo 1",AND(H330&gt;3333,H330&lt;=6666),"Grupo 2",AND(H330&gt;6666,H330&lt;=10000),"Grupo 3")</f>
        <v>Grupo 1</v>
      </c>
    </row>
    <row r="331" spans="1:17" x14ac:dyDescent="0.25">
      <c r="A331" t="s">
        <v>141</v>
      </c>
      <c r="B331" s="2">
        <v>44932.951388888891</v>
      </c>
      <c r="C331" t="s">
        <v>293</v>
      </c>
      <c r="D331" t="s">
        <v>215</v>
      </c>
      <c r="E331">
        <v>5</v>
      </c>
      <c r="F331">
        <v>358.48</v>
      </c>
      <c r="G331" t="s">
        <v>220</v>
      </c>
      <c r="H331">
        <v>1792.4</v>
      </c>
      <c r="I331">
        <v>2023</v>
      </c>
      <c r="J331">
        <v>1</v>
      </c>
      <c r="K331">
        <v>22</v>
      </c>
      <c r="L331" s="14">
        <v>358.48</v>
      </c>
      <c r="M331" s="4" t="str">
        <f t="shared" si="20"/>
        <v>viernes</v>
      </c>
      <c r="N331" s="4" t="str">
        <f t="shared" si="21"/>
        <v>enero</v>
      </c>
      <c r="O331" s="4" t="str">
        <f t="shared" si="22"/>
        <v>NO</v>
      </c>
      <c r="P331" s="4" t="str">
        <f t="shared" si="23"/>
        <v>NO</v>
      </c>
      <c r="Q331" s="4" t="str" cm="1">
        <f t="array" ref="Q331">_xlfn.IFS(AND(H331&gt;=0,H331&lt;=3333),"Grupo 1",AND(H331&gt;3333,H331&lt;=6666),"Grupo 2",AND(H331&gt;6666,H331&lt;=10000),"Grupo 3")</f>
        <v>Grupo 1</v>
      </c>
    </row>
    <row r="332" spans="1:17" x14ac:dyDescent="0.25">
      <c r="A332" t="s">
        <v>142</v>
      </c>
      <c r="B332" s="2">
        <v>45381.871527777781</v>
      </c>
      <c r="C332" t="s">
        <v>294</v>
      </c>
      <c r="D332" t="s">
        <v>214</v>
      </c>
      <c r="E332">
        <v>4</v>
      </c>
      <c r="F332">
        <v>746.6</v>
      </c>
      <c r="G332" t="s">
        <v>222</v>
      </c>
      <c r="H332">
        <v>2986.4</v>
      </c>
      <c r="I332">
        <v>2024</v>
      </c>
      <c r="J332">
        <v>3</v>
      </c>
      <c r="K332">
        <v>20</v>
      </c>
      <c r="L332" s="14">
        <v>746.6</v>
      </c>
      <c r="M332" s="4" t="str">
        <f t="shared" si="20"/>
        <v>sábado</v>
      </c>
      <c r="N332" s="4" t="str">
        <f t="shared" si="21"/>
        <v>marzo</v>
      </c>
      <c r="O332" s="4" t="str">
        <f t="shared" si="22"/>
        <v>SI</v>
      </c>
      <c r="P332" s="4" t="str">
        <f t="shared" si="23"/>
        <v>NO</v>
      </c>
      <c r="Q332" s="4" t="str" cm="1">
        <f t="array" ref="Q332">_xlfn.IFS(AND(H332&gt;=0,H332&lt;=3333),"Grupo 1",AND(H332&gt;3333,H332&lt;=6666),"Grupo 2",AND(H332&gt;6666,H332&lt;=10000),"Grupo 3")</f>
        <v>Grupo 1</v>
      </c>
    </row>
    <row r="333" spans="1:17" x14ac:dyDescent="0.25">
      <c r="A333" t="s">
        <v>143</v>
      </c>
      <c r="B333" s="2">
        <v>45450.97152777778</v>
      </c>
      <c r="C333" t="s">
        <v>295</v>
      </c>
      <c r="D333" t="s">
        <v>217</v>
      </c>
      <c r="E333">
        <v>1</v>
      </c>
      <c r="F333">
        <v>751.43</v>
      </c>
      <c r="G333" t="s">
        <v>220</v>
      </c>
      <c r="H333">
        <v>751.43</v>
      </c>
      <c r="I333">
        <v>2024</v>
      </c>
      <c r="J333">
        <v>6</v>
      </c>
      <c r="K333">
        <v>23</v>
      </c>
      <c r="L333" s="14">
        <v>751.43</v>
      </c>
      <c r="M333" s="4" t="str">
        <f t="shared" si="20"/>
        <v>viernes</v>
      </c>
      <c r="N333" s="4" t="str">
        <f t="shared" si="21"/>
        <v>junio</v>
      </c>
      <c r="O333" s="4" t="str">
        <f t="shared" si="22"/>
        <v>NO</v>
      </c>
      <c r="P333" s="4" t="str">
        <f t="shared" si="23"/>
        <v>NO</v>
      </c>
      <c r="Q333" s="4" t="str" cm="1">
        <f t="array" ref="Q333">_xlfn.IFS(AND(H333&gt;=0,H333&lt;=3333),"Grupo 1",AND(H333&gt;3333,H333&lt;=6666),"Grupo 2",AND(H333&gt;6666,H333&lt;=10000),"Grupo 3")</f>
        <v>Grupo 1</v>
      </c>
    </row>
    <row r="334" spans="1:17" x14ac:dyDescent="0.25">
      <c r="A334" t="s">
        <v>144</v>
      </c>
      <c r="B334" s="2">
        <v>45122.813888888893</v>
      </c>
      <c r="C334" t="s">
        <v>296</v>
      </c>
      <c r="D334" t="s">
        <v>218</v>
      </c>
      <c r="E334">
        <v>5</v>
      </c>
      <c r="F334">
        <v>1109.08</v>
      </c>
      <c r="G334" t="s">
        <v>221</v>
      </c>
      <c r="H334">
        <v>5545.4</v>
      </c>
      <c r="I334">
        <v>2023</v>
      </c>
      <c r="J334">
        <v>7</v>
      </c>
      <c r="K334">
        <v>19</v>
      </c>
      <c r="L334" s="14">
        <v>1109.08</v>
      </c>
      <c r="M334" s="4" t="str">
        <f t="shared" si="20"/>
        <v>sábado</v>
      </c>
      <c r="N334" s="4" t="str">
        <f t="shared" si="21"/>
        <v>julio</v>
      </c>
      <c r="O334" s="4" t="str">
        <f t="shared" si="22"/>
        <v>SI</v>
      </c>
      <c r="P334" s="4" t="str">
        <f t="shared" si="23"/>
        <v>SI</v>
      </c>
      <c r="Q334" s="4" t="str" cm="1">
        <f t="array" ref="Q334">_xlfn.IFS(AND(H334&gt;=0,H334&lt;=3333),"Grupo 1",AND(H334&gt;3333,H334&lt;=6666),"Grupo 2",AND(H334&gt;6666,H334&lt;=10000),"Grupo 3")</f>
        <v>Grupo 2</v>
      </c>
    </row>
    <row r="335" spans="1:17" x14ac:dyDescent="0.25">
      <c r="A335" t="s">
        <v>145</v>
      </c>
      <c r="B335" s="2">
        <v>45329.842361111107</v>
      </c>
      <c r="C335" t="s">
        <v>297</v>
      </c>
      <c r="D335" t="s">
        <v>212</v>
      </c>
      <c r="E335">
        <v>5</v>
      </c>
      <c r="F335">
        <v>642.74</v>
      </c>
      <c r="G335" t="s">
        <v>220</v>
      </c>
      <c r="H335">
        <v>3213.7</v>
      </c>
      <c r="I335">
        <v>2024</v>
      </c>
      <c r="J335">
        <v>2</v>
      </c>
      <c r="K335">
        <v>20</v>
      </c>
      <c r="L335" s="14">
        <v>642.74</v>
      </c>
      <c r="M335" s="4" t="str">
        <f t="shared" si="20"/>
        <v>miércoles</v>
      </c>
      <c r="N335" s="4" t="str">
        <f t="shared" si="21"/>
        <v>febrero</v>
      </c>
      <c r="O335" s="4" t="str">
        <f t="shared" si="22"/>
        <v>SI</v>
      </c>
      <c r="P335" s="4" t="str">
        <f t="shared" si="23"/>
        <v>NO</v>
      </c>
      <c r="Q335" s="4" t="str" cm="1">
        <f t="array" ref="Q335">_xlfn.IFS(AND(H335&gt;=0,H335&lt;=3333),"Grupo 1",AND(H335&gt;3333,H335&lt;=6666),"Grupo 2",AND(H335&gt;6666,H335&lt;=10000),"Grupo 3")</f>
        <v>Grupo 1</v>
      </c>
    </row>
    <row r="336" spans="1:17" x14ac:dyDescent="0.25">
      <c r="A336" t="s">
        <v>146</v>
      </c>
      <c r="B336" s="2">
        <v>45615.539583333331</v>
      </c>
      <c r="C336" t="s">
        <v>298</v>
      </c>
      <c r="D336" t="s">
        <v>219</v>
      </c>
      <c r="E336">
        <v>5</v>
      </c>
      <c r="F336">
        <v>245.73</v>
      </c>
      <c r="G336" t="s">
        <v>221</v>
      </c>
      <c r="H336">
        <v>1228.6500000000001</v>
      </c>
      <c r="I336">
        <v>2024</v>
      </c>
      <c r="J336">
        <v>11</v>
      </c>
      <c r="K336">
        <v>12</v>
      </c>
      <c r="L336" s="14">
        <v>245.73</v>
      </c>
      <c r="M336" s="4" t="str">
        <f t="shared" si="20"/>
        <v>martes</v>
      </c>
      <c r="N336" s="4" t="str">
        <f t="shared" si="21"/>
        <v>noviembre</v>
      </c>
      <c r="O336" s="4" t="str">
        <f t="shared" si="22"/>
        <v>NO</v>
      </c>
      <c r="P336" s="4" t="str">
        <f t="shared" si="23"/>
        <v>NO</v>
      </c>
      <c r="Q336" s="4" t="str" cm="1">
        <f t="array" ref="Q336">_xlfn.IFS(AND(H336&gt;=0,H336&lt;=3333),"Grupo 1",AND(H336&gt;3333,H336&lt;=6666),"Grupo 2",AND(H336&gt;6666,H336&lt;=10000),"Grupo 3")</f>
        <v>Grupo 1</v>
      </c>
    </row>
    <row r="337" spans="1:17" x14ac:dyDescent="0.25">
      <c r="A337" t="s">
        <v>147</v>
      </c>
      <c r="B337" s="2">
        <v>45222.775694444441</v>
      </c>
      <c r="C337" t="s">
        <v>299</v>
      </c>
      <c r="D337" t="s">
        <v>216</v>
      </c>
      <c r="E337">
        <v>3</v>
      </c>
      <c r="F337">
        <v>1782.13</v>
      </c>
      <c r="G337" t="s">
        <v>221</v>
      </c>
      <c r="H337">
        <v>5346.39</v>
      </c>
      <c r="I337">
        <v>2023</v>
      </c>
      <c r="J337">
        <v>10</v>
      </c>
      <c r="K337">
        <v>18</v>
      </c>
      <c r="L337" s="14">
        <v>1782.13</v>
      </c>
      <c r="M337" s="4" t="str">
        <f t="shared" si="20"/>
        <v>lunes</v>
      </c>
      <c r="N337" s="4" t="str">
        <f t="shared" si="21"/>
        <v>octubre</v>
      </c>
      <c r="O337" s="4" t="str">
        <f t="shared" si="22"/>
        <v>SI</v>
      </c>
      <c r="P337" s="4" t="str">
        <f t="shared" si="23"/>
        <v>SI</v>
      </c>
      <c r="Q337" s="4" t="str" cm="1">
        <f t="array" ref="Q337">_xlfn.IFS(AND(H337&gt;=0,H337&lt;=3333),"Grupo 1",AND(H337&gt;3333,H337&lt;=6666),"Grupo 2",AND(H337&gt;6666,H337&lt;=10000),"Grupo 3")</f>
        <v>Grupo 2</v>
      </c>
    </row>
    <row r="338" spans="1:17" x14ac:dyDescent="0.25">
      <c r="A338" t="s">
        <v>148</v>
      </c>
      <c r="B338" s="2">
        <v>45525.048611111109</v>
      </c>
      <c r="C338" t="s">
        <v>300</v>
      </c>
      <c r="D338" t="s">
        <v>215</v>
      </c>
      <c r="E338">
        <v>5</v>
      </c>
      <c r="F338">
        <v>1137.1400000000001</v>
      </c>
      <c r="G338" t="s">
        <v>220</v>
      </c>
      <c r="H338">
        <v>5685.7000000000007</v>
      </c>
      <c r="I338">
        <v>2024</v>
      </c>
      <c r="J338">
        <v>8</v>
      </c>
      <c r="K338">
        <v>1</v>
      </c>
      <c r="L338" s="14">
        <v>1137.1400000000001</v>
      </c>
      <c r="M338" s="4" t="str">
        <f t="shared" si="20"/>
        <v>miércoles</v>
      </c>
      <c r="N338" s="4" t="str">
        <f t="shared" si="21"/>
        <v>agosto</v>
      </c>
      <c r="O338" s="4" t="str">
        <f t="shared" si="22"/>
        <v>SI</v>
      </c>
      <c r="P338" s="4" t="str">
        <f t="shared" si="23"/>
        <v>SI</v>
      </c>
      <c r="Q338" s="4" t="str" cm="1">
        <f t="array" ref="Q338">_xlfn.IFS(AND(H338&gt;=0,H338&lt;=3333),"Grupo 1",AND(H338&gt;3333,H338&lt;=6666),"Grupo 2",AND(H338&gt;6666,H338&lt;=10000),"Grupo 3")</f>
        <v>Grupo 2</v>
      </c>
    </row>
    <row r="339" spans="1:17" x14ac:dyDescent="0.25">
      <c r="A339" t="s">
        <v>149</v>
      </c>
      <c r="B339" s="2">
        <v>45520.686111111107</v>
      </c>
      <c r="C339" t="s">
        <v>301</v>
      </c>
      <c r="D339" t="s">
        <v>213</v>
      </c>
      <c r="E339">
        <v>4</v>
      </c>
      <c r="F339">
        <v>966.72</v>
      </c>
      <c r="G339" t="s">
        <v>221</v>
      </c>
      <c r="H339">
        <v>3866.88</v>
      </c>
      <c r="I339">
        <v>2024</v>
      </c>
      <c r="J339">
        <v>8</v>
      </c>
      <c r="K339">
        <v>16</v>
      </c>
      <c r="L339" s="14">
        <v>966.72</v>
      </c>
      <c r="M339" s="4" t="str">
        <f t="shared" si="20"/>
        <v>viernes</v>
      </c>
      <c r="N339" s="4" t="str">
        <f t="shared" si="21"/>
        <v>agosto</v>
      </c>
      <c r="O339" s="4" t="str">
        <f t="shared" si="22"/>
        <v>SI</v>
      </c>
      <c r="P339" s="4" t="str">
        <f t="shared" si="23"/>
        <v>NO</v>
      </c>
      <c r="Q339" s="4" t="str" cm="1">
        <f t="array" ref="Q339">_xlfn.IFS(AND(H339&gt;=0,H339&lt;=3333),"Grupo 1",AND(H339&gt;3333,H339&lt;=6666),"Grupo 2",AND(H339&gt;6666,H339&lt;=10000),"Grupo 3")</f>
        <v>Grupo 2</v>
      </c>
    </row>
    <row r="340" spans="1:17" x14ac:dyDescent="0.25">
      <c r="A340" t="s">
        <v>150</v>
      </c>
      <c r="B340" s="2">
        <v>45484.331944444442</v>
      </c>
      <c r="C340" t="s">
        <v>302</v>
      </c>
      <c r="D340" t="s">
        <v>215</v>
      </c>
      <c r="E340">
        <v>5</v>
      </c>
      <c r="F340">
        <v>754.88</v>
      </c>
      <c r="G340" t="s">
        <v>220</v>
      </c>
      <c r="H340">
        <v>3774.4</v>
      </c>
      <c r="I340">
        <v>2024</v>
      </c>
      <c r="J340">
        <v>7</v>
      </c>
      <c r="K340">
        <v>7</v>
      </c>
      <c r="L340" s="14">
        <v>754.88</v>
      </c>
      <c r="M340" s="4" t="str">
        <f t="shared" si="20"/>
        <v>jueves</v>
      </c>
      <c r="N340" s="4" t="str">
        <f t="shared" si="21"/>
        <v>julio</v>
      </c>
      <c r="O340" s="4" t="str">
        <f t="shared" si="22"/>
        <v>SI</v>
      </c>
      <c r="P340" s="4" t="str">
        <f t="shared" si="23"/>
        <v>NO</v>
      </c>
      <c r="Q340" s="4" t="str" cm="1">
        <f t="array" ref="Q340">_xlfn.IFS(AND(H340&gt;=0,H340&lt;=3333),"Grupo 1",AND(H340&gt;3333,H340&lt;=6666),"Grupo 2",AND(H340&gt;6666,H340&lt;=10000),"Grupo 3")</f>
        <v>Grupo 2</v>
      </c>
    </row>
    <row r="341" spans="1:17" x14ac:dyDescent="0.25">
      <c r="A341" t="s">
        <v>151</v>
      </c>
      <c r="B341" s="2">
        <v>45842.433333333327</v>
      </c>
      <c r="C341" t="s">
        <v>303</v>
      </c>
      <c r="D341" t="s">
        <v>216</v>
      </c>
      <c r="E341">
        <v>4</v>
      </c>
      <c r="F341">
        <v>902.5</v>
      </c>
      <c r="G341" t="s">
        <v>221</v>
      </c>
      <c r="H341">
        <v>3610</v>
      </c>
      <c r="I341">
        <v>2025</v>
      </c>
      <c r="J341">
        <v>7</v>
      </c>
      <c r="K341">
        <v>10</v>
      </c>
      <c r="L341" s="14">
        <v>902.5</v>
      </c>
      <c r="M341" s="4" t="str">
        <f t="shared" si="20"/>
        <v>viernes</v>
      </c>
      <c r="N341" s="4" t="str">
        <f t="shared" si="21"/>
        <v>julio</v>
      </c>
      <c r="O341" s="4" t="str">
        <f t="shared" si="22"/>
        <v>SI</v>
      </c>
      <c r="P341" s="4" t="str">
        <f t="shared" si="23"/>
        <v>NO</v>
      </c>
      <c r="Q341" s="4" t="str" cm="1">
        <f t="array" ref="Q341">_xlfn.IFS(AND(H341&gt;=0,H341&lt;=3333),"Grupo 1",AND(H341&gt;3333,H341&lt;=6666),"Grupo 2",AND(H341&gt;6666,H341&lt;=10000),"Grupo 3")</f>
        <v>Grupo 2</v>
      </c>
    </row>
    <row r="342" spans="1:17" x14ac:dyDescent="0.25">
      <c r="A342" t="s">
        <v>152</v>
      </c>
      <c r="B342" s="2">
        <v>45697.842361111107</v>
      </c>
      <c r="C342" t="s">
        <v>304</v>
      </c>
      <c r="D342" t="s">
        <v>218</v>
      </c>
      <c r="E342">
        <v>2</v>
      </c>
      <c r="F342">
        <v>78.180000000000007</v>
      </c>
      <c r="G342" t="s">
        <v>221</v>
      </c>
      <c r="H342">
        <v>156.36000000000001</v>
      </c>
      <c r="I342">
        <v>2025</v>
      </c>
      <c r="J342">
        <v>2</v>
      </c>
      <c r="K342">
        <v>20</v>
      </c>
      <c r="L342" s="14">
        <v>78.180000000000007</v>
      </c>
      <c r="M342" s="4" t="str">
        <f t="shared" si="20"/>
        <v>domingo</v>
      </c>
      <c r="N342" s="4" t="str">
        <f t="shared" si="21"/>
        <v>febrero</v>
      </c>
      <c r="O342" s="4" t="str">
        <f t="shared" si="22"/>
        <v>NO</v>
      </c>
      <c r="P342" s="4" t="str">
        <f t="shared" si="23"/>
        <v>NO</v>
      </c>
      <c r="Q342" s="4" t="str" cm="1">
        <f t="array" ref="Q342">_xlfn.IFS(AND(H342&gt;=0,H342&lt;=3333),"Grupo 1",AND(H342&gt;3333,H342&lt;=6666),"Grupo 2",AND(H342&gt;6666,H342&lt;=10000),"Grupo 3")</f>
        <v>Grupo 1</v>
      </c>
    </row>
    <row r="343" spans="1:17" x14ac:dyDescent="0.25">
      <c r="A343" t="s">
        <v>153</v>
      </c>
      <c r="B343" s="2">
        <v>45927.180555555547</v>
      </c>
      <c r="C343" t="s">
        <v>305</v>
      </c>
      <c r="D343" t="s">
        <v>212</v>
      </c>
      <c r="E343">
        <v>2</v>
      </c>
      <c r="F343">
        <v>1615.41</v>
      </c>
      <c r="G343" t="s">
        <v>220</v>
      </c>
      <c r="H343">
        <v>3230.82</v>
      </c>
      <c r="I343">
        <v>2025</v>
      </c>
      <c r="J343">
        <v>9</v>
      </c>
      <c r="K343">
        <v>4</v>
      </c>
      <c r="L343" s="14">
        <v>1615.41</v>
      </c>
      <c r="M343" s="4" t="str">
        <f t="shared" si="20"/>
        <v>sábado</v>
      </c>
      <c r="N343" s="4" t="str">
        <f t="shared" si="21"/>
        <v>septiembre</v>
      </c>
      <c r="O343" s="4" t="str">
        <f t="shared" si="22"/>
        <v>SI</v>
      </c>
      <c r="P343" s="4" t="str">
        <f t="shared" si="23"/>
        <v>SI</v>
      </c>
      <c r="Q343" s="4" t="str" cm="1">
        <f t="array" ref="Q343">_xlfn.IFS(AND(H343&gt;=0,H343&lt;=3333),"Grupo 1",AND(H343&gt;3333,H343&lt;=6666),"Grupo 2",AND(H343&gt;6666,H343&lt;=10000),"Grupo 3")</f>
        <v>Grupo 1</v>
      </c>
    </row>
    <row r="344" spans="1:17" x14ac:dyDescent="0.25">
      <c r="A344" t="s">
        <v>154</v>
      </c>
      <c r="B344" s="2">
        <v>45511.748611111107</v>
      </c>
      <c r="C344" t="s">
        <v>306</v>
      </c>
      <c r="D344" t="s">
        <v>212</v>
      </c>
      <c r="E344">
        <v>5</v>
      </c>
      <c r="F344">
        <v>149.54</v>
      </c>
      <c r="G344" t="s">
        <v>220</v>
      </c>
      <c r="H344">
        <v>747.69999999999993</v>
      </c>
      <c r="I344">
        <v>2024</v>
      </c>
      <c r="J344">
        <v>8</v>
      </c>
      <c r="K344">
        <v>17</v>
      </c>
      <c r="L344" s="14">
        <v>149.54</v>
      </c>
      <c r="M344" s="4" t="str">
        <f t="shared" si="20"/>
        <v>miércoles</v>
      </c>
      <c r="N344" s="4" t="str">
        <f t="shared" si="21"/>
        <v>agosto</v>
      </c>
      <c r="O344" s="4" t="str">
        <f t="shared" si="22"/>
        <v>NO</v>
      </c>
      <c r="P344" s="4" t="str">
        <f t="shared" si="23"/>
        <v>NO</v>
      </c>
      <c r="Q344" s="4" t="str" cm="1">
        <f t="array" ref="Q344">_xlfn.IFS(AND(H344&gt;=0,H344&lt;=3333),"Grupo 1",AND(H344&gt;3333,H344&lt;=6666),"Grupo 2",AND(H344&gt;6666,H344&lt;=10000),"Grupo 3")</f>
        <v>Grupo 1</v>
      </c>
    </row>
    <row r="345" spans="1:17" x14ac:dyDescent="0.25">
      <c r="A345" t="s">
        <v>155</v>
      </c>
      <c r="B345" s="2">
        <v>45867.710416666669</v>
      </c>
      <c r="C345" t="s">
        <v>307</v>
      </c>
      <c r="D345" t="s">
        <v>213</v>
      </c>
      <c r="E345">
        <v>5</v>
      </c>
      <c r="F345">
        <v>955.39</v>
      </c>
      <c r="G345" t="s">
        <v>221</v>
      </c>
      <c r="H345">
        <v>4776.95</v>
      </c>
      <c r="I345">
        <v>2025</v>
      </c>
      <c r="J345">
        <v>7</v>
      </c>
      <c r="K345">
        <v>17</v>
      </c>
      <c r="L345" s="14">
        <v>955.39</v>
      </c>
      <c r="M345" s="4" t="str">
        <f t="shared" si="20"/>
        <v>martes</v>
      </c>
      <c r="N345" s="4" t="str">
        <f t="shared" si="21"/>
        <v>julio</v>
      </c>
      <c r="O345" s="4" t="str">
        <f t="shared" si="22"/>
        <v>SI</v>
      </c>
      <c r="P345" s="4" t="str">
        <f t="shared" si="23"/>
        <v>NO</v>
      </c>
      <c r="Q345" s="4" t="str" cm="1">
        <f t="array" ref="Q345">_xlfn.IFS(AND(H345&gt;=0,H345&lt;=3333),"Grupo 1",AND(H345&gt;3333,H345&lt;=6666),"Grupo 2",AND(H345&gt;6666,H345&lt;=10000),"Grupo 3")</f>
        <v>Grupo 2</v>
      </c>
    </row>
    <row r="346" spans="1:17" x14ac:dyDescent="0.25">
      <c r="A346" t="s">
        <v>156</v>
      </c>
      <c r="B346" s="2">
        <v>45339.555555555547</v>
      </c>
      <c r="C346" t="s">
        <v>308</v>
      </c>
      <c r="D346" t="s">
        <v>214</v>
      </c>
      <c r="E346">
        <v>2</v>
      </c>
      <c r="F346">
        <v>1963.63</v>
      </c>
      <c r="G346" t="s">
        <v>222</v>
      </c>
      <c r="H346">
        <v>3927.26</v>
      </c>
      <c r="I346">
        <v>2024</v>
      </c>
      <c r="J346">
        <v>2</v>
      </c>
      <c r="K346">
        <v>13</v>
      </c>
      <c r="L346" s="14">
        <v>1963.63</v>
      </c>
      <c r="M346" s="4" t="str">
        <f t="shared" si="20"/>
        <v>sábado</v>
      </c>
      <c r="N346" s="4" t="str">
        <f t="shared" si="21"/>
        <v>febrero</v>
      </c>
      <c r="O346" s="4" t="str">
        <f t="shared" si="22"/>
        <v>SI</v>
      </c>
      <c r="P346" s="4" t="str">
        <f t="shared" si="23"/>
        <v>SI</v>
      </c>
      <c r="Q346" s="4" t="str" cm="1">
        <f t="array" ref="Q346">_xlfn.IFS(AND(H346&gt;=0,H346&lt;=3333),"Grupo 1",AND(H346&gt;3333,H346&lt;=6666),"Grupo 2",AND(H346&gt;6666,H346&lt;=10000),"Grupo 3")</f>
        <v>Grupo 2</v>
      </c>
    </row>
    <row r="347" spans="1:17" x14ac:dyDescent="0.25">
      <c r="A347" t="s">
        <v>157</v>
      </c>
      <c r="B347" s="2">
        <v>45538.998611111107</v>
      </c>
      <c r="C347" t="s">
        <v>309</v>
      </c>
      <c r="D347" t="s">
        <v>216</v>
      </c>
      <c r="E347">
        <v>5</v>
      </c>
      <c r="F347">
        <v>1440.14</v>
      </c>
      <c r="G347" t="s">
        <v>221</v>
      </c>
      <c r="H347">
        <v>7200.7000000000007</v>
      </c>
      <c r="I347">
        <v>2024</v>
      </c>
      <c r="J347">
        <v>9</v>
      </c>
      <c r="K347">
        <v>23</v>
      </c>
      <c r="L347" s="14">
        <v>1440.14</v>
      </c>
      <c r="M347" s="4" t="str">
        <f t="shared" si="20"/>
        <v>martes</v>
      </c>
      <c r="N347" s="4" t="str">
        <f t="shared" si="21"/>
        <v>septiembre</v>
      </c>
      <c r="O347" s="4" t="str">
        <f t="shared" si="22"/>
        <v>SI</v>
      </c>
      <c r="P347" s="4" t="str">
        <f t="shared" si="23"/>
        <v>SI</v>
      </c>
      <c r="Q347" s="4" t="str" cm="1">
        <f t="array" ref="Q347">_xlfn.IFS(AND(H347&gt;=0,H347&lt;=3333),"Grupo 1",AND(H347&gt;3333,H347&lt;=6666),"Grupo 2",AND(H347&gt;6666,H347&lt;=10000),"Grupo 3")</f>
        <v>Grupo 3</v>
      </c>
    </row>
    <row r="348" spans="1:17" x14ac:dyDescent="0.25">
      <c r="A348" t="s">
        <v>158</v>
      </c>
      <c r="B348" s="2">
        <v>45105.837500000001</v>
      </c>
      <c r="C348" t="s">
        <v>310</v>
      </c>
      <c r="D348" t="s">
        <v>212</v>
      </c>
      <c r="E348">
        <v>4</v>
      </c>
      <c r="F348">
        <v>283.7</v>
      </c>
      <c r="G348" t="s">
        <v>220</v>
      </c>
      <c r="H348">
        <v>1134.8</v>
      </c>
      <c r="I348">
        <v>2023</v>
      </c>
      <c r="J348">
        <v>6</v>
      </c>
      <c r="K348">
        <v>20</v>
      </c>
      <c r="L348" s="14">
        <v>283.7</v>
      </c>
      <c r="M348" s="4" t="str">
        <f t="shared" si="20"/>
        <v>miércoles</v>
      </c>
      <c r="N348" s="4" t="str">
        <f t="shared" si="21"/>
        <v>junio</v>
      </c>
      <c r="O348" s="4" t="str">
        <f t="shared" si="22"/>
        <v>NO</v>
      </c>
      <c r="P348" s="4" t="str">
        <f t="shared" si="23"/>
        <v>NO</v>
      </c>
      <c r="Q348" s="4" t="str" cm="1">
        <f t="array" ref="Q348">_xlfn.IFS(AND(H348&gt;=0,H348&lt;=3333),"Grupo 1",AND(H348&gt;3333,H348&lt;=6666),"Grupo 2",AND(H348&gt;6666,H348&lt;=10000),"Grupo 3")</f>
        <v>Grupo 1</v>
      </c>
    </row>
    <row r="349" spans="1:17" x14ac:dyDescent="0.25">
      <c r="A349" t="s">
        <v>159</v>
      </c>
      <c r="B349" s="2">
        <v>45470.283333333333</v>
      </c>
      <c r="C349" t="s">
        <v>311</v>
      </c>
      <c r="D349" t="s">
        <v>215</v>
      </c>
      <c r="E349">
        <v>3</v>
      </c>
      <c r="F349">
        <v>687.51</v>
      </c>
      <c r="G349" t="s">
        <v>220</v>
      </c>
      <c r="H349">
        <v>2062.5300000000002</v>
      </c>
      <c r="I349">
        <v>2024</v>
      </c>
      <c r="J349">
        <v>6</v>
      </c>
      <c r="K349">
        <v>6</v>
      </c>
      <c r="L349" s="14">
        <v>687.50999999999988</v>
      </c>
      <c r="M349" s="4" t="str">
        <f t="shared" si="20"/>
        <v>jueves</v>
      </c>
      <c r="N349" s="4" t="str">
        <f t="shared" si="21"/>
        <v>junio</v>
      </c>
      <c r="O349" s="4" t="str">
        <f t="shared" si="22"/>
        <v>NO</v>
      </c>
      <c r="P349" s="4" t="str">
        <f t="shared" si="23"/>
        <v>NO</v>
      </c>
      <c r="Q349" s="4" t="str" cm="1">
        <f t="array" ref="Q349">_xlfn.IFS(AND(H349&gt;=0,H349&lt;=3333),"Grupo 1",AND(H349&gt;3333,H349&lt;=6666),"Grupo 2",AND(H349&gt;6666,H349&lt;=10000),"Grupo 3")</f>
        <v>Grupo 1</v>
      </c>
    </row>
    <row r="350" spans="1:17" x14ac:dyDescent="0.25">
      <c r="A350" t="s">
        <v>160</v>
      </c>
      <c r="B350" s="2">
        <v>45122.511805555558</v>
      </c>
      <c r="C350" t="s">
        <v>312</v>
      </c>
      <c r="D350" t="s">
        <v>216</v>
      </c>
      <c r="E350">
        <v>2</v>
      </c>
      <c r="F350">
        <v>282</v>
      </c>
      <c r="G350" t="s">
        <v>221</v>
      </c>
      <c r="H350">
        <v>564</v>
      </c>
      <c r="I350">
        <v>2023</v>
      </c>
      <c r="J350">
        <v>7</v>
      </c>
      <c r="K350">
        <v>12</v>
      </c>
      <c r="L350" s="14">
        <v>282</v>
      </c>
      <c r="M350" s="4" t="str">
        <f t="shared" si="20"/>
        <v>sábado</v>
      </c>
      <c r="N350" s="4" t="str">
        <f t="shared" si="21"/>
        <v>julio</v>
      </c>
      <c r="O350" s="4" t="str">
        <f t="shared" si="22"/>
        <v>NO</v>
      </c>
      <c r="P350" s="4" t="str">
        <f t="shared" si="23"/>
        <v>NO</v>
      </c>
      <c r="Q350" s="4" t="str" cm="1">
        <f t="array" ref="Q350">_xlfn.IFS(AND(H350&gt;=0,H350&lt;=3333),"Grupo 1",AND(H350&gt;3333,H350&lt;=6666),"Grupo 2",AND(H350&gt;6666,H350&lt;=10000),"Grupo 3")</f>
        <v>Grupo 1</v>
      </c>
    </row>
    <row r="351" spans="1:17" x14ac:dyDescent="0.25">
      <c r="A351" t="s">
        <v>161</v>
      </c>
      <c r="B351" s="2">
        <v>45878.351388888892</v>
      </c>
      <c r="C351" t="s">
        <v>313</v>
      </c>
      <c r="D351" t="s">
        <v>215</v>
      </c>
      <c r="E351">
        <v>4</v>
      </c>
      <c r="F351">
        <v>1471.38</v>
      </c>
      <c r="G351" t="s">
        <v>220</v>
      </c>
      <c r="H351">
        <v>5885.52</v>
      </c>
      <c r="I351">
        <v>2025</v>
      </c>
      <c r="J351">
        <v>8</v>
      </c>
      <c r="K351">
        <v>8</v>
      </c>
      <c r="L351" s="14">
        <v>1471.38</v>
      </c>
      <c r="M351" s="4" t="str">
        <f t="shared" si="20"/>
        <v>sábado</v>
      </c>
      <c r="N351" s="4" t="str">
        <f t="shared" si="21"/>
        <v>agosto</v>
      </c>
      <c r="O351" s="4" t="str">
        <f t="shared" si="22"/>
        <v>SI</v>
      </c>
      <c r="P351" s="4" t="str">
        <f t="shared" si="23"/>
        <v>SI</v>
      </c>
      <c r="Q351" s="4" t="str" cm="1">
        <f t="array" ref="Q351">_xlfn.IFS(AND(H351&gt;=0,H351&lt;=3333),"Grupo 1",AND(H351&gt;3333,H351&lt;=6666),"Grupo 2",AND(H351&gt;6666,H351&lt;=10000),"Grupo 3")</f>
        <v>Grupo 2</v>
      </c>
    </row>
    <row r="352" spans="1:17" x14ac:dyDescent="0.25">
      <c r="A352" t="s">
        <v>162</v>
      </c>
      <c r="B352" s="2">
        <v>45894.257638888892</v>
      </c>
      <c r="C352" t="s">
        <v>314</v>
      </c>
      <c r="D352" t="s">
        <v>216</v>
      </c>
      <c r="E352">
        <v>1</v>
      </c>
      <c r="F352">
        <v>1463.91</v>
      </c>
      <c r="G352" t="s">
        <v>221</v>
      </c>
      <c r="H352">
        <v>1463.91</v>
      </c>
      <c r="I352">
        <v>2025</v>
      </c>
      <c r="J352">
        <v>8</v>
      </c>
      <c r="K352">
        <v>6</v>
      </c>
      <c r="L352" s="14">
        <v>1463.91</v>
      </c>
      <c r="M352" s="4" t="str">
        <f t="shared" si="20"/>
        <v>lunes</v>
      </c>
      <c r="N352" s="4" t="str">
        <f t="shared" si="21"/>
        <v>agosto</v>
      </c>
      <c r="O352" s="4" t="str">
        <f t="shared" si="22"/>
        <v>NO</v>
      </c>
      <c r="P352" s="4" t="str">
        <f t="shared" si="23"/>
        <v>SI</v>
      </c>
      <c r="Q352" s="4" t="str" cm="1">
        <f t="array" ref="Q352">_xlfn.IFS(AND(H352&gt;=0,H352&lt;=3333),"Grupo 1",AND(H352&gt;3333,H352&lt;=6666),"Grupo 2",AND(H352&gt;6666,H352&lt;=10000),"Grupo 3")</f>
        <v>Grupo 1</v>
      </c>
    </row>
    <row r="353" spans="1:17" x14ac:dyDescent="0.25">
      <c r="A353" t="s">
        <v>163</v>
      </c>
      <c r="B353" s="2">
        <v>45321.105555555558</v>
      </c>
      <c r="C353" t="s">
        <v>315</v>
      </c>
      <c r="D353" t="s">
        <v>213</v>
      </c>
      <c r="E353">
        <v>4</v>
      </c>
      <c r="F353">
        <v>1585.49</v>
      </c>
      <c r="G353" t="s">
        <v>221</v>
      </c>
      <c r="H353">
        <v>6341.96</v>
      </c>
      <c r="I353">
        <v>2024</v>
      </c>
      <c r="J353">
        <v>1</v>
      </c>
      <c r="K353">
        <v>2</v>
      </c>
      <c r="L353" s="14">
        <v>1585.49</v>
      </c>
      <c r="M353" s="4" t="str">
        <f t="shared" si="20"/>
        <v>martes</v>
      </c>
      <c r="N353" s="4" t="str">
        <f t="shared" si="21"/>
        <v>enero</v>
      </c>
      <c r="O353" s="4" t="str">
        <f t="shared" si="22"/>
        <v>SI</v>
      </c>
      <c r="P353" s="4" t="str">
        <f t="shared" si="23"/>
        <v>SI</v>
      </c>
      <c r="Q353" s="4" t="str" cm="1">
        <f t="array" ref="Q353">_xlfn.IFS(AND(H353&gt;=0,H353&lt;=3333),"Grupo 1",AND(H353&gt;3333,H353&lt;=6666),"Grupo 2",AND(H353&gt;6666,H353&lt;=10000),"Grupo 3")</f>
        <v>Grupo 2</v>
      </c>
    </row>
    <row r="354" spans="1:17" x14ac:dyDescent="0.25">
      <c r="A354" t="s">
        <v>164</v>
      </c>
      <c r="B354" s="2">
        <v>45571.035416666673</v>
      </c>
      <c r="C354" t="s">
        <v>316</v>
      </c>
      <c r="D354" t="s">
        <v>213</v>
      </c>
      <c r="E354">
        <v>1</v>
      </c>
      <c r="F354">
        <v>662.17</v>
      </c>
      <c r="G354" t="s">
        <v>221</v>
      </c>
      <c r="H354">
        <v>662.17</v>
      </c>
      <c r="I354">
        <v>2024</v>
      </c>
      <c r="J354">
        <v>10</v>
      </c>
      <c r="K354">
        <v>0</v>
      </c>
      <c r="L354" s="14">
        <v>662.17</v>
      </c>
      <c r="M354" s="4" t="str">
        <f t="shared" si="20"/>
        <v>domingo</v>
      </c>
      <c r="N354" s="4" t="str">
        <f t="shared" si="21"/>
        <v>octubre</v>
      </c>
      <c r="O354" s="4" t="str">
        <f t="shared" si="22"/>
        <v>NO</v>
      </c>
      <c r="P354" s="4" t="str">
        <f t="shared" si="23"/>
        <v>NO</v>
      </c>
      <c r="Q354" s="4" t="str" cm="1">
        <f t="array" ref="Q354">_xlfn.IFS(AND(H354&gt;=0,H354&lt;=3333),"Grupo 1",AND(H354&gt;3333,H354&lt;=6666),"Grupo 2",AND(H354&gt;6666,H354&lt;=10000),"Grupo 3")</f>
        <v>Grupo 1</v>
      </c>
    </row>
    <row r="355" spans="1:17" x14ac:dyDescent="0.25">
      <c r="A355" t="s">
        <v>165</v>
      </c>
      <c r="B355" s="2">
        <v>45442.757638888892</v>
      </c>
      <c r="C355" t="s">
        <v>317</v>
      </c>
      <c r="D355" t="s">
        <v>216</v>
      </c>
      <c r="E355">
        <v>2</v>
      </c>
      <c r="F355">
        <v>136.68</v>
      </c>
      <c r="G355" t="s">
        <v>221</v>
      </c>
      <c r="H355">
        <v>273.36</v>
      </c>
      <c r="I355">
        <v>2024</v>
      </c>
      <c r="J355">
        <v>5</v>
      </c>
      <c r="K355">
        <v>18</v>
      </c>
      <c r="L355" s="14">
        <v>136.68</v>
      </c>
      <c r="M355" s="4" t="str">
        <f t="shared" si="20"/>
        <v>jueves</v>
      </c>
      <c r="N355" s="4" t="str">
        <f t="shared" si="21"/>
        <v>mayo</v>
      </c>
      <c r="O355" s="4" t="str">
        <f t="shared" si="22"/>
        <v>NO</v>
      </c>
      <c r="P355" s="4" t="str">
        <f t="shared" si="23"/>
        <v>NO</v>
      </c>
      <c r="Q355" s="4" t="str" cm="1">
        <f t="array" ref="Q355">_xlfn.IFS(AND(H355&gt;=0,H355&lt;=3333),"Grupo 1",AND(H355&gt;3333,H355&lt;=6666),"Grupo 2",AND(H355&gt;6666,H355&lt;=10000),"Grupo 3")</f>
        <v>Grupo 1</v>
      </c>
    </row>
    <row r="356" spans="1:17" x14ac:dyDescent="0.25">
      <c r="A356" t="s">
        <v>166</v>
      </c>
      <c r="B356" s="2">
        <v>45889.054166666669</v>
      </c>
      <c r="C356" t="s">
        <v>318</v>
      </c>
      <c r="D356" t="s">
        <v>215</v>
      </c>
      <c r="E356">
        <v>4</v>
      </c>
      <c r="F356">
        <v>118.64</v>
      </c>
      <c r="G356" t="s">
        <v>220</v>
      </c>
      <c r="H356">
        <v>474.56</v>
      </c>
      <c r="I356">
        <v>2025</v>
      </c>
      <c r="J356">
        <v>8</v>
      </c>
      <c r="K356">
        <v>1</v>
      </c>
      <c r="L356" s="14">
        <v>118.64</v>
      </c>
      <c r="M356" s="4" t="str">
        <f t="shared" si="20"/>
        <v>miércoles</v>
      </c>
      <c r="N356" s="4" t="str">
        <f t="shared" si="21"/>
        <v>agosto</v>
      </c>
      <c r="O356" s="4" t="str">
        <f t="shared" si="22"/>
        <v>NO</v>
      </c>
      <c r="P356" s="4" t="str">
        <f t="shared" si="23"/>
        <v>NO</v>
      </c>
      <c r="Q356" s="4" t="str" cm="1">
        <f t="array" ref="Q356">_xlfn.IFS(AND(H356&gt;=0,H356&lt;=3333),"Grupo 1",AND(H356&gt;3333,H356&lt;=6666),"Grupo 2",AND(H356&gt;6666,H356&lt;=10000),"Grupo 3")</f>
        <v>Grupo 1</v>
      </c>
    </row>
    <row r="357" spans="1:17" x14ac:dyDescent="0.25">
      <c r="A357" t="s">
        <v>167</v>
      </c>
      <c r="B357" s="2">
        <v>45468.727083333331</v>
      </c>
      <c r="C357" t="s">
        <v>319</v>
      </c>
      <c r="D357" t="s">
        <v>217</v>
      </c>
      <c r="E357">
        <v>3</v>
      </c>
      <c r="F357">
        <v>933.49</v>
      </c>
      <c r="G357" t="s">
        <v>220</v>
      </c>
      <c r="H357">
        <v>2800.47</v>
      </c>
      <c r="I357">
        <v>2024</v>
      </c>
      <c r="J357">
        <v>6</v>
      </c>
      <c r="K357">
        <v>17</v>
      </c>
      <c r="L357" s="14">
        <v>933.49000000000012</v>
      </c>
      <c r="M357" s="4" t="str">
        <f t="shared" si="20"/>
        <v>martes</v>
      </c>
      <c r="N357" s="4" t="str">
        <f t="shared" si="21"/>
        <v>junio</v>
      </c>
      <c r="O357" s="4" t="str">
        <f t="shared" si="22"/>
        <v>NO</v>
      </c>
      <c r="P357" s="4" t="str">
        <f t="shared" si="23"/>
        <v>NO</v>
      </c>
      <c r="Q357" s="4" t="str" cm="1">
        <f t="array" ref="Q357">_xlfn.IFS(AND(H357&gt;=0,H357&lt;=3333),"Grupo 1",AND(H357&gt;3333,H357&lt;=6666),"Grupo 2",AND(H357&gt;6666,H357&lt;=10000),"Grupo 3")</f>
        <v>Grupo 1</v>
      </c>
    </row>
    <row r="358" spans="1:17" x14ac:dyDescent="0.25">
      <c r="A358" t="s">
        <v>168</v>
      </c>
      <c r="B358" s="2">
        <v>45202.955555555563</v>
      </c>
      <c r="C358" t="s">
        <v>320</v>
      </c>
      <c r="D358" t="s">
        <v>219</v>
      </c>
      <c r="E358">
        <v>2</v>
      </c>
      <c r="F358">
        <v>1035.0899999999999</v>
      </c>
      <c r="G358" t="s">
        <v>221</v>
      </c>
      <c r="H358">
        <v>2070.1799999999998</v>
      </c>
      <c r="I358">
        <v>2023</v>
      </c>
      <c r="J358">
        <v>10</v>
      </c>
      <c r="K358">
        <v>22</v>
      </c>
      <c r="L358" s="14">
        <v>1035.0899999999999</v>
      </c>
      <c r="M358" s="4" t="str">
        <f t="shared" si="20"/>
        <v>martes</v>
      </c>
      <c r="N358" s="4" t="str">
        <f t="shared" si="21"/>
        <v>octubre</v>
      </c>
      <c r="O358" s="4" t="str">
        <f t="shared" si="22"/>
        <v>NO</v>
      </c>
      <c r="P358" s="4" t="str">
        <f t="shared" si="23"/>
        <v>SI</v>
      </c>
      <c r="Q358" s="4" t="str" cm="1">
        <f t="array" ref="Q358">_xlfn.IFS(AND(H358&gt;=0,H358&lt;=3333),"Grupo 1",AND(H358&gt;3333,H358&lt;=6666),"Grupo 2",AND(H358&gt;6666,H358&lt;=10000),"Grupo 3")</f>
        <v>Grupo 1</v>
      </c>
    </row>
    <row r="359" spans="1:17" x14ac:dyDescent="0.25">
      <c r="A359" t="s">
        <v>169</v>
      </c>
      <c r="B359" s="2">
        <v>45323.202777777777</v>
      </c>
      <c r="C359" t="s">
        <v>321</v>
      </c>
      <c r="D359" t="s">
        <v>215</v>
      </c>
      <c r="E359">
        <v>2</v>
      </c>
      <c r="F359">
        <v>1325.01</v>
      </c>
      <c r="G359" t="s">
        <v>220</v>
      </c>
      <c r="H359">
        <v>2650.02</v>
      </c>
      <c r="I359">
        <v>2024</v>
      </c>
      <c r="J359">
        <v>2</v>
      </c>
      <c r="K359">
        <v>4</v>
      </c>
      <c r="L359" s="14">
        <v>1325.01</v>
      </c>
      <c r="M359" s="4" t="str">
        <f t="shared" si="20"/>
        <v>jueves</v>
      </c>
      <c r="N359" s="4" t="str">
        <f t="shared" si="21"/>
        <v>febrero</v>
      </c>
      <c r="O359" s="4" t="str">
        <f t="shared" si="22"/>
        <v>NO</v>
      </c>
      <c r="P359" s="4" t="str">
        <f t="shared" si="23"/>
        <v>SI</v>
      </c>
      <c r="Q359" s="4" t="str" cm="1">
        <f t="array" ref="Q359">_xlfn.IFS(AND(H359&gt;=0,H359&lt;=3333),"Grupo 1",AND(H359&gt;3333,H359&lt;=6666),"Grupo 2",AND(H359&gt;6666,H359&lt;=10000),"Grupo 3")</f>
        <v>Grupo 1</v>
      </c>
    </row>
    <row r="360" spans="1:17" x14ac:dyDescent="0.25">
      <c r="A360" t="s">
        <v>170</v>
      </c>
      <c r="B360" s="2">
        <v>45288.395833333343</v>
      </c>
      <c r="C360" t="s">
        <v>322</v>
      </c>
      <c r="D360" t="s">
        <v>213</v>
      </c>
      <c r="E360">
        <v>4</v>
      </c>
      <c r="F360">
        <v>710.84</v>
      </c>
      <c r="G360" t="s">
        <v>221</v>
      </c>
      <c r="H360">
        <v>2843.36</v>
      </c>
      <c r="I360">
        <v>2023</v>
      </c>
      <c r="J360">
        <v>12</v>
      </c>
      <c r="K360">
        <v>9</v>
      </c>
      <c r="L360" s="14">
        <v>710.84</v>
      </c>
      <c r="M360" s="4" t="str">
        <f t="shared" si="20"/>
        <v>jueves</v>
      </c>
      <c r="N360" s="4" t="str">
        <f t="shared" si="21"/>
        <v>diciembre</v>
      </c>
      <c r="O360" s="4" t="str">
        <f t="shared" si="22"/>
        <v>NO</v>
      </c>
      <c r="P360" s="4" t="str">
        <f t="shared" si="23"/>
        <v>NO</v>
      </c>
      <c r="Q360" s="4" t="str" cm="1">
        <f t="array" ref="Q360">_xlfn.IFS(AND(H360&gt;=0,H360&lt;=3333),"Grupo 1",AND(H360&gt;3333,H360&lt;=6666),"Grupo 2",AND(H360&gt;6666,H360&lt;=10000),"Grupo 3")</f>
        <v>Grupo 1</v>
      </c>
    </row>
    <row r="361" spans="1:17" x14ac:dyDescent="0.25">
      <c r="A361" t="s">
        <v>171</v>
      </c>
      <c r="B361" s="2">
        <v>45900.337500000001</v>
      </c>
      <c r="C361" t="s">
        <v>323</v>
      </c>
      <c r="D361" t="s">
        <v>214</v>
      </c>
      <c r="E361">
        <v>3</v>
      </c>
      <c r="F361">
        <v>97.27</v>
      </c>
      <c r="G361" t="s">
        <v>222</v>
      </c>
      <c r="H361">
        <v>291.81</v>
      </c>
      <c r="I361">
        <v>2025</v>
      </c>
      <c r="J361">
        <v>8</v>
      </c>
      <c r="K361">
        <v>8</v>
      </c>
      <c r="L361" s="14">
        <v>97.27</v>
      </c>
      <c r="M361" s="4" t="str">
        <f t="shared" si="20"/>
        <v>domingo</v>
      </c>
      <c r="N361" s="4" t="str">
        <f t="shared" si="21"/>
        <v>agosto</v>
      </c>
      <c r="O361" s="4" t="str">
        <f t="shared" si="22"/>
        <v>NO</v>
      </c>
      <c r="P361" s="4" t="str">
        <f t="shared" si="23"/>
        <v>NO</v>
      </c>
      <c r="Q361" s="4" t="str" cm="1">
        <f t="array" ref="Q361">_xlfn.IFS(AND(H361&gt;=0,H361&lt;=3333),"Grupo 1",AND(H361&gt;3333,H361&lt;=6666),"Grupo 2",AND(H361&gt;6666,H361&lt;=10000),"Grupo 3")</f>
        <v>Grupo 1</v>
      </c>
    </row>
    <row r="362" spans="1:17" x14ac:dyDescent="0.25">
      <c r="A362" t="s">
        <v>172</v>
      </c>
      <c r="B362" s="2">
        <v>45576.732638888891</v>
      </c>
      <c r="C362" t="s">
        <v>324</v>
      </c>
      <c r="D362" t="s">
        <v>215</v>
      </c>
      <c r="E362">
        <v>5</v>
      </c>
      <c r="F362">
        <v>498.36</v>
      </c>
      <c r="G362" t="s">
        <v>220</v>
      </c>
      <c r="H362">
        <v>2491.8000000000002</v>
      </c>
      <c r="I362">
        <v>2024</v>
      </c>
      <c r="J362">
        <v>10</v>
      </c>
      <c r="K362">
        <v>17</v>
      </c>
      <c r="L362" s="14">
        <v>498.36</v>
      </c>
      <c r="M362" s="4" t="str">
        <f t="shared" si="20"/>
        <v>viernes</v>
      </c>
      <c r="N362" s="4" t="str">
        <f t="shared" si="21"/>
        <v>octubre</v>
      </c>
      <c r="O362" s="4" t="str">
        <f t="shared" si="22"/>
        <v>NO</v>
      </c>
      <c r="P362" s="4" t="str">
        <f t="shared" si="23"/>
        <v>NO</v>
      </c>
      <c r="Q362" s="4" t="str" cm="1">
        <f t="array" ref="Q362">_xlfn.IFS(AND(H362&gt;=0,H362&lt;=3333),"Grupo 1",AND(H362&gt;3333,H362&lt;=6666),"Grupo 2",AND(H362&gt;6666,H362&lt;=10000),"Grupo 3")</f>
        <v>Grupo 1</v>
      </c>
    </row>
    <row r="363" spans="1:17" x14ac:dyDescent="0.25">
      <c r="A363" t="s">
        <v>173</v>
      </c>
      <c r="B363" s="2">
        <v>45392.97152777778</v>
      </c>
      <c r="C363" t="s">
        <v>325</v>
      </c>
      <c r="D363" t="s">
        <v>214</v>
      </c>
      <c r="E363">
        <v>5</v>
      </c>
      <c r="F363">
        <v>980.89</v>
      </c>
      <c r="G363" t="s">
        <v>222</v>
      </c>
      <c r="H363">
        <v>4904.45</v>
      </c>
      <c r="I363">
        <v>2024</v>
      </c>
      <c r="J363">
        <v>4</v>
      </c>
      <c r="K363">
        <v>23</v>
      </c>
      <c r="L363" s="14">
        <v>980.89</v>
      </c>
      <c r="M363" s="4" t="str">
        <f t="shared" si="20"/>
        <v>miércoles</v>
      </c>
      <c r="N363" s="4" t="str">
        <f t="shared" si="21"/>
        <v>abril</v>
      </c>
      <c r="O363" s="4" t="str">
        <f t="shared" si="22"/>
        <v>SI</v>
      </c>
      <c r="P363" s="4" t="str">
        <f t="shared" si="23"/>
        <v>NO</v>
      </c>
      <c r="Q363" s="4" t="str" cm="1">
        <f t="array" ref="Q363">_xlfn.IFS(AND(H363&gt;=0,H363&lt;=3333),"Grupo 1",AND(H363&gt;3333,H363&lt;=6666),"Grupo 2",AND(H363&gt;6666,H363&lt;=10000),"Grupo 3")</f>
        <v>Grupo 2</v>
      </c>
    </row>
    <row r="364" spans="1:17" x14ac:dyDescent="0.25">
      <c r="A364" t="s">
        <v>174</v>
      </c>
      <c r="B364" s="2">
        <v>45584.049305555563</v>
      </c>
      <c r="C364" t="s">
        <v>326</v>
      </c>
      <c r="D364" t="s">
        <v>213</v>
      </c>
      <c r="E364">
        <v>1</v>
      </c>
      <c r="F364">
        <v>1390.33</v>
      </c>
      <c r="G364" t="s">
        <v>221</v>
      </c>
      <c r="H364">
        <v>1390.33</v>
      </c>
      <c r="I364">
        <v>2024</v>
      </c>
      <c r="J364">
        <v>10</v>
      </c>
      <c r="K364">
        <v>1</v>
      </c>
      <c r="L364" s="14">
        <v>1390.33</v>
      </c>
      <c r="M364" s="4" t="str">
        <f t="shared" si="20"/>
        <v>sábado</v>
      </c>
      <c r="N364" s="4" t="str">
        <f t="shared" si="21"/>
        <v>octubre</v>
      </c>
      <c r="O364" s="4" t="str">
        <f t="shared" si="22"/>
        <v>NO</v>
      </c>
      <c r="P364" s="4" t="str">
        <f t="shared" si="23"/>
        <v>SI</v>
      </c>
      <c r="Q364" s="4" t="str" cm="1">
        <f t="array" ref="Q364">_xlfn.IFS(AND(H364&gt;=0,H364&lt;=3333),"Grupo 1",AND(H364&gt;3333,H364&lt;=6666),"Grupo 2",AND(H364&gt;6666,H364&lt;=10000),"Grupo 3")</f>
        <v>Grupo 1</v>
      </c>
    </row>
    <row r="365" spans="1:17" x14ac:dyDescent="0.25">
      <c r="A365" t="s">
        <v>175</v>
      </c>
      <c r="B365" s="2">
        <v>44941.657638888893</v>
      </c>
      <c r="C365" t="s">
        <v>327</v>
      </c>
      <c r="D365" t="s">
        <v>217</v>
      </c>
      <c r="E365">
        <v>5</v>
      </c>
      <c r="F365">
        <v>1708.09</v>
      </c>
      <c r="G365" t="s">
        <v>220</v>
      </c>
      <c r="H365">
        <v>8540.4499999999989</v>
      </c>
      <c r="I365">
        <v>2023</v>
      </c>
      <c r="J365">
        <v>1</v>
      </c>
      <c r="K365">
        <v>15</v>
      </c>
      <c r="L365" s="14">
        <v>1708.09</v>
      </c>
      <c r="M365" s="4" t="str">
        <f t="shared" si="20"/>
        <v>domingo</v>
      </c>
      <c r="N365" s="4" t="str">
        <f t="shared" si="21"/>
        <v>enero</v>
      </c>
      <c r="O365" s="4" t="str">
        <f t="shared" si="22"/>
        <v>SI</v>
      </c>
      <c r="P365" s="4" t="str">
        <f t="shared" si="23"/>
        <v>SI</v>
      </c>
      <c r="Q365" s="4" t="str" cm="1">
        <f t="array" ref="Q365">_xlfn.IFS(AND(H365&gt;=0,H365&lt;=3333),"Grupo 1",AND(H365&gt;3333,H365&lt;=6666),"Grupo 2",AND(H365&gt;6666,H365&lt;=10000),"Grupo 3")</f>
        <v>Grupo 3</v>
      </c>
    </row>
    <row r="366" spans="1:17" x14ac:dyDescent="0.25">
      <c r="A366" t="s">
        <v>176</v>
      </c>
      <c r="B366" s="2">
        <v>45238.718055555553</v>
      </c>
      <c r="C366" t="s">
        <v>328</v>
      </c>
      <c r="D366" t="s">
        <v>219</v>
      </c>
      <c r="E366">
        <v>3</v>
      </c>
      <c r="F366">
        <v>459.4</v>
      </c>
      <c r="G366" t="s">
        <v>221</v>
      </c>
      <c r="H366">
        <v>1378.2</v>
      </c>
      <c r="I366">
        <v>2023</v>
      </c>
      <c r="J366">
        <v>11</v>
      </c>
      <c r="K366">
        <v>17</v>
      </c>
      <c r="L366" s="14">
        <v>459.39999999999992</v>
      </c>
      <c r="M366" s="4" t="str">
        <f t="shared" si="20"/>
        <v>miércoles</v>
      </c>
      <c r="N366" s="4" t="str">
        <f t="shared" si="21"/>
        <v>noviembre</v>
      </c>
      <c r="O366" s="4" t="str">
        <f t="shared" si="22"/>
        <v>NO</v>
      </c>
      <c r="P366" s="4" t="str">
        <f t="shared" si="23"/>
        <v>NO</v>
      </c>
      <c r="Q366" s="4" t="str" cm="1">
        <f t="array" ref="Q366">_xlfn.IFS(AND(H366&gt;=0,H366&lt;=3333),"Grupo 1",AND(H366&gt;3333,H366&lt;=6666),"Grupo 2",AND(H366&gt;6666,H366&lt;=10000),"Grupo 3")</f>
        <v>Grupo 1</v>
      </c>
    </row>
    <row r="367" spans="1:17" x14ac:dyDescent="0.25">
      <c r="A367" t="s">
        <v>177</v>
      </c>
      <c r="B367" s="2">
        <v>44973.59652777778</v>
      </c>
      <c r="C367" t="s">
        <v>329</v>
      </c>
      <c r="D367" t="s">
        <v>215</v>
      </c>
      <c r="E367">
        <v>1</v>
      </c>
      <c r="F367">
        <v>1578.33</v>
      </c>
      <c r="G367" t="s">
        <v>220</v>
      </c>
      <c r="H367">
        <v>1578.33</v>
      </c>
      <c r="I367">
        <v>2023</v>
      </c>
      <c r="J367">
        <v>2</v>
      </c>
      <c r="K367">
        <v>14</v>
      </c>
      <c r="L367" s="14">
        <v>1578.33</v>
      </c>
      <c r="M367" s="4" t="str">
        <f t="shared" si="20"/>
        <v>jueves</v>
      </c>
      <c r="N367" s="4" t="str">
        <f t="shared" si="21"/>
        <v>febrero</v>
      </c>
      <c r="O367" s="4" t="str">
        <f t="shared" si="22"/>
        <v>NO</v>
      </c>
      <c r="P367" s="4" t="str">
        <f t="shared" si="23"/>
        <v>SI</v>
      </c>
      <c r="Q367" s="4" t="str" cm="1">
        <f t="array" ref="Q367">_xlfn.IFS(AND(H367&gt;=0,H367&lt;=3333),"Grupo 1",AND(H367&gt;3333,H367&lt;=6666),"Grupo 2",AND(H367&gt;6666,H367&lt;=10000),"Grupo 3")</f>
        <v>Grupo 1</v>
      </c>
    </row>
    <row r="368" spans="1:17" x14ac:dyDescent="0.25">
      <c r="A368" t="s">
        <v>178</v>
      </c>
      <c r="B368" s="2">
        <v>45445.690972222219</v>
      </c>
      <c r="C368" t="s">
        <v>330</v>
      </c>
      <c r="D368" t="s">
        <v>213</v>
      </c>
      <c r="E368">
        <v>5</v>
      </c>
      <c r="F368">
        <v>1602.39</v>
      </c>
      <c r="G368" t="s">
        <v>221</v>
      </c>
      <c r="H368">
        <v>8011.9500000000007</v>
      </c>
      <c r="I368">
        <v>2024</v>
      </c>
      <c r="J368">
        <v>6</v>
      </c>
      <c r="K368">
        <v>16</v>
      </c>
      <c r="L368" s="14">
        <v>1602.39</v>
      </c>
      <c r="M368" s="4" t="str">
        <f t="shared" si="20"/>
        <v>domingo</v>
      </c>
      <c r="N368" s="4" t="str">
        <f t="shared" si="21"/>
        <v>junio</v>
      </c>
      <c r="O368" s="4" t="str">
        <f t="shared" si="22"/>
        <v>SI</v>
      </c>
      <c r="P368" s="4" t="str">
        <f t="shared" si="23"/>
        <v>SI</v>
      </c>
      <c r="Q368" s="4" t="str" cm="1">
        <f t="array" ref="Q368">_xlfn.IFS(AND(H368&gt;=0,H368&lt;=3333),"Grupo 1",AND(H368&gt;3333,H368&lt;=6666),"Grupo 2",AND(H368&gt;6666,H368&lt;=10000),"Grupo 3")</f>
        <v>Grupo 3</v>
      </c>
    </row>
    <row r="369" spans="1:17" x14ac:dyDescent="0.25">
      <c r="A369" t="s">
        <v>179</v>
      </c>
      <c r="B369" s="2">
        <v>45035.472916666673</v>
      </c>
      <c r="C369" t="s">
        <v>331</v>
      </c>
      <c r="D369" t="s">
        <v>213</v>
      </c>
      <c r="E369">
        <v>2</v>
      </c>
      <c r="F369">
        <v>714.55</v>
      </c>
      <c r="G369" t="s">
        <v>221</v>
      </c>
      <c r="H369">
        <v>1429.1</v>
      </c>
      <c r="I369">
        <v>2023</v>
      </c>
      <c r="J369">
        <v>4</v>
      </c>
      <c r="K369">
        <v>11</v>
      </c>
      <c r="L369" s="14">
        <v>714.55</v>
      </c>
      <c r="M369" s="4" t="str">
        <f t="shared" si="20"/>
        <v>miércoles</v>
      </c>
      <c r="N369" s="4" t="str">
        <f t="shared" si="21"/>
        <v>abril</v>
      </c>
      <c r="O369" s="4" t="str">
        <f t="shared" si="22"/>
        <v>NO</v>
      </c>
      <c r="P369" s="4" t="str">
        <f t="shared" si="23"/>
        <v>NO</v>
      </c>
      <c r="Q369" s="4" t="str" cm="1">
        <f t="array" ref="Q369">_xlfn.IFS(AND(H369&gt;=0,H369&lt;=3333),"Grupo 1",AND(H369&gt;3333,H369&lt;=6666),"Grupo 2",AND(H369&gt;6666,H369&lt;=10000),"Grupo 3")</f>
        <v>Grupo 1</v>
      </c>
    </row>
    <row r="370" spans="1:17" x14ac:dyDescent="0.25">
      <c r="A370" t="s">
        <v>180</v>
      </c>
      <c r="B370" s="2">
        <v>45836.104166666657</v>
      </c>
      <c r="C370" t="s">
        <v>332</v>
      </c>
      <c r="D370" t="s">
        <v>214</v>
      </c>
      <c r="E370">
        <v>2</v>
      </c>
      <c r="F370">
        <v>140.54</v>
      </c>
      <c r="G370" t="s">
        <v>222</v>
      </c>
      <c r="H370">
        <v>281.08</v>
      </c>
      <c r="I370">
        <v>2025</v>
      </c>
      <c r="J370">
        <v>6</v>
      </c>
      <c r="K370">
        <v>2</v>
      </c>
      <c r="L370" s="14">
        <v>140.54</v>
      </c>
      <c r="M370" s="4" t="str">
        <f t="shared" si="20"/>
        <v>sábado</v>
      </c>
      <c r="N370" s="4" t="str">
        <f t="shared" si="21"/>
        <v>junio</v>
      </c>
      <c r="O370" s="4" t="str">
        <f t="shared" si="22"/>
        <v>NO</v>
      </c>
      <c r="P370" s="4" t="str">
        <f t="shared" si="23"/>
        <v>NO</v>
      </c>
      <c r="Q370" s="4" t="str" cm="1">
        <f t="array" ref="Q370">_xlfn.IFS(AND(H370&gt;=0,H370&lt;=3333),"Grupo 1",AND(H370&gt;3333,H370&lt;=6666),"Grupo 2",AND(H370&gt;6666,H370&lt;=10000),"Grupo 3")</f>
        <v>Grupo 1</v>
      </c>
    </row>
    <row r="371" spans="1:17" x14ac:dyDescent="0.25">
      <c r="A371" t="s">
        <v>181</v>
      </c>
      <c r="B371" s="2">
        <v>45584.553472222222</v>
      </c>
      <c r="C371" t="s">
        <v>333</v>
      </c>
      <c r="D371" t="s">
        <v>218</v>
      </c>
      <c r="E371">
        <v>5</v>
      </c>
      <c r="F371">
        <v>286.87</v>
      </c>
      <c r="G371" t="s">
        <v>221</v>
      </c>
      <c r="H371">
        <v>1434.35</v>
      </c>
      <c r="I371">
        <v>2024</v>
      </c>
      <c r="J371">
        <v>10</v>
      </c>
      <c r="K371">
        <v>13</v>
      </c>
      <c r="L371" s="14">
        <v>286.87</v>
      </c>
      <c r="M371" s="4" t="str">
        <f t="shared" si="20"/>
        <v>sábado</v>
      </c>
      <c r="N371" s="4" t="str">
        <f t="shared" si="21"/>
        <v>octubre</v>
      </c>
      <c r="O371" s="4" t="str">
        <f t="shared" si="22"/>
        <v>NO</v>
      </c>
      <c r="P371" s="4" t="str">
        <f t="shared" si="23"/>
        <v>NO</v>
      </c>
      <c r="Q371" s="4" t="str" cm="1">
        <f t="array" ref="Q371">_xlfn.IFS(AND(H371&gt;=0,H371&lt;=3333),"Grupo 1",AND(H371&gt;3333,H371&lt;=6666),"Grupo 2",AND(H371&gt;6666,H371&lt;=10000),"Grupo 3")</f>
        <v>Grupo 1</v>
      </c>
    </row>
    <row r="372" spans="1:17" x14ac:dyDescent="0.25">
      <c r="A372" t="s">
        <v>182</v>
      </c>
      <c r="B372" s="2">
        <v>45338.585416666669</v>
      </c>
      <c r="C372" t="s">
        <v>334</v>
      </c>
      <c r="D372" t="s">
        <v>216</v>
      </c>
      <c r="E372">
        <v>5</v>
      </c>
      <c r="F372">
        <v>1897.97</v>
      </c>
      <c r="G372" t="s">
        <v>221</v>
      </c>
      <c r="H372">
        <v>9489.85</v>
      </c>
      <c r="I372">
        <v>2024</v>
      </c>
      <c r="J372">
        <v>2</v>
      </c>
      <c r="K372">
        <v>14</v>
      </c>
      <c r="L372" s="14">
        <v>1897.97</v>
      </c>
      <c r="M372" s="4" t="str">
        <f t="shared" si="20"/>
        <v>viernes</v>
      </c>
      <c r="N372" s="4" t="str">
        <f t="shared" si="21"/>
        <v>febrero</v>
      </c>
      <c r="O372" s="4" t="str">
        <f t="shared" si="22"/>
        <v>SI</v>
      </c>
      <c r="P372" s="4" t="str">
        <f t="shared" si="23"/>
        <v>SI</v>
      </c>
      <c r="Q372" s="4" t="str" cm="1">
        <f t="array" ref="Q372">_xlfn.IFS(AND(H372&gt;=0,H372&lt;=3333),"Grupo 1",AND(H372&gt;3333,H372&lt;=6666),"Grupo 2",AND(H372&gt;6666,H372&lt;=10000),"Grupo 3")</f>
        <v>Grupo 3</v>
      </c>
    </row>
    <row r="373" spans="1:17" x14ac:dyDescent="0.25">
      <c r="A373" t="s">
        <v>183</v>
      </c>
      <c r="B373" s="2">
        <v>45625.480555555558</v>
      </c>
      <c r="C373" t="s">
        <v>335</v>
      </c>
      <c r="D373" t="s">
        <v>213</v>
      </c>
      <c r="E373">
        <v>2</v>
      </c>
      <c r="F373">
        <v>587.71</v>
      </c>
      <c r="G373" t="s">
        <v>221</v>
      </c>
      <c r="H373">
        <v>1175.42</v>
      </c>
      <c r="I373">
        <v>2024</v>
      </c>
      <c r="J373">
        <v>11</v>
      </c>
      <c r="K373">
        <v>11</v>
      </c>
      <c r="L373" s="14">
        <v>587.71</v>
      </c>
      <c r="M373" s="4" t="str">
        <f t="shared" si="20"/>
        <v>viernes</v>
      </c>
      <c r="N373" s="4" t="str">
        <f t="shared" si="21"/>
        <v>noviembre</v>
      </c>
      <c r="O373" s="4" t="str">
        <f t="shared" si="22"/>
        <v>NO</v>
      </c>
      <c r="P373" s="4" t="str">
        <f t="shared" si="23"/>
        <v>NO</v>
      </c>
      <c r="Q373" s="4" t="str" cm="1">
        <f t="array" ref="Q373">_xlfn.IFS(AND(H373&gt;=0,H373&lt;=3333),"Grupo 1",AND(H373&gt;3333,H373&lt;=6666),"Grupo 2",AND(H373&gt;6666,H373&lt;=10000),"Grupo 3")</f>
        <v>Grupo 1</v>
      </c>
    </row>
    <row r="374" spans="1:17" x14ac:dyDescent="0.25">
      <c r="A374" t="s">
        <v>184</v>
      </c>
      <c r="B374" s="2">
        <v>45291</v>
      </c>
      <c r="C374" t="s">
        <v>336</v>
      </c>
      <c r="D374" t="s">
        <v>216</v>
      </c>
      <c r="E374">
        <v>4</v>
      </c>
      <c r="F374">
        <v>895.13</v>
      </c>
      <c r="G374" t="s">
        <v>221</v>
      </c>
      <c r="H374">
        <v>3580.52</v>
      </c>
      <c r="I374">
        <v>2023</v>
      </c>
      <c r="J374">
        <v>12</v>
      </c>
      <c r="K374">
        <v>0</v>
      </c>
      <c r="L374" s="14">
        <v>895.13</v>
      </c>
      <c r="M374" s="4" t="str">
        <f t="shared" si="20"/>
        <v>domingo</v>
      </c>
      <c r="N374" s="4" t="str">
        <f t="shared" si="21"/>
        <v>diciembre</v>
      </c>
      <c r="O374" s="4" t="str">
        <f t="shared" si="22"/>
        <v>SI</v>
      </c>
      <c r="P374" s="4" t="str">
        <f t="shared" si="23"/>
        <v>NO</v>
      </c>
      <c r="Q374" s="4" t="str" cm="1">
        <f t="array" ref="Q374">_xlfn.IFS(AND(H374&gt;=0,H374&lt;=3333),"Grupo 1",AND(H374&gt;3333,H374&lt;=6666),"Grupo 2",AND(H374&gt;6666,H374&lt;=10000),"Grupo 3")</f>
        <v>Grupo 2</v>
      </c>
    </row>
    <row r="375" spans="1:17" x14ac:dyDescent="0.25">
      <c r="A375" t="s">
        <v>185</v>
      </c>
      <c r="B375" s="2">
        <v>45548.488194444442</v>
      </c>
      <c r="C375" t="s">
        <v>337</v>
      </c>
      <c r="D375" t="s">
        <v>215</v>
      </c>
      <c r="E375">
        <v>3</v>
      </c>
      <c r="F375">
        <v>1457.35</v>
      </c>
      <c r="G375" t="s">
        <v>220</v>
      </c>
      <c r="H375">
        <v>4372.0499999999993</v>
      </c>
      <c r="I375">
        <v>2024</v>
      </c>
      <c r="J375">
        <v>9</v>
      </c>
      <c r="K375">
        <v>11</v>
      </c>
      <c r="L375" s="14">
        <v>1457.35</v>
      </c>
      <c r="M375" s="4" t="str">
        <f t="shared" si="20"/>
        <v>viernes</v>
      </c>
      <c r="N375" s="4" t="str">
        <f t="shared" si="21"/>
        <v>septiembre</v>
      </c>
      <c r="O375" s="4" t="str">
        <f t="shared" si="22"/>
        <v>SI</v>
      </c>
      <c r="P375" s="4" t="str">
        <f t="shared" si="23"/>
        <v>SI</v>
      </c>
      <c r="Q375" s="4" t="str" cm="1">
        <f t="array" ref="Q375">_xlfn.IFS(AND(H375&gt;=0,H375&lt;=3333),"Grupo 1",AND(H375&gt;3333,H375&lt;=6666),"Grupo 2",AND(H375&gt;6666,H375&lt;=10000),"Grupo 3")</f>
        <v>Grupo 2</v>
      </c>
    </row>
    <row r="376" spans="1:17" x14ac:dyDescent="0.25">
      <c r="A376" t="s">
        <v>186</v>
      </c>
      <c r="B376" s="2">
        <v>45540.261805555558</v>
      </c>
      <c r="C376" t="s">
        <v>338</v>
      </c>
      <c r="D376" t="s">
        <v>214</v>
      </c>
      <c r="E376">
        <v>3</v>
      </c>
      <c r="F376">
        <v>1083.32</v>
      </c>
      <c r="G376" t="s">
        <v>222</v>
      </c>
      <c r="H376">
        <v>3249.96</v>
      </c>
      <c r="I376">
        <v>2024</v>
      </c>
      <c r="J376">
        <v>9</v>
      </c>
      <c r="K376">
        <v>6</v>
      </c>
      <c r="L376" s="14">
        <v>1083.32</v>
      </c>
      <c r="M376" s="4" t="str">
        <f t="shared" si="20"/>
        <v>jueves</v>
      </c>
      <c r="N376" s="4" t="str">
        <f t="shared" si="21"/>
        <v>septiembre</v>
      </c>
      <c r="O376" s="4" t="str">
        <f t="shared" si="22"/>
        <v>SI</v>
      </c>
      <c r="P376" s="4" t="str">
        <f t="shared" si="23"/>
        <v>SI</v>
      </c>
      <c r="Q376" s="4" t="str" cm="1">
        <f t="array" ref="Q376">_xlfn.IFS(AND(H376&gt;=0,H376&lt;=3333),"Grupo 1",AND(H376&gt;3333,H376&lt;=6666),"Grupo 2",AND(H376&gt;6666,H376&lt;=10000),"Grupo 3")</f>
        <v>Grupo 1</v>
      </c>
    </row>
    <row r="377" spans="1:17" x14ac:dyDescent="0.25">
      <c r="A377" t="s">
        <v>187</v>
      </c>
      <c r="B377" s="2">
        <v>45783.684027777781</v>
      </c>
      <c r="C377" t="s">
        <v>339</v>
      </c>
      <c r="D377" t="s">
        <v>217</v>
      </c>
      <c r="E377">
        <v>3</v>
      </c>
      <c r="F377">
        <v>1542.71</v>
      </c>
      <c r="G377" t="s">
        <v>220</v>
      </c>
      <c r="H377">
        <v>4628.13</v>
      </c>
      <c r="I377">
        <v>2025</v>
      </c>
      <c r="J377">
        <v>5</v>
      </c>
      <c r="K377">
        <v>16</v>
      </c>
      <c r="L377" s="14">
        <v>1542.71</v>
      </c>
      <c r="M377" s="4" t="str">
        <f t="shared" si="20"/>
        <v>martes</v>
      </c>
      <c r="N377" s="4" t="str">
        <f t="shared" si="21"/>
        <v>mayo</v>
      </c>
      <c r="O377" s="4" t="str">
        <f t="shared" si="22"/>
        <v>SI</v>
      </c>
      <c r="P377" s="4" t="str">
        <f t="shared" si="23"/>
        <v>SI</v>
      </c>
      <c r="Q377" s="4" t="str" cm="1">
        <f t="array" ref="Q377">_xlfn.IFS(AND(H377&gt;=0,H377&lt;=3333),"Grupo 1",AND(H377&gt;3333,H377&lt;=6666),"Grupo 2",AND(H377&gt;6666,H377&lt;=10000),"Grupo 3")</f>
        <v>Grupo 2</v>
      </c>
    </row>
    <row r="378" spans="1:17" x14ac:dyDescent="0.25">
      <c r="A378" t="s">
        <v>188</v>
      </c>
      <c r="B378" s="2">
        <v>45692.470138888893</v>
      </c>
      <c r="C378" t="s">
        <v>340</v>
      </c>
      <c r="D378" t="s">
        <v>215</v>
      </c>
      <c r="E378">
        <v>5</v>
      </c>
      <c r="F378">
        <v>723.8</v>
      </c>
      <c r="G378" t="s">
        <v>220</v>
      </c>
      <c r="H378">
        <v>3619</v>
      </c>
      <c r="I378">
        <v>2025</v>
      </c>
      <c r="J378">
        <v>2</v>
      </c>
      <c r="K378">
        <v>11</v>
      </c>
      <c r="L378" s="14">
        <v>723.8</v>
      </c>
      <c r="M378" s="4" t="str">
        <f t="shared" si="20"/>
        <v>martes</v>
      </c>
      <c r="N378" s="4" t="str">
        <f t="shared" si="21"/>
        <v>febrero</v>
      </c>
      <c r="O378" s="4" t="str">
        <f t="shared" si="22"/>
        <v>SI</v>
      </c>
      <c r="P378" s="4" t="str">
        <f t="shared" si="23"/>
        <v>NO</v>
      </c>
      <c r="Q378" s="4" t="str" cm="1">
        <f t="array" ref="Q378">_xlfn.IFS(AND(H378&gt;=0,H378&lt;=3333),"Grupo 1",AND(H378&gt;3333,H378&lt;=6666),"Grupo 2",AND(H378&gt;6666,H378&lt;=10000),"Grupo 3")</f>
        <v>Grupo 2</v>
      </c>
    </row>
    <row r="379" spans="1:17" x14ac:dyDescent="0.25">
      <c r="A379" t="s">
        <v>189</v>
      </c>
      <c r="B379" s="2">
        <v>45186.410416666673</v>
      </c>
      <c r="C379" t="s">
        <v>341</v>
      </c>
      <c r="D379" t="s">
        <v>213</v>
      </c>
      <c r="E379">
        <v>5</v>
      </c>
      <c r="F379">
        <v>179.97</v>
      </c>
      <c r="G379" t="s">
        <v>221</v>
      </c>
      <c r="H379">
        <v>899.85</v>
      </c>
      <c r="I379">
        <v>2023</v>
      </c>
      <c r="J379">
        <v>9</v>
      </c>
      <c r="K379">
        <v>9</v>
      </c>
      <c r="L379" s="14">
        <v>179.97</v>
      </c>
      <c r="M379" s="4" t="str">
        <f t="shared" si="20"/>
        <v>domingo</v>
      </c>
      <c r="N379" s="4" t="str">
        <f t="shared" si="21"/>
        <v>septiembre</v>
      </c>
      <c r="O379" s="4" t="str">
        <f t="shared" si="22"/>
        <v>NO</v>
      </c>
      <c r="P379" s="4" t="str">
        <f t="shared" si="23"/>
        <v>NO</v>
      </c>
      <c r="Q379" s="4" t="str" cm="1">
        <f t="array" ref="Q379">_xlfn.IFS(AND(H379&gt;=0,H379&lt;=3333),"Grupo 1",AND(H379&gt;3333,H379&lt;=6666),"Grupo 2",AND(H379&gt;6666,H379&lt;=10000),"Grupo 3")</f>
        <v>Grupo 1</v>
      </c>
    </row>
    <row r="380" spans="1:17" x14ac:dyDescent="0.25">
      <c r="A380" t="s">
        <v>190</v>
      </c>
      <c r="B380" s="2">
        <v>45539.616666666669</v>
      </c>
      <c r="C380" t="s">
        <v>342</v>
      </c>
      <c r="D380" t="s">
        <v>217</v>
      </c>
      <c r="E380">
        <v>1</v>
      </c>
      <c r="F380">
        <v>1318.43</v>
      </c>
      <c r="G380" t="s">
        <v>220</v>
      </c>
      <c r="H380">
        <v>1318.43</v>
      </c>
      <c r="I380">
        <v>2024</v>
      </c>
      <c r="J380">
        <v>9</v>
      </c>
      <c r="K380">
        <v>14</v>
      </c>
      <c r="L380" s="14">
        <v>1318.43</v>
      </c>
      <c r="M380" s="4" t="str">
        <f t="shared" si="20"/>
        <v>miércoles</v>
      </c>
      <c r="N380" s="4" t="str">
        <f t="shared" si="21"/>
        <v>septiembre</v>
      </c>
      <c r="O380" s="4" t="str">
        <f t="shared" si="22"/>
        <v>NO</v>
      </c>
      <c r="P380" s="4" t="str">
        <f t="shared" si="23"/>
        <v>SI</v>
      </c>
      <c r="Q380" s="4" t="str" cm="1">
        <f t="array" ref="Q380">_xlfn.IFS(AND(H380&gt;=0,H380&lt;=3333),"Grupo 1",AND(H380&gt;3333,H380&lt;=6666),"Grupo 2",AND(H380&gt;6666,H380&lt;=10000),"Grupo 3")</f>
        <v>Grupo 1</v>
      </c>
    </row>
    <row r="381" spans="1:17" x14ac:dyDescent="0.25">
      <c r="A381" t="s">
        <v>191</v>
      </c>
      <c r="B381" s="2">
        <v>45073.392361111109</v>
      </c>
      <c r="C381" t="s">
        <v>343</v>
      </c>
      <c r="D381" t="s">
        <v>215</v>
      </c>
      <c r="E381">
        <v>2</v>
      </c>
      <c r="F381">
        <v>307.37</v>
      </c>
      <c r="G381" t="s">
        <v>220</v>
      </c>
      <c r="H381">
        <v>614.74</v>
      </c>
      <c r="I381">
        <v>2023</v>
      </c>
      <c r="J381">
        <v>5</v>
      </c>
      <c r="K381">
        <v>9</v>
      </c>
      <c r="L381" s="14">
        <v>307.37</v>
      </c>
      <c r="M381" s="4" t="str">
        <f t="shared" si="20"/>
        <v>sábado</v>
      </c>
      <c r="N381" s="4" t="str">
        <f t="shared" si="21"/>
        <v>mayo</v>
      </c>
      <c r="O381" s="4" t="str">
        <f t="shared" si="22"/>
        <v>NO</v>
      </c>
      <c r="P381" s="4" t="str">
        <f t="shared" si="23"/>
        <v>NO</v>
      </c>
      <c r="Q381" s="4" t="str" cm="1">
        <f t="array" ref="Q381">_xlfn.IFS(AND(H381&gt;=0,H381&lt;=3333),"Grupo 1",AND(H381&gt;3333,H381&lt;=6666),"Grupo 2",AND(H381&gt;6666,H381&lt;=10000),"Grupo 3")</f>
        <v>Grupo 1</v>
      </c>
    </row>
    <row r="382" spans="1:17" x14ac:dyDescent="0.25">
      <c r="A382" t="s">
        <v>192</v>
      </c>
      <c r="B382" s="2">
        <v>45287.277777777781</v>
      </c>
      <c r="C382" t="s">
        <v>344</v>
      </c>
      <c r="D382" t="s">
        <v>214</v>
      </c>
      <c r="E382">
        <v>1</v>
      </c>
      <c r="F382">
        <v>1364.97</v>
      </c>
      <c r="G382" t="s">
        <v>222</v>
      </c>
      <c r="H382">
        <v>1364.97</v>
      </c>
      <c r="I382">
        <v>2023</v>
      </c>
      <c r="J382">
        <v>12</v>
      </c>
      <c r="K382">
        <v>6</v>
      </c>
      <c r="L382" s="14">
        <v>1364.97</v>
      </c>
      <c r="M382" s="4" t="str">
        <f t="shared" si="20"/>
        <v>miércoles</v>
      </c>
      <c r="N382" s="4" t="str">
        <f t="shared" si="21"/>
        <v>diciembre</v>
      </c>
      <c r="O382" s="4" t="str">
        <f t="shared" si="22"/>
        <v>NO</v>
      </c>
      <c r="P382" s="4" t="str">
        <f t="shared" si="23"/>
        <v>SI</v>
      </c>
      <c r="Q382" s="4" t="str" cm="1">
        <f t="array" ref="Q382">_xlfn.IFS(AND(H382&gt;=0,H382&lt;=3333),"Grupo 1",AND(H382&gt;3333,H382&lt;=6666),"Grupo 2",AND(H382&gt;6666,H382&lt;=10000),"Grupo 3")</f>
        <v>Grupo 1</v>
      </c>
    </row>
    <row r="383" spans="1:17" x14ac:dyDescent="0.25">
      <c r="A383" t="s">
        <v>193</v>
      </c>
      <c r="B383" s="2">
        <v>45398.678472222222</v>
      </c>
      <c r="C383" t="s">
        <v>345</v>
      </c>
      <c r="D383" t="s">
        <v>219</v>
      </c>
      <c r="E383">
        <v>3</v>
      </c>
      <c r="F383">
        <v>244.23</v>
      </c>
      <c r="G383" t="s">
        <v>221</v>
      </c>
      <c r="H383">
        <v>732.68999999999994</v>
      </c>
      <c r="I383">
        <v>2024</v>
      </c>
      <c r="J383">
        <v>4</v>
      </c>
      <c r="K383">
        <v>16</v>
      </c>
      <c r="L383" s="14">
        <v>244.23</v>
      </c>
      <c r="M383" s="4" t="str">
        <f t="shared" si="20"/>
        <v>martes</v>
      </c>
      <c r="N383" s="4" t="str">
        <f t="shared" si="21"/>
        <v>abril</v>
      </c>
      <c r="O383" s="4" t="str">
        <f t="shared" si="22"/>
        <v>NO</v>
      </c>
      <c r="P383" s="4" t="str">
        <f t="shared" si="23"/>
        <v>NO</v>
      </c>
      <c r="Q383" s="4" t="str" cm="1">
        <f t="array" ref="Q383">_xlfn.IFS(AND(H383&gt;=0,H383&lt;=3333),"Grupo 1",AND(H383&gt;3333,H383&lt;=6666),"Grupo 2",AND(H383&gt;6666,H383&lt;=10000),"Grupo 3")</f>
        <v>Grupo 1</v>
      </c>
    </row>
    <row r="384" spans="1:17" x14ac:dyDescent="0.25">
      <c r="A384" t="s">
        <v>194</v>
      </c>
      <c r="B384" s="2">
        <v>44949.395833333343</v>
      </c>
      <c r="C384" t="s">
        <v>346</v>
      </c>
      <c r="D384" t="s">
        <v>216</v>
      </c>
      <c r="E384">
        <v>3</v>
      </c>
      <c r="F384">
        <v>245.64</v>
      </c>
      <c r="G384" t="s">
        <v>221</v>
      </c>
      <c r="H384">
        <v>736.92</v>
      </c>
      <c r="I384">
        <v>2023</v>
      </c>
      <c r="J384">
        <v>1</v>
      </c>
      <c r="K384">
        <v>9</v>
      </c>
      <c r="L384" s="14">
        <v>245.64</v>
      </c>
      <c r="M384" s="4" t="str">
        <f t="shared" si="20"/>
        <v>lunes</v>
      </c>
      <c r="N384" s="4" t="str">
        <f t="shared" si="21"/>
        <v>enero</v>
      </c>
      <c r="O384" s="4" t="str">
        <f t="shared" si="22"/>
        <v>NO</v>
      </c>
      <c r="P384" s="4" t="str">
        <f t="shared" si="23"/>
        <v>NO</v>
      </c>
      <c r="Q384" s="4" t="str" cm="1">
        <f t="array" ref="Q384">_xlfn.IFS(AND(H384&gt;=0,H384&lt;=3333),"Grupo 1",AND(H384&gt;3333,H384&lt;=6666),"Grupo 2",AND(H384&gt;6666,H384&lt;=10000),"Grupo 3")</f>
        <v>Grupo 1</v>
      </c>
    </row>
    <row r="385" spans="1:17" x14ac:dyDescent="0.25">
      <c r="A385" t="s">
        <v>195</v>
      </c>
      <c r="B385" s="2">
        <v>45560.538194444453</v>
      </c>
      <c r="C385" t="s">
        <v>347</v>
      </c>
      <c r="D385" t="s">
        <v>216</v>
      </c>
      <c r="E385">
        <v>1</v>
      </c>
      <c r="F385">
        <v>1501.34</v>
      </c>
      <c r="G385" t="s">
        <v>221</v>
      </c>
      <c r="H385">
        <v>1501.34</v>
      </c>
      <c r="I385">
        <v>2024</v>
      </c>
      <c r="J385">
        <v>9</v>
      </c>
      <c r="K385">
        <v>12</v>
      </c>
      <c r="L385" s="14">
        <v>1501.34</v>
      </c>
      <c r="M385" s="4" t="str">
        <f t="shared" si="20"/>
        <v>miércoles</v>
      </c>
      <c r="N385" s="4" t="str">
        <f t="shared" si="21"/>
        <v>septiembre</v>
      </c>
      <c r="O385" s="4" t="str">
        <f t="shared" si="22"/>
        <v>NO</v>
      </c>
      <c r="P385" s="4" t="str">
        <f t="shared" si="23"/>
        <v>SI</v>
      </c>
      <c r="Q385" s="4" t="str" cm="1">
        <f t="array" ref="Q385">_xlfn.IFS(AND(H385&gt;=0,H385&lt;=3333),"Grupo 1",AND(H385&gt;3333,H385&lt;=6666),"Grupo 2",AND(H385&gt;6666,H385&lt;=10000),"Grupo 3")</f>
        <v>Grupo 1</v>
      </c>
    </row>
    <row r="386" spans="1:17" x14ac:dyDescent="0.25">
      <c r="A386" t="s">
        <v>196</v>
      </c>
      <c r="B386" s="2">
        <v>45636.231249999997</v>
      </c>
      <c r="C386" t="s">
        <v>348</v>
      </c>
      <c r="D386" t="s">
        <v>213</v>
      </c>
      <c r="E386">
        <v>4</v>
      </c>
      <c r="F386">
        <v>995.18</v>
      </c>
      <c r="G386" t="s">
        <v>221</v>
      </c>
      <c r="H386">
        <v>3980.72</v>
      </c>
      <c r="I386">
        <v>2024</v>
      </c>
      <c r="J386">
        <v>12</v>
      </c>
      <c r="K386">
        <v>5</v>
      </c>
      <c r="L386" s="14">
        <v>995.18</v>
      </c>
      <c r="M386" s="4" t="str">
        <f t="shared" ref="M386:M449" si="24">TEXT(B386,"dddd")</f>
        <v>martes</v>
      </c>
      <c r="N386" s="4" t="str">
        <f t="shared" ref="N386:N449" si="25">TEXT(B386,"mmmm")</f>
        <v>diciembre</v>
      </c>
      <c r="O386" s="4" t="str">
        <f t="shared" si="22"/>
        <v>SI</v>
      </c>
      <c r="P386" s="4" t="str">
        <f t="shared" si="23"/>
        <v>SI</v>
      </c>
      <c r="Q386" s="4" t="str" cm="1">
        <f t="array" ref="Q386">_xlfn.IFS(AND(H386&gt;=0,H386&lt;=3333),"Grupo 1",AND(H386&gt;3333,H386&lt;=6666),"Grupo 2",AND(H386&gt;6666,H386&lt;=10000),"Grupo 3")</f>
        <v>Grupo 2</v>
      </c>
    </row>
    <row r="387" spans="1:17" x14ac:dyDescent="0.25">
      <c r="A387" t="s">
        <v>197</v>
      </c>
      <c r="B387" s="2">
        <v>45218.252083333333</v>
      </c>
      <c r="C387" t="s">
        <v>349</v>
      </c>
      <c r="D387" t="s">
        <v>213</v>
      </c>
      <c r="E387">
        <v>2</v>
      </c>
      <c r="F387">
        <v>1834.72</v>
      </c>
      <c r="G387" t="s">
        <v>221</v>
      </c>
      <c r="H387">
        <v>3669.44</v>
      </c>
      <c r="I387">
        <v>2023</v>
      </c>
      <c r="J387">
        <v>10</v>
      </c>
      <c r="K387">
        <v>6</v>
      </c>
      <c r="L387" s="14">
        <v>1834.72</v>
      </c>
      <c r="M387" s="4" t="str">
        <f t="shared" si="24"/>
        <v>jueves</v>
      </c>
      <c r="N387" s="4" t="str">
        <f t="shared" si="25"/>
        <v>octubre</v>
      </c>
      <c r="O387" s="4" t="str">
        <f t="shared" ref="O387:O450" si="26">IF(H387&gt;AVERAGE(H:H),"SI","NO")</f>
        <v>SI</v>
      </c>
      <c r="P387" s="4" t="str">
        <f t="shared" ref="P387:P450" si="27">IF(L387&gt;AVERAGE(L:L),"SI","NO")</f>
        <v>SI</v>
      </c>
      <c r="Q387" s="4" t="str" cm="1">
        <f t="array" ref="Q387">_xlfn.IFS(AND(H387&gt;=0,H387&lt;=3333),"Grupo 1",AND(H387&gt;3333,H387&lt;=6666),"Grupo 2",AND(H387&gt;6666,H387&lt;=10000),"Grupo 3")</f>
        <v>Grupo 2</v>
      </c>
    </row>
    <row r="388" spans="1:17" x14ac:dyDescent="0.25">
      <c r="A388" t="s">
        <v>198</v>
      </c>
      <c r="B388" s="2">
        <v>45615.827777777777</v>
      </c>
      <c r="C388" t="s">
        <v>350</v>
      </c>
      <c r="D388" t="s">
        <v>219</v>
      </c>
      <c r="E388">
        <v>2</v>
      </c>
      <c r="F388">
        <v>1942.31</v>
      </c>
      <c r="G388" t="s">
        <v>221</v>
      </c>
      <c r="H388">
        <v>3884.62</v>
      </c>
      <c r="I388">
        <v>2024</v>
      </c>
      <c r="J388">
        <v>11</v>
      </c>
      <c r="K388">
        <v>19</v>
      </c>
      <c r="L388" s="14">
        <v>1942.31</v>
      </c>
      <c r="M388" s="4" t="str">
        <f t="shared" si="24"/>
        <v>martes</v>
      </c>
      <c r="N388" s="4" t="str">
        <f t="shared" si="25"/>
        <v>noviembre</v>
      </c>
      <c r="O388" s="4" t="str">
        <f t="shared" si="26"/>
        <v>SI</v>
      </c>
      <c r="P388" s="4" t="str">
        <f t="shared" si="27"/>
        <v>SI</v>
      </c>
      <c r="Q388" s="4" t="str" cm="1">
        <f t="array" ref="Q388">_xlfn.IFS(AND(H388&gt;=0,H388&lt;=3333),"Grupo 1",AND(H388&gt;3333,H388&lt;=6666),"Grupo 2",AND(H388&gt;6666,H388&lt;=10000),"Grupo 3")</f>
        <v>Grupo 2</v>
      </c>
    </row>
    <row r="389" spans="1:17" x14ac:dyDescent="0.25">
      <c r="A389" t="s">
        <v>199</v>
      </c>
      <c r="B389" s="2">
        <v>45755.705555555563</v>
      </c>
      <c r="C389" t="s">
        <v>351</v>
      </c>
      <c r="D389" t="s">
        <v>219</v>
      </c>
      <c r="E389">
        <v>3</v>
      </c>
      <c r="F389">
        <v>1025.57</v>
      </c>
      <c r="G389" t="s">
        <v>221</v>
      </c>
      <c r="H389">
        <v>3076.71</v>
      </c>
      <c r="I389">
        <v>2025</v>
      </c>
      <c r="J389">
        <v>4</v>
      </c>
      <c r="K389">
        <v>16</v>
      </c>
      <c r="L389" s="14">
        <v>1025.57</v>
      </c>
      <c r="M389" s="4" t="str">
        <f t="shared" si="24"/>
        <v>martes</v>
      </c>
      <c r="N389" s="4" t="str">
        <f t="shared" si="25"/>
        <v>abril</v>
      </c>
      <c r="O389" s="4" t="str">
        <f t="shared" si="26"/>
        <v>SI</v>
      </c>
      <c r="P389" s="4" t="str">
        <f t="shared" si="27"/>
        <v>SI</v>
      </c>
      <c r="Q389" s="4" t="str" cm="1">
        <f t="array" ref="Q389">_xlfn.IFS(AND(H389&gt;=0,H389&lt;=3333),"Grupo 1",AND(H389&gt;3333,H389&lt;=6666),"Grupo 2",AND(H389&gt;6666,H389&lt;=10000),"Grupo 3")</f>
        <v>Grupo 1</v>
      </c>
    </row>
    <row r="390" spans="1:17" x14ac:dyDescent="0.25">
      <c r="A390" t="s">
        <v>200</v>
      </c>
      <c r="B390" s="2">
        <v>44962.009722222218</v>
      </c>
      <c r="C390" t="s">
        <v>352</v>
      </c>
      <c r="D390" t="s">
        <v>215</v>
      </c>
      <c r="E390">
        <v>4</v>
      </c>
      <c r="F390">
        <v>555.19000000000005</v>
      </c>
      <c r="G390" t="s">
        <v>220</v>
      </c>
      <c r="H390">
        <v>2220.7600000000002</v>
      </c>
      <c r="I390">
        <v>2023</v>
      </c>
      <c r="J390">
        <v>2</v>
      </c>
      <c r="K390">
        <v>0</v>
      </c>
      <c r="L390" s="14">
        <v>555.19000000000005</v>
      </c>
      <c r="M390" s="4" t="str">
        <f t="shared" si="24"/>
        <v>domingo</v>
      </c>
      <c r="N390" s="4" t="str">
        <f t="shared" si="25"/>
        <v>febrero</v>
      </c>
      <c r="O390" s="4" t="str">
        <f t="shared" si="26"/>
        <v>NO</v>
      </c>
      <c r="P390" s="4" t="str">
        <f t="shared" si="27"/>
        <v>NO</v>
      </c>
      <c r="Q390" s="4" t="str" cm="1">
        <f t="array" ref="Q390">_xlfn.IFS(AND(H390&gt;=0,H390&lt;=3333),"Grupo 1",AND(H390&gt;3333,H390&lt;=6666),"Grupo 2",AND(H390&gt;6666,H390&lt;=10000),"Grupo 3")</f>
        <v>Grupo 1</v>
      </c>
    </row>
    <row r="391" spans="1:17" x14ac:dyDescent="0.25">
      <c r="A391" t="s">
        <v>201</v>
      </c>
      <c r="B391" s="2">
        <v>45194.675000000003</v>
      </c>
      <c r="C391" t="s">
        <v>353</v>
      </c>
      <c r="D391" t="s">
        <v>214</v>
      </c>
      <c r="E391">
        <v>5</v>
      </c>
      <c r="F391">
        <v>750.82</v>
      </c>
      <c r="G391" t="s">
        <v>222</v>
      </c>
      <c r="H391">
        <v>3754.1</v>
      </c>
      <c r="I391">
        <v>2023</v>
      </c>
      <c r="J391">
        <v>9</v>
      </c>
      <c r="K391">
        <v>16</v>
      </c>
      <c r="L391" s="14">
        <v>750.82</v>
      </c>
      <c r="M391" s="4" t="str">
        <f t="shared" si="24"/>
        <v>lunes</v>
      </c>
      <c r="N391" s="4" t="str">
        <f t="shared" si="25"/>
        <v>septiembre</v>
      </c>
      <c r="O391" s="4" t="str">
        <f t="shared" si="26"/>
        <v>SI</v>
      </c>
      <c r="P391" s="4" t="str">
        <f t="shared" si="27"/>
        <v>NO</v>
      </c>
      <c r="Q391" s="4" t="str" cm="1">
        <f t="array" ref="Q391">_xlfn.IFS(AND(H391&gt;=0,H391&lt;=3333),"Grupo 1",AND(H391&gt;3333,H391&lt;=6666),"Grupo 2",AND(H391&gt;6666,H391&lt;=10000),"Grupo 3")</f>
        <v>Grupo 2</v>
      </c>
    </row>
    <row r="392" spans="1:17" x14ac:dyDescent="0.25">
      <c r="A392" t="s">
        <v>202</v>
      </c>
      <c r="B392" s="2">
        <v>45818.179861111108</v>
      </c>
      <c r="C392" t="s">
        <v>354</v>
      </c>
      <c r="D392" t="s">
        <v>215</v>
      </c>
      <c r="E392">
        <v>2</v>
      </c>
      <c r="F392">
        <v>1609.9</v>
      </c>
      <c r="G392" t="s">
        <v>220</v>
      </c>
      <c r="H392">
        <v>3219.8</v>
      </c>
      <c r="I392">
        <v>2025</v>
      </c>
      <c r="J392">
        <v>6</v>
      </c>
      <c r="K392">
        <v>4</v>
      </c>
      <c r="L392" s="14">
        <v>1609.9</v>
      </c>
      <c r="M392" s="4" t="str">
        <f t="shared" si="24"/>
        <v>martes</v>
      </c>
      <c r="N392" s="4" t="str">
        <f t="shared" si="25"/>
        <v>junio</v>
      </c>
      <c r="O392" s="4" t="str">
        <f t="shared" si="26"/>
        <v>SI</v>
      </c>
      <c r="P392" s="4" t="str">
        <f t="shared" si="27"/>
        <v>SI</v>
      </c>
      <c r="Q392" s="4" t="str" cm="1">
        <f t="array" ref="Q392">_xlfn.IFS(AND(H392&gt;=0,H392&lt;=3333),"Grupo 1",AND(H392&gt;3333,H392&lt;=6666),"Grupo 2",AND(H392&gt;6666,H392&lt;=10000),"Grupo 3")</f>
        <v>Grupo 1</v>
      </c>
    </row>
    <row r="393" spans="1:17" x14ac:dyDescent="0.25">
      <c r="A393" t="s">
        <v>203</v>
      </c>
      <c r="B393" s="2">
        <v>45755.011111111111</v>
      </c>
      <c r="C393" t="s">
        <v>355</v>
      </c>
      <c r="D393" t="s">
        <v>214</v>
      </c>
      <c r="E393">
        <v>3</v>
      </c>
      <c r="F393">
        <v>27.89</v>
      </c>
      <c r="G393" t="s">
        <v>222</v>
      </c>
      <c r="H393">
        <v>83.67</v>
      </c>
      <c r="I393">
        <v>2025</v>
      </c>
      <c r="J393">
        <v>4</v>
      </c>
      <c r="K393">
        <v>0</v>
      </c>
      <c r="L393" s="14">
        <v>27.89</v>
      </c>
      <c r="M393" s="4" t="str">
        <f t="shared" si="24"/>
        <v>martes</v>
      </c>
      <c r="N393" s="4" t="str">
        <f t="shared" si="25"/>
        <v>abril</v>
      </c>
      <c r="O393" s="4" t="str">
        <f t="shared" si="26"/>
        <v>NO</v>
      </c>
      <c r="P393" s="4" t="str">
        <f t="shared" si="27"/>
        <v>NO</v>
      </c>
      <c r="Q393" s="4" t="str" cm="1">
        <f t="array" ref="Q393">_xlfn.IFS(AND(H393&gt;=0,H393&lt;=3333),"Grupo 1",AND(H393&gt;3333,H393&lt;=6666),"Grupo 2",AND(H393&gt;6666,H393&lt;=10000),"Grupo 3")</f>
        <v>Grupo 1</v>
      </c>
    </row>
    <row r="394" spans="1:17" x14ac:dyDescent="0.25">
      <c r="A394" t="s">
        <v>204</v>
      </c>
      <c r="B394" s="2">
        <v>45862.584722222222</v>
      </c>
      <c r="C394" t="s">
        <v>356</v>
      </c>
      <c r="D394" t="s">
        <v>219</v>
      </c>
      <c r="E394">
        <v>1</v>
      </c>
      <c r="F394">
        <v>1700.54</v>
      </c>
      <c r="G394" t="s">
        <v>221</v>
      </c>
      <c r="H394">
        <v>1700.54</v>
      </c>
      <c r="I394">
        <v>2025</v>
      </c>
      <c r="J394">
        <v>7</v>
      </c>
      <c r="K394">
        <v>14</v>
      </c>
      <c r="L394" s="14">
        <v>1700.54</v>
      </c>
      <c r="M394" s="4" t="str">
        <f t="shared" si="24"/>
        <v>jueves</v>
      </c>
      <c r="N394" s="4" t="str">
        <f t="shared" si="25"/>
        <v>julio</v>
      </c>
      <c r="O394" s="4" t="str">
        <f t="shared" si="26"/>
        <v>NO</v>
      </c>
      <c r="P394" s="4" t="str">
        <f t="shared" si="27"/>
        <v>SI</v>
      </c>
      <c r="Q394" s="4" t="str" cm="1">
        <f t="array" ref="Q394">_xlfn.IFS(AND(H394&gt;=0,H394&lt;=3333),"Grupo 1",AND(H394&gt;3333,H394&lt;=6666),"Grupo 2",AND(H394&gt;6666,H394&lt;=10000),"Grupo 3")</f>
        <v>Grupo 1</v>
      </c>
    </row>
    <row r="395" spans="1:17" x14ac:dyDescent="0.25">
      <c r="A395" t="s">
        <v>205</v>
      </c>
      <c r="B395" s="2">
        <v>45802.370833333327</v>
      </c>
      <c r="C395" t="s">
        <v>357</v>
      </c>
      <c r="D395" t="s">
        <v>219</v>
      </c>
      <c r="E395">
        <v>3</v>
      </c>
      <c r="F395">
        <v>473.4</v>
      </c>
      <c r="G395" t="s">
        <v>221</v>
      </c>
      <c r="H395">
        <v>1420.2</v>
      </c>
      <c r="I395">
        <v>2025</v>
      </c>
      <c r="J395">
        <v>5</v>
      </c>
      <c r="K395">
        <v>8</v>
      </c>
      <c r="L395" s="14">
        <v>473.39999999999992</v>
      </c>
      <c r="M395" s="4" t="str">
        <f t="shared" si="24"/>
        <v>domingo</v>
      </c>
      <c r="N395" s="4" t="str">
        <f t="shared" si="25"/>
        <v>mayo</v>
      </c>
      <c r="O395" s="4" t="str">
        <f t="shared" si="26"/>
        <v>NO</v>
      </c>
      <c r="P395" s="4" t="str">
        <f t="shared" si="27"/>
        <v>NO</v>
      </c>
      <c r="Q395" s="4" t="str" cm="1">
        <f t="array" ref="Q395">_xlfn.IFS(AND(H395&gt;=0,H395&lt;=3333),"Grupo 1",AND(H395&gt;3333,H395&lt;=6666),"Grupo 2",AND(H395&gt;6666,H395&lt;=10000),"Grupo 3")</f>
        <v>Grupo 1</v>
      </c>
    </row>
    <row r="396" spans="1:17" x14ac:dyDescent="0.25">
      <c r="A396" t="s">
        <v>206</v>
      </c>
      <c r="B396" s="2">
        <v>45178.038888888892</v>
      </c>
      <c r="C396" t="s">
        <v>358</v>
      </c>
      <c r="D396" t="s">
        <v>215</v>
      </c>
      <c r="E396">
        <v>1</v>
      </c>
      <c r="F396">
        <v>521.32000000000005</v>
      </c>
      <c r="G396" t="s">
        <v>220</v>
      </c>
      <c r="H396">
        <v>521.32000000000005</v>
      </c>
      <c r="I396">
        <v>2023</v>
      </c>
      <c r="J396">
        <v>9</v>
      </c>
      <c r="K396">
        <v>0</v>
      </c>
      <c r="L396" s="14">
        <v>521.32000000000005</v>
      </c>
      <c r="M396" s="4" t="str">
        <f t="shared" si="24"/>
        <v>sábado</v>
      </c>
      <c r="N396" s="4" t="str">
        <f t="shared" si="25"/>
        <v>septiembre</v>
      </c>
      <c r="O396" s="4" t="str">
        <f t="shared" si="26"/>
        <v>NO</v>
      </c>
      <c r="P396" s="4" t="str">
        <f t="shared" si="27"/>
        <v>NO</v>
      </c>
      <c r="Q396" s="4" t="str" cm="1">
        <f t="array" ref="Q396">_xlfn.IFS(AND(H396&gt;=0,H396&lt;=3333),"Grupo 1",AND(H396&gt;3333,H396&lt;=6666),"Grupo 2",AND(H396&gt;6666,H396&lt;=10000),"Grupo 3")</f>
        <v>Grupo 1</v>
      </c>
    </row>
    <row r="397" spans="1:17" x14ac:dyDescent="0.25">
      <c r="A397" t="s">
        <v>207</v>
      </c>
      <c r="B397" s="2">
        <v>45748.34097222222</v>
      </c>
      <c r="C397" t="s">
        <v>359</v>
      </c>
      <c r="D397" t="s">
        <v>213</v>
      </c>
      <c r="E397">
        <v>1</v>
      </c>
      <c r="F397">
        <v>1067.6400000000001</v>
      </c>
      <c r="G397" t="s">
        <v>221</v>
      </c>
      <c r="H397">
        <v>1067.6400000000001</v>
      </c>
      <c r="I397">
        <v>2025</v>
      </c>
      <c r="J397">
        <v>4</v>
      </c>
      <c r="K397">
        <v>8</v>
      </c>
      <c r="L397" s="14">
        <v>1067.6400000000001</v>
      </c>
      <c r="M397" s="4" t="str">
        <f t="shared" si="24"/>
        <v>martes</v>
      </c>
      <c r="N397" s="4" t="str">
        <f t="shared" si="25"/>
        <v>abril</v>
      </c>
      <c r="O397" s="4" t="str">
        <f t="shared" si="26"/>
        <v>NO</v>
      </c>
      <c r="P397" s="4" t="str">
        <f t="shared" si="27"/>
        <v>SI</v>
      </c>
      <c r="Q397" s="4" t="str" cm="1">
        <f t="array" ref="Q397">_xlfn.IFS(AND(H397&gt;=0,H397&lt;=3333),"Grupo 1",AND(H397&gt;3333,H397&lt;=6666),"Grupo 2",AND(H397&gt;6666,H397&lt;=10000),"Grupo 3")</f>
        <v>Grupo 1</v>
      </c>
    </row>
    <row r="398" spans="1:17" x14ac:dyDescent="0.25">
      <c r="A398" t="s">
        <v>208</v>
      </c>
      <c r="B398" s="2">
        <v>45055.556250000001</v>
      </c>
      <c r="C398" t="s">
        <v>261</v>
      </c>
      <c r="D398" t="s">
        <v>218</v>
      </c>
      <c r="E398">
        <v>1</v>
      </c>
      <c r="F398">
        <v>1903.64</v>
      </c>
      <c r="G398" t="s">
        <v>221</v>
      </c>
      <c r="H398">
        <v>1903.64</v>
      </c>
      <c r="I398">
        <v>2023</v>
      </c>
      <c r="J398">
        <v>5</v>
      </c>
      <c r="K398">
        <v>13</v>
      </c>
      <c r="L398" s="14">
        <v>1903.64</v>
      </c>
      <c r="M398" s="4" t="str">
        <f t="shared" si="24"/>
        <v>martes</v>
      </c>
      <c r="N398" s="4" t="str">
        <f t="shared" si="25"/>
        <v>mayo</v>
      </c>
      <c r="O398" s="4" t="str">
        <f t="shared" si="26"/>
        <v>NO</v>
      </c>
      <c r="P398" s="4" t="str">
        <f t="shared" si="27"/>
        <v>SI</v>
      </c>
      <c r="Q398" s="4" t="str" cm="1">
        <f t="array" ref="Q398">_xlfn.IFS(AND(H398&gt;=0,H398&lt;=3333),"Grupo 1",AND(H398&gt;3333,H398&lt;=6666),"Grupo 2",AND(H398&gt;6666,H398&lt;=10000),"Grupo 3")</f>
        <v>Grupo 1</v>
      </c>
    </row>
    <row r="399" spans="1:17" x14ac:dyDescent="0.25">
      <c r="A399" t="s">
        <v>209</v>
      </c>
      <c r="B399" s="2">
        <v>44958.773611111108</v>
      </c>
      <c r="C399" t="s">
        <v>262</v>
      </c>
      <c r="D399" t="s">
        <v>214</v>
      </c>
      <c r="E399">
        <v>2</v>
      </c>
      <c r="F399">
        <v>1460.16</v>
      </c>
      <c r="G399" t="s">
        <v>222</v>
      </c>
      <c r="H399">
        <v>2920.32</v>
      </c>
      <c r="I399">
        <v>2023</v>
      </c>
      <c r="J399">
        <v>2</v>
      </c>
      <c r="K399">
        <v>18</v>
      </c>
      <c r="L399" s="14">
        <v>1460.16</v>
      </c>
      <c r="M399" s="4" t="str">
        <f t="shared" si="24"/>
        <v>miércoles</v>
      </c>
      <c r="N399" s="4" t="str">
        <f t="shared" si="25"/>
        <v>febrero</v>
      </c>
      <c r="O399" s="4" t="str">
        <f t="shared" si="26"/>
        <v>SI</v>
      </c>
      <c r="P399" s="4" t="str">
        <f t="shared" si="27"/>
        <v>SI</v>
      </c>
      <c r="Q399" s="4" t="str" cm="1">
        <f t="array" ref="Q399">_xlfn.IFS(AND(H399&gt;=0,H399&lt;=3333),"Grupo 1",AND(H399&gt;3333,H399&lt;=6666),"Grupo 2",AND(H399&gt;6666,H399&lt;=10000),"Grupo 3")</f>
        <v>Grupo 1</v>
      </c>
    </row>
    <row r="400" spans="1:17" x14ac:dyDescent="0.25">
      <c r="A400" t="s">
        <v>210</v>
      </c>
      <c r="B400" s="2">
        <v>45816.563888888893</v>
      </c>
      <c r="C400" t="s">
        <v>263</v>
      </c>
      <c r="D400" t="s">
        <v>212</v>
      </c>
      <c r="E400">
        <v>4</v>
      </c>
      <c r="F400">
        <v>847</v>
      </c>
      <c r="G400" t="s">
        <v>220</v>
      </c>
      <c r="H400">
        <v>3388</v>
      </c>
      <c r="I400">
        <v>2025</v>
      </c>
      <c r="J400">
        <v>6</v>
      </c>
      <c r="K400">
        <v>13</v>
      </c>
      <c r="L400" s="14">
        <v>847</v>
      </c>
      <c r="M400" s="4" t="str">
        <f t="shared" si="24"/>
        <v>domingo</v>
      </c>
      <c r="N400" s="4" t="str">
        <f t="shared" si="25"/>
        <v>junio</v>
      </c>
      <c r="O400" s="4" t="str">
        <f t="shared" si="26"/>
        <v>SI</v>
      </c>
      <c r="P400" s="4" t="str">
        <f t="shared" si="27"/>
        <v>NO</v>
      </c>
      <c r="Q400" s="4" t="str" cm="1">
        <f t="array" ref="Q400">_xlfn.IFS(AND(H400&gt;=0,H400&lt;=3333),"Grupo 1",AND(H400&gt;3333,H400&lt;=6666),"Grupo 2",AND(H400&gt;6666,H400&lt;=10000),"Grupo 3")</f>
        <v>Grupo 2</v>
      </c>
    </row>
    <row r="401" spans="1:17" x14ac:dyDescent="0.25">
      <c r="A401" t="s">
        <v>211</v>
      </c>
      <c r="B401" s="2">
        <v>45089.396527777782</v>
      </c>
      <c r="C401" t="s">
        <v>264</v>
      </c>
      <c r="D401" t="s">
        <v>218</v>
      </c>
      <c r="E401">
        <v>2</v>
      </c>
      <c r="F401">
        <v>1243.3399999999999</v>
      </c>
      <c r="G401" t="s">
        <v>221</v>
      </c>
      <c r="H401">
        <v>2486.6799999999998</v>
      </c>
      <c r="I401">
        <v>2023</v>
      </c>
      <c r="J401">
        <v>6</v>
      </c>
      <c r="K401">
        <v>9</v>
      </c>
      <c r="L401" s="14">
        <v>1243.3399999999999</v>
      </c>
      <c r="M401" s="4" t="str">
        <f t="shared" si="24"/>
        <v>lunes</v>
      </c>
      <c r="N401" s="4" t="str">
        <f t="shared" si="25"/>
        <v>junio</v>
      </c>
      <c r="O401" s="4" t="str">
        <f t="shared" si="26"/>
        <v>NO</v>
      </c>
      <c r="P401" s="4" t="str">
        <f t="shared" si="27"/>
        <v>SI</v>
      </c>
      <c r="Q401" s="4" t="str" cm="1">
        <f t="array" ref="Q401">_xlfn.IFS(AND(H401&gt;=0,H401&lt;=3333),"Grupo 1",AND(H401&gt;3333,H401&lt;=6666),"Grupo 2",AND(H401&gt;6666,H401&lt;=10000),"Grupo 3")</f>
        <v>Grupo 1</v>
      </c>
    </row>
    <row r="402" spans="1:17" x14ac:dyDescent="0.25">
      <c r="A402" t="s">
        <v>12</v>
      </c>
      <c r="B402" s="2">
        <v>45280.478472222218</v>
      </c>
      <c r="C402" t="s">
        <v>265</v>
      </c>
      <c r="D402" t="s">
        <v>212</v>
      </c>
      <c r="E402">
        <v>5</v>
      </c>
      <c r="F402">
        <v>1497.24</v>
      </c>
      <c r="G402" t="s">
        <v>220</v>
      </c>
      <c r="H402">
        <v>7486.2</v>
      </c>
      <c r="I402">
        <v>2023</v>
      </c>
      <c r="J402">
        <v>12</v>
      </c>
      <c r="K402">
        <v>11</v>
      </c>
      <c r="L402" s="14">
        <v>1497.24</v>
      </c>
      <c r="M402" s="4" t="str">
        <f t="shared" si="24"/>
        <v>miércoles</v>
      </c>
      <c r="N402" s="4" t="str">
        <f t="shared" si="25"/>
        <v>diciembre</v>
      </c>
      <c r="O402" s="4" t="str">
        <f t="shared" si="26"/>
        <v>SI</v>
      </c>
      <c r="P402" s="4" t="str">
        <f t="shared" si="27"/>
        <v>SI</v>
      </c>
      <c r="Q402" s="4" t="str" cm="1">
        <f t="array" ref="Q402">_xlfn.IFS(AND(H402&gt;=0,H402&lt;=3333),"Grupo 1",AND(H402&gt;3333,H402&lt;=6666),"Grupo 2",AND(H402&gt;6666,H402&lt;=10000),"Grupo 3")</f>
        <v>Grupo 3</v>
      </c>
    </row>
    <row r="403" spans="1:17" x14ac:dyDescent="0.25">
      <c r="A403" t="s">
        <v>13</v>
      </c>
      <c r="B403" s="2">
        <v>45008.840277777781</v>
      </c>
      <c r="C403" t="s">
        <v>266</v>
      </c>
      <c r="D403" t="s">
        <v>212</v>
      </c>
      <c r="E403">
        <v>1</v>
      </c>
      <c r="F403">
        <v>1687.54</v>
      </c>
      <c r="G403" t="s">
        <v>220</v>
      </c>
      <c r="H403">
        <v>1687.54</v>
      </c>
      <c r="I403">
        <v>2023</v>
      </c>
      <c r="J403">
        <v>3</v>
      </c>
      <c r="K403">
        <v>20</v>
      </c>
      <c r="L403" s="14">
        <v>1687.54</v>
      </c>
      <c r="M403" s="4" t="str">
        <f t="shared" si="24"/>
        <v>jueves</v>
      </c>
      <c r="N403" s="4" t="str">
        <f t="shared" si="25"/>
        <v>marzo</v>
      </c>
      <c r="O403" s="4" t="str">
        <f t="shared" si="26"/>
        <v>NO</v>
      </c>
      <c r="P403" s="4" t="str">
        <f t="shared" si="27"/>
        <v>SI</v>
      </c>
      <c r="Q403" s="4" t="str" cm="1">
        <f t="array" ref="Q403">_xlfn.IFS(AND(H403&gt;=0,H403&lt;=3333),"Grupo 1",AND(H403&gt;3333,H403&lt;=6666),"Grupo 2",AND(H403&gt;6666,H403&lt;=10000),"Grupo 3")</f>
        <v>Grupo 1</v>
      </c>
    </row>
    <row r="404" spans="1:17" x14ac:dyDescent="0.25">
      <c r="A404" t="s">
        <v>14</v>
      </c>
      <c r="B404" s="2">
        <v>45355.443749999999</v>
      </c>
      <c r="C404" t="s">
        <v>267</v>
      </c>
      <c r="D404" t="s">
        <v>213</v>
      </c>
      <c r="E404">
        <v>3</v>
      </c>
      <c r="F404">
        <v>768.8</v>
      </c>
      <c r="G404" t="s">
        <v>221</v>
      </c>
      <c r="H404">
        <v>2306.4</v>
      </c>
      <c r="I404">
        <v>2024</v>
      </c>
      <c r="J404">
        <v>3</v>
      </c>
      <c r="K404">
        <v>10</v>
      </c>
      <c r="L404" s="14">
        <v>768.79999999999984</v>
      </c>
      <c r="M404" s="4" t="str">
        <f t="shared" si="24"/>
        <v>lunes</v>
      </c>
      <c r="N404" s="4" t="str">
        <f t="shared" si="25"/>
        <v>marzo</v>
      </c>
      <c r="O404" s="4" t="str">
        <f t="shared" si="26"/>
        <v>NO</v>
      </c>
      <c r="P404" s="4" t="str">
        <f t="shared" si="27"/>
        <v>NO</v>
      </c>
      <c r="Q404" s="4" t="str" cm="1">
        <f t="array" ref="Q404">_xlfn.IFS(AND(H404&gt;=0,H404&lt;=3333),"Grupo 1",AND(H404&gt;3333,H404&lt;=6666),"Grupo 2",AND(H404&gt;6666,H404&lt;=10000),"Grupo 3")</f>
        <v>Grupo 1</v>
      </c>
    </row>
    <row r="405" spans="1:17" x14ac:dyDescent="0.25">
      <c r="A405" t="s">
        <v>15</v>
      </c>
      <c r="B405" s="2">
        <v>45704.374305555553</v>
      </c>
      <c r="C405" t="s">
        <v>268</v>
      </c>
      <c r="D405" t="s">
        <v>214</v>
      </c>
      <c r="E405">
        <v>1</v>
      </c>
      <c r="F405">
        <v>1532.67</v>
      </c>
      <c r="G405" t="s">
        <v>222</v>
      </c>
      <c r="H405">
        <v>1532.67</v>
      </c>
      <c r="I405">
        <v>2025</v>
      </c>
      <c r="J405">
        <v>2</v>
      </c>
      <c r="K405">
        <v>8</v>
      </c>
      <c r="L405" s="14">
        <v>1532.67</v>
      </c>
      <c r="M405" s="4" t="str">
        <f t="shared" si="24"/>
        <v>domingo</v>
      </c>
      <c r="N405" s="4" t="str">
        <f t="shared" si="25"/>
        <v>febrero</v>
      </c>
      <c r="O405" s="4" t="str">
        <f t="shared" si="26"/>
        <v>NO</v>
      </c>
      <c r="P405" s="4" t="str">
        <f t="shared" si="27"/>
        <v>SI</v>
      </c>
      <c r="Q405" s="4" t="str" cm="1">
        <f t="array" ref="Q405">_xlfn.IFS(AND(H405&gt;=0,H405&lt;=3333),"Grupo 1",AND(H405&gt;3333,H405&lt;=6666),"Grupo 2",AND(H405&gt;6666,H405&lt;=10000),"Grupo 3")</f>
        <v>Grupo 1</v>
      </c>
    </row>
    <row r="406" spans="1:17" x14ac:dyDescent="0.25">
      <c r="A406" t="s">
        <v>16</v>
      </c>
      <c r="B406" s="2">
        <v>45772.848611111112</v>
      </c>
      <c r="C406" t="s">
        <v>269</v>
      </c>
      <c r="D406" t="s">
        <v>214</v>
      </c>
      <c r="E406">
        <v>3</v>
      </c>
      <c r="F406">
        <v>1709.47</v>
      </c>
      <c r="G406" t="s">
        <v>222</v>
      </c>
      <c r="H406">
        <v>5128.41</v>
      </c>
      <c r="I406">
        <v>2025</v>
      </c>
      <c r="J406">
        <v>4</v>
      </c>
      <c r="K406">
        <v>20</v>
      </c>
      <c r="L406" s="14">
        <v>1709.47</v>
      </c>
      <c r="M406" s="4" t="str">
        <f t="shared" si="24"/>
        <v>viernes</v>
      </c>
      <c r="N406" s="4" t="str">
        <f t="shared" si="25"/>
        <v>abril</v>
      </c>
      <c r="O406" s="4" t="str">
        <f t="shared" si="26"/>
        <v>SI</v>
      </c>
      <c r="P406" s="4" t="str">
        <f t="shared" si="27"/>
        <v>SI</v>
      </c>
      <c r="Q406" s="4" t="str" cm="1">
        <f t="array" ref="Q406">_xlfn.IFS(AND(H406&gt;=0,H406&lt;=3333),"Grupo 1",AND(H406&gt;3333,H406&lt;=6666),"Grupo 2",AND(H406&gt;6666,H406&lt;=10000),"Grupo 3")</f>
        <v>Grupo 2</v>
      </c>
    </row>
    <row r="407" spans="1:17" x14ac:dyDescent="0.25">
      <c r="A407" t="s">
        <v>17</v>
      </c>
      <c r="B407" s="2">
        <v>45101.225694444453</v>
      </c>
      <c r="C407" t="s">
        <v>270</v>
      </c>
      <c r="D407" t="s">
        <v>215</v>
      </c>
      <c r="E407">
        <v>3</v>
      </c>
      <c r="F407">
        <v>297.54000000000002</v>
      </c>
      <c r="G407" t="s">
        <v>220</v>
      </c>
      <c r="H407">
        <v>892.62000000000012</v>
      </c>
      <c r="I407">
        <v>2023</v>
      </c>
      <c r="J407">
        <v>6</v>
      </c>
      <c r="K407">
        <v>5</v>
      </c>
      <c r="L407" s="14">
        <v>297.54000000000002</v>
      </c>
      <c r="M407" s="4" t="str">
        <f t="shared" si="24"/>
        <v>sábado</v>
      </c>
      <c r="N407" s="4" t="str">
        <f t="shared" si="25"/>
        <v>junio</v>
      </c>
      <c r="O407" s="4" t="str">
        <f t="shared" si="26"/>
        <v>NO</v>
      </c>
      <c r="P407" s="4" t="str">
        <f t="shared" si="27"/>
        <v>NO</v>
      </c>
      <c r="Q407" s="4" t="str" cm="1">
        <f t="array" ref="Q407">_xlfn.IFS(AND(H407&gt;=0,H407&lt;=3333),"Grupo 1",AND(H407&gt;3333,H407&lt;=6666),"Grupo 2",AND(H407&gt;6666,H407&lt;=10000),"Grupo 3")</f>
        <v>Grupo 1</v>
      </c>
    </row>
    <row r="408" spans="1:17" x14ac:dyDescent="0.25">
      <c r="A408" t="s">
        <v>18</v>
      </c>
      <c r="B408" s="2">
        <v>45694.432638888888</v>
      </c>
      <c r="C408" t="s">
        <v>271</v>
      </c>
      <c r="D408" t="s">
        <v>216</v>
      </c>
      <c r="E408">
        <v>4</v>
      </c>
      <c r="F408">
        <v>1546.65</v>
      </c>
      <c r="G408" t="s">
        <v>221</v>
      </c>
      <c r="H408">
        <v>6186.6</v>
      </c>
      <c r="I408">
        <v>2025</v>
      </c>
      <c r="J408">
        <v>2</v>
      </c>
      <c r="K408">
        <v>10</v>
      </c>
      <c r="L408" s="14">
        <v>1546.65</v>
      </c>
      <c r="M408" s="4" t="str">
        <f t="shared" si="24"/>
        <v>jueves</v>
      </c>
      <c r="N408" s="4" t="str">
        <f t="shared" si="25"/>
        <v>febrero</v>
      </c>
      <c r="O408" s="4" t="str">
        <f t="shared" si="26"/>
        <v>SI</v>
      </c>
      <c r="P408" s="4" t="str">
        <f t="shared" si="27"/>
        <v>SI</v>
      </c>
      <c r="Q408" s="4" t="str" cm="1">
        <f t="array" ref="Q408">_xlfn.IFS(AND(H408&gt;=0,H408&lt;=3333),"Grupo 1",AND(H408&gt;3333,H408&lt;=6666),"Grupo 2",AND(H408&gt;6666,H408&lt;=10000),"Grupo 3")</f>
        <v>Grupo 2</v>
      </c>
    </row>
    <row r="409" spans="1:17" x14ac:dyDescent="0.25">
      <c r="A409" t="s">
        <v>19</v>
      </c>
      <c r="B409" s="2">
        <v>45798.69027777778</v>
      </c>
      <c r="C409" t="s">
        <v>272</v>
      </c>
      <c r="D409" t="s">
        <v>212</v>
      </c>
      <c r="E409">
        <v>1</v>
      </c>
      <c r="F409">
        <v>1575.18</v>
      </c>
      <c r="G409" t="s">
        <v>220</v>
      </c>
      <c r="H409">
        <v>1575.18</v>
      </c>
      <c r="I409">
        <v>2025</v>
      </c>
      <c r="J409">
        <v>5</v>
      </c>
      <c r="K409">
        <v>16</v>
      </c>
      <c r="L409" s="14">
        <v>1575.18</v>
      </c>
      <c r="M409" s="4" t="str">
        <f t="shared" si="24"/>
        <v>miércoles</v>
      </c>
      <c r="N409" s="4" t="str">
        <f t="shared" si="25"/>
        <v>mayo</v>
      </c>
      <c r="O409" s="4" t="str">
        <f t="shared" si="26"/>
        <v>NO</v>
      </c>
      <c r="P409" s="4" t="str">
        <f t="shared" si="27"/>
        <v>SI</v>
      </c>
      <c r="Q409" s="4" t="str" cm="1">
        <f t="array" ref="Q409">_xlfn.IFS(AND(H409&gt;=0,H409&lt;=3333),"Grupo 1",AND(H409&gt;3333,H409&lt;=6666),"Grupo 2",AND(H409&gt;6666,H409&lt;=10000),"Grupo 3")</f>
        <v>Grupo 1</v>
      </c>
    </row>
    <row r="410" spans="1:17" x14ac:dyDescent="0.25">
      <c r="A410" t="s">
        <v>20</v>
      </c>
      <c r="B410" s="2">
        <v>45425.797222222223</v>
      </c>
      <c r="C410" t="s">
        <v>273</v>
      </c>
      <c r="D410" t="s">
        <v>217</v>
      </c>
      <c r="E410">
        <v>5</v>
      </c>
      <c r="F410">
        <v>1815.86</v>
      </c>
      <c r="G410" t="s">
        <v>220</v>
      </c>
      <c r="H410">
        <v>9079.2999999999993</v>
      </c>
      <c r="I410">
        <v>2024</v>
      </c>
      <c r="J410">
        <v>5</v>
      </c>
      <c r="K410">
        <v>19</v>
      </c>
      <c r="L410" s="14">
        <v>1815.86</v>
      </c>
      <c r="M410" s="4" t="str">
        <f t="shared" si="24"/>
        <v>lunes</v>
      </c>
      <c r="N410" s="4" t="str">
        <f t="shared" si="25"/>
        <v>mayo</v>
      </c>
      <c r="O410" s="4" t="str">
        <f t="shared" si="26"/>
        <v>SI</v>
      </c>
      <c r="P410" s="4" t="str">
        <f t="shared" si="27"/>
        <v>SI</v>
      </c>
      <c r="Q410" s="4" t="str" cm="1">
        <f t="array" ref="Q410">_xlfn.IFS(AND(H410&gt;=0,H410&lt;=3333),"Grupo 1",AND(H410&gt;3333,H410&lt;=6666),"Grupo 2",AND(H410&gt;6666,H410&lt;=10000),"Grupo 3")</f>
        <v>Grupo 3</v>
      </c>
    </row>
    <row r="411" spans="1:17" x14ac:dyDescent="0.25">
      <c r="A411" t="s">
        <v>21</v>
      </c>
      <c r="B411" s="2">
        <v>45525.152083333327</v>
      </c>
      <c r="C411" t="s">
        <v>274</v>
      </c>
      <c r="D411" t="s">
        <v>212</v>
      </c>
      <c r="E411">
        <v>1</v>
      </c>
      <c r="F411">
        <v>564.11</v>
      </c>
      <c r="G411" t="s">
        <v>220</v>
      </c>
      <c r="H411">
        <v>564.11</v>
      </c>
      <c r="I411">
        <v>2024</v>
      </c>
      <c r="J411">
        <v>8</v>
      </c>
      <c r="K411">
        <v>3</v>
      </c>
      <c r="L411" s="14">
        <v>564.11</v>
      </c>
      <c r="M411" s="4" t="str">
        <f t="shared" si="24"/>
        <v>miércoles</v>
      </c>
      <c r="N411" s="4" t="str">
        <f t="shared" si="25"/>
        <v>agosto</v>
      </c>
      <c r="O411" s="4" t="str">
        <f t="shared" si="26"/>
        <v>NO</v>
      </c>
      <c r="P411" s="4" t="str">
        <f t="shared" si="27"/>
        <v>NO</v>
      </c>
      <c r="Q411" s="4" t="str" cm="1">
        <f t="array" ref="Q411">_xlfn.IFS(AND(H411&gt;=0,H411&lt;=3333),"Grupo 1",AND(H411&gt;3333,H411&lt;=6666),"Grupo 2",AND(H411&gt;6666,H411&lt;=10000),"Grupo 3")</f>
        <v>Grupo 1</v>
      </c>
    </row>
    <row r="412" spans="1:17" x14ac:dyDescent="0.25">
      <c r="A412" t="s">
        <v>22</v>
      </c>
      <c r="B412" s="2">
        <v>45580.043749999997</v>
      </c>
      <c r="C412" t="s">
        <v>275</v>
      </c>
      <c r="D412" t="s">
        <v>217</v>
      </c>
      <c r="E412">
        <v>1</v>
      </c>
      <c r="F412">
        <v>454.9</v>
      </c>
      <c r="G412" t="s">
        <v>220</v>
      </c>
      <c r="H412">
        <v>454.9</v>
      </c>
      <c r="I412">
        <v>2024</v>
      </c>
      <c r="J412">
        <v>10</v>
      </c>
      <c r="K412">
        <v>1</v>
      </c>
      <c r="L412" s="14">
        <v>454.9</v>
      </c>
      <c r="M412" s="4" t="str">
        <f t="shared" si="24"/>
        <v>martes</v>
      </c>
      <c r="N412" s="4" t="str">
        <f t="shared" si="25"/>
        <v>octubre</v>
      </c>
      <c r="O412" s="4" t="str">
        <f t="shared" si="26"/>
        <v>NO</v>
      </c>
      <c r="P412" s="4" t="str">
        <f t="shared" si="27"/>
        <v>NO</v>
      </c>
      <c r="Q412" s="4" t="str" cm="1">
        <f t="array" ref="Q412">_xlfn.IFS(AND(H412&gt;=0,H412&lt;=3333),"Grupo 1",AND(H412&gt;3333,H412&lt;=6666),"Grupo 2",AND(H412&gt;6666,H412&lt;=10000),"Grupo 3")</f>
        <v>Grupo 1</v>
      </c>
    </row>
    <row r="413" spans="1:17" x14ac:dyDescent="0.25">
      <c r="A413" t="s">
        <v>23</v>
      </c>
      <c r="B413" s="2">
        <v>45551.151388888888</v>
      </c>
      <c r="C413" t="s">
        <v>276</v>
      </c>
      <c r="D413" t="s">
        <v>218</v>
      </c>
      <c r="E413">
        <v>3</v>
      </c>
      <c r="F413">
        <v>1277.51</v>
      </c>
      <c r="G413" t="s">
        <v>221</v>
      </c>
      <c r="H413">
        <v>3832.53</v>
      </c>
      <c r="I413">
        <v>2024</v>
      </c>
      <c r="J413">
        <v>9</v>
      </c>
      <c r="K413">
        <v>3</v>
      </c>
      <c r="L413" s="14">
        <v>1277.51</v>
      </c>
      <c r="M413" s="4" t="str">
        <f t="shared" si="24"/>
        <v>lunes</v>
      </c>
      <c r="N413" s="4" t="str">
        <f t="shared" si="25"/>
        <v>septiembre</v>
      </c>
      <c r="O413" s="4" t="str">
        <f t="shared" si="26"/>
        <v>SI</v>
      </c>
      <c r="P413" s="4" t="str">
        <f t="shared" si="27"/>
        <v>SI</v>
      </c>
      <c r="Q413" s="4" t="str" cm="1">
        <f t="array" ref="Q413">_xlfn.IFS(AND(H413&gt;=0,H413&lt;=3333),"Grupo 1",AND(H413&gt;3333,H413&lt;=6666),"Grupo 2",AND(H413&gt;6666,H413&lt;=10000),"Grupo 3")</f>
        <v>Grupo 2</v>
      </c>
    </row>
    <row r="414" spans="1:17" x14ac:dyDescent="0.25">
      <c r="A414" t="s">
        <v>24</v>
      </c>
      <c r="B414" s="2">
        <v>45230.395833333343</v>
      </c>
      <c r="C414" t="s">
        <v>277</v>
      </c>
      <c r="D414" t="s">
        <v>214</v>
      </c>
      <c r="E414">
        <v>2</v>
      </c>
      <c r="F414">
        <v>1870.95</v>
      </c>
      <c r="G414" t="s">
        <v>222</v>
      </c>
      <c r="H414">
        <v>3741.9</v>
      </c>
      <c r="I414">
        <v>2023</v>
      </c>
      <c r="J414">
        <v>10</v>
      </c>
      <c r="K414">
        <v>9</v>
      </c>
      <c r="L414" s="14">
        <v>1870.95</v>
      </c>
      <c r="M414" s="4" t="str">
        <f t="shared" si="24"/>
        <v>martes</v>
      </c>
      <c r="N414" s="4" t="str">
        <f t="shared" si="25"/>
        <v>octubre</v>
      </c>
      <c r="O414" s="4" t="str">
        <f t="shared" si="26"/>
        <v>SI</v>
      </c>
      <c r="P414" s="4" t="str">
        <f t="shared" si="27"/>
        <v>SI</v>
      </c>
      <c r="Q414" s="4" t="str" cm="1">
        <f t="array" ref="Q414">_xlfn.IFS(AND(H414&gt;=0,H414&lt;=3333),"Grupo 1",AND(H414&gt;3333,H414&lt;=6666),"Grupo 2",AND(H414&gt;6666,H414&lt;=10000),"Grupo 3")</f>
        <v>Grupo 2</v>
      </c>
    </row>
    <row r="415" spans="1:17" x14ac:dyDescent="0.25">
      <c r="A415" t="s">
        <v>25</v>
      </c>
      <c r="B415" s="2">
        <v>45234.645833333343</v>
      </c>
      <c r="C415" t="s">
        <v>278</v>
      </c>
      <c r="D415" t="s">
        <v>212</v>
      </c>
      <c r="E415">
        <v>4</v>
      </c>
      <c r="F415">
        <v>1227.23</v>
      </c>
      <c r="G415" t="s">
        <v>220</v>
      </c>
      <c r="H415">
        <v>4908.92</v>
      </c>
      <c r="I415">
        <v>2023</v>
      </c>
      <c r="J415">
        <v>11</v>
      </c>
      <c r="K415">
        <v>15</v>
      </c>
      <c r="L415" s="14">
        <v>1227.23</v>
      </c>
      <c r="M415" s="4" t="str">
        <f t="shared" si="24"/>
        <v>sábado</v>
      </c>
      <c r="N415" s="4" t="str">
        <f t="shared" si="25"/>
        <v>noviembre</v>
      </c>
      <c r="O415" s="4" t="str">
        <f t="shared" si="26"/>
        <v>SI</v>
      </c>
      <c r="P415" s="4" t="str">
        <f t="shared" si="27"/>
        <v>SI</v>
      </c>
      <c r="Q415" s="4" t="str" cm="1">
        <f t="array" ref="Q415">_xlfn.IFS(AND(H415&gt;=0,H415&lt;=3333),"Grupo 1",AND(H415&gt;3333,H415&lt;=6666),"Grupo 2",AND(H415&gt;6666,H415&lt;=10000),"Grupo 3")</f>
        <v>Grupo 2</v>
      </c>
    </row>
    <row r="416" spans="1:17" x14ac:dyDescent="0.25">
      <c r="A416" t="s">
        <v>26</v>
      </c>
      <c r="B416" s="2">
        <v>45464.76666666667</v>
      </c>
      <c r="C416" t="s">
        <v>279</v>
      </c>
      <c r="D416" t="s">
        <v>215</v>
      </c>
      <c r="E416">
        <v>1</v>
      </c>
      <c r="F416">
        <v>1329.6</v>
      </c>
      <c r="G416" t="s">
        <v>220</v>
      </c>
      <c r="H416">
        <v>1329.6</v>
      </c>
      <c r="I416">
        <v>2024</v>
      </c>
      <c r="J416">
        <v>6</v>
      </c>
      <c r="K416">
        <v>18</v>
      </c>
      <c r="L416" s="14">
        <v>1329.6</v>
      </c>
      <c r="M416" s="4" t="str">
        <f t="shared" si="24"/>
        <v>viernes</v>
      </c>
      <c r="N416" s="4" t="str">
        <f t="shared" si="25"/>
        <v>junio</v>
      </c>
      <c r="O416" s="4" t="str">
        <f t="shared" si="26"/>
        <v>NO</v>
      </c>
      <c r="P416" s="4" t="str">
        <f t="shared" si="27"/>
        <v>SI</v>
      </c>
      <c r="Q416" s="4" t="str" cm="1">
        <f t="array" ref="Q416">_xlfn.IFS(AND(H416&gt;=0,H416&lt;=3333),"Grupo 1",AND(H416&gt;3333,H416&lt;=6666),"Grupo 2",AND(H416&gt;6666,H416&lt;=10000),"Grupo 3")</f>
        <v>Grupo 1</v>
      </c>
    </row>
    <row r="417" spans="1:17" x14ac:dyDescent="0.25">
      <c r="A417" t="s">
        <v>27</v>
      </c>
      <c r="B417" s="2">
        <v>45138.240277777782</v>
      </c>
      <c r="C417" t="s">
        <v>280</v>
      </c>
      <c r="D417" t="s">
        <v>212</v>
      </c>
      <c r="E417">
        <v>3</v>
      </c>
      <c r="F417">
        <v>1734.12</v>
      </c>
      <c r="G417" t="s">
        <v>220</v>
      </c>
      <c r="H417">
        <v>5202.3599999999997</v>
      </c>
      <c r="I417">
        <v>2023</v>
      </c>
      <c r="J417">
        <v>7</v>
      </c>
      <c r="K417">
        <v>5</v>
      </c>
      <c r="L417" s="14">
        <v>1734.12</v>
      </c>
      <c r="M417" s="4" t="str">
        <f t="shared" si="24"/>
        <v>lunes</v>
      </c>
      <c r="N417" s="4" t="str">
        <f t="shared" si="25"/>
        <v>julio</v>
      </c>
      <c r="O417" s="4" t="str">
        <f t="shared" si="26"/>
        <v>SI</v>
      </c>
      <c r="P417" s="4" t="str">
        <f t="shared" si="27"/>
        <v>SI</v>
      </c>
      <c r="Q417" s="4" t="str" cm="1">
        <f t="array" ref="Q417">_xlfn.IFS(AND(H417&gt;=0,H417&lt;=3333),"Grupo 1",AND(H417&gt;3333,H417&lt;=6666),"Grupo 2",AND(H417&gt;6666,H417&lt;=10000),"Grupo 3")</f>
        <v>Grupo 2</v>
      </c>
    </row>
    <row r="418" spans="1:17" x14ac:dyDescent="0.25">
      <c r="A418" t="s">
        <v>28</v>
      </c>
      <c r="B418" s="2">
        <v>45455.688888888893</v>
      </c>
      <c r="C418" t="s">
        <v>281</v>
      </c>
      <c r="D418" t="s">
        <v>212</v>
      </c>
      <c r="E418">
        <v>1</v>
      </c>
      <c r="F418">
        <v>1209.6199999999999</v>
      </c>
      <c r="G418" t="s">
        <v>220</v>
      </c>
      <c r="H418">
        <v>1209.6199999999999</v>
      </c>
      <c r="I418">
        <v>2024</v>
      </c>
      <c r="J418">
        <v>6</v>
      </c>
      <c r="K418">
        <v>16</v>
      </c>
      <c r="L418" s="14">
        <v>1209.6199999999999</v>
      </c>
      <c r="M418" s="4" t="str">
        <f t="shared" si="24"/>
        <v>miércoles</v>
      </c>
      <c r="N418" s="4" t="str">
        <f t="shared" si="25"/>
        <v>junio</v>
      </c>
      <c r="O418" s="4" t="str">
        <f t="shared" si="26"/>
        <v>NO</v>
      </c>
      <c r="P418" s="4" t="str">
        <f t="shared" si="27"/>
        <v>SI</v>
      </c>
      <c r="Q418" s="4" t="str" cm="1">
        <f t="array" ref="Q418">_xlfn.IFS(AND(H418&gt;=0,H418&lt;=3333),"Grupo 1",AND(H418&gt;3333,H418&lt;=6666),"Grupo 2",AND(H418&gt;6666,H418&lt;=10000),"Grupo 3")</f>
        <v>Grupo 1</v>
      </c>
    </row>
    <row r="419" spans="1:17" x14ac:dyDescent="0.25">
      <c r="A419" t="s">
        <v>29</v>
      </c>
      <c r="B419" s="2">
        <v>45301.151388888888</v>
      </c>
      <c r="C419" t="s">
        <v>282</v>
      </c>
      <c r="D419" t="s">
        <v>218</v>
      </c>
      <c r="E419">
        <v>3</v>
      </c>
      <c r="F419">
        <v>922.33</v>
      </c>
      <c r="G419" t="s">
        <v>221</v>
      </c>
      <c r="H419">
        <v>2766.99</v>
      </c>
      <c r="I419">
        <v>2024</v>
      </c>
      <c r="J419">
        <v>1</v>
      </c>
      <c r="K419">
        <v>3</v>
      </c>
      <c r="L419" s="14">
        <v>922.33</v>
      </c>
      <c r="M419" s="4" t="str">
        <f t="shared" si="24"/>
        <v>miércoles</v>
      </c>
      <c r="N419" s="4" t="str">
        <f t="shared" si="25"/>
        <v>enero</v>
      </c>
      <c r="O419" s="4" t="str">
        <f t="shared" si="26"/>
        <v>NO</v>
      </c>
      <c r="P419" s="4" t="str">
        <f t="shared" si="27"/>
        <v>NO</v>
      </c>
      <c r="Q419" s="4" t="str" cm="1">
        <f t="array" ref="Q419">_xlfn.IFS(AND(H419&gt;=0,H419&lt;=3333),"Grupo 1",AND(H419&gt;3333,H419&lt;=6666),"Grupo 2",AND(H419&gt;6666,H419&lt;=10000),"Grupo 3")</f>
        <v>Grupo 1</v>
      </c>
    </row>
    <row r="420" spans="1:17" x14ac:dyDescent="0.25">
      <c r="A420" t="s">
        <v>30</v>
      </c>
      <c r="B420" s="2">
        <v>45677.761111111111</v>
      </c>
      <c r="C420" t="s">
        <v>283</v>
      </c>
      <c r="D420" t="s">
        <v>216</v>
      </c>
      <c r="E420">
        <v>4</v>
      </c>
      <c r="F420">
        <v>54.42</v>
      </c>
      <c r="G420" t="s">
        <v>221</v>
      </c>
      <c r="H420">
        <v>217.68</v>
      </c>
      <c r="I420">
        <v>2025</v>
      </c>
      <c r="J420">
        <v>1</v>
      </c>
      <c r="K420">
        <v>18</v>
      </c>
      <c r="L420" s="14">
        <v>54.42</v>
      </c>
      <c r="M420" s="4" t="str">
        <f t="shared" si="24"/>
        <v>lunes</v>
      </c>
      <c r="N420" s="4" t="str">
        <f t="shared" si="25"/>
        <v>enero</v>
      </c>
      <c r="O420" s="4" t="str">
        <f t="shared" si="26"/>
        <v>NO</v>
      </c>
      <c r="P420" s="4" t="str">
        <f t="shared" si="27"/>
        <v>NO</v>
      </c>
      <c r="Q420" s="4" t="str" cm="1">
        <f t="array" ref="Q420">_xlfn.IFS(AND(H420&gt;=0,H420&lt;=3333),"Grupo 1",AND(H420&gt;3333,H420&lt;=6666),"Grupo 2",AND(H420&gt;6666,H420&lt;=10000),"Grupo 3")</f>
        <v>Grupo 1</v>
      </c>
    </row>
    <row r="421" spans="1:17" x14ac:dyDescent="0.25">
      <c r="A421" t="s">
        <v>31</v>
      </c>
      <c r="B421" s="2">
        <v>45238.713888888888</v>
      </c>
      <c r="C421" t="s">
        <v>284</v>
      </c>
      <c r="D421" t="s">
        <v>218</v>
      </c>
      <c r="E421">
        <v>2</v>
      </c>
      <c r="F421">
        <v>1567.18</v>
      </c>
      <c r="G421" t="s">
        <v>221</v>
      </c>
      <c r="H421">
        <v>3134.36</v>
      </c>
      <c r="I421">
        <v>2023</v>
      </c>
      <c r="J421">
        <v>11</v>
      </c>
      <c r="K421">
        <v>17</v>
      </c>
      <c r="L421" s="14">
        <v>1567.18</v>
      </c>
      <c r="M421" s="4" t="str">
        <f t="shared" si="24"/>
        <v>miércoles</v>
      </c>
      <c r="N421" s="4" t="str">
        <f t="shared" si="25"/>
        <v>noviembre</v>
      </c>
      <c r="O421" s="4" t="str">
        <f t="shared" si="26"/>
        <v>SI</v>
      </c>
      <c r="P421" s="4" t="str">
        <f t="shared" si="27"/>
        <v>SI</v>
      </c>
      <c r="Q421" s="4" t="str" cm="1">
        <f t="array" ref="Q421">_xlfn.IFS(AND(H421&gt;=0,H421&lt;=3333),"Grupo 1",AND(H421&gt;3333,H421&lt;=6666),"Grupo 2",AND(H421&gt;6666,H421&lt;=10000),"Grupo 3")</f>
        <v>Grupo 1</v>
      </c>
    </row>
    <row r="422" spans="1:17" x14ac:dyDescent="0.25">
      <c r="A422" t="s">
        <v>32</v>
      </c>
      <c r="B422" s="2">
        <v>45231.386111111111</v>
      </c>
      <c r="C422" t="s">
        <v>285</v>
      </c>
      <c r="D422" t="s">
        <v>213</v>
      </c>
      <c r="E422">
        <v>2</v>
      </c>
      <c r="F422">
        <v>519.79999999999995</v>
      </c>
      <c r="G422" t="s">
        <v>221</v>
      </c>
      <c r="H422">
        <v>1039.5999999999999</v>
      </c>
      <c r="I422">
        <v>2023</v>
      </c>
      <c r="J422">
        <v>11</v>
      </c>
      <c r="K422">
        <v>9</v>
      </c>
      <c r="L422" s="14">
        <v>519.79999999999995</v>
      </c>
      <c r="M422" s="4" t="str">
        <f t="shared" si="24"/>
        <v>miércoles</v>
      </c>
      <c r="N422" s="4" t="str">
        <f t="shared" si="25"/>
        <v>noviembre</v>
      </c>
      <c r="O422" s="4" t="str">
        <f t="shared" si="26"/>
        <v>NO</v>
      </c>
      <c r="P422" s="4" t="str">
        <f t="shared" si="27"/>
        <v>NO</v>
      </c>
      <c r="Q422" s="4" t="str" cm="1">
        <f t="array" ref="Q422">_xlfn.IFS(AND(H422&gt;=0,H422&lt;=3333),"Grupo 1",AND(H422&gt;3333,H422&lt;=6666),"Grupo 2",AND(H422&gt;6666,H422&lt;=10000),"Grupo 3")</f>
        <v>Grupo 1</v>
      </c>
    </row>
    <row r="423" spans="1:17" x14ac:dyDescent="0.25">
      <c r="A423" t="s">
        <v>33</v>
      </c>
      <c r="B423" s="2">
        <v>45421.563888888893</v>
      </c>
      <c r="C423" t="s">
        <v>286</v>
      </c>
      <c r="D423" t="s">
        <v>214</v>
      </c>
      <c r="E423">
        <v>1</v>
      </c>
      <c r="F423">
        <v>1267.01</v>
      </c>
      <c r="G423" t="s">
        <v>222</v>
      </c>
      <c r="H423">
        <v>1267.01</v>
      </c>
      <c r="I423">
        <v>2024</v>
      </c>
      <c r="J423">
        <v>5</v>
      </c>
      <c r="K423">
        <v>13</v>
      </c>
      <c r="L423" s="14">
        <v>1267.01</v>
      </c>
      <c r="M423" s="4" t="str">
        <f t="shared" si="24"/>
        <v>jueves</v>
      </c>
      <c r="N423" s="4" t="str">
        <f t="shared" si="25"/>
        <v>mayo</v>
      </c>
      <c r="O423" s="4" t="str">
        <f t="shared" si="26"/>
        <v>NO</v>
      </c>
      <c r="P423" s="4" t="str">
        <f t="shared" si="27"/>
        <v>SI</v>
      </c>
      <c r="Q423" s="4" t="str" cm="1">
        <f t="array" ref="Q423">_xlfn.IFS(AND(H423&gt;=0,H423&lt;=3333),"Grupo 1",AND(H423&gt;3333,H423&lt;=6666),"Grupo 2",AND(H423&gt;6666,H423&lt;=10000),"Grupo 3")</f>
        <v>Grupo 1</v>
      </c>
    </row>
    <row r="424" spans="1:17" x14ac:dyDescent="0.25">
      <c r="A424" t="s">
        <v>34</v>
      </c>
      <c r="B424" s="2">
        <v>45437.592361111107</v>
      </c>
      <c r="C424" t="s">
        <v>287</v>
      </c>
      <c r="D424" t="s">
        <v>212</v>
      </c>
      <c r="E424">
        <v>4</v>
      </c>
      <c r="F424">
        <v>1027.81</v>
      </c>
      <c r="G424" t="s">
        <v>220</v>
      </c>
      <c r="H424">
        <v>4111.24</v>
      </c>
      <c r="I424">
        <v>2024</v>
      </c>
      <c r="J424">
        <v>5</v>
      </c>
      <c r="K424">
        <v>14</v>
      </c>
      <c r="L424" s="14">
        <v>1027.81</v>
      </c>
      <c r="M424" s="4" t="str">
        <f t="shared" si="24"/>
        <v>sábado</v>
      </c>
      <c r="N424" s="4" t="str">
        <f t="shared" si="25"/>
        <v>mayo</v>
      </c>
      <c r="O424" s="4" t="str">
        <f t="shared" si="26"/>
        <v>SI</v>
      </c>
      <c r="P424" s="4" t="str">
        <f t="shared" si="27"/>
        <v>SI</v>
      </c>
      <c r="Q424" s="4" t="str" cm="1">
        <f t="array" ref="Q424">_xlfn.IFS(AND(H424&gt;=0,H424&lt;=3333),"Grupo 1",AND(H424&gt;3333,H424&lt;=6666),"Grupo 2",AND(H424&gt;6666,H424&lt;=10000),"Grupo 3")</f>
        <v>Grupo 2</v>
      </c>
    </row>
    <row r="425" spans="1:17" x14ac:dyDescent="0.25">
      <c r="A425" t="s">
        <v>35</v>
      </c>
      <c r="B425" s="2">
        <v>45355.487500000003</v>
      </c>
      <c r="C425" t="s">
        <v>288</v>
      </c>
      <c r="D425" t="s">
        <v>216</v>
      </c>
      <c r="E425">
        <v>3</v>
      </c>
      <c r="F425">
        <v>925.62</v>
      </c>
      <c r="G425" t="s">
        <v>221</v>
      </c>
      <c r="H425">
        <v>2776.86</v>
      </c>
      <c r="I425">
        <v>2024</v>
      </c>
      <c r="J425">
        <v>3</v>
      </c>
      <c r="K425">
        <v>11</v>
      </c>
      <c r="L425" s="14">
        <v>925.62</v>
      </c>
      <c r="M425" s="4" t="str">
        <f t="shared" si="24"/>
        <v>lunes</v>
      </c>
      <c r="N425" s="4" t="str">
        <f t="shared" si="25"/>
        <v>marzo</v>
      </c>
      <c r="O425" s="4" t="str">
        <f t="shared" si="26"/>
        <v>NO</v>
      </c>
      <c r="P425" s="4" t="str">
        <f t="shared" si="27"/>
        <v>NO</v>
      </c>
      <c r="Q425" s="4" t="str" cm="1">
        <f t="array" ref="Q425">_xlfn.IFS(AND(H425&gt;=0,H425&lt;=3333),"Grupo 1",AND(H425&gt;3333,H425&lt;=6666),"Grupo 2",AND(H425&gt;6666,H425&lt;=10000),"Grupo 3")</f>
        <v>Grupo 1</v>
      </c>
    </row>
    <row r="426" spans="1:17" x14ac:dyDescent="0.25">
      <c r="A426" t="s">
        <v>36</v>
      </c>
      <c r="B426" s="2">
        <v>45924.43472222222</v>
      </c>
      <c r="C426" t="s">
        <v>289</v>
      </c>
      <c r="D426" t="s">
        <v>212</v>
      </c>
      <c r="E426">
        <v>3</v>
      </c>
      <c r="F426">
        <v>213.71</v>
      </c>
      <c r="G426" t="s">
        <v>220</v>
      </c>
      <c r="H426">
        <v>641.13</v>
      </c>
      <c r="I426">
        <v>2025</v>
      </c>
      <c r="J426">
        <v>9</v>
      </c>
      <c r="K426">
        <v>10</v>
      </c>
      <c r="L426" s="14">
        <v>213.71</v>
      </c>
      <c r="M426" s="4" t="str">
        <f t="shared" si="24"/>
        <v>miércoles</v>
      </c>
      <c r="N426" s="4" t="str">
        <f t="shared" si="25"/>
        <v>septiembre</v>
      </c>
      <c r="O426" s="4" t="str">
        <f t="shared" si="26"/>
        <v>NO</v>
      </c>
      <c r="P426" s="4" t="str">
        <f t="shared" si="27"/>
        <v>NO</v>
      </c>
      <c r="Q426" s="4" t="str" cm="1">
        <f t="array" ref="Q426">_xlfn.IFS(AND(H426&gt;=0,H426&lt;=3333),"Grupo 1",AND(H426&gt;3333,H426&lt;=6666),"Grupo 2",AND(H426&gt;6666,H426&lt;=10000),"Grupo 3")</f>
        <v>Grupo 1</v>
      </c>
    </row>
    <row r="427" spans="1:17" x14ac:dyDescent="0.25">
      <c r="A427" t="s">
        <v>37</v>
      </c>
      <c r="B427" s="2">
        <v>45471.931250000001</v>
      </c>
      <c r="C427" t="s">
        <v>290</v>
      </c>
      <c r="D427" t="s">
        <v>217</v>
      </c>
      <c r="E427">
        <v>2</v>
      </c>
      <c r="F427">
        <v>1146.75</v>
      </c>
      <c r="G427" t="s">
        <v>220</v>
      </c>
      <c r="H427">
        <v>2293.5</v>
      </c>
      <c r="I427">
        <v>2024</v>
      </c>
      <c r="J427">
        <v>6</v>
      </c>
      <c r="K427">
        <v>22</v>
      </c>
      <c r="L427" s="14">
        <v>1146.75</v>
      </c>
      <c r="M427" s="4" t="str">
        <f t="shared" si="24"/>
        <v>viernes</v>
      </c>
      <c r="N427" s="4" t="str">
        <f t="shared" si="25"/>
        <v>junio</v>
      </c>
      <c r="O427" s="4" t="str">
        <f t="shared" si="26"/>
        <v>NO</v>
      </c>
      <c r="P427" s="4" t="str">
        <f t="shared" si="27"/>
        <v>SI</v>
      </c>
      <c r="Q427" s="4" t="str" cm="1">
        <f t="array" ref="Q427">_xlfn.IFS(AND(H427&gt;=0,H427&lt;=3333),"Grupo 1",AND(H427&gt;3333,H427&lt;=6666),"Grupo 2",AND(H427&gt;6666,H427&lt;=10000),"Grupo 3")</f>
        <v>Grupo 1</v>
      </c>
    </row>
    <row r="428" spans="1:17" x14ac:dyDescent="0.25">
      <c r="A428" t="s">
        <v>38</v>
      </c>
      <c r="B428" s="2">
        <v>45003.59097222222</v>
      </c>
      <c r="C428" t="s">
        <v>291</v>
      </c>
      <c r="D428" t="s">
        <v>217</v>
      </c>
      <c r="E428">
        <v>5</v>
      </c>
      <c r="F428">
        <v>907.28</v>
      </c>
      <c r="G428" t="s">
        <v>220</v>
      </c>
      <c r="H428">
        <v>4536.3999999999996</v>
      </c>
      <c r="I428">
        <v>2023</v>
      </c>
      <c r="J428">
        <v>3</v>
      </c>
      <c r="K428">
        <v>14</v>
      </c>
      <c r="L428" s="14">
        <v>907.28</v>
      </c>
      <c r="M428" s="4" t="str">
        <f t="shared" si="24"/>
        <v>sábado</v>
      </c>
      <c r="N428" s="4" t="str">
        <f t="shared" si="25"/>
        <v>marzo</v>
      </c>
      <c r="O428" s="4" t="str">
        <f t="shared" si="26"/>
        <v>SI</v>
      </c>
      <c r="P428" s="4" t="str">
        <f t="shared" si="27"/>
        <v>NO</v>
      </c>
      <c r="Q428" s="4" t="str" cm="1">
        <f t="array" ref="Q428">_xlfn.IFS(AND(H428&gt;=0,H428&lt;=3333),"Grupo 1",AND(H428&gt;3333,H428&lt;=6666),"Grupo 2",AND(H428&gt;6666,H428&lt;=10000),"Grupo 3")</f>
        <v>Grupo 2</v>
      </c>
    </row>
    <row r="429" spans="1:17" x14ac:dyDescent="0.25">
      <c r="A429" t="s">
        <v>39</v>
      </c>
      <c r="B429" s="2">
        <v>45206.394444444442</v>
      </c>
      <c r="C429" t="s">
        <v>292</v>
      </c>
      <c r="D429" t="s">
        <v>216</v>
      </c>
      <c r="E429">
        <v>2</v>
      </c>
      <c r="F429">
        <v>1734.44</v>
      </c>
      <c r="G429" t="s">
        <v>221</v>
      </c>
      <c r="H429">
        <v>3468.88</v>
      </c>
      <c r="I429">
        <v>2023</v>
      </c>
      <c r="J429">
        <v>10</v>
      </c>
      <c r="K429">
        <v>9</v>
      </c>
      <c r="L429" s="14">
        <v>1734.44</v>
      </c>
      <c r="M429" s="4" t="str">
        <f t="shared" si="24"/>
        <v>sábado</v>
      </c>
      <c r="N429" s="4" t="str">
        <f t="shared" si="25"/>
        <v>octubre</v>
      </c>
      <c r="O429" s="4" t="str">
        <f t="shared" si="26"/>
        <v>SI</v>
      </c>
      <c r="P429" s="4" t="str">
        <f t="shared" si="27"/>
        <v>SI</v>
      </c>
      <c r="Q429" s="4" t="str" cm="1">
        <f t="array" ref="Q429">_xlfn.IFS(AND(H429&gt;=0,H429&lt;=3333),"Grupo 1",AND(H429&gt;3333,H429&lt;=6666),"Grupo 2",AND(H429&gt;6666,H429&lt;=10000),"Grupo 3")</f>
        <v>Grupo 2</v>
      </c>
    </row>
    <row r="430" spans="1:17" x14ac:dyDescent="0.25">
      <c r="A430" t="s">
        <v>40</v>
      </c>
      <c r="B430" s="2">
        <v>45595.773611111108</v>
      </c>
      <c r="C430" t="s">
        <v>293</v>
      </c>
      <c r="D430" t="s">
        <v>213</v>
      </c>
      <c r="E430">
        <v>1</v>
      </c>
      <c r="F430">
        <v>424.35</v>
      </c>
      <c r="G430" t="s">
        <v>221</v>
      </c>
      <c r="H430">
        <v>424.35</v>
      </c>
      <c r="I430">
        <v>2024</v>
      </c>
      <c r="J430">
        <v>10</v>
      </c>
      <c r="K430">
        <v>18</v>
      </c>
      <c r="L430" s="14">
        <v>424.35</v>
      </c>
      <c r="M430" s="4" t="str">
        <f t="shared" si="24"/>
        <v>miércoles</v>
      </c>
      <c r="N430" s="4" t="str">
        <f t="shared" si="25"/>
        <v>octubre</v>
      </c>
      <c r="O430" s="4" t="str">
        <f t="shared" si="26"/>
        <v>NO</v>
      </c>
      <c r="P430" s="4" t="str">
        <f t="shared" si="27"/>
        <v>NO</v>
      </c>
      <c r="Q430" s="4" t="str" cm="1">
        <f t="array" ref="Q430">_xlfn.IFS(AND(H430&gt;=0,H430&lt;=3333),"Grupo 1",AND(H430&gt;3333,H430&lt;=6666),"Grupo 2",AND(H430&gt;6666,H430&lt;=10000),"Grupo 3")</f>
        <v>Grupo 1</v>
      </c>
    </row>
    <row r="431" spans="1:17" x14ac:dyDescent="0.25">
      <c r="A431" t="s">
        <v>41</v>
      </c>
      <c r="B431" s="2">
        <v>45888.736805555563</v>
      </c>
      <c r="C431" t="s">
        <v>294</v>
      </c>
      <c r="D431" t="s">
        <v>212</v>
      </c>
      <c r="E431">
        <v>1</v>
      </c>
      <c r="F431">
        <v>252.57</v>
      </c>
      <c r="G431" t="s">
        <v>220</v>
      </c>
      <c r="H431">
        <v>252.57</v>
      </c>
      <c r="I431">
        <v>2025</v>
      </c>
      <c r="J431">
        <v>8</v>
      </c>
      <c r="K431">
        <v>17</v>
      </c>
      <c r="L431" s="14">
        <v>252.57</v>
      </c>
      <c r="M431" s="4" t="str">
        <f t="shared" si="24"/>
        <v>martes</v>
      </c>
      <c r="N431" s="4" t="str">
        <f t="shared" si="25"/>
        <v>agosto</v>
      </c>
      <c r="O431" s="4" t="str">
        <f t="shared" si="26"/>
        <v>NO</v>
      </c>
      <c r="P431" s="4" t="str">
        <f t="shared" si="27"/>
        <v>NO</v>
      </c>
      <c r="Q431" s="4" t="str" cm="1">
        <f t="array" ref="Q431">_xlfn.IFS(AND(H431&gt;=0,H431&lt;=3333),"Grupo 1",AND(H431&gt;3333,H431&lt;=6666),"Grupo 2",AND(H431&gt;6666,H431&lt;=10000),"Grupo 3")</f>
        <v>Grupo 1</v>
      </c>
    </row>
    <row r="432" spans="1:17" x14ac:dyDescent="0.25">
      <c r="A432" t="s">
        <v>42</v>
      </c>
      <c r="B432" s="2">
        <v>45478.06527777778</v>
      </c>
      <c r="C432" t="s">
        <v>295</v>
      </c>
      <c r="D432" t="s">
        <v>218</v>
      </c>
      <c r="E432">
        <v>3</v>
      </c>
      <c r="F432">
        <v>21.56</v>
      </c>
      <c r="G432" t="s">
        <v>221</v>
      </c>
      <c r="H432">
        <v>64.679999999999993</v>
      </c>
      <c r="I432">
        <v>2024</v>
      </c>
      <c r="J432">
        <v>7</v>
      </c>
      <c r="K432">
        <v>1</v>
      </c>
      <c r="L432" s="14">
        <v>21.56</v>
      </c>
      <c r="M432" s="4" t="str">
        <f t="shared" si="24"/>
        <v>viernes</v>
      </c>
      <c r="N432" s="4" t="str">
        <f t="shared" si="25"/>
        <v>julio</v>
      </c>
      <c r="O432" s="4" t="str">
        <f t="shared" si="26"/>
        <v>NO</v>
      </c>
      <c r="P432" s="4" t="str">
        <f t="shared" si="27"/>
        <v>NO</v>
      </c>
      <c r="Q432" s="4" t="str" cm="1">
        <f t="array" ref="Q432">_xlfn.IFS(AND(H432&gt;=0,H432&lt;=3333),"Grupo 1",AND(H432&gt;3333,H432&lt;=6666),"Grupo 2",AND(H432&gt;6666,H432&lt;=10000),"Grupo 3")</f>
        <v>Grupo 1</v>
      </c>
    </row>
    <row r="433" spans="1:17" x14ac:dyDescent="0.25">
      <c r="A433" t="s">
        <v>43</v>
      </c>
      <c r="B433" s="2">
        <v>45402.668749999997</v>
      </c>
      <c r="C433" t="s">
        <v>296</v>
      </c>
      <c r="D433" t="s">
        <v>214</v>
      </c>
      <c r="E433">
        <v>1</v>
      </c>
      <c r="F433">
        <v>446.81</v>
      </c>
      <c r="G433" t="s">
        <v>222</v>
      </c>
      <c r="H433">
        <v>446.81</v>
      </c>
      <c r="I433">
        <v>2024</v>
      </c>
      <c r="J433">
        <v>4</v>
      </c>
      <c r="K433">
        <v>16</v>
      </c>
      <c r="L433" s="14">
        <v>446.81</v>
      </c>
      <c r="M433" s="4" t="str">
        <f t="shared" si="24"/>
        <v>sábado</v>
      </c>
      <c r="N433" s="4" t="str">
        <f t="shared" si="25"/>
        <v>abril</v>
      </c>
      <c r="O433" s="4" t="str">
        <f t="shared" si="26"/>
        <v>NO</v>
      </c>
      <c r="P433" s="4" t="str">
        <f t="shared" si="27"/>
        <v>NO</v>
      </c>
      <c r="Q433" s="4" t="str" cm="1">
        <f t="array" ref="Q433">_xlfn.IFS(AND(H433&gt;=0,H433&lt;=3333),"Grupo 1",AND(H433&gt;3333,H433&lt;=6666),"Grupo 2",AND(H433&gt;6666,H433&lt;=10000),"Grupo 3")</f>
        <v>Grupo 1</v>
      </c>
    </row>
    <row r="434" spans="1:17" x14ac:dyDescent="0.25">
      <c r="A434" t="s">
        <v>44</v>
      </c>
      <c r="B434" s="2">
        <v>45033.806944444441</v>
      </c>
      <c r="C434" t="s">
        <v>297</v>
      </c>
      <c r="D434" t="s">
        <v>218</v>
      </c>
      <c r="E434">
        <v>2</v>
      </c>
      <c r="F434">
        <v>64.67</v>
      </c>
      <c r="G434" t="s">
        <v>221</v>
      </c>
      <c r="H434">
        <v>129.34</v>
      </c>
      <c r="I434">
        <v>2023</v>
      </c>
      <c r="J434">
        <v>4</v>
      </c>
      <c r="K434">
        <v>19</v>
      </c>
      <c r="L434" s="14">
        <v>64.67</v>
      </c>
      <c r="M434" s="4" t="str">
        <f t="shared" si="24"/>
        <v>lunes</v>
      </c>
      <c r="N434" s="4" t="str">
        <f t="shared" si="25"/>
        <v>abril</v>
      </c>
      <c r="O434" s="4" t="str">
        <f t="shared" si="26"/>
        <v>NO</v>
      </c>
      <c r="P434" s="4" t="str">
        <f t="shared" si="27"/>
        <v>NO</v>
      </c>
      <c r="Q434" s="4" t="str" cm="1">
        <f t="array" ref="Q434">_xlfn.IFS(AND(H434&gt;=0,H434&lt;=3333),"Grupo 1",AND(H434&gt;3333,H434&lt;=6666),"Grupo 2",AND(H434&gt;6666,H434&lt;=10000),"Grupo 3")</f>
        <v>Grupo 1</v>
      </c>
    </row>
    <row r="435" spans="1:17" x14ac:dyDescent="0.25">
      <c r="A435" t="s">
        <v>45</v>
      </c>
      <c r="B435" s="2">
        <v>45432.781944444447</v>
      </c>
      <c r="C435" t="s">
        <v>298</v>
      </c>
      <c r="D435" t="s">
        <v>216</v>
      </c>
      <c r="E435">
        <v>5</v>
      </c>
      <c r="F435">
        <v>1168.3499999999999</v>
      </c>
      <c r="G435" t="s">
        <v>221</v>
      </c>
      <c r="H435">
        <v>5841.75</v>
      </c>
      <c r="I435">
        <v>2024</v>
      </c>
      <c r="J435">
        <v>5</v>
      </c>
      <c r="K435">
        <v>18</v>
      </c>
      <c r="L435" s="14">
        <v>1168.3499999999999</v>
      </c>
      <c r="M435" s="4" t="str">
        <f t="shared" si="24"/>
        <v>lunes</v>
      </c>
      <c r="N435" s="4" t="str">
        <f t="shared" si="25"/>
        <v>mayo</v>
      </c>
      <c r="O435" s="4" t="str">
        <f t="shared" si="26"/>
        <v>SI</v>
      </c>
      <c r="P435" s="4" t="str">
        <f t="shared" si="27"/>
        <v>SI</v>
      </c>
      <c r="Q435" s="4" t="str" cm="1">
        <f t="array" ref="Q435">_xlfn.IFS(AND(H435&gt;=0,H435&lt;=3333),"Grupo 1",AND(H435&gt;3333,H435&lt;=6666),"Grupo 2",AND(H435&gt;6666,H435&lt;=10000),"Grupo 3")</f>
        <v>Grupo 2</v>
      </c>
    </row>
    <row r="436" spans="1:17" x14ac:dyDescent="0.25">
      <c r="A436" t="s">
        <v>46</v>
      </c>
      <c r="B436" s="2">
        <v>45746.083333333343</v>
      </c>
      <c r="C436" t="s">
        <v>299</v>
      </c>
      <c r="D436" t="s">
        <v>214</v>
      </c>
      <c r="E436">
        <v>2</v>
      </c>
      <c r="F436">
        <v>349.3</v>
      </c>
      <c r="G436" t="s">
        <v>222</v>
      </c>
      <c r="H436">
        <v>698.6</v>
      </c>
      <c r="I436">
        <v>2025</v>
      </c>
      <c r="J436">
        <v>3</v>
      </c>
      <c r="K436">
        <v>2</v>
      </c>
      <c r="L436" s="14">
        <v>349.3</v>
      </c>
      <c r="M436" s="4" t="str">
        <f t="shared" si="24"/>
        <v>domingo</v>
      </c>
      <c r="N436" s="4" t="str">
        <f t="shared" si="25"/>
        <v>marzo</v>
      </c>
      <c r="O436" s="4" t="str">
        <f t="shared" si="26"/>
        <v>NO</v>
      </c>
      <c r="P436" s="4" t="str">
        <f t="shared" si="27"/>
        <v>NO</v>
      </c>
      <c r="Q436" s="4" t="str" cm="1">
        <f t="array" ref="Q436">_xlfn.IFS(AND(H436&gt;=0,H436&lt;=3333),"Grupo 1",AND(H436&gt;3333,H436&lt;=6666),"Grupo 2",AND(H436&gt;6666,H436&lt;=10000),"Grupo 3")</f>
        <v>Grupo 1</v>
      </c>
    </row>
    <row r="437" spans="1:17" x14ac:dyDescent="0.25">
      <c r="A437" t="s">
        <v>47</v>
      </c>
      <c r="B437" s="2">
        <v>45515.355555555558</v>
      </c>
      <c r="C437" t="s">
        <v>300</v>
      </c>
      <c r="D437" t="s">
        <v>216</v>
      </c>
      <c r="E437">
        <v>3</v>
      </c>
      <c r="F437">
        <v>1154.06</v>
      </c>
      <c r="G437" t="s">
        <v>221</v>
      </c>
      <c r="H437">
        <v>3462.18</v>
      </c>
      <c r="I437">
        <v>2024</v>
      </c>
      <c r="J437">
        <v>8</v>
      </c>
      <c r="K437">
        <v>8</v>
      </c>
      <c r="L437" s="14">
        <v>1154.06</v>
      </c>
      <c r="M437" s="4" t="str">
        <f t="shared" si="24"/>
        <v>domingo</v>
      </c>
      <c r="N437" s="4" t="str">
        <f t="shared" si="25"/>
        <v>agosto</v>
      </c>
      <c r="O437" s="4" t="str">
        <f t="shared" si="26"/>
        <v>SI</v>
      </c>
      <c r="P437" s="4" t="str">
        <f t="shared" si="27"/>
        <v>SI</v>
      </c>
      <c r="Q437" s="4" t="str" cm="1">
        <f t="array" ref="Q437">_xlfn.IFS(AND(H437&gt;=0,H437&lt;=3333),"Grupo 1",AND(H437&gt;3333,H437&lt;=6666),"Grupo 2",AND(H437&gt;6666,H437&lt;=10000),"Grupo 3")</f>
        <v>Grupo 2</v>
      </c>
    </row>
    <row r="438" spans="1:17" x14ac:dyDescent="0.25">
      <c r="A438" t="s">
        <v>48</v>
      </c>
      <c r="B438" s="2">
        <v>45730.554861111108</v>
      </c>
      <c r="C438" t="s">
        <v>301</v>
      </c>
      <c r="D438" t="s">
        <v>215</v>
      </c>
      <c r="E438">
        <v>4</v>
      </c>
      <c r="F438">
        <v>1566.37</v>
      </c>
      <c r="G438" t="s">
        <v>220</v>
      </c>
      <c r="H438">
        <v>6265.48</v>
      </c>
      <c r="I438">
        <v>2025</v>
      </c>
      <c r="J438">
        <v>3</v>
      </c>
      <c r="K438">
        <v>13</v>
      </c>
      <c r="L438" s="14">
        <v>1566.37</v>
      </c>
      <c r="M438" s="4" t="str">
        <f t="shared" si="24"/>
        <v>viernes</v>
      </c>
      <c r="N438" s="4" t="str">
        <f t="shared" si="25"/>
        <v>marzo</v>
      </c>
      <c r="O438" s="4" t="str">
        <f t="shared" si="26"/>
        <v>SI</v>
      </c>
      <c r="P438" s="4" t="str">
        <f t="shared" si="27"/>
        <v>SI</v>
      </c>
      <c r="Q438" s="4" t="str" cm="1">
        <f t="array" ref="Q438">_xlfn.IFS(AND(H438&gt;=0,H438&lt;=3333),"Grupo 1",AND(H438&gt;3333,H438&lt;=6666),"Grupo 2",AND(H438&gt;6666,H438&lt;=10000),"Grupo 3")</f>
        <v>Grupo 2</v>
      </c>
    </row>
    <row r="439" spans="1:17" x14ac:dyDescent="0.25">
      <c r="A439" t="s">
        <v>49</v>
      </c>
      <c r="B439" s="2">
        <v>45603.252083333333</v>
      </c>
      <c r="C439" t="s">
        <v>302</v>
      </c>
      <c r="D439" t="s">
        <v>212</v>
      </c>
      <c r="E439">
        <v>2</v>
      </c>
      <c r="F439">
        <v>674.48</v>
      </c>
      <c r="G439" t="s">
        <v>220</v>
      </c>
      <c r="H439">
        <v>1348.96</v>
      </c>
      <c r="I439">
        <v>2024</v>
      </c>
      <c r="J439">
        <v>11</v>
      </c>
      <c r="K439">
        <v>6</v>
      </c>
      <c r="L439" s="14">
        <v>674.48</v>
      </c>
      <c r="M439" s="4" t="str">
        <f t="shared" si="24"/>
        <v>jueves</v>
      </c>
      <c r="N439" s="4" t="str">
        <f t="shared" si="25"/>
        <v>noviembre</v>
      </c>
      <c r="O439" s="4" t="str">
        <f t="shared" si="26"/>
        <v>NO</v>
      </c>
      <c r="P439" s="4" t="str">
        <f t="shared" si="27"/>
        <v>NO</v>
      </c>
      <c r="Q439" s="4" t="str" cm="1">
        <f t="array" ref="Q439">_xlfn.IFS(AND(H439&gt;=0,H439&lt;=3333),"Grupo 1",AND(H439&gt;3333,H439&lt;=6666),"Grupo 2",AND(H439&gt;6666,H439&lt;=10000),"Grupo 3")</f>
        <v>Grupo 1</v>
      </c>
    </row>
    <row r="440" spans="1:17" x14ac:dyDescent="0.25">
      <c r="A440" t="s">
        <v>50</v>
      </c>
      <c r="B440" s="2">
        <v>45420.054861111108</v>
      </c>
      <c r="C440" t="s">
        <v>303</v>
      </c>
      <c r="D440" t="s">
        <v>212</v>
      </c>
      <c r="E440">
        <v>2</v>
      </c>
      <c r="F440">
        <v>1543.98</v>
      </c>
      <c r="G440" t="s">
        <v>220</v>
      </c>
      <c r="H440">
        <v>3087.96</v>
      </c>
      <c r="I440">
        <v>2024</v>
      </c>
      <c r="J440">
        <v>5</v>
      </c>
      <c r="K440">
        <v>1</v>
      </c>
      <c r="L440" s="14">
        <v>1543.98</v>
      </c>
      <c r="M440" s="4" t="str">
        <f t="shared" si="24"/>
        <v>miércoles</v>
      </c>
      <c r="N440" s="4" t="str">
        <f t="shared" si="25"/>
        <v>mayo</v>
      </c>
      <c r="O440" s="4" t="str">
        <f t="shared" si="26"/>
        <v>SI</v>
      </c>
      <c r="P440" s="4" t="str">
        <f t="shared" si="27"/>
        <v>SI</v>
      </c>
      <c r="Q440" s="4" t="str" cm="1">
        <f t="array" ref="Q440">_xlfn.IFS(AND(H440&gt;=0,H440&lt;=3333),"Grupo 1",AND(H440&gt;3333,H440&lt;=6666),"Grupo 2",AND(H440&gt;6666,H440&lt;=10000),"Grupo 3")</f>
        <v>Grupo 1</v>
      </c>
    </row>
    <row r="441" spans="1:17" x14ac:dyDescent="0.25">
      <c r="A441" t="s">
        <v>51</v>
      </c>
      <c r="B441" s="2">
        <v>44931.743055555547</v>
      </c>
      <c r="C441" t="s">
        <v>304</v>
      </c>
      <c r="D441" t="s">
        <v>217</v>
      </c>
      <c r="E441">
        <v>5</v>
      </c>
      <c r="F441">
        <v>917.31</v>
      </c>
      <c r="G441" t="s">
        <v>220</v>
      </c>
      <c r="H441">
        <v>4586.5499999999993</v>
      </c>
      <c r="I441">
        <v>2023</v>
      </c>
      <c r="J441">
        <v>1</v>
      </c>
      <c r="K441">
        <v>17</v>
      </c>
      <c r="L441" s="14">
        <v>917.30999999999983</v>
      </c>
      <c r="M441" s="4" t="str">
        <f t="shared" si="24"/>
        <v>jueves</v>
      </c>
      <c r="N441" s="4" t="str">
        <f t="shared" si="25"/>
        <v>enero</v>
      </c>
      <c r="O441" s="4" t="str">
        <f t="shared" si="26"/>
        <v>SI</v>
      </c>
      <c r="P441" s="4" t="str">
        <f t="shared" si="27"/>
        <v>NO</v>
      </c>
      <c r="Q441" s="4" t="str" cm="1">
        <f t="array" ref="Q441">_xlfn.IFS(AND(H441&gt;=0,H441&lt;=3333),"Grupo 1",AND(H441&gt;3333,H441&lt;=6666),"Grupo 2",AND(H441&gt;6666,H441&lt;=10000),"Grupo 3")</f>
        <v>Grupo 2</v>
      </c>
    </row>
    <row r="442" spans="1:17" x14ac:dyDescent="0.25">
      <c r="A442" t="s">
        <v>52</v>
      </c>
      <c r="B442" s="2">
        <v>45326.684027777781</v>
      </c>
      <c r="C442" t="s">
        <v>305</v>
      </c>
      <c r="D442" t="s">
        <v>219</v>
      </c>
      <c r="E442">
        <v>4</v>
      </c>
      <c r="F442">
        <v>450.36</v>
      </c>
      <c r="G442" t="s">
        <v>221</v>
      </c>
      <c r="H442">
        <v>1801.44</v>
      </c>
      <c r="I442">
        <v>2024</v>
      </c>
      <c r="J442">
        <v>2</v>
      </c>
      <c r="K442">
        <v>16</v>
      </c>
      <c r="L442" s="14">
        <v>450.36</v>
      </c>
      <c r="M442" s="4" t="str">
        <f t="shared" si="24"/>
        <v>domingo</v>
      </c>
      <c r="N442" s="4" t="str">
        <f t="shared" si="25"/>
        <v>febrero</v>
      </c>
      <c r="O442" s="4" t="str">
        <f t="shared" si="26"/>
        <v>NO</v>
      </c>
      <c r="P442" s="4" t="str">
        <f t="shared" si="27"/>
        <v>NO</v>
      </c>
      <c r="Q442" s="4" t="str" cm="1">
        <f t="array" ref="Q442">_xlfn.IFS(AND(H442&gt;=0,H442&lt;=3333),"Grupo 1",AND(H442&gt;3333,H442&lt;=6666),"Grupo 2",AND(H442&gt;6666,H442&lt;=10000),"Grupo 3")</f>
        <v>Grupo 1</v>
      </c>
    </row>
    <row r="443" spans="1:17" x14ac:dyDescent="0.25">
      <c r="A443" t="s">
        <v>53</v>
      </c>
      <c r="B443" s="2">
        <v>45146.872916666667</v>
      </c>
      <c r="C443" t="s">
        <v>306</v>
      </c>
      <c r="D443" t="s">
        <v>215</v>
      </c>
      <c r="E443">
        <v>2</v>
      </c>
      <c r="F443">
        <v>755.48</v>
      </c>
      <c r="G443" t="s">
        <v>220</v>
      </c>
      <c r="H443">
        <v>1510.96</v>
      </c>
      <c r="I443">
        <v>2023</v>
      </c>
      <c r="J443">
        <v>8</v>
      </c>
      <c r="K443">
        <v>20</v>
      </c>
      <c r="L443" s="14">
        <v>755.48</v>
      </c>
      <c r="M443" s="4" t="str">
        <f t="shared" si="24"/>
        <v>martes</v>
      </c>
      <c r="N443" s="4" t="str">
        <f t="shared" si="25"/>
        <v>agosto</v>
      </c>
      <c r="O443" s="4" t="str">
        <f t="shared" si="26"/>
        <v>NO</v>
      </c>
      <c r="P443" s="4" t="str">
        <f t="shared" si="27"/>
        <v>NO</v>
      </c>
      <c r="Q443" s="4" t="str" cm="1">
        <f t="array" ref="Q443">_xlfn.IFS(AND(H443&gt;=0,H443&lt;=3333),"Grupo 1",AND(H443&gt;3333,H443&lt;=6666),"Grupo 2",AND(H443&gt;6666,H443&lt;=10000),"Grupo 3")</f>
        <v>Grupo 1</v>
      </c>
    </row>
    <row r="444" spans="1:17" x14ac:dyDescent="0.25">
      <c r="A444" t="s">
        <v>54</v>
      </c>
      <c r="B444" s="2">
        <v>45464.595833333333</v>
      </c>
      <c r="C444" t="s">
        <v>307</v>
      </c>
      <c r="D444" t="s">
        <v>213</v>
      </c>
      <c r="E444">
        <v>3</v>
      </c>
      <c r="F444">
        <v>1855.55</v>
      </c>
      <c r="G444" t="s">
        <v>221</v>
      </c>
      <c r="H444">
        <v>5566.65</v>
      </c>
      <c r="I444">
        <v>2024</v>
      </c>
      <c r="J444">
        <v>6</v>
      </c>
      <c r="K444">
        <v>14</v>
      </c>
      <c r="L444" s="14">
        <v>1855.55</v>
      </c>
      <c r="M444" s="4" t="str">
        <f t="shared" si="24"/>
        <v>viernes</v>
      </c>
      <c r="N444" s="4" t="str">
        <f t="shared" si="25"/>
        <v>junio</v>
      </c>
      <c r="O444" s="4" t="str">
        <f t="shared" si="26"/>
        <v>SI</v>
      </c>
      <c r="P444" s="4" t="str">
        <f t="shared" si="27"/>
        <v>SI</v>
      </c>
      <c r="Q444" s="4" t="str" cm="1">
        <f t="array" ref="Q444">_xlfn.IFS(AND(H444&gt;=0,H444&lt;=3333),"Grupo 1",AND(H444&gt;3333,H444&lt;=6666),"Grupo 2",AND(H444&gt;6666,H444&lt;=10000),"Grupo 3")</f>
        <v>Grupo 2</v>
      </c>
    </row>
    <row r="445" spans="1:17" x14ac:dyDescent="0.25">
      <c r="A445" t="s">
        <v>55</v>
      </c>
      <c r="B445" s="2">
        <v>45171.9</v>
      </c>
      <c r="C445" t="s">
        <v>308</v>
      </c>
      <c r="D445" t="s">
        <v>216</v>
      </c>
      <c r="E445">
        <v>5</v>
      </c>
      <c r="F445">
        <v>1011.75</v>
      </c>
      <c r="G445" t="s">
        <v>221</v>
      </c>
      <c r="H445">
        <v>5058.75</v>
      </c>
      <c r="I445">
        <v>2023</v>
      </c>
      <c r="J445">
        <v>9</v>
      </c>
      <c r="K445">
        <v>21</v>
      </c>
      <c r="L445" s="14">
        <v>1011.75</v>
      </c>
      <c r="M445" s="4" t="str">
        <f t="shared" si="24"/>
        <v>sábado</v>
      </c>
      <c r="N445" s="4" t="str">
        <f t="shared" si="25"/>
        <v>septiembre</v>
      </c>
      <c r="O445" s="4" t="str">
        <f t="shared" si="26"/>
        <v>SI</v>
      </c>
      <c r="P445" s="4" t="str">
        <f t="shared" si="27"/>
        <v>SI</v>
      </c>
      <c r="Q445" s="4" t="str" cm="1">
        <f t="array" ref="Q445">_xlfn.IFS(AND(H445&gt;=0,H445&lt;=3333),"Grupo 1",AND(H445&gt;3333,H445&lt;=6666),"Grupo 2",AND(H445&gt;6666,H445&lt;=10000),"Grupo 3")</f>
        <v>Grupo 2</v>
      </c>
    </row>
    <row r="446" spans="1:17" x14ac:dyDescent="0.25">
      <c r="A446" t="s">
        <v>56</v>
      </c>
      <c r="B446" s="2">
        <v>44992.136111111111</v>
      </c>
      <c r="C446" t="s">
        <v>309</v>
      </c>
      <c r="D446" t="s">
        <v>213</v>
      </c>
      <c r="E446">
        <v>5</v>
      </c>
      <c r="F446">
        <v>1218.3399999999999</v>
      </c>
      <c r="G446" t="s">
        <v>221</v>
      </c>
      <c r="H446">
        <v>6091.7</v>
      </c>
      <c r="I446">
        <v>2023</v>
      </c>
      <c r="J446">
        <v>3</v>
      </c>
      <c r="K446">
        <v>3</v>
      </c>
      <c r="L446" s="14">
        <v>1218.3399999999999</v>
      </c>
      <c r="M446" s="4" t="str">
        <f t="shared" si="24"/>
        <v>martes</v>
      </c>
      <c r="N446" s="4" t="str">
        <f t="shared" si="25"/>
        <v>marzo</v>
      </c>
      <c r="O446" s="4" t="str">
        <f t="shared" si="26"/>
        <v>SI</v>
      </c>
      <c r="P446" s="4" t="str">
        <f t="shared" si="27"/>
        <v>SI</v>
      </c>
      <c r="Q446" s="4" t="str" cm="1">
        <f t="array" ref="Q446">_xlfn.IFS(AND(H446&gt;=0,H446&lt;=3333),"Grupo 1",AND(H446&gt;3333,H446&lt;=6666),"Grupo 2",AND(H446&gt;6666,H446&lt;=10000),"Grupo 3")</f>
        <v>Grupo 2</v>
      </c>
    </row>
    <row r="447" spans="1:17" x14ac:dyDescent="0.25">
      <c r="A447" t="s">
        <v>57</v>
      </c>
      <c r="B447" s="2">
        <v>44927.061111111107</v>
      </c>
      <c r="C447" t="s">
        <v>310</v>
      </c>
      <c r="D447" t="s">
        <v>216</v>
      </c>
      <c r="E447">
        <v>2</v>
      </c>
      <c r="F447">
        <v>361.59</v>
      </c>
      <c r="G447" t="s">
        <v>221</v>
      </c>
      <c r="H447">
        <v>723.18</v>
      </c>
      <c r="I447">
        <v>2023</v>
      </c>
      <c r="J447">
        <v>1</v>
      </c>
      <c r="K447">
        <v>1</v>
      </c>
      <c r="L447" s="14">
        <v>361.59</v>
      </c>
      <c r="M447" s="4" t="str">
        <f t="shared" si="24"/>
        <v>domingo</v>
      </c>
      <c r="N447" s="4" t="str">
        <f t="shared" si="25"/>
        <v>enero</v>
      </c>
      <c r="O447" s="4" t="str">
        <f t="shared" si="26"/>
        <v>NO</v>
      </c>
      <c r="P447" s="4" t="str">
        <f t="shared" si="27"/>
        <v>NO</v>
      </c>
      <c r="Q447" s="4" t="str" cm="1">
        <f t="array" ref="Q447">_xlfn.IFS(AND(H447&gt;=0,H447&lt;=3333),"Grupo 1",AND(H447&gt;3333,H447&lt;=6666),"Grupo 2",AND(H447&gt;6666,H447&lt;=10000),"Grupo 3")</f>
        <v>Grupo 1</v>
      </c>
    </row>
    <row r="448" spans="1:17" x14ac:dyDescent="0.25">
      <c r="A448" t="s">
        <v>58</v>
      </c>
      <c r="B448" s="2">
        <v>45097.359027777777</v>
      </c>
      <c r="C448" t="s">
        <v>311</v>
      </c>
      <c r="D448" t="s">
        <v>213</v>
      </c>
      <c r="E448">
        <v>5</v>
      </c>
      <c r="F448">
        <v>958.8</v>
      </c>
      <c r="G448" t="s">
        <v>221</v>
      </c>
      <c r="H448">
        <v>4794</v>
      </c>
      <c r="I448">
        <v>2023</v>
      </c>
      <c r="J448">
        <v>6</v>
      </c>
      <c r="K448">
        <v>8</v>
      </c>
      <c r="L448" s="14">
        <v>958.8</v>
      </c>
      <c r="M448" s="4" t="str">
        <f t="shared" si="24"/>
        <v>martes</v>
      </c>
      <c r="N448" s="4" t="str">
        <f t="shared" si="25"/>
        <v>junio</v>
      </c>
      <c r="O448" s="4" t="str">
        <f t="shared" si="26"/>
        <v>SI</v>
      </c>
      <c r="P448" s="4" t="str">
        <f t="shared" si="27"/>
        <v>NO</v>
      </c>
      <c r="Q448" s="4" t="str" cm="1">
        <f t="array" ref="Q448">_xlfn.IFS(AND(H448&gt;=0,H448&lt;=3333),"Grupo 1",AND(H448&gt;3333,H448&lt;=6666),"Grupo 2",AND(H448&gt;6666,H448&lt;=10000),"Grupo 3")</f>
        <v>Grupo 2</v>
      </c>
    </row>
    <row r="449" spans="1:17" x14ac:dyDescent="0.25">
      <c r="A449" t="s">
        <v>59</v>
      </c>
      <c r="B449" s="2">
        <v>45755.288194444453</v>
      </c>
      <c r="C449" t="s">
        <v>312</v>
      </c>
      <c r="D449" t="s">
        <v>214</v>
      </c>
      <c r="E449">
        <v>5</v>
      </c>
      <c r="F449">
        <v>1776.87</v>
      </c>
      <c r="G449" t="s">
        <v>222</v>
      </c>
      <c r="H449">
        <v>8884.3499999999985</v>
      </c>
      <c r="I449">
        <v>2025</v>
      </c>
      <c r="J449">
        <v>4</v>
      </c>
      <c r="K449">
        <v>6</v>
      </c>
      <c r="L449" s="14">
        <v>1776.87</v>
      </c>
      <c r="M449" s="4" t="str">
        <f t="shared" si="24"/>
        <v>martes</v>
      </c>
      <c r="N449" s="4" t="str">
        <f t="shared" si="25"/>
        <v>abril</v>
      </c>
      <c r="O449" s="4" t="str">
        <f t="shared" si="26"/>
        <v>SI</v>
      </c>
      <c r="P449" s="4" t="str">
        <f t="shared" si="27"/>
        <v>SI</v>
      </c>
      <c r="Q449" s="4" t="str" cm="1">
        <f t="array" ref="Q449">_xlfn.IFS(AND(H449&gt;=0,H449&lt;=3333),"Grupo 1",AND(H449&gt;3333,H449&lt;=6666),"Grupo 2",AND(H449&gt;6666,H449&lt;=10000),"Grupo 3")</f>
        <v>Grupo 3</v>
      </c>
    </row>
    <row r="450" spans="1:17" x14ac:dyDescent="0.25">
      <c r="A450" t="s">
        <v>60</v>
      </c>
      <c r="B450" s="2">
        <v>45782.866666666669</v>
      </c>
      <c r="C450" t="s">
        <v>313</v>
      </c>
      <c r="D450" t="s">
        <v>219</v>
      </c>
      <c r="E450">
        <v>1</v>
      </c>
      <c r="F450">
        <v>1467.34</v>
      </c>
      <c r="G450" t="s">
        <v>221</v>
      </c>
      <c r="H450">
        <v>1467.34</v>
      </c>
      <c r="I450">
        <v>2025</v>
      </c>
      <c r="J450">
        <v>5</v>
      </c>
      <c r="K450">
        <v>20</v>
      </c>
      <c r="L450" s="14">
        <v>1467.34</v>
      </c>
      <c r="M450" s="4" t="str">
        <f t="shared" ref="M450:M513" si="28">TEXT(B450,"dddd")</f>
        <v>lunes</v>
      </c>
      <c r="N450" s="4" t="str">
        <f t="shared" ref="N450:N513" si="29">TEXT(B450,"mmmm")</f>
        <v>mayo</v>
      </c>
      <c r="O450" s="4" t="str">
        <f t="shared" si="26"/>
        <v>NO</v>
      </c>
      <c r="P450" s="4" t="str">
        <f t="shared" si="27"/>
        <v>SI</v>
      </c>
      <c r="Q450" s="4" t="str" cm="1">
        <f t="array" ref="Q450">_xlfn.IFS(AND(H450&gt;=0,H450&lt;=3333),"Grupo 1",AND(H450&gt;3333,H450&lt;=6666),"Grupo 2",AND(H450&gt;6666,H450&lt;=10000),"Grupo 3")</f>
        <v>Grupo 1</v>
      </c>
    </row>
    <row r="451" spans="1:17" x14ac:dyDescent="0.25">
      <c r="A451" t="s">
        <v>61</v>
      </c>
      <c r="B451" s="2">
        <v>45819.341666666667</v>
      </c>
      <c r="C451" t="s">
        <v>314</v>
      </c>
      <c r="D451" t="s">
        <v>214</v>
      </c>
      <c r="E451">
        <v>3</v>
      </c>
      <c r="F451">
        <v>683.91</v>
      </c>
      <c r="G451" t="s">
        <v>222</v>
      </c>
      <c r="H451">
        <v>2051.73</v>
      </c>
      <c r="I451">
        <v>2025</v>
      </c>
      <c r="J451">
        <v>6</v>
      </c>
      <c r="K451">
        <v>8</v>
      </c>
      <c r="L451" s="14">
        <v>683.91</v>
      </c>
      <c r="M451" s="4" t="str">
        <f t="shared" si="28"/>
        <v>miércoles</v>
      </c>
      <c r="N451" s="4" t="str">
        <f t="shared" si="29"/>
        <v>junio</v>
      </c>
      <c r="O451" s="4" t="str">
        <f t="shared" ref="O451:O514" si="30">IF(H451&gt;AVERAGE(H:H),"SI","NO")</f>
        <v>NO</v>
      </c>
      <c r="P451" s="4" t="str">
        <f t="shared" ref="P451:P514" si="31">IF(L451&gt;AVERAGE(L:L),"SI","NO")</f>
        <v>NO</v>
      </c>
      <c r="Q451" s="4" t="str" cm="1">
        <f t="array" ref="Q451">_xlfn.IFS(AND(H451&gt;=0,H451&lt;=3333),"Grupo 1",AND(H451&gt;3333,H451&lt;=6666),"Grupo 2",AND(H451&gt;6666,H451&lt;=10000),"Grupo 3")</f>
        <v>Grupo 1</v>
      </c>
    </row>
    <row r="452" spans="1:17" x14ac:dyDescent="0.25">
      <c r="A452" t="s">
        <v>62</v>
      </c>
      <c r="B452" s="2">
        <v>45441.993055555547</v>
      </c>
      <c r="C452" t="s">
        <v>315</v>
      </c>
      <c r="D452" t="s">
        <v>214</v>
      </c>
      <c r="E452">
        <v>1</v>
      </c>
      <c r="F452">
        <v>1083.8599999999999</v>
      </c>
      <c r="G452" t="s">
        <v>222</v>
      </c>
      <c r="H452">
        <v>1083.8599999999999</v>
      </c>
      <c r="I452">
        <v>2024</v>
      </c>
      <c r="J452">
        <v>5</v>
      </c>
      <c r="K452">
        <v>23</v>
      </c>
      <c r="L452" s="14">
        <v>1083.8599999999999</v>
      </c>
      <c r="M452" s="4" t="str">
        <f t="shared" si="28"/>
        <v>miércoles</v>
      </c>
      <c r="N452" s="4" t="str">
        <f t="shared" si="29"/>
        <v>mayo</v>
      </c>
      <c r="O452" s="4" t="str">
        <f t="shared" si="30"/>
        <v>NO</v>
      </c>
      <c r="P452" s="4" t="str">
        <f t="shared" si="31"/>
        <v>SI</v>
      </c>
      <c r="Q452" s="4" t="str" cm="1">
        <f t="array" ref="Q452">_xlfn.IFS(AND(H452&gt;=0,H452&lt;=3333),"Grupo 1",AND(H452&gt;3333,H452&lt;=6666),"Grupo 2",AND(H452&gt;6666,H452&lt;=10000),"Grupo 3")</f>
        <v>Grupo 1</v>
      </c>
    </row>
    <row r="453" spans="1:17" x14ac:dyDescent="0.25">
      <c r="A453" t="s">
        <v>63</v>
      </c>
      <c r="B453" s="2">
        <v>45180.999305555553</v>
      </c>
      <c r="C453" t="s">
        <v>316</v>
      </c>
      <c r="D453" t="s">
        <v>212</v>
      </c>
      <c r="E453">
        <v>2</v>
      </c>
      <c r="F453">
        <v>1551.85</v>
      </c>
      <c r="G453" t="s">
        <v>220</v>
      </c>
      <c r="H453">
        <v>3103.7</v>
      </c>
      <c r="I453">
        <v>2023</v>
      </c>
      <c r="J453">
        <v>9</v>
      </c>
      <c r="K453">
        <v>23</v>
      </c>
      <c r="L453" s="14">
        <v>1551.85</v>
      </c>
      <c r="M453" s="4" t="str">
        <f t="shared" si="28"/>
        <v>lunes</v>
      </c>
      <c r="N453" s="4" t="str">
        <f t="shared" si="29"/>
        <v>septiembre</v>
      </c>
      <c r="O453" s="4" t="str">
        <f t="shared" si="30"/>
        <v>SI</v>
      </c>
      <c r="P453" s="4" t="str">
        <f t="shared" si="31"/>
        <v>SI</v>
      </c>
      <c r="Q453" s="4" t="str" cm="1">
        <f t="array" ref="Q453">_xlfn.IFS(AND(H453&gt;=0,H453&lt;=3333),"Grupo 1",AND(H453&gt;3333,H453&lt;=6666),"Grupo 2",AND(H453&gt;6666,H453&lt;=10000),"Grupo 3")</f>
        <v>Grupo 1</v>
      </c>
    </row>
    <row r="454" spans="1:17" x14ac:dyDescent="0.25">
      <c r="A454" t="s">
        <v>64</v>
      </c>
      <c r="B454" s="2">
        <v>45624.619444444441</v>
      </c>
      <c r="C454" t="s">
        <v>317</v>
      </c>
      <c r="D454" t="s">
        <v>217</v>
      </c>
      <c r="E454">
        <v>5</v>
      </c>
      <c r="F454">
        <v>1368.27</v>
      </c>
      <c r="G454" t="s">
        <v>220</v>
      </c>
      <c r="H454">
        <v>6841.35</v>
      </c>
      <c r="I454">
        <v>2024</v>
      </c>
      <c r="J454">
        <v>11</v>
      </c>
      <c r="K454">
        <v>14</v>
      </c>
      <c r="L454" s="14">
        <v>1368.27</v>
      </c>
      <c r="M454" s="4" t="str">
        <f t="shared" si="28"/>
        <v>jueves</v>
      </c>
      <c r="N454" s="4" t="str">
        <f t="shared" si="29"/>
        <v>noviembre</v>
      </c>
      <c r="O454" s="4" t="str">
        <f t="shared" si="30"/>
        <v>SI</v>
      </c>
      <c r="P454" s="4" t="str">
        <f t="shared" si="31"/>
        <v>SI</v>
      </c>
      <c r="Q454" s="4" t="str" cm="1">
        <f t="array" ref="Q454">_xlfn.IFS(AND(H454&gt;=0,H454&lt;=3333),"Grupo 1",AND(H454&gt;3333,H454&lt;=6666),"Grupo 2",AND(H454&gt;6666,H454&lt;=10000),"Grupo 3")</f>
        <v>Grupo 3</v>
      </c>
    </row>
    <row r="455" spans="1:17" x14ac:dyDescent="0.25">
      <c r="A455" t="s">
        <v>65</v>
      </c>
      <c r="B455" s="2">
        <v>45447.955555555563</v>
      </c>
      <c r="C455" t="s">
        <v>318</v>
      </c>
      <c r="D455" t="s">
        <v>217</v>
      </c>
      <c r="E455">
        <v>4</v>
      </c>
      <c r="F455">
        <v>1818.88</v>
      </c>
      <c r="G455" t="s">
        <v>220</v>
      </c>
      <c r="H455">
        <v>7275.52</v>
      </c>
      <c r="I455">
        <v>2024</v>
      </c>
      <c r="J455">
        <v>6</v>
      </c>
      <c r="K455">
        <v>22</v>
      </c>
      <c r="L455" s="14">
        <v>1818.88</v>
      </c>
      <c r="M455" s="4" t="str">
        <f t="shared" si="28"/>
        <v>martes</v>
      </c>
      <c r="N455" s="4" t="str">
        <f t="shared" si="29"/>
        <v>junio</v>
      </c>
      <c r="O455" s="4" t="str">
        <f t="shared" si="30"/>
        <v>SI</v>
      </c>
      <c r="P455" s="4" t="str">
        <f t="shared" si="31"/>
        <v>SI</v>
      </c>
      <c r="Q455" s="4" t="str" cm="1">
        <f t="array" ref="Q455">_xlfn.IFS(AND(H455&gt;=0,H455&lt;=3333),"Grupo 1",AND(H455&gt;3333,H455&lt;=6666),"Grupo 2",AND(H455&gt;6666,H455&lt;=10000),"Grupo 3")</f>
        <v>Grupo 3</v>
      </c>
    </row>
    <row r="456" spans="1:17" x14ac:dyDescent="0.25">
      <c r="A456" t="s">
        <v>66</v>
      </c>
      <c r="B456" s="2">
        <v>45051.74722222222</v>
      </c>
      <c r="C456" t="s">
        <v>319</v>
      </c>
      <c r="D456" t="s">
        <v>218</v>
      </c>
      <c r="E456">
        <v>4</v>
      </c>
      <c r="F456">
        <v>1601.32</v>
      </c>
      <c r="G456" t="s">
        <v>221</v>
      </c>
      <c r="H456">
        <v>6405.28</v>
      </c>
      <c r="I456">
        <v>2023</v>
      </c>
      <c r="J456">
        <v>5</v>
      </c>
      <c r="K456">
        <v>17</v>
      </c>
      <c r="L456" s="14">
        <v>1601.32</v>
      </c>
      <c r="M456" s="4" t="str">
        <f t="shared" si="28"/>
        <v>viernes</v>
      </c>
      <c r="N456" s="4" t="str">
        <f t="shared" si="29"/>
        <v>mayo</v>
      </c>
      <c r="O456" s="4" t="str">
        <f t="shared" si="30"/>
        <v>SI</v>
      </c>
      <c r="P456" s="4" t="str">
        <f t="shared" si="31"/>
        <v>SI</v>
      </c>
      <c r="Q456" s="4" t="str" cm="1">
        <f t="array" ref="Q456">_xlfn.IFS(AND(H456&gt;=0,H456&lt;=3333),"Grupo 1",AND(H456&gt;3333,H456&lt;=6666),"Grupo 2",AND(H456&gt;6666,H456&lt;=10000),"Grupo 3")</f>
        <v>Grupo 2</v>
      </c>
    </row>
    <row r="457" spans="1:17" x14ac:dyDescent="0.25">
      <c r="A457" t="s">
        <v>67</v>
      </c>
      <c r="B457" s="2">
        <v>45019.26666666667</v>
      </c>
      <c r="C457" t="s">
        <v>320</v>
      </c>
      <c r="D457" t="s">
        <v>213</v>
      </c>
      <c r="E457">
        <v>4</v>
      </c>
      <c r="F457">
        <v>177.79</v>
      </c>
      <c r="G457" t="s">
        <v>221</v>
      </c>
      <c r="H457">
        <v>711.16</v>
      </c>
      <c r="I457">
        <v>2023</v>
      </c>
      <c r="J457">
        <v>4</v>
      </c>
      <c r="K457">
        <v>6</v>
      </c>
      <c r="L457" s="14">
        <v>177.79</v>
      </c>
      <c r="M457" s="4" t="str">
        <f t="shared" si="28"/>
        <v>lunes</v>
      </c>
      <c r="N457" s="4" t="str">
        <f t="shared" si="29"/>
        <v>abril</v>
      </c>
      <c r="O457" s="4" t="str">
        <f t="shared" si="30"/>
        <v>NO</v>
      </c>
      <c r="P457" s="4" t="str">
        <f t="shared" si="31"/>
        <v>NO</v>
      </c>
      <c r="Q457" s="4" t="str" cm="1">
        <f t="array" ref="Q457">_xlfn.IFS(AND(H457&gt;=0,H457&lt;=3333),"Grupo 1",AND(H457&gt;3333,H457&lt;=6666),"Grupo 2",AND(H457&gt;6666,H457&lt;=10000),"Grupo 3")</f>
        <v>Grupo 1</v>
      </c>
    </row>
    <row r="458" spans="1:17" x14ac:dyDescent="0.25">
      <c r="A458" t="s">
        <v>68</v>
      </c>
      <c r="B458" s="2">
        <v>44969.094444444447</v>
      </c>
      <c r="C458" t="s">
        <v>321</v>
      </c>
      <c r="D458" t="s">
        <v>213</v>
      </c>
      <c r="E458">
        <v>1</v>
      </c>
      <c r="F458">
        <v>83.48</v>
      </c>
      <c r="G458" t="s">
        <v>221</v>
      </c>
      <c r="H458">
        <v>83.48</v>
      </c>
      <c r="I458">
        <v>2023</v>
      </c>
      <c r="J458">
        <v>2</v>
      </c>
      <c r="K458">
        <v>2</v>
      </c>
      <c r="L458" s="14">
        <v>83.48</v>
      </c>
      <c r="M458" s="4" t="str">
        <f t="shared" si="28"/>
        <v>domingo</v>
      </c>
      <c r="N458" s="4" t="str">
        <f t="shared" si="29"/>
        <v>febrero</v>
      </c>
      <c r="O458" s="4" t="str">
        <f t="shared" si="30"/>
        <v>NO</v>
      </c>
      <c r="P458" s="4" t="str">
        <f t="shared" si="31"/>
        <v>NO</v>
      </c>
      <c r="Q458" s="4" t="str" cm="1">
        <f t="array" ref="Q458">_xlfn.IFS(AND(H458&gt;=0,H458&lt;=3333),"Grupo 1",AND(H458&gt;3333,H458&lt;=6666),"Grupo 2",AND(H458&gt;6666,H458&lt;=10000),"Grupo 3")</f>
        <v>Grupo 1</v>
      </c>
    </row>
    <row r="459" spans="1:17" x14ac:dyDescent="0.25">
      <c r="A459" t="s">
        <v>69</v>
      </c>
      <c r="B459" s="2">
        <v>45091.519444444442</v>
      </c>
      <c r="C459" t="s">
        <v>322</v>
      </c>
      <c r="D459" t="s">
        <v>219</v>
      </c>
      <c r="E459">
        <v>1</v>
      </c>
      <c r="F459">
        <v>1372.72</v>
      </c>
      <c r="G459" t="s">
        <v>221</v>
      </c>
      <c r="H459">
        <v>1372.72</v>
      </c>
      <c r="I459">
        <v>2023</v>
      </c>
      <c r="J459">
        <v>6</v>
      </c>
      <c r="K459">
        <v>12</v>
      </c>
      <c r="L459" s="14">
        <v>1372.72</v>
      </c>
      <c r="M459" s="4" t="str">
        <f t="shared" si="28"/>
        <v>miércoles</v>
      </c>
      <c r="N459" s="4" t="str">
        <f t="shared" si="29"/>
        <v>junio</v>
      </c>
      <c r="O459" s="4" t="str">
        <f t="shared" si="30"/>
        <v>NO</v>
      </c>
      <c r="P459" s="4" t="str">
        <f t="shared" si="31"/>
        <v>SI</v>
      </c>
      <c r="Q459" s="4" t="str" cm="1">
        <f t="array" ref="Q459">_xlfn.IFS(AND(H459&gt;=0,H459&lt;=3333),"Grupo 1",AND(H459&gt;3333,H459&lt;=6666),"Grupo 2",AND(H459&gt;6666,H459&lt;=10000),"Grupo 3")</f>
        <v>Grupo 1</v>
      </c>
    </row>
    <row r="460" spans="1:17" x14ac:dyDescent="0.25">
      <c r="A460" t="s">
        <v>70</v>
      </c>
      <c r="B460" s="2">
        <v>45494</v>
      </c>
      <c r="C460" t="s">
        <v>323</v>
      </c>
      <c r="D460" t="s">
        <v>212</v>
      </c>
      <c r="E460">
        <v>1</v>
      </c>
      <c r="F460">
        <v>1618.91</v>
      </c>
      <c r="G460" t="s">
        <v>220</v>
      </c>
      <c r="H460">
        <v>1618.91</v>
      </c>
      <c r="I460">
        <v>2024</v>
      </c>
      <c r="J460">
        <v>7</v>
      </c>
      <c r="K460">
        <v>0</v>
      </c>
      <c r="L460" s="14">
        <v>1618.91</v>
      </c>
      <c r="M460" s="4" t="str">
        <f t="shared" si="28"/>
        <v>domingo</v>
      </c>
      <c r="N460" s="4" t="str">
        <f t="shared" si="29"/>
        <v>julio</v>
      </c>
      <c r="O460" s="4" t="str">
        <f t="shared" si="30"/>
        <v>NO</v>
      </c>
      <c r="P460" s="4" t="str">
        <f t="shared" si="31"/>
        <v>SI</v>
      </c>
      <c r="Q460" s="4" t="str" cm="1">
        <f t="array" ref="Q460">_xlfn.IFS(AND(H460&gt;=0,H460&lt;=3333),"Grupo 1",AND(H460&gt;3333,H460&lt;=6666),"Grupo 2",AND(H460&gt;6666,H460&lt;=10000),"Grupo 3")</f>
        <v>Grupo 1</v>
      </c>
    </row>
    <row r="461" spans="1:17" x14ac:dyDescent="0.25">
      <c r="A461" t="s">
        <v>71</v>
      </c>
      <c r="B461" s="2">
        <v>45364.463194444441</v>
      </c>
      <c r="C461" t="s">
        <v>324</v>
      </c>
      <c r="D461" t="s">
        <v>215</v>
      </c>
      <c r="E461">
        <v>4</v>
      </c>
      <c r="F461">
        <v>530.65</v>
      </c>
      <c r="G461" t="s">
        <v>220</v>
      </c>
      <c r="H461">
        <v>2122.6</v>
      </c>
      <c r="I461">
        <v>2024</v>
      </c>
      <c r="J461">
        <v>3</v>
      </c>
      <c r="K461">
        <v>11</v>
      </c>
      <c r="L461" s="14">
        <v>530.65</v>
      </c>
      <c r="M461" s="4" t="str">
        <f t="shared" si="28"/>
        <v>miércoles</v>
      </c>
      <c r="N461" s="4" t="str">
        <f t="shared" si="29"/>
        <v>marzo</v>
      </c>
      <c r="O461" s="4" t="str">
        <f t="shared" si="30"/>
        <v>NO</v>
      </c>
      <c r="P461" s="4" t="str">
        <f t="shared" si="31"/>
        <v>NO</v>
      </c>
      <c r="Q461" s="4" t="str" cm="1">
        <f t="array" ref="Q461">_xlfn.IFS(AND(H461&gt;=0,H461&lt;=3333),"Grupo 1",AND(H461&gt;3333,H461&lt;=6666),"Grupo 2",AND(H461&gt;6666,H461&lt;=10000),"Grupo 3")</f>
        <v>Grupo 1</v>
      </c>
    </row>
    <row r="462" spans="1:17" x14ac:dyDescent="0.25">
      <c r="A462" t="s">
        <v>72</v>
      </c>
      <c r="B462" s="2">
        <v>45583.023611111108</v>
      </c>
      <c r="C462" t="s">
        <v>325</v>
      </c>
      <c r="D462" t="s">
        <v>216</v>
      </c>
      <c r="E462">
        <v>5</v>
      </c>
      <c r="F462">
        <v>418.83</v>
      </c>
      <c r="G462" t="s">
        <v>221</v>
      </c>
      <c r="H462">
        <v>2094.15</v>
      </c>
      <c r="I462">
        <v>2024</v>
      </c>
      <c r="J462">
        <v>10</v>
      </c>
      <c r="K462">
        <v>0</v>
      </c>
      <c r="L462" s="14">
        <v>418.83</v>
      </c>
      <c r="M462" s="4" t="str">
        <f t="shared" si="28"/>
        <v>viernes</v>
      </c>
      <c r="N462" s="4" t="str">
        <f t="shared" si="29"/>
        <v>octubre</v>
      </c>
      <c r="O462" s="4" t="str">
        <f t="shared" si="30"/>
        <v>NO</v>
      </c>
      <c r="P462" s="4" t="str">
        <f t="shared" si="31"/>
        <v>NO</v>
      </c>
      <c r="Q462" s="4" t="str" cm="1">
        <f t="array" ref="Q462">_xlfn.IFS(AND(H462&gt;=0,H462&lt;=3333),"Grupo 1",AND(H462&gt;3333,H462&lt;=6666),"Grupo 2",AND(H462&gt;6666,H462&lt;=10000),"Grupo 3")</f>
        <v>Grupo 1</v>
      </c>
    </row>
    <row r="463" spans="1:17" x14ac:dyDescent="0.25">
      <c r="A463" t="s">
        <v>73</v>
      </c>
      <c r="B463" s="2">
        <v>45779.546527777777</v>
      </c>
      <c r="C463" t="s">
        <v>326</v>
      </c>
      <c r="D463" t="s">
        <v>214</v>
      </c>
      <c r="E463">
        <v>3</v>
      </c>
      <c r="F463">
        <v>664.98</v>
      </c>
      <c r="G463" t="s">
        <v>222</v>
      </c>
      <c r="H463">
        <v>1994.94</v>
      </c>
      <c r="I463">
        <v>2025</v>
      </c>
      <c r="J463">
        <v>5</v>
      </c>
      <c r="K463">
        <v>13</v>
      </c>
      <c r="L463" s="14">
        <v>664.98</v>
      </c>
      <c r="M463" s="4" t="str">
        <f t="shared" si="28"/>
        <v>viernes</v>
      </c>
      <c r="N463" s="4" t="str">
        <f t="shared" si="29"/>
        <v>mayo</v>
      </c>
      <c r="O463" s="4" t="str">
        <f t="shared" si="30"/>
        <v>NO</v>
      </c>
      <c r="P463" s="4" t="str">
        <f t="shared" si="31"/>
        <v>NO</v>
      </c>
      <c r="Q463" s="4" t="str" cm="1">
        <f t="array" ref="Q463">_xlfn.IFS(AND(H463&gt;=0,H463&lt;=3333),"Grupo 1",AND(H463&gt;3333,H463&lt;=6666),"Grupo 2",AND(H463&gt;6666,H463&lt;=10000),"Grupo 3")</f>
        <v>Grupo 1</v>
      </c>
    </row>
    <row r="464" spans="1:17" x14ac:dyDescent="0.25">
      <c r="A464" t="s">
        <v>74</v>
      </c>
      <c r="B464" s="2">
        <v>45516.480555555558</v>
      </c>
      <c r="C464" t="s">
        <v>327</v>
      </c>
      <c r="D464" t="s">
        <v>217</v>
      </c>
      <c r="E464">
        <v>1</v>
      </c>
      <c r="F464">
        <v>1322.41</v>
      </c>
      <c r="G464" t="s">
        <v>220</v>
      </c>
      <c r="H464">
        <v>1322.41</v>
      </c>
      <c r="I464">
        <v>2024</v>
      </c>
      <c r="J464">
        <v>8</v>
      </c>
      <c r="K464">
        <v>11</v>
      </c>
      <c r="L464" s="14">
        <v>1322.41</v>
      </c>
      <c r="M464" s="4" t="str">
        <f t="shared" si="28"/>
        <v>lunes</v>
      </c>
      <c r="N464" s="4" t="str">
        <f t="shared" si="29"/>
        <v>agosto</v>
      </c>
      <c r="O464" s="4" t="str">
        <f t="shared" si="30"/>
        <v>NO</v>
      </c>
      <c r="P464" s="4" t="str">
        <f t="shared" si="31"/>
        <v>SI</v>
      </c>
      <c r="Q464" s="4" t="str" cm="1">
        <f t="array" ref="Q464">_xlfn.IFS(AND(H464&gt;=0,H464&lt;=3333),"Grupo 1",AND(H464&gt;3333,H464&lt;=6666),"Grupo 2",AND(H464&gt;6666,H464&lt;=10000),"Grupo 3")</f>
        <v>Grupo 1</v>
      </c>
    </row>
    <row r="465" spans="1:17" x14ac:dyDescent="0.25">
      <c r="A465" t="s">
        <v>75</v>
      </c>
      <c r="B465" s="2">
        <v>45285.25277777778</v>
      </c>
      <c r="C465" t="s">
        <v>328</v>
      </c>
      <c r="D465" t="s">
        <v>212</v>
      </c>
      <c r="E465">
        <v>4</v>
      </c>
      <c r="F465">
        <v>1467.27</v>
      </c>
      <c r="G465" t="s">
        <v>220</v>
      </c>
      <c r="H465">
        <v>5869.08</v>
      </c>
      <c r="I465">
        <v>2023</v>
      </c>
      <c r="J465">
        <v>12</v>
      </c>
      <c r="K465">
        <v>6</v>
      </c>
      <c r="L465" s="14">
        <v>1467.27</v>
      </c>
      <c r="M465" s="4" t="str">
        <f t="shared" si="28"/>
        <v>lunes</v>
      </c>
      <c r="N465" s="4" t="str">
        <f t="shared" si="29"/>
        <v>diciembre</v>
      </c>
      <c r="O465" s="4" t="str">
        <f t="shared" si="30"/>
        <v>SI</v>
      </c>
      <c r="P465" s="4" t="str">
        <f t="shared" si="31"/>
        <v>SI</v>
      </c>
      <c r="Q465" s="4" t="str" cm="1">
        <f t="array" ref="Q465">_xlfn.IFS(AND(H465&gt;=0,H465&lt;=3333),"Grupo 1",AND(H465&gt;3333,H465&lt;=6666),"Grupo 2",AND(H465&gt;6666,H465&lt;=10000),"Grupo 3")</f>
        <v>Grupo 2</v>
      </c>
    </row>
    <row r="466" spans="1:17" x14ac:dyDescent="0.25">
      <c r="A466" t="s">
        <v>76</v>
      </c>
      <c r="B466" s="2">
        <v>45297.965277777781</v>
      </c>
      <c r="C466" t="s">
        <v>329</v>
      </c>
      <c r="D466" t="s">
        <v>215</v>
      </c>
      <c r="E466">
        <v>4</v>
      </c>
      <c r="F466">
        <v>1804.12</v>
      </c>
      <c r="G466" t="s">
        <v>220</v>
      </c>
      <c r="H466">
        <v>7216.48</v>
      </c>
      <c r="I466">
        <v>2024</v>
      </c>
      <c r="J466">
        <v>1</v>
      </c>
      <c r="K466">
        <v>23</v>
      </c>
      <c r="L466" s="14">
        <v>1804.12</v>
      </c>
      <c r="M466" s="4" t="str">
        <f t="shared" si="28"/>
        <v>sábado</v>
      </c>
      <c r="N466" s="4" t="str">
        <f t="shared" si="29"/>
        <v>enero</v>
      </c>
      <c r="O466" s="4" t="str">
        <f t="shared" si="30"/>
        <v>SI</v>
      </c>
      <c r="P466" s="4" t="str">
        <f t="shared" si="31"/>
        <v>SI</v>
      </c>
      <c r="Q466" s="4" t="str" cm="1">
        <f t="array" ref="Q466">_xlfn.IFS(AND(H466&gt;=0,H466&lt;=3333),"Grupo 1",AND(H466&gt;3333,H466&lt;=6666),"Grupo 2",AND(H466&gt;6666,H466&lt;=10000),"Grupo 3")</f>
        <v>Grupo 3</v>
      </c>
    </row>
    <row r="467" spans="1:17" x14ac:dyDescent="0.25">
      <c r="A467" t="s">
        <v>77</v>
      </c>
      <c r="B467" s="2">
        <v>45434.519444444442</v>
      </c>
      <c r="C467" t="s">
        <v>330</v>
      </c>
      <c r="D467" t="s">
        <v>219</v>
      </c>
      <c r="E467">
        <v>1</v>
      </c>
      <c r="F467">
        <v>1172.72</v>
      </c>
      <c r="G467" t="s">
        <v>221</v>
      </c>
      <c r="H467">
        <v>1172.72</v>
      </c>
      <c r="I467">
        <v>2024</v>
      </c>
      <c r="J467">
        <v>5</v>
      </c>
      <c r="K467">
        <v>12</v>
      </c>
      <c r="L467" s="14">
        <v>1172.72</v>
      </c>
      <c r="M467" s="4" t="str">
        <f t="shared" si="28"/>
        <v>miércoles</v>
      </c>
      <c r="N467" s="4" t="str">
        <f t="shared" si="29"/>
        <v>mayo</v>
      </c>
      <c r="O467" s="4" t="str">
        <f t="shared" si="30"/>
        <v>NO</v>
      </c>
      <c r="P467" s="4" t="str">
        <f t="shared" si="31"/>
        <v>SI</v>
      </c>
      <c r="Q467" s="4" t="str" cm="1">
        <f t="array" ref="Q467">_xlfn.IFS(AND(H467&gt;=0,H467&lt;=3333),"Grupo 1",AND(H467&gt;3333,H467&lt;=6666),"Grupo 2",AND(H467&gt;6666,H467&lt;=10000),"Grupo 3")</f>
        <v>Grupo 1</v>
      </c>
    </row>
    <row r="468" spans="1:17" x14ac:dyDescent="0.25">
      <c r="A468" t="s">
        <v>78</v>
      </c>
      <c r="B468" s="2">
        <v>45290.050694444442</v>
      </c>
      <c r="C468" t="s">
        <v>331</v>
      </c>
      <c r="D468" t="s">
        <v>218</v>
      </c>
      <c r="E468">
        <v>1</v>
      </c>
      <c r="F468">
        <v>725.07</v>
      </c>
      <c r="G468" t="s">
        <v>221</v>
      </c>
      <c r="H468">
        <v>725.07</v>
      </c>
      <c r="I468">
        <v>2023</v>
      </c>
      <c r="J468">
        <v>12</v>
      </c>
      <c r="K468">
        <v>1</v>
      </c>
      <c r="L468" s="14">
        <v>725.07</v>
      </c>
      <c r="M468" s="4" t="str">
        <f t="shared" si="28"/>
        <v>sábado</v>
      </c>
      <c r="N468" s="4" t="str">
        <f t="shared" si="29"/>
        <v>diciembre</v>
      </c>
      <c r="O468" s="4" t="str">
        <f t="shared" si="30"/>
        <v>NO</v>
      </c>
      <c r="P468" s="4" t="str">
        <f t="shared" si="31"/>
        <v>NO</v>
      </c>
      <c r="Q468" s="4" t="str" cm="1">
        <f t="array" ref="Q468">_xlfn.IFS(AND(H468&gt;=0,H468&lt;=3333),"Grupo 1",AND(H468&gt;3333,H468&lt;=6666),"Grupo 2",AND(H468&gt;6666,H468&lt;=10000),"Grupo 3")</f>
        <v>Grupo 1</v>
      </c>
    </row>
    <row r="469" spans="1:17" x14ac:dyDescent="0.25">
      <c r="A469" t="s">
        <v>79</v>
      </c>
      <c r="B469" s="2">
        <v>45684.334027777782</v>
      </c>
      <c r="C469" t="s">
        <v>332</v>
      </c>
      <c r="D469" t="s">
        <v>212</v>
      </c>
      <c r="E469">
        <v>5</v>
      </c>
      <c r="F469">
        <v>563.69000000000005</v>
      </c>
      <c r="G469" t="s">
        <v>220</v>
      </c>
      <c r="H469">
        <v>2818.45</v>
      </c>
      <c r="I469">
        <v>2025</v>
      </c>
      <c r="J469">
        <v>1</v>
      </c>
      <c r="K469">
        <v>8</v>
      </c>
      <c r="L469" s="14">
        <v>563.69000000000005</v>
      </c>
      <c r="M469" s="4" t="str">
        <f t="shared" si="28"/>
        <v>lunes</v>
      </c>
      <c r="N469" s="4" t="str">
        <f t="shared" si="29"/>
        <v>enero</v>
      </c>
      <c r="O469" s="4" t="str">
        <f t="shared" si="30"/>
        <v>NO</v>
      </c>
      <c r="P469" s="4" t="str">
        <f t="shared" si="31"/>
        <v>NO</v>
      </c>
      <c r="Q469" s="4" t="str" cm="1">
        <f t="array" ref="Q469">_xlfn.IFS(AND(H469&gt;=0,H469&lt;=3333),"Grupo 1",AND(H469&gt;3333,H469&lt;=6666),"Grupo 2",AND(H469&gt;6666,H469&lt;=10000),"Grupo 3")</f>
        <v>Grupo 1</v>
      </c>
    </row>
    <row r="470" spans="1:17" x14ac:dyDescent="0.25">
      <c r="A470" t="s">
        <v>80</v>
      </c>
      <c r="B470" s="2">
        <v>45222.202777777777</v>
      </c>
      <c r="C470" t="s">
        <v>333</v>
      </c>
      <c r="D470" t="s">
        <v>219</v>
      </c>
      <c r="E470">
        <v>5</v>
      </c>
      <c r="F470">
        <v>1547.41</v>
      </c>
      <c r="G470" t="s">
        <v>221</v>
      </c>
      <c r="H470">
        <v>7737.05</v>
      </c>
      <c r="I470">
        <v>2023</v>
      </c>
      <c r="J470">
        <v>10</v>
      </c>
      <c r="K470">
        <v>4</v>
      </c>
      <c r="L470" s="14">
        <v>1547.41</v>
      </c>
      <c r="M470" s="4" t="str">
        <f t="shared" si="28"/>
        <v>lunes</v>
      </c>
      <c r="N470" s="4" t="str">
        <f t="shared" si="29"/>
        <v>octubre</v>
      </c>
      <c r="O470" s="4" t="str">
        <f t="shared" si="30"/>
        <v>SI</v>
      </c>
      <c r="P470" s="4" t="str">
        <f t="shared" si="31"/>
        <v>SI</v>
      </c>
      <c r="Q470" s="4" t="str" cm="1">
        <f t="array" ref="Q470">_xlfn.IFS(AND(H470&gt;=0,H470&lt;=3333),"Grupo 1",AND(H470&gt;3333,H470&lt;=6666),"Grupo 2",AND(H470&gt;6666,H470&lt;=10000),"Grupo 3")</f>
        <v>Grupo 3</v>
      </c>
    </row>
    <row r="471" spans="1:17" x14ac:dyDescent="0.25">
      <c r="A471" t="s">
        <v>81</v>
      </c>
      <c r="B471" s="2">
        <v>45274.597916666673</v>
      </c>
      <c r="C471" t="s">
        <v>334</v>
      </c>
      <c r="D471" t="s">
        <v>216</v>
      </c>
      <c r="E471">
        <v>2</v>
      </c>
      <c r="F471">
        <v>1903.65</v>
      </c>
      <c r="G471" t="s">
        <v>221</v>
      </c>
      <c r="H471">
        <v>3807.3</v>
      </c>
      <c r="I471">
        <v>2023</v>
      </c>
      <c r="J471">
        <v>12</v>
      </c>
      <c r="K471">
        <v>14</v>
      </c>
      <c r="L471" s="14">
        <v>1903.65</v>
      </c>
      <c r="M471" s="4" t="str">
        <f t="shared" si="28"/>
        <v>jueves</v>
      </c>
      <c r="N471" s="4" t="str">
        <f t="shared" si="29"/>
        <v>diciembre</v>
      </c>
      <c r="O471" s="4" t="str">
        <f t="shared" si="30"/>
        <v>SI</v>
      </c>
      <c r="P471" s="4" t="str">
        <f t="shared" si="31"/>
        <v>SI</v>
      </c>
      <c r="Q471" s="4" t="str" cm="1">
        <f t="array" ref="Q471">_xlfn.IFS(AND(H471&gt;=0,H471&lt;=3333),"Grupo 1",AND(H471&gt;3333,H471&lt;=6666),"Grupo 2",AND(H471&gt;6666,H471&lt;=10000),"Grupo 3")</f>
        <v>Grupo 2</v>
      </c>
    </row>
    <row r="472" spans="1:17" x14ac:dyDescent="0.25">
      <c r="A472" t="s">
        <v>82</v>
      </c>
      <c r="B472" s="2">
        <v>45358.874305555553</v>
      </c>
      <c r="C472" t="s">
        <v>335</v>
      </c>
      <c r="D472" t="s">
        <v>215</v>
      </c>
      <c r="E472">
        <v>2</v>
      </c>
      <c r="F472">
        <v>1198.2</v>
      </c>
      <c r="G472" t="s">
        <v>220</v>
      </c>
      <c r="H472">
        <v>2396.4</v>
      </c>
      <c r="I472">
        <v>2024</v>
      </c>
      <c r="J472">
        <v>3</v>
      </c>
      <c r="K472">
        <v>20</v>
      </c>
      <c r="L472" s="14">
        <v>1198.2</v>
      </c>
      <c r="M472" s="4" t="str">
        <f t="shared" si="28"/>
        <v>jueves</v>
      </c>
      <c r="N472" s="4" t="str">
        <f t="shared" si="29"/>
        <v>marzo</v>
      </c>
      <c r="O472" s="4" t="str">
        <f t="shared" si="30"/>
        <v>NO</v>
      </c>
      <c r="P472" s="4" t="str">
        <f t="shared" si="31"/>
        <v>SI</v>
      </c>
      <c r="Q472" s="4" t="str" cm="1">
        <f t="array" ref="Q472">_xlfn.IFS(AND(H472&gt;=0,H472&lt;=3333),"Grupo 1",AND(H472&gt;3333,H472&lt;=6666),"Grupo 2",AND(H472&gt;6666,H472&lt;=10000),"Grupo 3")</f>
        <v>Grupo 1</v>
      </c>
    </row>
    <row r="473" spans="1:17" x14ac:dyDescent="0.25">
      <c r="A473" t="s">
        <v>83</v>
      </c>
      <c r="B473" s="2">
        <v>45850.171527777777</v>
      </c>
      <c r="C473" t="s">
        <v>336</v>
      </c>
      <c r="D473" t="s">
        <v>213</v>
      </c>
      <c r="E473">
        <v>3</v>
      </c>
      <c r="F473">
        <v>543.72</v>
      </c>
      <c r="G473" t="s">
        <v>221</v>
      </c>
      <c r="H473">
        <v>1631.16</v>
      </c>
      <c r="I473">
        <v>2025</v>
      </c>
      <c r="J473">
        <v>7</v>
      </c>
      <c r="K473">
        <v>4</v>
      </c>
      <c r="L473" s="14">
        <v>543.72</v>
      </c>
      <c r="M473" s="4" t="str">
        <f t="shared" si="28"/>
        <v>sábado</v>
      </c>
      <c r="N473" s="4" t="str">
        <f t="shared" si="29"/>
        <v>julio</v>
      </c>
      <c r="O473" s="4" t="str">
        <f t="shared" si="30"/>
        <v>NO</v>
      </c>
      <c r="P473" s="4" t="str">
        <f t="shared" si="31"/>
        <v>NO</v>
      </c>
      <c r="Q473" s="4" t="str" cm="1">
        <f t="array" ref="Q473">_xlfn.IFS(AND(H473&gt;=0,H473&lt;=3333),"Grupo 1",AND(H473&gt;3333,H473&lt;=6666),"Grupo 2",AND(H473&gt;6666,H473&lt;=10000),"Grupo 3")</f>
        <v>Grupo 1</v>
      </c>
    </row>
    <row r="474" spans="1:17" x14ac:dyDescent="0.25">
      <c r="A474" t="s">
        <v>84</v>
      </c>
      <c r="B474" s="2">
        <v>45041.884027777778</v>
      </c>
      <c r="C474" t="s">
        <v>337</v>
      </c>
      <c r="D474" t="s">
        <v>216</v>
      </c>
      <c r="E474">
        <v>2</v>
      </c>
      <c r="F474">
        <v>1449.53</v>
      </c>
      <c r="G474" t="s">
        <v>221</v>
      </c>
      <c r="H474">
        <v>2899.06</v>
      </c>
      <c r="I474">
        <v>2023</v>
      </c>
      <c r="J474">
        <v>4</v>
      </c>
      <c r="K474">
        <v>21</v>
      </c>
      <c r="L474" s="14">
        <v>1449.53</v>
      </c>
      <c r="M474" s="4" t="str">
        <f t="shared" si="28"/>
        <v>martes</v>
      </c>
      <c r="N474" s="4" t="str">
        <f t="shared" si="29"/>
        <v>abril</v>
      </c>
      <c r="O474" s="4" t="str">
        <f t="shared" si="30"/>
        <v>SI</v>
      </c>
      <c r="P474" s="4" t="str">
        <f t="shared" si="31"/>
        <v>SI</v>
      </c>
      <c r="Q474" s="4" t="str" cm="1">
        <f t="array" ref="Q474">_xlfn.IFS(AND(H474&gt;=0,H474&lt;=3333),"Grupo 1",AND(H474&gt;3333,H474&lt;=6666),"Grupo 2",AND(H474&gt;6666,H474&lt;=10000),"Grupo 3")</f>
        <v>Grupo 1</v>
      </c>
    </row>
    <row r="475" spans="1:17" x14ac:dyDescent="0.25">
      <c r="A475" t="s">
        <v>85</v>
      </c>
      <c r="B475" s="2">
        <v>45564.772916666669</v>
      </c>
      <c r="C475" t="s">
        <v>338</v>
      </c>
      <c r="D475" t="s">
        <v>214</v>
      </c>
      <c r="E475">
        <v>5</v>
      </c>
      <c r="F475">
        <v>472.42</v>
      </c>
      <c r="G475" t="s">
        <v>222</v>
      </c>
      <c r="H475">
        <v>2362.1</v>
      </c>
      <c r="I475">
        <v>2024</v>
      </c>
      <c r="J475">
        <v>9</v>
      </c>
      <c r="K475">
        <v>18</v>
      </c>
      <c r="L475" s="14">
        <v>472.42</v>
      </c>
      <c r="M475" s="4" t="str">
        <f t="shared" si="28"/>
        <v>domingo</v>
      </c>
      <c r="N475" s="4" t="str">
        <f t="shared" si="29"/>
        <v>septiembre</v>
      </c>
      <c r="O475" s="4" t="str">
        <f t="shared" si="30"/>
        <v>NO</v>
      </c>
      <c r="P475" s="4" t="str">
        <f t="shared" si="31"/>
        <v>NO</v>
      </c>
      <c r="Q475" s="4" t="str" cm="1">
        <f t="array" ref="Q475">_xlfn.IFS(AND(H475&gt;=0,H475&lt;=3333),"Grupo 1",AND(H475&gt;3333,H475&lt;=6666),"Grupo 2",AND(H475&gt;6666,H475&lt;=10000),"Grupo 3")</f>
        <v>Grupo 1</v>
      </c>
    </row>
    <row r="476" spans="1:17" x14ac:dyDescent="0.25">
      <c r="A476" t="s">
        <v>86</v>
      </c>
      <c r="B476" s="2">
        <v>45118.247916666667</v>
      </c>
      <c r="C476" t="s">
        <v>339</v>
      </c>
      <c r="D476" t="s">
        <v>219</v>
      </c>
      <c r="E476">
        <v>3</v>
      </c>
      <c r="F476">
        <v>367.9</v>
      </c>
      <c r="G476" t="s">
        <v>221</v>
      </c>
      <c r="H476">
        <v>1103.7</v>
      </c>
      <c r="I476">
        <v>2023</v>
      </c>
      <c r="J476">
        <v>7</v>
      </c>
      <c r="K476">
        <v>5</v>
      </c>
      <c r="L476" s="14">
        <v>367.89999999999992</v>
      </c>
      <c r="M476" s="4" t="str">
        <f t="shared" si="28"/>
        <v>martes</v>
      </c>
      <c r="N476" s="4" t="str">
        <f t="shared" si="29"/>
        <v>julio</v>
      </c>
      <c r="O476" s="4" t="str">
        <f t="shared" si="30"/>
        <v>NO</v>
      </c>
      <c r="P476" s="4" t="str">
        <f t="shared" si="31"/>
        <v>NO</v>
      </c>
      <c r="Q476" s="4" t="str" cm="1">
        <f t="array" ref="Q476">_xlfn.IFS(AND(H476&gt;=0,H476&lt;=3333),"Grupo 1",AND(H476&gt;3333,H476&lt;=6666),"Grupo 2",AND(H476&gt;6666,H476&lt;=10000),"Grupo 3")</f>
        <v>Grupo 1</v>
      </c>
    </row>
    <row r="477" spans="1:17" x14ac:dyDescent="0.25">
      <c r="A477" t="s">
        <v>87</v>
      </c>
      <c r="B477" s="2">
        <v>45717.986111111109</v>
      </c>
      <c r="C477" t="s">
        <v>340</v>
      </c>
      <c r="D477" t="s">
        <v>219</v>
      </c>
      <c r="E477">
        <v>5</v>
      </c>
      <c r="F477">
        <v>739.51</v>
      </c>
      <c r="G477" t="s">
        <v>221</v>
      </c>
      <c r="H477">
        <v>3697.55</v>
      </c>
      <c r="I477">
        <v>2025</v>
      </c>
      <c r="J477">
        <v>3</v>
      </c>
      <c r="K477">
        <v>23</v>
      </c>
      <c r="L477" s="14">
        <v>739.51</v>
      </c>
      <c r="M477" s="4" t="str">
        <f t="shared" si="28"/>
        <v>sábado</v>
      </c>
      <c r="N477" s="4" t="str">
        <f t="shared" si="29"/>
        <v>marzo</v>
      </c>
      <c r="O477" s="4" t="str">
        <f t="shared" si="30"/>
        <v>SI</v>
      </c>
      <c r="P477" s="4" t="str">
        <f t="shared" si="31"/>
        <v>NO</v>
      </c>
      <c r="Q477" s="4" t="str" cm="1">
        <f t="array" ref="Q477">_xlfn.IFS(AND(H477&gt;=0,H477&lt;=3333),"Grupo 1",AND(H477&gt;3333,H477&lt;=6666),"Grupo 2",AND(H477&gt;6666,H477&lt;=10000),"Grupo 3")</f>
        <v>Grupo 2</v>
      </c>
    </row>
    <row r="478" spans="1:17" x14ac:dyDescent="0.25">
      <c r="A478" t="s">
        <v>88</v>
      </c>
      <c r="B478" s="2">
        <v>45162.795138888891</v>
      </c>
      <c r="C478" t="s">
        <v>341</v>
      </c>
      <c r="D478" t="s">
        <v>217</v>
      </c>
      <c r="E478">
        <v>2</v>
      </c>
      <c r="F478">
        <v>1089.1300000000001</v>
      </c>
      <c r="G478" t="s">
        <v>220</v>
      </c>
      <c r="H478">
        <v>2178.2600000000002</v>
      </c>
      <c r="I478">
        <v>2023</v>
      </c>
      <c r="J478">
        <v>8</v>
      </c>
      <c r="K478">
        <v>19</v>
      </c>
      <c r="L478" s="14">
        <v>1089.1300000000001</v>
      </c>
      <c r="M478" s="4" t="str">
        <f t="shared" si="28"/>
        <v>jueves</v>
      </c>
      <c r="N478" s="4" t="str">
        <f t="shared" si="29"/>
        <v>agosto</v>
      </c>
      <c r="O478" s="4" t="str">
        <f t="shared" si="30"/>
        <v>NO</v>
      </c>
      <c r="P478" s="4" t="str">
        <f t="shared" si="31"/>
        <v>SI</v>
      </c>
      <c r="Q478" s="4" t="str" cm="1">
        <f t="array" ref="Q478">_xlfn.IFS(AND(H478&gt;=0,H478&lt;=3333),"Grupo 1",AND(H478&gt;3333,H478&lt;=6666),"Grupo 2",AND(H478&gt;6666,H478&lt;=10000),"Grupo 3")</f>
        <v>Grupo 1</v>
      </c>
    </row>
    <row r="479" spans="1:17" x14ac:dyDescent="0.25">
      <c r="A479" t="s">
        <v>89</v>
      </c>
      <c r="B479" s="2">
        <v>45517.353472222218</v>
      </c>
      <c r="C479" t="s">
        <v>342</v>
      </c>
      <c r="D479" t="s">
        <v>216</v>
      </c>
      <c r="E479">
        <v>5</v>
      </c>
      <c r="F479">
        <v>1632.75</v>
      </c>
      <c r="G479" t="s">
        <v>221</v>
      </c>
      <c r="H479">
        <v>8163.75</v>
      </c>
      <c r="I479">
        <v>2024</v>
      </c>
      <c r="J479">
        <v>8</v>
      </c>
      <c r="K479">
        <v>8</v>
      </c>
      <c r="L479" s="14">
        <v>1632.75</v>
      </c>
      <c r="M479" s="4" t="str">
        <f t="shared" si="28"/>
        <v>martes</v>
      </c>
      <c r="N479" s="4" t="str">
        <f t="shared" si="29"/>
        <v>agosto</v>
      </c>
      <c r="O479" s="4" t="str">
        <f t="shared" si="30"/>
        <v>SI</v>
      </c>
      <c r="P479" s="4" t="str">
        <f t="shared" si="31"/>
        <v>SI</v>
      </c>
      <c r="Q479" s="4" t="str" cm="1">
        <f t="array" ref="Q479">_xlfn.IFS(AND(H479&gt;=0,H479&lt;=3333),"Grupo 1",AND(H479&gt;3333,H479&lt;=6666),"Grupo 2",AND(H479&gt;6666,H479&lt;=10000),"Grupo 3")</f>
        <v>Grupo 3</v>
      </c>
    </row>
    <row r="480" spans="1:17" x14ac:dyDescent="0.25">
      <c r="A480" t="s">
        <v>90</v>
      </c>
      <c r="B480" s="2">
        <v>45245.664583333331</v>
      </c>
      <c r="C480" t="s">
        <v>343</v>
      </c>
      <c r="D480" t="s">
        <v>212</v>
      </c>
      <c r="E480">
        <v>3</v>
      </c>
      <c r="F480">
        <v>817.35</v>
      </c>
      <c r="G480" t="s">
        <v>220</v>
      </c>
      <c r="H480">
        <v>2452.0500000000002</v>
      </c>
      <c r="I480">
        <v>2023</v>
      </c>
      <c r="J480">
        <v>11</v>
      </c>
      <c r="K480">
        <v>15</v>
      </c>
      <c r="L480" s="14">
        <v>817.35</v>
      </c>
      <c r="M480" s="4" t="str">
        <f t="shared" si="28"/>
        <v>miércoles</v>
      </c>
      <c r="N480" s="4" t="str">
        <f t="shared" si="29"/>
        <v>noviembre</v>
      </c>
      <c r="O480" s="4" t="str">
        <f t="shared" si="30"/>
        <v>NO</v>
      </c>
      <c r="P480" s="4" t="str">
        <f t="shared" si="31"/>
        <v>NO</v>
      </c>
      <c r="Q480" s="4" t="str" cm="1">
        <f t="array" ref="Q480">_xlfn.IFS(AND(H480&gt;=0,H480&lt;=3333),"Grupo 1",AND(H480&gt;3333,H480&lt;=6666),"Grupo 2",AND(H480&gt;6666,H480&lt;=10000),"Grupo 3")</f>
        <v>Grupo 1</v>
      </c>
    </row>
    <row r="481" spans="1:17" x14ac:dyDescent="0.25">
      <c r="A481" t="s">
        <v>91</v>
      </c>
      <c r="B481" s="2">
        <v>45603.368055555547</v>
      </c>
      <c r="C481" t="s">
        <v>344</v>
      </c>
      <c r="D481" t="s">
        <v>213</v>
      </c>
      <c r="E481">
        <v>2</v>
      </c>
      <c r="F481">
        <v>1186.58</v>
      </c>
      <c r="G481" t="s">
        <v>221</v>
      </c>
      <c r="H481">
        <v>2373.16</v>
      </c>
      <c r="I481">
        <v>2024</v>
      </c>
      <c r="J481">
        <v>11</v>
      </c>
      <c r="K481">
        <v>8</v>
      </c>
      <c r="L481" s="14">
        <v>1186.58</v>
      </c>
      <c r="M481" s="4" t="str">
        <f t="shared" si="28"/>
        <v>jueves</v>
      </c>
      <c r="N481" s="4" t="str">
        <f t="shared" si="29"/>
        <v>noviembre</v>
      </c>
      <c r="O481" s="4" t="str">
        <f t="shared" si="30"/>
        <v>NO</v>
      </c>
      <c r="P481" s="4" t="str">
        <f t="shared" si="31"/>
        <v>SI</v>
      </c>
      <c r="Q481" s="4" t="str" cm="1">
        <f t="array" ref="Q481">_xlfn.IFS(AND(H481&gt;=0,H481&lt;=3333),"Grupo 1",AND(H481&gt;3333,H481&lt;=6666),"Grupo 2",AND(H481&gt;6666,H481&lt;=10000),"Grupo 3")</f>
        <v>Grupo 1</v>
      </c>
    </row>
    <row r="482" spans="1:17" x14ac:dyDescent="0.25">
      <c r="A482" t="s">
        <v>92</v>
      </c>
      <c r="B482" s="2">
        <v>44990.597916666673</v>
      </c>
      <c r="C482" t="s">
        <v>345</v>
      </c>
      <c r="D482" t="s">
        <v>215</v>
      </c>
      <c r="E482">
        <v>2</v>
      </c>
      <c r="F482">
        <v>1872.8</v>
      </c>
      <c r="G482" t="s">
        <v>220</v>
      </c>
      <c r="H482">
        <v>3745.6</v>
      </c>
      <c r="I482">
        <v>2023</v>
      </c>
      <c r="J482">
        <v>3</v>
      </c>
      <c r="K482">
        <v>14</v>
      </c>
      <c r="L482" s="14">
        <v>1872.8</v>
      </c>
      <c r="M482" s="4" t="str">
        <f t="shared" si="28"/>
        <v>domingo</v>
      </c>
      <c r="N482" s="4" t="str">
        <f t="shared" si="29"/>
        <v>marzo</v>
      </c>
      <c r="O482" s="4" t="str">
        <f t="shared" si="30"/>
        <v>SI</v>
      </c>
      <c r="P482" s="4" t="str">
        <f t="shared" si="31"/>
        <v>SI</v>
      </c>
      <c r="Q482" s="4" t="str" cm="1">
        <f t="array" ref="Q482">_xlfn.IFS(AND(H482&gt;=0,H482&lt;=3333),"Grupo 1",AND(H482&gt;3333,H482&lt;=6666),"Grupo 2",AND(H482&gt;6666,H482&lt;=10000),"Grupo 3")</f>
        <v>Grupo 2</v>
      </c>
    </row>
    <row r="483" spans="1:17" x14ac:dyDescent="0.25">
      <c r="A483" t="s">
        <v>93</v>
      </c>
      <c r="B483" s="2">
        <v>45273.106249999997</v>
      </c>
      <c r="C483" t="s">
        <v>346</v>
      </c>
      <c r="D483" t="s">
        <v>214</v>
      </c>
      <c r="E483">
        <v>3</v>
      </c>
      <c r="F483">
        <v>680.19</v>
      </c>
      <c r="G483" t="s">
        <v>222</v>
      </c>
      <c r="H483">
        <v>2040.57</v>
      </c>
      <c r="I483">
        <v>2023</v>
      </c>
      <c r="J483">
        <v>12</v>
      </c>
      <c r="K483">
        <v>2</v>
      </c>
      <c r="L483" s="14">
        <v>680.19</v>
      </c>
      <c r="M483" s="4" t="str">
        <f t="shared" si="28"/>
        <v>miércoles</v>
      </c>
      <c r="N483" s="4" t="str">
        <f t="shared" si="29"/>
        <v>diciembre</v>
      </c>
      <c r="O483" s="4" t="str">
        <f t="shared" si="30"/>
        <v>NO</v>
      </c>
      <c r="P483" s="4" t="str">
        <f t="shared" si="31"/>
        <v>NO</v>
      </c>
      <c r="Q483" s="4" t="str" cm="1">
        <f t="array" ref="Q483">_xlfn.IFS(AND(H483&gt;=0,H483&lt;=3333),"Grupo 1",AND(H483&gt;3333,H483&lt;=6666),"Grupo 2",AND(H483&gt;6666,H483&lt;=10000),"Grupo 3")</f>
        <v>Grupo 1</v>
      </c>
    </row>
    <row r="484" spans="1:17" x14ac:dyDescent="0.25">
      <c r="A484" t="s">
        <v>94</v>
      </c>
      <c r="B484" s="2">
        <v>45022.271527777782</v>
      </c>
      <c r="C484" t="s">
        <v>347</v>
      </c>
      <c r="D484" t="s">
        <v>216</v>
      </c>
      <c r="E484">
        <v>4</v>
      </c>
      <c r="F484">
        <v>262.82</v>
      </c>
      <c r="G484" t="s">
        <v>221</v>
      </c>
      <c r="H484">
        <v>1051.28</v>
      </c>
      <c r="I484">
        <v>2023</v>
      </c>
      <c r="J484">
        <v>4</v>
      </c>
      <c r="K484">
        <v>6</v>
      </c>
      <c r="L484" s="14">
        <v>262.82</v>
      </c>
      <c r="M484" s="4" t="str">
        <f t="shared" si="28"/>
        <v>jueves</v>
      </c>
      <c r="N484" s="4" t="str">
        <f t="shared" si="29"/>
        <v>abril</v>
      </c>
      <c r="O484" s="4" t="str">
        <f t="shared" si="30"/>
        <v>NO</v>
      </c>
      <c r="P484" s="4" t="str">
        <f t="shared" si="31"/>
        <v>NO</v>
      </c>
      <c r="Q484" s="4" t="str" cm="1">
        <f t="array" ref="Q484">_xlfn.IFS(AND(H484&gt;=0,H484&lt;=3333),"Grupo 1",AND(H484&gt;3333,H484&lt;=6666),"Grupo 2",AND(H484&gt;6666,H484&lt;=10000),"Grupo 3")</f>
        <v>Grupo 1</v>
      </c>
    </row>
    <row r="485" spans="1:17" x14ac:dyDescent="0.25">
      <c r="A485" t="s">
        <v>95</v>
      </c>
      <c r="B485" s="2">
        <v>45682.68472222222</v>
      </c>
      <c r="C485" t="s">
        <v>348</v>
      </c>
      <c r="D485" t="s">
        <v>215</v>
      </c>
      <c r="E485">
        <v>4</v>
      </c>
      <c r="F485">
        <v>1531.75</v>
      </c>
      <c r="G485" t="s">
        <v>220</v>
      </c>
      <c r="H485">
        <v>6127</v>
      </c>
      <c r="I485">
        <v>2025</v>
      </c>
      <c r="J485">
        <v>1</v>
      </c>
      <c r="K485">
        <v>16</v>
      </c>
      <c r="L485" s="14">
        <v>1531.75</v>
      </c>
      <c r="M485" s="4" t="str">
        <f t="shared" si="28"/>
        <v>sábado</v>
      </c>
      <c r="N485" s="4" t="str">
        <f t="shared" si="29"/>
        <v>enero</v>
      </c>
      <c r="O485" s="4" t="str">
        <f t="shared" si="30"/>
        <v>SI</v>
      </c>
      <c r="P485" s="4" t="str">
        <f t="shared" si="31"/>
        <v>SI</v>
      </c>
      <c r="Q485" s="4" t="str" cm="1">
        <f t="array" ref="Q485">_xlfn.IFS(AND(H485&gt;=0,H485&lt;=3333),"Grupo 1",AND(H485&gt;3333,H485&lt;=6666),"Grupo 2",AND(H485&gt;6666,H485&lt;=10000),"Grupo 3")</f>
        <v>Grupo 2</v>
      </c>
    </row>
    <row r="486" spans="1:17" x14ac:dyDescent="0.25">
      <c r="A486" t="s">
        <v>96</v>
      </c>
      <c r="B486" s="2">
        <v>45099.143750000003</v>
      </c>
      <c r="C486" t="s">
        <v>349</v>
      </c>
      <c r="D486" t="s">
        <v>215</v>
      </c>
      <c r="E486">
        <v>1</v>
      </c>
      <c r="F486">
        <v>503.84</v>
      </c>
      <c r="G486" t="s">
        <v>220</v>
      </c>
      <c r="H486">
        <v>503.84</v>
      </c>
      <c r="I486">
        <v>2023</v>
      </c>
      <c r="J486">
        <v>6</v>
      </c>
      <c r="K486">
        <v>3</v>
      </c>
      <c r="L486" s="14">
        <v>503.84</v>
      </c>
      <c r="M486" s="4" t="str">
        <f t="shared" si="28"/>
        <v>jueves</v>
      </c>
      <c r="N486" s="4" t="str">
        <f t="shared" si="29"/>
        <v>junio</v>
      </c>
      <c r="O486" s="4" t="str">
        <f t="shared" si="30"/>
        <v>NO</v>
      </c>
      <c r="P486" s="4" t="str">
        <f t="shared" si="31"/>
        <v>NO</v>
      </c>
      <c r="Q486" s="4" t="str" cm="1">
        <f t="array" ref="Q486">_xlfn.IFS(AND(H486&gt;=0,H486&lt;=3333),"Grupo 1",AND(H486&gt;3333,H486&lt;=6666),"Grupo 2",AND(H486&gt;6666,H486&lt;=10000),"Grupo 3")</f>
        <v>Grupo 1</v>
      </c>
    </row>
    <row r="487" spans="1:17" x14ac:dyDescent="0.25">
      <c r="A487" t="s">
        <v>97</v>
      </c>
      <c r="B487" s="2">
        <v>45546.810416666667</v>
      </c>
      <c r="C487" t="s">
        <v>350</v>
      </c>
      <c r="D487" t="s">
        <v>217</v>
      </c>
      <c r="E487">
        <v>4</v>
      </c>
      <c r="F487">
        <v>1908.41</v>
      </c>
      <c r="G487" t="s">
        <v>220</v>
      </c>
      <c r="H487">
        <v>7633.64</v>
      </c>
      <c r="I487">
        <v>2024</v>
      </c>
      <c r="J487">
        <v>9</v>
      </c>
      <c r="K487">
        <v>19</v>
      </c>
      <c r="L487" s="14">
        <v>1908.41</v>
      </c>
      <c r="M487" s="4" t="str">
        <f t="shared" si="28"/>
        <v>miércoles</v>
      </c>
      <c r="N487" s="4" t="str">
        <f t="shared" si="29"/>
        <v>septiembre</v>
      </c>
      <c r="O487" s="4" t="str">
        <f t="shared" si="30"/>
        <v>SI</v>
      </c>
      <c r="P487" s="4" t="str">
        <f t="shared" si="31"/>
        <v>SI</v>
      </c>
      <c r="Q487" s="4" t="str" cm="1">
        <f t="array" ref="Q487">_xlfn.IFS(AND(H487&gt;=0,H487&lt;=3333),"Grupo 1",AND(H487&gt;3333,H487&lt;=6666),"Grupo 2",AND(H487&gt;6666,H487&lt;=10000),"Grupo 3")</f>
        <v>Grupo 3</v>
      </c>
    </row>
    <row r="488" spans="1:17" x14ac:dyDescent="0.25">
      <c r="A488" t="s">
        <v>98</v>
      </c>
      <c r="B488" s="2">
        <v>45451.106249999997</v>
      </c>
      <c r="C488" t="s">
        <v>351</v>
      </c>
      <c r="D488" t="s">
        <v>215</v>
      </c>
      <c r="E488">
        <v>2</v>
      </c>
      <c r="F488">
        <v>114.6</v>
      </c>
      <c r="G488" t="s">
        <v>220</v>
      </c>
      <c r="H488">
        <v>229.2</v>
      </c>
      <c r="I488">
        <v>2024</v>
      </c>
      <c r="J488">
        <v>6</v>
      </c>
      <c r="K488">
        <v>2</v>
      </c>
      <c r="L488" s="14">
        <v>114.6</v>
      </c>
      <c r="M488" s="4" t="str">
        <f t="shared" si="28"/>
        <v>sábado</v>
      </c>
      <c r="N488" s="4" t="str">
        <f t="shared" si="29"/>
        <v>junio</v>
      </c>
      <c r="O488" s="4" t="str">
        <f t="shared" si="30"/>
        <v>NO</v>
      </c>
      <c r="P488" s="4" t="str">
        <f t="shared" si="31"/>
        <v>NO</v>
      </c>
      <c r="Q488" s="4" t="str" cm="1">
        <f t="array" ref="Q488">_xlfn.IFS(AND(H488&gt;=0,H488&lt;=3333),"Grupo 1",AND(H488&gt;3333,H488&lt;=6666),"Grupo 2",AND(H488&gt;6666,H488&lt;=10000),"Grupo 3")</f>
        <v>Grupo 1</v>
      </c>
    </row>
    <row r="489" spans="1:17" x14ac:dyDescent="0.25">
      <c r="A489" t="s">
        <v>99</v>
      </c>
      <c r="B489" s="2">
        <v>45101.551388888889</v>
      </c>
      <c r="C489" t="s">
        <v>352</v>
      </c>
      <c r="D489" t="s">
        <v>215</v>
      </c>
      <c r="E489">
        <v>2</v>
      </c>
      <c r="F489">
        <v>595.78</v>
      </c>
      <c r="G489" t="s">
        <v>220</v>
      </c>
      <c r="H489">
        <v>1191.56</v>
      </c>
      <c r="I489">
        <v>2023</v>
      </c>
      <c r="J489">
        <v>6</v>
      </c>
      <c r="K489">
        <v>13</v>
      </c>
      <c r="L489" s="14">
        <v>595.78</v>
      </c>
      <c r="M489" s="4" t="str">
        <f t="shared" si="28"/>
        <v>sábado</v>
      </c>
      <c r="N489" s="4" t="str">
        <f t="shared" si="29"/>
        <v>junio</v>
      </c>
      <c r="O489" s="4" t="str">
        <f t="shared" si="30"/>
        <v>NO</v>
      </c>
      <c r="P489" s="4" t="str">
        <f t="shared" si="31"/>
        <v>NO</v>
      </c>
      <c r="Q489" s="4" t="str" cm="1">
        <f t="array" ref="Q489">_xlfn.IFS(AND(H489&gt;=0,H489&lt;=3333),"Grupo 1",AND(H489&gt;3333,H489&lt;=6666),"Grupo 2",AND(H489&gt;6666,H489&lt;=10000),"Grupo 3")</f>
        <v>Grupo 1</v>
      </c>
    </row>
    <row r="490" spans="1:17" x14ac:dyDescent="0.25">
      <c r="A490" t="s">
        <v>100</v>
      </c>
      <c r="B490" s="2">
        <v>45405.413194444453</v>
      </c>
      <c r="C490" t="s">
        <v>353</v>
      </c>
      <c r="D490" t="s">
        <v>217</v>
      </c>
      <c r="E490">
        <v>2</v>
      </c>
      <c r="F490">
        <v>75.02</v>
      </c>
      <c r="G490" t="s">
        <v>220</v>
      </c>
      <c r="H490">
        <v>150.04</v>
      </c>
      <c r="I490">
        <v>2024</v>
      </c>
      <c r="J490">
        <v>4</v>
      </c>
      <c r="K490">
        <v>9</v>
      </c>
      <c r="L490" s="14">
        <v>75.02</v>
      </c>
      <c r="M490" s="4" t="str">
        <f t="shared" si="28"/>
        <v>martes</v>
      </c>
      <c r="N490" s="4" t="str">
        <f t="shared" si="29"/>
        <v>abril</v>
      </c>
      <c r="O490" s="4" t="str">
        <f t="shared" si="30"/>
        <v>NO</v>
      </c>
      <c r="P490" s="4" t="str">
        <f t="shared" si="31"/>
        <v>NO</v>
      </c>
      <c r="Q490" s="4" t="str" cm="1">
        <f t="array" ref="Q490">_xlfn.IFS(AND(H490&gt;=0,H490&lt;=3333),"Grupo 1",AND(H490&gt;3333,H490&lt;=6666),"Grupo 2",AND(H490&gt;6666,H490&lt;=10000),"Grupo 3")</f>
        <v>Grupo 1</v>
      </c>
    </row>
    <row r="491" spans="1:17" x14ac:dyDescent="0.25">
      <c r="A491" t="s">
        <v>101</v>
      </c>
      <c r="B491" s="2">
        <v>45465.332638888889</v>
      </c>
      <c r="C491" t="s">
        <v>354</v>
      </c>
      <c r="D491" t="s">
        <v>216</v>
      </c>
      <c r="E491">
        <v>5</v>
      </c>
      <c r="F491">
        <v>540.91999999999996</v>
      </c>
      <c r="G491" t="s">
        <v>221</v>
      </c>
      <c r="H491">
        <v>2704.6</v>
      </c>
      <c r="I491">
        <v>2024</v>
      </c>
      <c r="J491">
        <v>6</v>
      </c>
      <c r="K491">
        <v>7</v>
      </c>
      <c r="L491" s="14">
        <v>540.91999999999996</v>
      </c>
      <c r="M491" s="4" t="str">
        <f t="shared" si="28"/>
        <v>sábado</v>
      </c>
      <c r="N491" s="4" t="str">
        <f t="shared" si="29"/>
        <v>junio</v>
      </c>
      <c r="O491" s="4" t="str">
        <f t="shared" si="30"/>
        <v>NO</v>
      </c>
      <c r="P491" s="4" t="str">
        <f t="shared" si="31"/>
        <v>NO</v>
      </c>
      <c r="Q491" s="4" t="str" cm="1">
        <f t="array" ref="Q491">_xlfn.IFS(AND(H491&gt;=0,H491&lt;=3333),"Grupo 1",AND(H491&gt;3333,H491&lt;=6666),"Grupo 2",AND(H491&gt;6666,H491&lt;=10000),"Grupo 3")</f>
        <v>Grupo 1</v>
      </c>
    </row>
    <row r="492" spans="1:17" x14ac:dyDescent="0.25">
      <c r="A492" t="s">
        <v>102</v>
      </c>
      <c r="B492" s="2">
        <v>45863.330555555563</v>
      </c>
      <c r="C492" t="s">
        <v>355</v>
      </c>
      <c r="D492" t="s">
        <v>212</v>
      </c>
      <c r="E492">
        <v>2</v>
      </c>
      <c r="F492">
        <v>356.91</v>
      </c>
      <c r="G492" t="s">
        <v>220</v>
      </c>
      <c r="H492">
        <v>713.82</v>
      </c>
      <c r="I492">
        <v>2025</v>
      </c>
      <c r="J492">
        <v>7</v>
      </c>
      <c r="K492">
        <v>7</v>
      </c>
      <c r="L492" s="14">
        <v>356.91</v>
      </c>
      <c r="M492" s="4" t="str">
        <f t="shared" si="28"/>
        <v>viernes</v>
      </c>
      <c r="N492" s="4" t="str">
        <f t="shared" si="29"/>
        <v>julio</v>
      </c>
      <c r="O492" s="4" t="str">
        <f t="shared" si="30"/>
        <v>NO</v>
      </c>
      <c r="P492" s="4" t="str">
        <f t="shared" si="31"/>
        <v>NO</v>
      </c>
      <c r="Q492" s="4" t="str" cm="1">
        <f t="array" ref="Q492">_xlfn.IFS(AND(H492&gt;=0,H492&lt;=3333),"Grupo 1",AND(H492&gt;3333,H492&lt;=6666),"Grupo 2",AND(H492&gt;6666,H492&lt;=10000),"Grupo 3")</f>
        <v>Grupo 1</v>
      </c>
    </row>
    <row r="493" spans="1:17" x14ac:dyDescent="0.25">
      <c r="A493" t="s">
        <v>103</v>
      </c>
      <c r="B493" s="2">
        <v>45727.712500000001</v>
      </c>
      <c r="C493" t="s">
        <v>356</v>
      </c>
      <c r="D493" t="s">
        <v>219</v>
      </c>
      <c r="E493">
        <v>3</v>
      </c>
      <c r="F493">
        <v>1135.67</v>
      </c>
      <c r="G493" t="s">
        <v>221</v>
      </c>
      <c r="H493">
        <v>3407.01</v>
      </c>
      <c r="I493">
        <v>2025</v>
      </c>
      <c r="J493">
        <v>3</v>
      </c>
      <c r="K493">
        <v>17</v>
      </c>
      <c r="L493" s="14">
        <v>1135.67</v>
      </c>
      <c r="M493" s="4" t="str">
        <f t="shared" si="28"/>
        <v>martes</v>
      </c>
      <c r="N493" s="4" t="str">
        <f t="shared" si="29"/>
        <v>marzo</v>
      </c>
      <c r="O493" s="4" t="str">
        <f t="shared" si="30"/>
        <v>SI</v>
      </c>
      <c r="P493" s="4" t="str">
        <f t="shared" si="31"/>
        <v>SI</v>
      </c>
      <c r="Q493" s="4" t="str" cm="1">
        <f t="array" ref="Q493">_xlfn.IFS(AND(H493&gt;=0,H493&lt;=3333),"Grupo 1",AND(H493&gt;3333,H493&lt;=6666),"Grupo 2",AND(H493&gt;6666,H493&lt;=10000),"Grupo 3")</f>
        <v>Grupo 2</v>
      </c>
    </row>
    <row r="494" spans="1:17" x14ac:dyDescent="0.25">
      <c r="A494" t="s">
        <v>104</v>
      </c>
      <c r="B494" s="2">
        <v>45676.398611111108</v>
      </c>
      <c r="C494" t="s">
        <v>357</v>
      </c>
      <c r="D494" t="s">
        <v>215</v>
      </c>
      <c r="E494">
        <v>3</v>
      </c>
      <c r="F494">
        <v>805.69</v>
      </c>
      <c r="G494" t="s">
        <v>220</v>
      </c>
      <c r="H494">
        <v>2417.0700000000002</v>
      </c>
      <c r="I494">
        <v>2025</v>
      </c>
      <c r="J494">
        <v>1</v>
      </c>
      <c r="K494">
        <v>9</v>
      </c>
      <c r="L494" s="14">
        <v>805.69</v>
      </c>
      <c r="M494" s="4" t="str">
        <f t="shared" si="28"/>
        <v>domingo</v>
      </c>
      <c r="N494" s="4" t="str">
        <f t="shared" si="29"/>
        <v>enero</v>
      </c>
      <c r="O494" s="4" t="str">
        <f t="shared" si="30"/>
        <v>NO</v>
      </c>
      <c r="P494" s="4" t="str">
        <f t="shared" si="31"/>
        <v>NO</v>
      </c>
      <c r="Q494" s="4" t="str" cm="1">
        <f t="array" ref="Q494">_xlfn.IFS(AND(H494&gt;=0,H494&lt;=3333),"Grupo 1",AND(H494&gt;3333,H494&lt;=6666),"Grupo 2",AND(H494&gt;6666,H494&lt;=10000),"Grupo 3")</f>
        <v>Grupo 1</v>
      </c>
    </row>
    <row r="495" spans="1:17" x14ac:dyDescent="0.25">
      <c r="A495" t="s">
        <v>105</v>
      </c>
      <c r="B495" s="2">
        <v>45289.026388888888</v>
      </c>
      <c r="C495" t="s">
        <v>358</v>
      </c>
      <c r="D495" t="s">
        <v>217</v>
      </c>
      <c r="E495">
        <v>2</v>
      </c>
      <c r="F495">
        <v>1259.07</v>
      </c>
      <c r="G495" t="s">
        <v>220</v>
      </c>
      <c r="H495">
        <v>2518.14</v>
      </c>
      <c r="I495">
        <v>2023</v>
      </c>
      <c r="J495">
        <v>12</v>
      </c>
      <c r="K495">
        <v>0</v>
      </c>
      <c r="L495" s="14">
        <v>1259.07</v>
      </c>
      <c r="M495" s="4" t="str">
        <f t="shared" si="28"/>
        <v>viernes</v>
      </c>
      <c r="N495" s="4" t="str">
        <f t="shared" si="29"/>
        <v>diciembre</v>
      </c>
      <c r="O495" s="4" t="str">
        <f t="shared" si="30"/>
        <v>NO</v>
      </c>
      <c r="P495" s="4" t="str">
        <f t="shared" si="31"/>
        <v>SI</v>
      </c>
      <c r="Q495" s="4" t="str" cm="1">
        <f t="array" ref="Q495">_xlfn.IFS(AND(H495&gt;=0,H495&lt;=3333),"Grupo 1",AND(H495&gt;3333,H495&lt;=6666),"Grupo 2",AND(H495&gt;6666,H495&lt;=10000),"Grupo 3")</f>
        <v>Grupo 1</v>
      </c>
    </row>
    <row r="496" spans="1:17" x14ac:dyDescent="0.25">
      <c r="A496" t="s">
        <v>106</v>
      </c>
      <c r="B496" s="2">
        <v>45473.418749999997</v>
      </c>
      <c r="C496" t="s">
        <v>359</v>
      </c>
      <c r="D496" t="s">
        <v>218</v>
      </c>
      <c r="E496">
        <v>3</v>
      </c>
      <c r="F496">
        <v>600.4</v>
      </c>
      <c r="G496" t="s">
        <v>221</v>
      </c>
      <c r="H496">
        <v>1801.2</v>
      </c>
      <c r="I496">
        <v>2024</v>
      </c>
      <c r="J496">
        <v>6</v>
      </c>
      <c r="K496">
        <v>10</v>
      </c>
      <c r="L496" s="14">
        <v>600.4</v>
      </c>
      <c r="M496" s="4" t="str">
        <f t="shared" si="28"/>
        <v>domingo</v>
      </c>
      <c r="N496" s="4" t="str">
        <f t="shared" si="29"/>
        <v>junio</v>
      </c>
      <c r="O496" s="4" t="str">
        <f t="shared" si="30"/>
        <v>NO</v>
      </c>
      <c r="P496" s="4" t="str">
        <f t="shared" si="31"/>
        <v>NO</v>
      </c>
      <c r="Q496" s="4" t="str" cm="1">
        <f t="array" ref="Q496">_xlfn.IFS(AND(H496&gt;=0,H496&lt;=3333),"Grupo 1",AND(H496&gt;3333,H496&lt;=6666),"Grupo 2",AND(H496&gt;6666,H496&lt;=10000),"Grupo 3")</f>
        <v>Grupo 1</v>
      </c>
    </row>
    <row r="497" spans="1:17" x14ac:dyDescent="0.25">
      <c r="A497" t="s">
        <v>107</v>
      </c>
      <c r="B497" s="2">
        <v>45499.757638888892</v>
      </c>
      <c r="C497" t="s">
        <v>261</v>
      </c>
      <c r="D497" t="s">
        <v>214</v>
      </c>
      <c r="E497">
        <v>2</v>
      </c>
      <c r="F497">
        <v>479.81</v>
      </c>
      <c r="G497" t="s">
        <v>222</v>
      </c>
      <c r="H497">
        <v>959.62</v>
      </c>
      <c r="I497">
        <v>2024</v>
      </c>
      <c r="J497">
        <v>7</v>
      </c>
      <c r="K497">
        <v>18</v>
      </c>
      <c r="L497" s="14">
        <v>479.81</v>
      </c>
      <c r="M497" s="4" t="str">
        <f t="shared" si="28"/>
        <v>viernes</v>
      </c>
      <c r="N497" s="4" t="str">
        <f t="shared" si="29"/>
        <v>julio</v>
      </c>
      <c r="O497" s="4" t="str">
        <f t="shared" si="30"/>
        <v>NO</v>
      </c>
      <c r="P497" s="4" t="str">
        <f t="shared" si="31"/>
        <v>NO</v>
      </c>
      <c r="Q497" s="4" t="str" cm="1">
        <f t="array" ref="Q497">_xlfn.IFS(AND(H497&gt;=0,H497&lt;=3333),"Grupo 1",AND(H497&gt;3333,H497&lt;=6666),"Grupo 2",AND(H497&gt;6666,H497&lt;=10000),"Grupo 3")</f>
        <v>Grupo 1</v>
      </c>
    </row>
    <row r="498" spans="1:17" x14ac:dyDescent="0.25">
      <c r="A498" t="s">
        <v>108</v>
      </c>
      <c r="B498" s="2">
        <v>45541.331250000003</v>
      </c>
      <c r="C498" t="s">
        <v>262</v>
      </c>
      <c r="D498" t="s">
        <v>216</v>
      </c>
      <c r="E498">
        <v>1</v>
      </c>
      <c r="F498">
        <v>1888.86</v>
      </c>
      <c r="G498" t="s">
        <v>221</v>
      </c>
      <c r="H498">
        <v>1888.86</v>
      </c>
      <c r="I498">
        <v>2024</v>
      </c>
      <c r="J498">
        <v>9</v>
      </c>
      <c r="K498">
        <v>7</v>
      </c>
      <c r="L498" s="14">
        <v>1888.86</v>
      </c>
      <c r="M498" s="4" t="str">
        <f t="shared" si="28"/>
        <v>viernes</v>
      </c>
      <c r="N498" s="4" t="str">
        <f t="shared" si="29"/>
        <v>septiembre</v>
      </c>
      <c r="O498" s="4" t="str">
        <f t="shared" si="30"/>
        <v>NO</v>
      </c>
      <c r="P498" s="4" t="str">
        <f t="shared" si="31"/>
        <v>SI</v>
      </c>
      <c r="Q498" s="4" t="str" cm="1">
        <f t="array" ref="Q498">_xlfn.IFS(AND(H498&gt;=0,H498&lt;=3333),"Grupo 1",AND(H498&gt;3333,H498&lt;=6666),"Grupo 2",AND(H498&gt;6666,H498&lt;=10000),"Grupo 3")</f>
        <v>Grupo 1</v>
      </c>
    </row>
    <row r="499" spans="1:17" x14ac:dyDescent="0.25">
      <c r="A499" t="s">
        <v>109</v>
      </c>
      <c r="B499" s="2">
        <v>45542.574305555558</v>
      </c>
      <c r="C499" t="s">
        <v>263</v>
      </c>
      <c r="D499" t="s">
        <v>217</v>
      </c>
      <c r="E499">
        <v>4</v>
      </c>
      <c r="F499">
        <v>1821.05</v>
      </c>
      <c r="G499" t="s">
        <v>220</v>
      </c>
      <c r="H499">
        <v>7284.2</v>
      </c>
      <c r="I499">
        <v>2024</v>
      </c>
      <c r="J499">
        <v>9</v>
      </c>
      <c r="K499">
        <v>13</v>
      </c>
      <c r="L499" s="14">
        <v>1821.05</v>
      </c>
      <c r="M499" s="4" t="str">
        <f t="shared" si="28"/>
        <v>sábado</v>
      </c>
      <c r="N499" s="4" t="str">
        <f t="shared" si="29"/>
        <v>septiembre</v>
      </c>
      <c r="O499" s="4" t="str">
        <f t="shared" si="30"/>
        <v>SI</v>
      </c>
      <c r="P499" s="4" t="str">
        <f t="shared" si="31"/>
        <v>SI</v>
      </c>
      <c r="Q499" s="4" t="str" cm="1">
        <f t="array" ref="Q499">_xlfn.IFS(AND(H499&gt;=0,H499&lt;=3333),"Grupo 1",AND(H499&gt;3333,H499&lt;=6666),"Grupo 2",AND(H499&gt;6666,H499&lt;=10000),"Grupo 3")</f>
        <v>Grupo 3</v>
      </c>
    </row>
    <row r="500" spans="1:17" x14ac:dyDescent="0.25">
      <c r="A500" t="s">
        <v>110</v>
      </c>
      <c r="B500" s="2">
        <v>45846.336805555547</v>
      </c>
      <c r="C500" t="s">
        <v>264</v>
      </c>
      <c r="D500" t="s">
        <v>218</v>
      </c>
      <c r="E500">
        <v>3</v>
      </c>
      <c r="F500">
        <v>1537.23</v>
      </c>
      <c r="G500" t="s">
        <v>221</v>
      </c>
      <c r="H500">
        <v>4611.6900000000014</v>
      </c>
      <c r="I500">
        <v>2025</v>
      </c>
      <c r="J500">
        <v>7</v>
      </c>
      <c r="K500">
        <v>8</v>
      </c>
      <c r="L500" s="14">
        <v>1537.23</v>
      </c>
      <c r="M500" s="4" t="str">
        <f t="shared" si="28"/>
        <v>martes</v>
      </c>
      <c r="N500" s="4" t="str">
        <f t="shared" si="29"/>
        <v>julio</v>
      </c>
      <c r="O500" s="4" t="str">
        <f t="shared" si="30"/>
        <v>SI</v>
      </c>
      <c r="P500" s="4" t="str">
        <f t="shared" si="31"/>
        <v>SI</v>
      </c>
      <c r="Q500" s="4" t="str" cm="1">
        <f t="array" ref="Q500">_xlfn.IFS(AND(H500&gt;=0,H500&lt;=3333),"Grupo 1",AND(H500&gt;3333,H500&lt;=6666),"Grupo 2",AND(H500&gt;6666,H500&lt;=10000),"Grupo 3")</f>
        <v>Grupo 2</v>
      </c>
    </row>
    <row r="501" spans="1:17" x14ac:dyDescent="0.25">
      <c r="A501" t="s">
        <v>111</v>
      </c>
      <c r="B501" s="2">
        <v>45318.705555555563</v>
      </c>
      <c r="C501" t="s">
        <v>265</v>
      </c>
      <c r="D501" t="s">
        <v>214</v>
      </c>
      <c r="E501">
        <v>3</v>
      </c>
      <c r="F501">
        <v>311.66000000000003</v>
      </c>
      <c r="G501" t="s">
        <v>222</v>
      </c>
      <c r="H501">
        <v>934.98</v>
      </c>
      <c r="I501">
        <v>2024</v>
      </c>
      <c r="J501">
        <v>1</v>
      </c>
      <c r="K501">
        <v>16</v>
      </c>
      <c r="L501" s="14">
        <v>311.66000000000003</v>
      </c>
      <c r="M501" s="4" t="str">
        <f t="shared" si="28"/>
        <v>sábado</v>
      </c>
      <c r="N501" s="4" t="str">
        <f t="shared" si="29"/>
        <v>enero</v>
      </c>
      <c r="O501" s="4" t="str">
        <f t="shared" si="30"/>
        <v>NO</v>
      </c>
      <c r="P501" s="4" t="str">
        <f t="shared" si="31"/>
        <v>NO</v>
      </c>
      <c r="Q501" s="4" t="str" cm="1">
        <f t="array" ref="Q501">_xlfn.IFS(AND(H501&gt;=0,H501&lt;=3333),"Grupo 1",AND(H501&gt;3333,H501&lt;=6666),"Grupo 2",AND(H501&gt;6666,H501&lt;=10000),"Grupo 3")</f>
        <v>Grupo 1</v>
      </c>
    </row>
    <row r="502" spans="1:17" x14ac:dyDescent="0.25">
      <c r="A502" t="s">
        <v>112</v>
      </c>
      <c r="B502" s="2">
        <v>45595.668055555558</v>
      </c>
      <c r="C502" t="s">
        <v>266</v>
      </c>
      <c r="D502" t="s">
        <v>213</v>
      </c>
      <c r="E502">
        <v>5</v>
      </c>
      <c r="F502">
        <v>149.09</v>
      </c>
      <c r="G502" t="s">
        <v>221</v>
      </c>
      <c r="H502">
        <v>745.45</v>
      </c>
      <c r="I502">
        <v>2024</v>
      </c>
      <c r="J502">
        <v>10</v>
      </c>
      <c r="K502">
        <v>16</v>
      </c>
      <c r="L502" s="14">
        <v>149.09</v>
      </c>
      <c r="M502" s="4" t="str">
        <f t="shared" si="28"/>
        <v>miércoles</v>
      </c>
      <c r="N502" s="4" t="str">
        <f t="shared" si="29"/>
        <v>octubre</v>
      </c>
      <c r="O502" s="4" t="str">
        <f t="shared" si="30"/>
        <v>NO</v>
      </c>
      <c r="P502" s="4" t="str">
        <f t="shared" si="31"/>
        <v>NO</v>
      </c>
      <c r="Q502" s="4" t="str" cm="1">
        <f t="array" ref="Q502">_xlfn.IFS(AND(H502&gt;=0,H502&lt;=3333),"Grupo 1",AND(H502&gt;3333,H502&lt;=6666),"Grupo 2",AND(H502&gt;6666,H502&lt;=10000),"Grupo 3")</f>
        <v>Grupo 1</v>
      </c>
    </row>
    <row r="503" spans="1:17" x14ac:dyDescent="0.25">
      <c r="A503" t="s">
        <v>113</v>
      </c>
      <c r="B503" s="2">
        <v>44984.418055555558</v>
      </c>
      <c r="C503" t="s">
        <v>267</v>
      </c>
      <c r="D503" t="s">
        <v>217</v>
      </c>
      <c r="E503">
        <v>5</v>
      </c>
      <c r="F503">
        <v>1885.48</v>
      </c>
      <c r="G503" t="s">
        <v>220</v>
      </c>
      <c r="H503">
        <v>9427.4</v>
      </c>
      <c r="I503">
        <v>2023</v>
      </c>
      <c r="J503">
        <v>2</v>
      </c>
      <c r="K503">
        <v>10</v>
      </c>
      <c r="L503" s="14">
        <v>1885.48</v>
      </c>
      <c r="M503" s="4" t="str">
        <f t="shared" si="28"/>
        <v>lunes</v>
      </c>
      <c r="N503" s="4" t="str">
        <f t="shared" si="29"/>
        <v>febrero</v>
      </c>
      <c r="O503" s="4" t="str">
        <f t="shared" si="30"/>
        <v>SI</v>
      </c>
      <c r="P503" s="4" t="str">
        <f t="shared" si="31"/>
        <v>SI</v>
      </c>
      <c r="Q503" s="4" t="str" cm="1">
        <f t="array" ref="Q503">_xlfn.IFS(AND(H503&gt;=0,H503&lt;=3333),"Grupo 1",AND(H503&gt;3333,H503&lt;=6666),"Grupo 2",AND(H503&gt;6666,H503&lt;=10000),"Grupo 3")</f>
        <v>Grupo 3</v>
      </c>
    </row>
    <row r="504" spans="1:17" x14ac:dyDescent="0.25">
      <c r="A504" t="s">
        <v>114</v>
      </c>
      <c r="B504" s="2">
        <v>45153.455555555563</v>
      </c>
      <c r="C504" t="s">
        <v>268</v>
      </c>
      <c r="D504" t="s">
        <v>216</v>
      </c>
      <c r="E504">
        <v>3</v>
      </c>
      <c r="F504">
        <v>1591.92</v>
      </c>
      <c r="G504" t="s">
        <v>221</v>
      </c>
      <c r="H504">
        <v>4775.76</v>
      </c>
      <c r="I504">
        <v>2023</v>
      </c>
      <c r="J504">
        <v>8</v>
      </c>
      <c r="K504">
        <v>10</v>
      </c>
      <c r="L504" s="14">
        <v>1591.92</v>
      </c>
      <c r="M504" s="4" t="str">
        <f t="shared" si="28"/>
        <v>martes</v>
      </c>
      <c r="N504" s="4" t="str">
        <f t="shared" si="29"/>
        <v>agosto</v>
      </c>
      <c r="O504" s="4" t="str">
        <f t="shared" si="30"/>
        <v>SI</v>
      </c>
      <c r="P504" s="4" t="str">
        <f t="shared" si="31"/>
        <v>SI</v>
      </c>
      <c r="Q504" s="4" t="str" cm="1">
        <f t="array" ref="Q504">_xlfn.IFS(AND(H504&gt;=0,H504&lt;=3333),"Grupo 1",AND(H504&gt;3333,H504&lt;=6666),"Grupo 2",AND(H504&gt;6666,H504&lt;=10000),"Grupo 3")</f>
        <v>Grupo 2</v>
      </c>
    </row>
    <row r="505" spans="1:17" x14ac:dyDescent="0.25">
      <c r="A505" t="s">
        <v>115</v>
      </c>
      <c r="B505" s="2">
        <v>45919.24722222222</v>
      </c>
      <c r="C505" t="s">
        <v>269</v>
      </c>
      <c r="D505" t="s">
        <v>216</v>
      </c>
      <c r="E505">
        <v>5</v>
      </c>
      <c r="F505">
        <v>1383.33</v>
      </c>
      <c r="G505" t="s">
        <v>221</v>
      </c>
      <c r="H505">
        <v>6916.65</v>
      </c>
      <c r="I505">
        <v>2025</v>
      </c>
      <c r="J505">
        <v>9</v>
      </c>
      <c r="K505">
        <v>5</v>
      </c>
      <c r="L505" s="14">
        <v>1383.33</v>
      </c>
      <c r="M505" s="4" t="str">
        <f t="shared" si="28"/>
        <v>viernes</v>
      </c>
      <c r="N505" s="4" t="str">
        <f t="shared" si="29"/>
        <v>septiembre</v>
      </c>
      <c r="O505" s="4" t="str">
        <f t="shared" si="30"/>
        <v>SI</v>
      </c>
      <c r="P505" s="4" t="str">
        <f t="shared" si="31"/>
        <v>SI</v>
      </c>
      <c r="Q505" s="4" t="str" cm="1">
        <f t="array" ref="Q505">_xlfn.IFS(AND(H505&gt;=0,H505&lt;=3333),"Grupo 1",AND(H505&gt;3333,H505&lt;=6666),"Grupo 2",AND(H505&gt;6666,H505&lt;=10000),"Grupo 3")</f>
        <v>Grupo 3</v>
      </c>
    </row>
    <row r="506" spans="1:17" x14ac:dyDescent="0.25">
      <c r="A506" t="s">
        <v>116</v>
      </c>
      <c r="B506" s="2">
        <v>45815.543055555558</v>
      </c>
      <c r="C506" t="s">
        <v>270</v>
      </c>
      <c r="D506" t="s">
        <v>214</v>
      </c>
      <c r="E506">
        <v>2</v>
      </c>
      <c r="F506">
        <v>1051.23</v>
      </c>
      <c r="G506" t="s">
        <v>222</v>
      </c>
      <c r="H506">
        <v>2102.46</v>
      </c>
      <c r="I506">
        <v>2025</v>
      </c>
      <c r="J506">
        <v>6</v>
      </c>
      <c r="K506">
        <v>13</v>
      </c>
      <c r="L506" s="14">
        <v>1051.23</v>
      </c>
      <c r="M506" s="4" t="str">
        <f t="shared" si="28"/>
        <v>sábado</v>
      </c>
      <c r="N506" s="4" t="str">
        <f t="shared" si="29"/>
        <v>junio</v>
      </c>
      <c r="O506" s="4" t="str">
        <f t="shared" si="30"/>
        <v>NO</v>
      </c>
      <c r="P506" s="4" t="str">
        <f t="shared" si="31"/>
        <v>SI</v>
      </c>
      <c r="Q506" s="4" t="str" cm="1">
        <f t="array" ref="Q506">_xlfn.IFS(AND(H506&gt;=0,H506&lt;=3333),"Grupo 1",AND(H506&gt;3333,H506&lt;=6666),"Grupo 2",AND(H506&gt;6666,H506&lt;=10000),"Grupo 3")</f>
        <v>Grupo 1</v>
      </c>
    </row>
    <row r="507" spans="1:17" x14ac:dyDescent="0.25">
      <c r="A507" t="s">
        <v>117</v>
      </c>
      <c r="B507" s="2">
        <v>45255.4</v>
      </c>
      <c r="C507" t="s">
        <v>271</v>
      </c>
      <c r="D507" t="s">
        <v>219</v>
      </c>
      <c r="E507">
        <v>4</v>
      </c>
      <c r="F507">
        <v>1274.46</v>
      </c>
      <c r="G507" t="s">
        <v>221</v>
      </c>
      <c r="H507">
        <v>5097.84</v>
      </c>
      <c r="I507">
        <v>2023</v>
      </c>
      <c r="J507">
        <v>11</v>
      </c>
      <c r="K507">
        <v>9</v>
      </c>
      <c r="L507" s="14">
        <v>1274.46</v>
      </c>
      <c r="M507" s="4" t="str">
        <f t="shared" si="28"/>
        <v>sábado</v>
      </c>
      <c r="N507" s="4" t="str">
        <f t="shared" si="29"/>
        <v>noviembre</v>
      </c>
      <c r="O507" s="4" t="str">
        <f t="shared" si="30"/>
        <v>SI</v>
      </c>
      <c r="P507" s="4" t="str">
        <f t="shared" si="31"/>
        <v>SI</v>
      </c>
      <c r="Q507" s="4" t="str" cm="1">
        <f t="array" ref="Q507">_xlfn.IFS(AND(H507&gt;=0,H507&lt;=3333),"Grupo 1",AND(H507&gt;3333,H507&lt;=6666),"Grupo 2",AND(H507&gt;6666,H507&lt;=10000),"Grupo 3")</f>
        <v>Grupo 2</v>
      </c>
    </row>
    <row r="508" spans="1:17" x14ac:dyDescent="0.25">
      <c r="A508" t="s">
        <v>118</v>
      </c>
      <c r="B508" s="2">
        <v>45754.797222222223</v>
      </c>
      <c r="C508" t="s">
        <v>272</v>
      </c>
      <c r="D508" t="s">
        <v>212</v>
      </c>
      <c r="E508">
        <v>1</v>
      </c>
      <c r="F508">
        <v>1251.08</v>
      </c>
      <c r="G508" t="s">
        <v>220</v>
      </c>
      <c r="H508">
        <v>1251.08</v>
      </c>
      <c r="I508">
        <v>2025</v>
      </c>
      <c r="J508">
        <v>4</v>
      </c>
      <c r="K508">
        <v>19</v>
      </c>
      <c r="L508" s="14">
        <v>1251.08</v>
      </c>
      <c r="M508" s="4" t="str">
        <f t="shared" si="28"/>
        <v>lunes</v>
      </c>
      <c r="N508" s="4" t="str">
        <f t="shared" si="29"/>
        <v>abril</v>
      </c>
      <c r="O508" s="4" t="str">
        <f t="shared" si="30"/>
        <v>NO</v>
      </c>
      <c r="P508" s="4" t="str">
        <f t="shared" si="31"/>
        <v>SI</v>
      </c>
      <c r="Q508" s="4" t="str" cm="1">
        <f t="array" ref="Q508">_xlfn.IFS(AND(H508&gt;=0,H508&lt;=3333),"Grupo 1",AND(H508&gt;3333,H508&lt;=6666),"Grupo 2",AND(H508&gt;6666,H508&lt;=10000),"Grupo 3")</f>
        <v>Grupo 1</v>
      </c>
    </row>
    <row r="509" spans="1:17" x14ac:dyDescent="0.25">
      <c r="A509" t="s">
        <v>119</v>
      </c>
      <c r="B509" s="2">
        <v>45764.185416666667</v>
      </c>
      <c r="C509" t="s">
        <v>273</v>
      </c>
      <c r="D509" t="s">
        <v>219</v>
      </c>
      <c r="E509">
        <v>5</v>
      </c>
      <c r="F509">
        <v>1582.2</v>
      </c>
      <c r="G509" t="s">
        <v>221</v>
      </c>
      <c r="H509">
        <v>7911</v>
      </c>
      <c r="I509">
        <v>2025</v>
      </c>
      <c r="J509">
        <v>4</v>
      </c>
      <c r="K509">
        <v>4</v>
      </c>
      <c r="L509" s="14">
        <v>1582.2</v>
      </c>
      <c r="M509" s="4" t="str">
        <f t="shared" si="28"/>
        <v>jueves</v>
      </c>
      <c r="N509" s="4" t="str">
        <f t="shared" si="29"/>
        <v>abril</v>
      </c>
      <c r="O509" s="4" t="str">
        <f t="shared" si="30"/>
        <v>SI</v>
      </c>
      <c r="P509" s="4" t="str">
        <f t="shared" si="31"/>
        <v>SI</v>
      </c>
      <c r="Q509" s="4" t="str" cm="1">
        <f t="array" ref="Q509">_xlfn.IFS(AND(H509&gt;=0,H509&lt;=3333),"Grupo 1",AND(H509&gt;3333,H509&lt;=6666),"Grupo 2",AND(H509&gt;6666,H509&lt;=10000),"Grupo 3")</f>
        <v>Grupo 3</v>
      </c>
    </row>
    <row r="510" spans="1:17" x14ac:dyDescent="0.25">
      <c r="A510" t="s">
        <v>120</v>
      </c>
      <c r="B510" s="2">
        <v>45240.82916666667</v>
      </c>
      <c r="C510" t="s">
        <v>274</v>
      </c>
      <c r="D510" t="s">
        <v>214</v>
      </c>
      <c r="E510">
        <v>1</v>
      </c>
      <c r="F510">
        <v>81.92</v>
      </c>
      <c r="G510" t="s">
        <v>222</v>
      </c>
      <c r="H510">
        <v>81.92</v>
      </c>
      <c r="I510">
        <v>2023</v>
      </c>
      <c r="J510">
        <v>11</v>
      </c>
      <c r="K510">
        <v>19</v>
      </c>
      <c r="L510" s="14">
        <v>81.92</v>
      </c>
      <c r="M510" s="4" t="str">
        <f t="shared" si="28"/>
        <v>viernes</v>
      </c>
      <c r="N510" s="4" t="str">
        <f t="shared" si="29"/>
        <v>noviembre</v>
      </c>
      <c r="O510" s="4" t="str">
        <f t="shared" si="30"/>
        <v>NO</v>
      </c>
      <c r="P510" s="4" t="str">
        <f t="shared" si="31"/>
        <v>NO</v>
      </c>
      <c r="Q510" s="4" t="str" cm="1">
        <f t="array" ref="Q510">_xlfn.IFS(AND(H510&gt;=0,H510&lt;=3333),"Grupo 1",AND(H510&gt;3333,H510&lt;=6666),"Grupo 2",AND(H510&gt;6666,H510&lt;=10000),"Grupo 3")</f>
        <v>Grupo 1</v>
      </c>
    </row>
    <row r="511" spans="1:17" x14ac:dyDescent="0.25">
      <c r="A511" t="s">
        <v>121</v>
      </c>
      <c r="B511" s="2">
        <v>45634.470138888893</v>
      </c>
      <c r="C511" t="s">
        <v>275</v>
      </c>
      <c r="D511" t="s">
        <v>218</v>
      </c>
      <c r="E511">
        <v>1</v>
      </c>
      <c r="F511">
        <v>1153.31</v>
      </c>
      <c r="G511" t="s">
        <v>221</v>
      </c>
      <c r="H511">
        <v>1153.31</v>
      </c>
      <c r="I511">
        <v>2024</v>
      </c>
      <c r="J511">
        <v>12</v>
      </c>
      <c r="K511">
        <v>11</v>
      </c>
      <c r="L511" s="14">
        <v>1153.31</v>
      </c>
      <c r="M511" s="4" t="str">
        <f t="shared" si="28"/>
        <v>domingo</v>
      </c>
      <c r="N511" s="4" t="str">
        <f t="shared" si="29"/>
        <v>diciembre</v>
      </c>
      <c r="O511" s="4" t="str">
        <f t="shared" si="30"/>
        <v>NO</v>
      </c>
      <c r="P511" s="4" t="str">
        <f t="shared" si="31"/>
        <v>SI</v>
      </c>
      <c r="Q511" s="4" t="str" cm="1">
        <f t="array" ref="Q511">_xlfn.IFS(AND(H511&gt;=0,H511&lt;=3333),"Grupo 1",AND(H511&gt;3333,H511&lt;=6666),"Grupo 2",AND(H511&gt;6666,H511&lt;=10000),"Grupo 3")</f>
        <v>Grupo 1</v>
      </c>
    </row>
    <row r="512" spans="1:17" x14ac:dyDescent="0.25">
      <c r="A512" t="s">
        <v>122</v>
      </c>
      <c r="B512" s="2">
        <v>45913.939583333333</v>
      </c>
      <c r="C512" t="s">
        <v>276</v>
      </c>
      <c r="D512" t="s">
        <v>218</v>
      </c>
      <c r="E512">
        <v>3</v>
      </c>
      <c r="F512">
        <v>1078.08</v>
      </c>
      <c r="G512" t="s">
        <v>221</v>
      </c>
      <c r="H512">
        <v>3234.24</v>
      </c>
      <c r="I512">
        <v>2025</v>
      </c>
      <c r="J512">
        <v>9</v>
      </c>
      <c r="K512">
        <v>22</v>
      </c>
      <c r="L512" s="14">
        <v>1078.08</v>
      </c>
      <c r="M512" s="4" t="str">
        <f t="shared" si="28"/>
        <v>sábado</v>
      </c>
      <c r="N512" s="4" t="str">
        <f t="shared" si="29"/>
        <v>septiembre</v>
      </c>
      <c r="O512" s="4" t="str">
        <f t="shared" si="30"/>
        <v>SI</v>
      </c>
      <c r="P512" s="4" t="str">
        <f t="shared" si="31"/>
        <v>SI</v>
      </c>
      <c r="Q512" s="4" t="str" cm="1">
        <f t="array" ref="Q512">_xlfn.IFS(AND(H512&gt;=0,H512&lt;=3333),"Grupo 1",AND(H512&gt;3333,H512&lt;=6666),"Grupo 2",AND(H512&gt;6666,H512&lt;=10000),"Grupo 3")</f>
        <v>Grupo 1</v>
      </c>
    </row>
    <row r="513" spans="1:17" x14ac:dyDescent="0.25">
      <c r="A513" t="s">
        <v>123</v>
      </c>
      <c r="B513" s="2">
        <v>45526.149305555547</v>
      </c>
      <c r="C513" t="s">
        <v>277</v>
      </c>
      <c r="D513" t="s">
        <v>215</v>
      </c>
      <c r="E513">
        <v>1</v>
      </c>
      <c r="F513">
        <v>201.91</v>
      </c>
      <c r="G513" t="s">
        <v>220</v>
      </c>
      <c r="H513">
        <v>201.91</v>
      </c>
      <c r="I513">
        <v>2024</v>
      </c>
      <c r="J513">
        <v>8</v>
      </c>
      <c r="K513">
        <v>3</v>
      </c>
      <c r="L513" s="14">
        <v>201.91</v>
      </c>
      <c r="M513" s="4" t="str">
        <f t="shared" si="28"/>
        <v>jueves</v>
      </c>
      <c r="N513" s="4" t="str">
        <f t="shared" si="29"/>
        <v>agosto</v>
      </c>
      <c r="O513" s="4" t="str">
        <f t="shared" si="30"/>
        <v>NO</v>
      </c>
      <c r="P513" s="4" t="str">
        <f t="shared" si="31"/>
        <v>NO</v>
      </c>
      <c r="Q513" s="4" t="str" cm="1">
        <f t="array" ref="Q513">_xlfn.IFS(AND(H513&gt;=0,H513&lt;=3333),"Grupo 1",AND(H513&gt;3333,H513&lt;=6666),"Grupo 2",AND(H513&gt;6666,H513&lt;=10000),"Grupo 3")</f>
        <v>Grupo 1</v>
      </c>
    </row>
    <row r="514" spans="1:17" x14ac:dyDescent="0.25">
      <c r="A514" t="s">
        <v>124</v>
      </c>
      <c r="B514" s="2">
        <v>45487.067361111112</v>
      </c>
      <c r="C514" t="s">
        <v>278</v>
      </c>
      <c r="D514" t="s">
        <v>216</v>
      </c>
      <c r="E514">
        <v>3</v>
      </c>
      <c r="F514">
        <v>727.36</v>
      </c>
      <c r="G514" t="s">
        <v>221</v>
      </c>
      <c r="H514">
        <v>2182.08</v>
      </c>
      <c r="I514">
        <v>2024</v>
      </c>
      <c r="J514">
        <v>7</v>
      </c>
      <c r="K514">
        <v>1</v>
      </c>
      <c r="L514" s="14">
        <v>727.36</v>
      </c>
      <c r="M514" s="4" t="str">
        <f t="shared" ref="M514:M577" si="32">TEXT(B514,"dddd")</f>
        <v>domingo</v>
      </c>
      <c r="N514" s="4" t="str">
        <f t="shared" ref="N514:N577" si="33">TEXT(B514,"mmmm")</f>
        <v>julio</v>
      </c>
      <c r="O514" s="4" t="str">
        <f t="shared" si="30"/>
        <v>NO</v>
      </c>
      <c r="P514" s="4" t="str">
        <f t="shared" si="31"/>
        <v>NO</v>
      </c>
      <c r="Q514" s="4" t="str" cm="1">
        <f t="array" ref="Q514">_xlfn.IFS(AND(H514&gt;=0,H514&lt;=3333),"Grupo 1",AND(H514&gt;3333,H514&lt;=6666),"Grupo 2",AND(H514&gt;6666,H514&lt;=10000),"Grupo 3")</f>
        <v>Grupo 1</v>
      </c>
    </row>
    <row r="515" spans="1:17" x14ac:dyDescent="0.25">
      <c r="A515" t="s">
        <v>125</v>
      </c>
      <c r="B515" s="2">
        <v>45281.986805555563</v>
      </c>
      <c r="C515" t="s">
        <v>279</v>
      </c>
      <c r="D515" t="s">
        <v>219</v>
      </c>
      <c r="E515">
        <v>3</v>
      </c>
      <c r="F515">
        <v>1645.43</v>
      </c>
      <c r="G515" t="s">
        <v>221</v>
      </c>
      <c r="H515">
        <v>4936.29</v>
      </c>
      <c r="I515">
        <v>2023</v>
      </c>
      <c r="J515">
        <v>12</v>
      </c>
      <c r="K515">
        <v>23</v>
      </c>
      <c r="L515" s="14">
        <v>1645.43</v>
      </c>
      <c r="M515" s="4" t="str">
        <f t="shared" si="32"/>
        <v>jueves</v>
      </c>
      <c r="N515" s="4" t="str">
        <f t="shared" si="33"/>
        <v>diciembre</v>
      </c>
      <c r="O515" s="4" t="str">
        <f t="shared" ref="O515:O578" si="34">IF(H515&gt;AVERAGE(H:H),"SI","NO")</f>
        <v>SI</v>
      </c>
      <c r="P515" s="4" t="str">
        <f t="shared" ref="P515:P578" si="35">IF(L515&gt;AVERAGE(L:L),"SI","NO")</f>
        <v>SI</v>
      </c>
      <c r="Q515" s="4" t="str" cm="1">
        <f t="array" ref="Q515">_xlfn.IFS(AND(H515&gt;=0,H515&lt;=3333),"Grupo 1",AND(H515&gt;3333,H515&lt;=6666),"Grupo 2",AND(H515&gt;6666,H515&lt;=10000),"Grupo 3")</f>
        <v>Grupo 2</v>
      </c>
    </row>
    <row r="516" spans="1:17" x14ac:dyDescent="0.25">
      <c r="A516" t="s">
        <v>126</v>
      </c>
      <c r="B516" s="2">
        <v>45468.378472222219</v>
      </c>
      <c r="C516" t="s">
        <v>280</v>
      </c>
      <c r="D516" t="s">
        <v>217</v>
      </c>
      <c r="E516">
        <v>3</v>
      </c>
      <c r="F516">
        <v>420.05</v>
      </c>
      <c r="G516" t="s">
        <v>220</v>
      </c>
      <c r="H516">
        <v>1260.1500000000001</v>
      </c>
      <c r="I516">
        <v>2024</v>
      </c>
      <c r="J516">
        <v>6</v>
      </c>
      <c r="K516">
        <v>9</v>
      </c>
      <c r="L516" s="14">
        <v>420.05</v>
      </c>
      <c r="M516" s="4" t="str">
        <f t="shared" si="32"/>
        <v>martes</v>
      </c>
      <c r="N516" s="4" t="str">
        <f t="shared" si="33"/>
        <v>junio</v>
      </c>
      <c r="O516" s="4" t="str">
        <f t="shared" si="34"/>
        <v>NO</v>
      </c>
      <c r="P516" s="4" t="str">
        <f t="shared" si="35"/>
        <v>NO</v>
      </c>
      <c r="Q516" s="4" t="str" cm="1">
        <f t="array" ref="Q516">_xlfn.IFS(AND(H516&gt;=0,H516&lt;=3333),"Grupo 1",AND(H516&gt;3333,H516&lt;=6666),"Grupo 2",AND(H516&gt;6666,H516&lt;=10000),"Grupo 3")</f>
        <v>Grupo 1</v>
      </c>
    </row>
    <row r="517" spans="1:17" x14ac:dyDescent="0.25">
      <c r="A517" t="s">
        <v>127</v>
      </c>
      <c r="B517" s="2">
        <v>45529.436805555553</v>
      </c>
      <c r="C517" t="s">
        <v>281</v>
      </c>
      <c r="D517" t="s">
        <v>214</v>
      </c>
      <c r="E517">
        <v>4</v>
      </c>
      <c r="F517">
        <v>496.9</v>
      </c>
      <c r="G517" t="s">
        <v>222</v>
      </c>
      <c r="H517">
        <v>1987.6</v>
      </c>
      <c r="I517">
        <v>2024</v>
      </c>
      <c r="J517">
        <v>8</v>
      </c>
      <c r="K517">
        <v>10</v>
      </c>
      <c r="L517" s="14">
        <v>496.9</v>
      </c>
      <c r="M517" s="4" t="str">
        <f t="shared" si="32"/>
        <v>domingo</v>
      </c>
      <c r="N517" s="4" t="str">
        <f t="shared" si="33"/>
        <v>agosto</v>
      </c>
      <c r="O517" s="4" t="str">
        <f t="shared" si="34"/>
        <v>NO</v>
      </c>
      <c r="P517" s="4" t="str">
        <f t="shared" si="35"/>
        <v>NO</v>
      </c>
      <c r="Q517" s="4" t="str" cm="1">
        <f t="array" ref="Q517">_xlfn.IFS(AND(H517&gt;=0,H517&lt;=3333),"Grupo 1",AND(H517&gt;3333,H517&lt;=6666),"Grupo 2",AND(H517&gt;6666,H517&lt;=10000),"Grupo 3")</f>
        <v>Grupo 1</v>
      </c>
    </row>
    <row r="518" spans="1:17" x14ac:dyDescent="0.25">
      <c r="A518" t="s">
        <v>128</v>
      </c>
      <c r="B518" s="2">
        <v>44961.01666666667</v>
      </c>
      <c r="C518" t="s">
        <v>282</v>
      </c>
      <c r="D518" t="s">
        <v>213</v>
      </c>
      <c r="E518">
        <v>2</v>
      </c>
      <c r="F518">
        <v>721.56</v>
      </c>
      <c r="G518" t="s">
        <v>221</v>
      </c>
      <c r="H518">
        <v>1443.12</v>
      </c>
      <c r="I518">
        <v>2023</v>
      </c>
      <c r="J518">
        <v>2</v>
      </c>
      <c r="K518">
        <v>0</v>
      </c>
      <c r="L518" s="14">
        <v>721.56</v>
      </c>
      <c r="M518" s="4" t="str">
        <f t="shared" si="32"/>
        <v>sábado</v>
      </c>
      <c r="N518" s="4" t="str">
        <f t="shared" si="33"/>
        <v>febrero</v>
      </c>
      <c r="O518" s="4" t="str">
        <f t="shared" si="34"/>
        <v>NO</v>
      </c>
      <c r="P518" s="4" t="str">
        <f t="shared" si="35"/>
        <v>NO</v>
      </c>
      <c r="Q518" s="4" t="str" cm="1">
        <f t="array" ref="Q518">_xlfn.IFS(AND(H518&gt;=0,H518&lt;=3333),"Grupo 1",AND(H518&gt;3333,H518&lt;=6666),"Grupo 2",AND(H518&gt;6666,H518&lt;=10000),"Grupo 3")</f>
        <v>Grupo 1</v>
      </c>
    </row>
    <row r="519" spans="1:17" x14ac:dyDescent="0.25">
      <c r="A519" t="s">
        <v>129</v>
      </c>
      <c r="B519" s="2">
        <v>45041.746527777781</v>
      </c>
      <c r="C519" t="s">
        <v>283</v>
      </c>
      <c r="D519" t="s">
        <v>219</v>
      </c>
      <c r="E519">
        <v>4</v>
      </c>
      <c r="F519">
        <v>1353.9</v>
      </c>
      <c r="G519" t="s">
        <v>221</v>
      </c>
      <c r="H519">
        <v>5415.6</v>
      </c>
      <c r="I519">
        <v>2023</v>
      </c>
      <c r="J519">
        <v>4</v>
      </c>
      <c r="K519">
        <v>17</v>
      </c>
      <c r="L519" s="14">
        <v>1353.9</v>
      </c>
      <c r="M519" s="4" t="str">
        <f t="shared" si="32"/>
        <v>martes</v>
      </c>
      <c r="N519" s="4" t="str">
        <f t="shared" si="33"/>
        <v>abril</v>
      </c>
      <c r="O519" s="4" t="str">
        <f t="shared" si="34"/>
        <v>SI</v>
      </c>
      <c r="P519" s="4" t="str">
        <f t="shared" si="35"/>
        <v>SI</v>
      </c>
      <c r="Q519" s="4" t="str" cm="1">
        <f t="array" ref="Q519">_xlfn.IFS(AND(H519&gt;=0,H519&lt;=3333),"Grupo 1",AND(H519&gt;3333,H519&lt;=6666),"Grupo 2",AND(H519&gt;6666,H519&lt;=10000),"Grupo 3")</f>
        <v>Grupo 2</v>
      </c>
    </row>
    <row r="520" spans="1:17" x14ac:dyDescent="0.25">
      <c r="A520" t="s">
        <v>130</v>
      </c>
      <c r="B520" s="2">
        <v>45400.756249999999</v>
      </c>
      <c r="C520" t="s">
        <v>284</v>
      </c>
      <c r="D520" t="s">
        <v>215</v>
      </c>
      <c r="E520">
        <v>2</v>
      </c>
      <c r="F520">
        <v>429.52</v>
      </c>
      <c r="G520" t="s">
        <v>220</v>
      </c>
      <c r="H520">
        <v>859.04</v>
      </c>
      <c r="I520">
        <v>2024</v>
      </c>
      <c r="J520">
        <v>4</v>
      </c>
      <c r="K520">
        <v>18</v>
      </c>
      <c r="L520" s="14">
        <v>429.52</v>
      </c>
      <c r="M520" s="4" t="str">
        <f t="shared" si="32"/>
        <v>jueves</v>
      </c>
      <c r="N520" s="4" t="str">
        <f t="shared" si="33"/>
        <v>abril</v>
      </c>
      <c r="O520" s="4" t="str">
        <f t="shared" si="34"/>
        <v>NO</v>
      </c>
      <c r="P520" s="4" t="str">
        <f t="shared" si="35"/>
        <v>NO</v>
      </c>
      <c r="Q520" s="4" t="str" cm="1">
        <f t="array" ref="Q520">_xlfn.IFS(AND(H520&gt;=0,H520&lt;=3333),"Grupo 1",AND(H520&gt;3333,H520&lt;=6666),"Grupo 2",AND(H520&gt;6666,H520&lt;=10000),"Grupo 3")</f>
        <v>Grupo 1</v>
      </c>
    </row>
    <row r="521" spans="1:17" x14ac:dyDescent="0.25">
      <c r="A521" t="s">
        <v>131</v>
      </c>
      <c r="B521" s="2">
        <v>45465.772916666669</v>
      </c>
      <c r="C521" t="s">
        <v>285</v>
      </c>
      <c r="D521" t="s">
        <v>214</v>
      </c>
      <c r="E521">
        <v>2</v>
      </c>
      <c r="F521">
        <v>1824.96</v>
      </c>
      <c r="G521" t="s">
        <v>222</v>
      </c>
      <c r="H521">
        <v>3649.92</v>
      </c>
      <c r="I521">
        <v>2024</v>
      </c>
      <c r="J521">
        <v>6</v>
      </c>
      <c r="K521">
        <v>18</v>
      </c>
      <c r="L521" s="14">
        <v>1824.96</v>
      </c>
      <c r="M521" s="4" t="str">
        <f t="shared" si="32"/>
        <v>sábado</v>
      </c>
      <c r="N521" s="4" t="str">
        <f t="shared" si="33"/>
        <v>junio</v>
      </c>
      <c r="O521" s="4" t="str">
        <f t="shared" si="34"/>
        <v>SI</v>
      </c>
      <c r="P521" s="4" t="str">
        <f t="shared" si="35"/>
        <v>SI</v>
      </c>
      <c r="Q521" s="4" t="str" cm="1">
        <f t="array" ref="Q521">_xlfn.IFS(AND(H521&gt;=0,H521&lt;=3333),"Grupo 1",AND(H521&gt;3333,H521&lt;=6666),"Grupo 2",AND(H521&gt;6666,H521&lt;=10000),"Grupo 3")</f>
        <v>Grupo 2</v>
      </c>
    </row>
    <row r="522" spans="1:17" x14ac:dyDescent="0.25">
      <c r="A522" t="s">
        <v>132</v>
      </c>
      <c r="B522" s="2">
        <v>45316.202777777777</v>
      </c>
      <c r="C522" t="s">
        <v>286</v>
      </c>
      <c r="D522" t="s">
        <v>218</v>
      </c>
      <c r="E522">
        <v>5</v>
      </c>
      <c r="F522">
        <v>1059.81</v>
      </c>
      <c r="G522" t="s">
        <v>221</v>
      </c>
      <c r="H522">
        <v>5299.0499999999993</v>
      </c>
      <c r="I522">
        <v>2024</v>
      </c>
      <c r="J522">
        <v>1</v>
      </c>
      <c r="K522">
        <v>4</v>
      </c>
      <c r="L522" s="14">
        <v>1059.81</v>
      </c>
      <c r="M522" s="4" t="str">
        <f t="shared" si="32"/>
        <v>jueves</v>
      </c>
      <c r="N522" s="4" t="str">
        <f t="shared" si="33"/>
        <v>enero</v>
      </c>
      <c r="O522" s="4" t="str">
        <f t="shared" si="34"/>
        <v>SI</v>
      </c>
      <c r="P522" s="4" t="str">
        <f t="shared" si="35"/>
        <v>SI</v>
      </c>
      <c r="Q522" s="4" t="str" cm="1">
        <f t="array" ref="Q522">_xlfn.IFS(AND(H522&gt;=0,H522&lt;=3333),"Grupo 1",AND(H522&gt;3333,H522&lt;=6666),"Grupo 2",AND(H522&gt;6666,H522&lt;=10000),"Grupo 3")</f>
        <v>Grupo 2</v>
      </c>
    </row>
    <row r="523" spans="1:17" x14ac:dyDescent="0.25">
      <c r="A523" t="s">
        <v>133</v>
      </c>
      <c r="B523" s="2">
        <v>45118.634722222218</v>
      </c>
      <c r="C523" t="s">
        <v>287</v>
      </c>
      <c r="D523" t="s">
        <v>214</v>
      </c>
      <c r="E523">
        <v>4</v>
      </c>
      <c r="F523">
        <v>46.39</v>
      </c>
      <c r="G523" t="s">
        <v>222</v>
      </c>
      <c r="H523">
        <v>185.56</v>
      </c>
      <c r="I523">
        <v>2023</v>
      </c>
      <c r="J523">
        <v>7</v>
      </c>
      <c r="K523">
        <v>15</v>
      </c>
      <c r="L523" s="14">
        <v>46.39</v>
      </c>
      <c r="M523" s="4" t="str">
        <f t="shared" si="32"/>
        <v>martes</v>
      </c>
      <c r="N523" s="4" t="str">
        <f t="shared" si="33"/>
        <v>julio</v>
      </c>
      <c r="O523" s="4" t="str">
        <f t="shared" si="34"/>
        <v>NO</v>
      </c>
      <c r="P523" s="4" t="str">
        <f t="shared" si="35"/>
        <v>NO</v>
      </c>
      <c r="Q523" s="4" t="str" cm="1">
        <f t="array" ref="Q523">_xlfn.IFS(AND(H523&gt;=0,H523&lt;=3333),"Grupo 1",AND(H523&gt;3333,H523&lt;=6666),"Grupo 2",AND(H523&gt;6666,H523&lt;=10000),"Grupo 3")</f>
        <v>Grupo 1</v>
      </c>
    </row>
    <row r="524" spans="1:17" x14ac:dyDescent="0.25">
      <c r="A524" t="s">
        <v>134</v>
      </c>
      <c r="B524" s="2">
        <v>45232.75</v>
      </c>
      <c r="C524" t="s">
        <v>288</v>
      </c>
      <c r="D524" t="s">
        <v>217</v>
      </c>
      <c r="E524">
        <v>1</v>
      </c>
      <c r="F524">
        <v>754.07</v>
      </c>
      <c r="G524" t="s">
        <v>220</v>
      </c>
      <c r="H524">
        <v>754.07</v>
      </c>
      <c r="I524">
        <v>2023</v>
      </c>
      <c r="J524">
        <v>11</v>
      </c>
      <c r="K524">
        <v>18</v>
      </c>
      <c r="L524" s="14">
        <v>754.07</v>
      </c>
      <c r="M524" s="4" t="str">
        <f t="shared" si="32"/>
        <v>jueves</v>
      </c>
      <c r="N524" s="4" t="str">
        <f t="shared" si="33"/>
        <v>noviembre</v>
      </c>
      <c r="O524" s="4" t="str">
        <f t="shared" si="34"/>
        <v>NO</v>
      </c>
      <c r="P524" s="4" t="str">
        <f t="shared" si="35"/>
        <v>NO</v>
      </c>
      <c r="Q524" s="4" t="str" cm="1">
        <f t="array" ref="Q524">_xlfn.IFS(AND(H524&gt;=0,H524&lt;=3333),"Grupo 1",AND(H524&gt;3333,H524&lt;=6666),"Grupo 2",AND(H524&gt;6666,H524&lt;=10000),"Grupo 3")</f>
        <v>Grupo 1</v>
      </c>
    </row>
    <row r="525" spans="1:17" x14ac:dyDescent="0.25">
      <c r="A525" t="s">
        <v>135</v>
      </c>
      <c r="B525" s="2">
        <v>45745.421527777777</v>
      </c>
      <c r="C525" t="s">
        <v>289</v>
      </c>
      <c r="D525" t="s">
        <v>219</v>
      </c>
      <c r="E525">
        <v>1</v>
      </c>
      <c r="F525">
        <v>1681.02</v>
      </c>
      <c r="G525" t="s">
        <v>221</v>
      </c>
      <c r="H525">
        <v>1681.02</v>
      </c>
      <c r="I525">
        <v>2025</v>
      </c>
      <c r="J525">
        <v>3</v>
      </c>
      <c r="K525">
        <v>10</v>
      </c>
      <c r="L525" s="14">
        <v>1681.02</v>
      </c>
      <c r="M525" s="4" t="str">
        <f t="shared" si="32"/>
        <v>sábado</v>
      </c>
      <c r="N525" s="4" t="str">
        <f t="shared" si="33"/>
        <v>marzo</v>
      </c>
      <c r="O525" s="4" t="str">
        <f t="shared" si="34"/>
        <v>NO</v>
      </c>
      <c r="P525" s="4" t="str">
        <f t="shared" si="35"/>
        <v>SI</v>
      </c>
      <c r="Q525" s="4" t="str" cm="1">
        <f t="array" ref="Q525">_xlfn.IFS(AND(H525&gt;=0,H525&lt;=3333),"Grupo 1",AND(H525&gt;3333,H525&lt;=6666),"Grupo 2",AND(H525&gt;6666,H525&lt;=10000),"Grupo 3")</f>
        <v>Grupo 1</v>
      </c>
    </row>
    <row r="526" spans="1:17" x14ac:dyDescent="0.25">
      <c r="A526" t="s">
        <v>136</v>
      </c>
      <c r="B526" s="2">
        <v>45802.370833333327</v>
      </c>
      <c r="C526" t="s">
        <v>290</v>
      </c>
      <c r="D526" t="s">
        <v>212</v>
      </c>
      <c r="E526">
        <v>2</v>
      </c>
      <c r="F526">
        <v>1198.72</v>
      </c>
      <c r="G526" t="s">
        <v>220</v>
      </c>
      <c r="H526">
        <v>2397.44</v>
      </c>
      <c r="I526">
        <v>2025</v>
      </c>
      <c r="J526">
        <v>5</v>
      </c>
      <c r="K526">
        <v>8</v>
      </c>
      <c r="L526" s="14">
        <v>1198.72</v>
      </c>
      <c r="M526" s="4" t="str">
        <f t="shared" si="32"/>
        <v>domingo</v>
      </c>
      <c r="N526" s="4" t="str">
        <f t="shared" si="33"/>
        <v>mayo</v>
      </c>
      <c r="O526" s="4" t="str">
        <f t="shared" si="34"/>
        <v>NO</v>
      </c>
      <c r="P526" s="4" t="str">
        <f t="shared" si="35"/>
        <v>SI</v>
      </c>
      <c r="Q526" s="4" t="str" cm="1">
        <f t="array" ref="Q526">_xlfn.IFS(AND(H526&gt;=0,H526&lt;=3333),"Grupo 1",AND(H526&gt;3333,H526&lt;=6666),"Grupo 2",AND(H526&gt;6666,H526&lt;=10000),"Grupo 3")</f>
        <v>Grupo 1</v>
      </c>
    </row>
    <row r="527" spans="1:17" x14ac:dyDescent="0.25">
      <c r="A527" t="s">
        <v>137</v>
      </c>
      <c r="B527" s="2">
        <v>45249.604861111111</v>
      </c>
      <c r="C527" t="s">
        <v>291</v>
      </c>
      <c r="D527" t="s">
        <v>219</v>
      </c>
      <c r="E527">
        <v>2</v>
      </c>
      <c r="F527">
        <v>1040.2</v>
      </c>
      <c r="G527" t="s">
        <v>221</v>
      </c>
      <c r="H527">
        <v>2080.4</v>
      </c>
      <c r="I527">
        <v>2023</v>
      </c>
      <c r="J527">
        <v>11</v>
      </c>
      <c r="K527">
        <v>14</v>
      </c>
      <c r="L527" s="14">
        <v>1040.2</v>
      </c>
      <c r="M527" s="4" t="str">
        <f t="shared" si="32"/>
        <v>domingo</v>
      </c>
      <c r="N527" s="4" t="str">
        <f t="shared" si="33"/>
        <v>noviembre</v>
      </c>
      <c r="O527" s="4" t="str">
        <f t="shared" si="34"/>
        <v>NO</v>
      </c>
      <c r="P527" s="4" t="str">
        <f t="shared" si="35"/>
        <v>SI</v>
      </c>
      <c r="Q527" s="4" t="str" cm="1">
        <f t="array" ref="Q527">_xlfn.IFS(AND(H527&gt;=0,H527&lt;=3333),"Grupo 1",AND(H527&gt;3333,H527&lt;=6666),"Grupo 2",AND(H527&gt;6666,H527&lt;=10000),"Grupo 3")</f>
        <v>Grupo 1</v>
      </c>
    </row>
    <row r="528" spans="1:17" x14ac:dyDescent="0.25">
      <c r="A528" t="s">
        <v>138</v>
      </c>
      <c r="B528" s="2">
        <v>45854.013194444437</v>
      </c>
      <c r="C528" t="s">
        <v>292</v>
      </c>
      <c r="D528" t="s">
        <v>213</v>
      </c>
      <c r="E528">
        <v>3</v>
      </c>
      <c r="F528">
        <v>107.53</v>
      </c>
      <c r="G528" t="s">
        <v>221</v>
      </c>
      <c r="H528">
        <v>322.58999999999997</v>
      </c>
      <c r="I528">
        <v>2025</v>
      </c>
      <c r="J528">
        <v>7</v>
      </c>
      <c r="K528">
        <v>0</v>
      </c>
      <c r="L528" s="14">
        <v>107.53</v>
      </c>
      <c r="M528" s="4" t="str">
        <f t="shared" si="32"/>
        <v>miércoles</v>
      </c>
      <c r="N528" s="4" t="str">
        <f t="shared" si="33"/>
        <v>julio</v>
      </c>
      <c r="O528" s="4" t="str">
        <f t="shared" si="34"/>
        <v>NO</v>
      </c>
      <c r="P528" s="4" t="str">
        <f t="shared" si="35"/>
        <v>NO</v>
      </c>
      <c r="Q528" s="4" t="str" cm="1">
        <f t="array" ref="Q528">_xlfn.IFS(AND(H528&gt;=0,H528&lt;=3333),"Grupo 1",AND(H528&gt;3333,H528&lt;=6666),"Grupo 2",AND(H528&gt;6666,H528&lt;=10000),"Grupo 3")</f>
        <v>Grupo 1</v>
      </c>
    </row>
    <row r="529" spans="1:17" x14ac:dyDescent="0.25">
      <c r="A529" t="s">
        <v>139</v>
      </c>
      <c r="B529" s="2">
        <v>45828.018055555563</v>
      </c>
      <c r="C529" t="s">
        <v>293</v>
      </c>
      <c r="D529" t="s">
        <v>215</v>
      </c>
      <c r="E529">
        <v>4</v>
      </c>
      <c r="F529">
        <v>380.66</v>
      </c>
      <c r="G529" t="s">
        <v>220</v>
      </c>
      <c r="H529">
        <v>1522.64</v>
      </c>
      <c r="I529">
        <v>2025</v>
      </c>
      <c r="J529">
        <v>6</v>
      </c>
      <c r="K529">
        <v>0</v>
      </c>
      <c r="L529" s="14">
        <v>380.66</v>
      </c>
      <c r="M529" s="4" t="str">
        <f t="shared" si="32"/>
        <v>viernes</v>
      </c>
      <c r="N529" s="4" t="str">
        <f t="shared" si="33"/>
        <v>junio</v>
      </c>
      <c r="O529" s="4" t="str">
        <f t="shared" si="34"/>
        <v>NO</v>
      </c>
      <c r="P529" s="4" t="str">
        <f t="shared" si="35"/>
        <v>NO</v>
      </c>
      <c r="Q529" s="4" t="str" cm="1">
        <f t="array" ref="Q529">_xlfn.IFS(AND(H529&gt;=0,H529&lt;=3333),"Grupo 1",AND(H529&gt;3333,H529&lt;=6666),"Grupo 2",AND(H529&gt;6666,H529&lt;=10000),"Grupo 3")</f>
        <v>Grupo 1</v>
      </c>
    </row>
    <row r="530" spans="1:17" x14ac:dyDescent="0.25">
      <c r="A530" t="s">
        <v>140</v>
      </c>
      <c r="B530" s="2">
        <v>45673.40902777778</v>
      </c>
      <c r="C530" t="s">
        <v>294</v>
      </c>
      <c r="D530" t="s">
        <v>212</v>
      </c>
      <c r="E530">
        <v>2</v>
      </c>
      <c r="F530">
        <v>700.11</v>
      </c>
      <c r="G530" t="s">
        <v>220</v>
      </c>
      <c r="H530">
        <v>1400.22</v>
      </c>
      <c r="I530">
        <v>2025</v>
      </c>
      <c r="J530">
        <v>1</v>
      </c>
      <c r="K530">
        <v>9</v>
      </c>
      <c r="L530" s="14">
        <v>700.11</v>
      </c>
      <c r="M530" s="4" t="str">
        <f t="shared" si="32"/>
        <v>jueves</v>
      </c>
      <c r="N530" s="4" t="str">
        <f t="shared" si="33"/>
        <v>enero</v>
      </c>
      <c r="O530" s="4" t="str">
        <f t="shared" si="34"/>
        <v>NO</v>
      </c>
      <c r="P530" s="4" t="str">
        <f t="shared" si="35"/>
        <v>NO</v>
      </c>
      <c r="Q530" s="4" t="str" cm="1">
        <f t="array" ref="Q530">_xlfn.IFS(AND(H530&gt;=0,H530&lt;=3333),"Grupo 1",AND(H530&gt;3333,H530&lt;=6666),"Grupo 2",AND(H530&gt;6666,H530&lt;=10000),"Grupo 3")</f>
        <v>Grupo 1</v>
      </c>
    </row>
    <row r="531" spans="1:17" x14ac:dyDescent="0.25">
      <c r="A531" t="s">
        <v>141</v>
      </c>
      <c r="B531" s="2">
        <v>44932.951388888891</v>
      </c>
      <c r="C531" t="s">
        <v>295</v>
      </c>
      <c r="D531" t="s">
        <v>215</v>
      </c>
      <c r="E531">
        <v>5</v>
      </c>
      <c r="F531">
        <v>358.48</v>
      </c>
      <c r="G531" t="s">
        <v>220</v>
      </c>
      <c r="H531">
        <v>1792.4</v>
      </c>
      <c r="I531">
        <v>2023</v>
      </c>
      <c r="J531">
        <v>1</v>
      </c>
      <c r="K531">
        <v>22</v>
      </c>
      <c r="L531" s="14">
        <v>358.48</v>
      </c>
      <c r="M531" s="4" t="str">
        <f t="shared" si="32"/>
        <v>viernes</v>
      </c>
      <c r="N531" s="4" t="str">
        <f t="shared" si="33"/>
        <v>enero</v>
      </c>
      <c r="O531" s="4" t="str">
        <f t="shared" si="34"/>
        <v>NO</v>
      </c>
      <c r="P531" s="4" t="str">
        <f t="shared" si="35"/>
        <v>NO</v>
      </c>
      <c r="Q531" s="4" t="str" cm="1">
        <f t="array" ref="Q531">_xlfn.IFS(AND(H531&gt;=0,H531&lt;=3333),"Grupo 1",AND(H531&gt;3333,H531&lt;=6666),"Grupo 2",AND(H531&gt;6666,H531&lt;=10000),"Grupo 3")</f>
        <v>Grupo 1</v>
      </c>
    </row>
    <row r="532" spans="1:17" x14ac:dyDescent="0.25">
      <c r="A532" t="s">
        <v>142</v>
      </c>
      <c r="B532" s="2">
        <v>45381.871527777781</v>
      </c>
      <c r="C532" t="s">
        <v>296</v>
      </c>
      <c r="D532" t="s">
        <v>214</v>
      </c>
      <c r="E532">
        <v>4</v>
      </c>
      <c r="F532">
        <v>746.6</v>
      </c>
      <c r="G532" t="s">
        <v>222</v>
      </c>
      <c r="H532">
        <v>2986.4</v>
      </c>
      <c r="I532">
        <v>2024</v>
      </c>
      <c r="J532">
        <v>3</v>
      </c>
      <c r="K532">
        <v>20</v>
      </c>
      <c r="L532" s="14">
        <v>746.6</v>
      </c>
      <c r="M532" s="4" t="str">
        <f t="shared" si="32"/>
        <v>sábado</v>
      </c>
      <c r="N532" s="4" t="str">
        <f t="shared" si="33"/>
        <v>marzo</v>
      </c>
      <c r="O532" s="4" t="str">
        <f t="shared" si="34"/>
        <v>SI</v>
      </c>
      <c r="P532" s="4" t="str">
        <f t="shared" si="35"/>
        <v>NO</v>
      </c>
      <c r="Q532" s="4" t="str" cm="1">
        <f t="array" ref="Q532">_xlfn.IFS(AND(H532&gt;=0,H532&lt;=3333),"Grupo 1",AND(H532&gt;3333,H532&lt;=6666),"Grupo 2",AND(H532&gt;6666,H532&lt;=10000),"Grupo 3")</f>
        <v>Grupo 1</v>
      </c>
    </row>
    <row r="533" spans="1:17" x14ac:dyDescent="0.25">
      <c r="A533" t="s">
        <v>143</v>
      </c>
      <c r="B533" s="2">
        <v>45450.97152777778</v>
      </c>
      <c r="C533" t="s">
        <v>297</v>
      </c>
      <c r="D533" t="s">
        <v>217</v>
      </c>
      <c r="E533">
        <v>1</v>
      </c>
      <c r="F533">
        <v>751.43</v>
      </c>
      <c r="G533" t="s">
        <v>220</v>
      </c>
      <c r="H533">
        <v>751.43</v>
      </c>
      <c r="I533">
        <v>2024</v>
      </c>
      <c r="J533">
        <v>6</v>
      </c>
      <c r="K533">
        <v>23</v>
      </c>
      <c r="L533" s="14">
        <v>751.43</v>
      </c>
      <c r="M533" s="4" t="str">
        <f t="shared" si="32"/>
        <v>viernes</v>
      </c>
      <c r="N533" s="4" t="str">
        <f t="shared" si="33"/>
        <v>junio</v>
      </c>
      <c r="O533" s="4" t="str">
        <f t="shared" si="34"/>
        <v>NO</v>
      </c>
      <c r="P533" s="4" t="str">
        <f t="shared" si="35"/>
        <v>NO</v>
      </c>
      <c r="Q533" s="4" t="str" cm="1">
        <f t="array" ref="Q533">_xlfn.IFS(AND(H533&gt;=0,H533&lt;=3333),"Grupo 1",AND(H533&gt;3333,H533&lt;=6666),"Grupo 2",AND(H533&gt;6666,H533&lt;=10000),"Grupo 3")</f>
        <v>Grupo 1</v>
      </c>
    </row>
    <row r="534" spans="1:17" x14ac:dyDescent="0.25">
      <c r="A534" t="s">
        <v>144</v>
      </c>
      <c r="B534" s="2">
        <v>45122.813888888893</v>
      </c>
      <c r="C534" t="s">
        <v>298</v>
      </c>
      <c r="D534" t="s">
        <v>218</v>
      </c>
      <c r="E534">
        <v>5</v>
      </c>
      <c r="F534">
        <v>1109.08</v>
      </c>
      <c r="G534" t="s">
        <v>221</v>
      </c>
      <c r="H534">
        <v>5545.4</v>
      </c>
      <c r="I534">
        <v>2023</v>
      </c>
      <c r="J534">
        <v>7</v>
      </c>
      <c r="K534">
        <v>19</v>
      </c>
      <c r="L534" s="14">
        <v>1109.08</v>
      </c>
      <c r="M534" s="4" t="str">
        <f t="shared" si="32"/>
        <v>sábado</v>
      </c>
      <c r="N534" s="4" t="str">
        <f t="shared" si="33"/>
        <v>julio</v>
      </c>
      <c r="O534" s="4" t="str">
        <f t="shared" si="34"/>
        <v>SI</v>
      </c>
      <c r="P534" s="4" t="str">
        <f t="shared" si="35"/>
        <v>SI</v>
      </c>
      <c r="Q534" s="4" t="str" cm="1">
        <f t="array" ref="Q534">_xlfn.IFS(AND(H534&gt;=0,H534&lt;=3333),"Grupo 1",AND(H534&gt;3333,H534&lt;=6666),"Grupo 2",AND(H534&gt;6666,H534&lt;=10000),"Grupo 3")</f>
        <v>Grupo 2</v>
      </c>
    </row>
    <row r="535" spans="1:17" x14ac:dyDescent="0.25">
      <c r="A535" t="s">
        <v>145</v>
      </c>
      <c r="B535" s="2">
        <v>45329.842361111107</v>
      </c>
      <c r="C535" t="s">
        <v>299</v>
      </c>
      <c r="D535" t="s">
        <v>212</v>
      </c>
      <c r="E535">
        <v>5</v>
      </c>
      <c r="F535">
        <v>642.74</v>
      </c>
      <c r="G535" t="s">
        <v>220</v>
      </c>
      <c r="H535">
        <v>3213.7</v>
      </c>
      <c r="I535">
        <v>2024</v>
      </c>
      <c r="J535">
        <v>2</v>
      </c>
      <c r="K535">
        <v>20</v>
      </c>
      <c r="L535" s="14">
        <v>642.74</v>
      </c>
      <c r="M535" s="4" t="str">
        <f t="shared" si="32"/>
        <v>miércoles</v>
      </c>
      <c r="N535" s="4" t="str">
        <f t="shared" si="33"/>
        <v>febrero</v>
      </c>
      <c r="O535" s="4" t="str">
        <f t="shared" si="34"/>
        <v>SI</v>
      </c>
      <c r="P535" s="4" t="str">
        <f t="shared" si="35"/>
        <v>NO</v>
      </c>
      <c r="Q535" s="4" t="str" cm="1">
        <f t="array" ref="Q535">_xlfn.IFS(AND(H535&gt;=0,H535&lt;=3333),"Grupo 1",AND(H535&gt;3333,H535&lt;=6666),"Grupo 2",AND(H535&gt;6666,H535&lt;=10000),"Grupo 3")</f>
        <v>Grupo 1</v>
      </c>
    </row>
    <row r="536" spans="1:17" x14ac:dyDescent="0.25">
      <c r="A536" t="s">
        <v>146</v>
      </c>
      <c r="B536" s="2">
        <v>45615.539583333331</v>
      </c>
      <c r="C536" t="s">
        <v>300</v>
      </c>
      <c r="D536" t="s">
        <v>219</v>
      </c>
      <c r="E536">
        <v>5</v>
      </c>
      <c r="F536">
        <v>245.73</v>
      </c>
      <c r="G536" t="s">
        <v>221</v>
      </c>
      <c r="H536">
        <v>1228.6500000000001</v>
      </c>
      <c r="I536">
        <v>2024</v>
      </c>
      <c r="J536">
        <v>11</v>
      </c>
      <c r="K536">
        <v>12</v>
      </c>
      <c r="L536" s="14">
        <v>245.73</v>
      </c>
      <c r="M536" s="4" t="str">
        <f t="shared" si="32"/>
        <v>martes</v>
      </c>
      <c r="N536" s="4" t="str">
        <f t="shared" si="33"/>
        <v>noviembre</v>
      </c>
      <c r="O536" s="4" t="str">
        <f t="shared" si="34"/>
        <v>NO</v>
      </c>
      <c r="P536" s="4" t="str">
        <f t="shared" si="35"/>
        <v>NO</v>
      </c>
      <c r="Q536" s="4" t="str" cm="1">
        <f t="array" ref="Q536">_xlfn.IFS(AND(H536&gt;=0,H536&lt;=3333),"Grupo 1",AND(H536&gt;3333,H536&lt;=6666),"Grupo 2",AND(H536&gt;6666,H536&lt;=10000),"Grupo 3")</f>
        <v>Grupo 1</v>
      </c>
    </row>
    <row r="537" spans="1:17" x14ac:dyDescent="0.25">
      <c r="A537" t="s">
        <v>147</v>
      </c>
      <c r="B537" s="2">
        <v>45222.775694444441</v>
      </c>
      <c r="C537" t="s">
        <v>301</v>
      </c>
      <c r="D537" t="s">
        <v>216</v>
      </c>
      <c r="E537">
        <v>3</v>
      </c>
      <c r="F537">
        <v>1782.13</v>
      </c>
      <c r="G537" t="s">
        <v>221</v>
      </c>
      <c r="H537">
        <v>5346.39</v>
      </c>
      <c r="I537">
        <v>2023</v>
      </c>
      <c r="J537">
        <v>10</v>
      </c>
      <c r="K537">
        <v>18</v>
      </c>
      <c r="L537" s="14">
        <v>1782.13</v>
      </c>
      <c r="M537" s="4" t="str">
        <f t="shared" si="32"/>
        <v>lunes</v>
      </c>
      <c r="N537" s="4" t="str">
        <f t="shared" si="33"/>
        <v>octubre</v>
      </c>
      <c r="O537" s="4" t="str">
        <f t="shared" si="34"/>
        <v>SI</v>
      </c>
      <c r="P537" s="4" t="str">
        <f t="shared" si="35"/>
        <v>SI</v>
      </c>
      <c r="Q537" s="4" t="str" cm="1">
        <f t="array" ref="Q537">_xlfn.IFS(AND(H537&gt;=0,H537&lt;=3333),"Grupo 1",AND(H537&gt;3333,H537&lt;=6666),"Grupo 2",AND(H537&gt;6666,H537&lt;=10000),"Grupo 3")</f>
        <v>Grupo 2</v>
      </c>
    </row>
    <row r="538" spans="1:17" x14ac:dyDescent="0.25">
      <c r="A538" t="s">
        <v>148</v>
      </c>
      <c r="B538" s="2">
        <v>45525.048611111109</v>
      </c>
      <c r="C538" t="s">
        <v>302</v>
      </c>
      <c r="D538" t="s">
        <v>215</v>
      </c>
      <c r="E538">
        <v>5</v>
      </c>
      <c r="F538">
        <v>1137.1400000000001</v>
      </c>
      <c r="G538" t="s">
        <v>220</v>
      </c>
      <c r="H538">
        <v>5685.7000000000007</v>
      </c>
      <c r="I538">
        <v>2024</v>
      </c>
      <c r="J538">
        <v>8</v>
      </c>
      <c r="K538">
        <v>1</v>
      </c>
      <c r="L538" s="14">
        <v>1137.1400000000001</v>
      </c>
      <c r="M538" s="4" t="str">
        <f t="shared" si="32"/>
        <v>miércoles</v>
      </c>
      <c r="N538" s="4" t="str">
        <f t="shared" si="33"/>
        <v>agosto</v>
      </c>
      <c r="O538" s="4" t="str">
        <f t="shared" si="34"/>
        <v>SI</v>
      </c>
      <c r="P538" s="4" t="str">
        <f t="shared" si="35"/>
        <v>SI</v>
      </c>
      <c r="Q538" s="4" t="str" cm="1">
        <f t="array" ref="Q538">_xlfn.IFS(AND(H538&gt;=0,H538&lt;=3333),"Grupo 1",AND(H538&gt;3333,H538&lt;=6666),"Grupo 2",AND(H538&gt;6666,H538&lt;=10000),"Grupo 3")</f>
        <v>Grupo 2</v>
      </c>
    </row>
    <row r="539" spans="1:17" x14ac:dyDescent="0.25">
      <c r="A539" t="s">
        <v>149</v>
      </c>
      <c r="B539" s="2">
        <v>45520.686111111107</v>
      </c>
      <c r="C539" t="s">
        <v>303</v>
      </c>
      <c r="D539" t="s">
        <v>213</v>
      </c>
      <c r="E539">
        <v>4</v>
      </c>
      <c r="F539">
        <v>966.72</v>
      </c>
      <c r="G539" t="s">
        <v>221</v>
      </c>
      <c r="H539">
        <v>3866.88</v>
      </c>
      <c r="I539">
        <v>2024</v>
      </c>
      <c r="J539">
        <v>8</v>
      </c>
      <c r="K539">
        <v>16</v>
      </c>
      <c r="L539" s="14">
        <v>966.72</v>
      </c>
      <c r="M539" s="4" t="str">
        <f t="shared" si="32"/>
        <v>viernes</v>
      </c>
      <c r="N539" s="4" t="str">
        <f t="shared" si="33"/>
        <v>agosto</v>
      </c>
      <c r="O539" s="4" t="str">
        <f t="shared" si="34"/>
        <v>SI</v>
      </c>
      <c r="P539" s="4" t="str">
        <f t="shared" si="35"/>
        <v>NO</v>
      </c>
      <c r="Q539" s="4" t="str" cm="1">
        <f t="array" ref="Q539">_xlfn.IFS(AND(H539&gt;=0,H539&lt;=3333),"Grupo 1",AND(H539&gt;3333,H539&lt;=6666),"Grupo 2",AND(H539&gt;6666,H539&lt;=10000),"Grupo 3")</f>
        <v>Grupo 2</v>
      </c>
    </row>
    <row r="540" spans="1:17" x14ac:dyDescent="0.25">
      <c r="A540" t="s">
        <v>150</v>
      </c>
      <c r="B540" s="2">
        <v>45484.331944444442</v>
      </c>
      <c r="C540" t="s">
        <v>304</v>
      </c>
      <c r="D540" t="s">
        <v>215</v>
      </c>
      <c r="E540">
        <v>5</v>
      </c>
      <c r="F540">
        <v>754.88</v>
      </c>
      <c r="G540" t="s">
        <v>220</v>
      </c>
      <c r="H540">
        <v>3774.4</v>
      </c>
      <c r="I540">
        <v>2024</v>
      </c>
      <c r="J540">
        <v>7</v>
      </c>
      <c r="K540">
        <v>7</v>
      </c>
      <c r="L540" s="14">
        <v>754.88</v>
      </c>
      <c r="M540" s="4" t="str">
        <f t="shared" si="32"/>
        <v>jueves</v>
      </c>
      <c r="N540" s="4" t="str">
        <f t="shared" si="33"/>
        <v>julio</v>
      </c>
      <c r="O540" s="4" t="str">
        <f t="shared" si="34"/>
        <v>SI</v>
      </c>
      <c r="P540" s="4" t="str">
        <f t="shared" si="35"/>
        <v>NO</v>
      </c>
      <c r="Q540" s="4" t="str" cm="1">
        <f t="array" ref="Q540">_xlfn.IFS(AND(H540&gt;=0,H540&lt;=3333),"Grupo 1",AND(H540&gt;3333,H540&lt;=6666),"Grupo 2",AND(H540&gt;6666,H540&lt;=10000),"Grupo 3")</f>
        <v>Grupo 2</v>
      </c>
    </row>
    <row r="541" spans="1:17" x14ac:dyDescent="0.25">
      <c r="A541" t="s">
        <v>151</v>
      </c>
      <c r="B541" s="2">
        <v>45842.433333333327</v>
      </c>
      <c r="C541" t="s">
        <v>305</v>
      </c>
      <c r="D541" t="s">
        <v>216</v>
      </c>
      <c r="E541">
        <v>4</v>
      </c>
      <c r="F541">
        <v>902.5</v>
      </c>
      <c r="G541" t="s">
        <v>221</v>
      </c>
      <c r="H541">
        <v>3610</v>
      </c>
      <c r="I541">
        <v>2025</v>
      </c>
      <c r="J541">
        <v>7</v>
      </c>
      <c r="K541">
        <v>10</v>
      </c>
      <c r="L541" s="14">
        <v>902.5</v>
      </c>
      <c r="M541" s="4" t="str">
        <f t="shared" si="32"/>
        <v>viernes</v>
      </c>
      <c r="N541" s="4" t="str">
        <f t="shared" si="33"/>
        <v>julio</v>
      </c>
      <c r="O541" s="4" t="str">
        <f t="shared" si="34"/>
        <v>SI</v>
      </c>
      <c r="P541" s="4" t="str">
        <f t="shared" si="35"/>
        <v>NO</v>
      </c>
      <c r="Q541" s="4" t="str" cm="1">
        <f t="array" ref="Q541">_xlfn.IFS(AND(H541&gt;=0,H541&lt;=3333),"Grupo 1",AND(H541&gt;3333,H541&lt;=6666),"Grupo 2",AND(H541&gt;6666,H541&lt;=10000),"Grupo 3")</f>
        <v>Grupo 2</v>
      </c>
    </row>
    <row r="542" spans="1:17" x14ac:dyDescent="0.25">
      <c r="A542" t="s">
        <v>152</v>
      </c>
      <c r="B542" s="2">
        <v>45697.842361111107</v>
      </c>
      <c r="C542" t="s">
        <v>306</v>
      </c>
      <c r="D542" t="s">
        <v>218</v>
      </c>
      <c r="E542">
        <v>2</v>
      </c>
      <c r="F542">
        <v>78.180000000000007</v>
      </c>
      <c r="G542" t="s">
        <v>221</v>
      </c>
      <c r="H542">
        <v>156.36000000000001</v>
      </c>
      <c r="I542">
        <v>2025</v>
      </c>
      <c r="J542">
        <v>2</v>
      </c>
      <c r="K542">
        <v>20</v>
      </c>
      <c r="L542" s="14">
        <v>78.180000000000007</v>
      </c>
      <c r="M542" s="4" t="str">
        <f t="shared" si="32"/>
        <v>domingo</v>
      </c>
      <c r="N542" s="4" t="str">
        <f t="shared" si="33"/>
        <v>febrero</v>
      </c>
      <c r="O542" s="4" t="str">
        <f t="shared" si="34"/>
        <v>NO</v>
      </c>
      <c r="P542" s="4" t="str">
        <f t="shared" si="35"/>
        <v>NO</v>
      </c>
      <c r="Q542" s="4" t="str" cm="1">
        <f t="array" ref="Q542">_xlfn.IFS(AND(H542&gt;=0,H542&lt;=3333),"Grupo 1",AND(H542&gt;3333,H542&lt;=6666),"Grupo 2",AND(H542&gt;6666,H542&lt;=10000),"Grupo 3")</f>
        <v>Grupo 1</v>
      </c>
    </row>
    <row r="543" spans="1:17" x14ac:dyDescent="0.25">
      <c r="A543" t="s">
        <v>153</v>
      </c>
      <c r="B543" s="2">
        <v>45927.180555555547</v>
      </c>
      <c r="C543" t="s">
        <v>307</v>
      </c>
      <c r="D543" t="s">
        <v>212</v>
      </c>
      <c r="E543">
        <v>2</v>
      </c>
      <c r="F543">
        <v>1615.41</v>
      </c>
      <c r="G543" t="s">
        <v>220</v>
      </c>
      <c r="H543">
        <v>3230.82</v>
      </c>
      <c r="I543">
        <v>2025</v>
      </c>
      <c r="J543">
        <v>9</v>
      </c>
      <c r="K543">
        <v>4</v>
      </c>
      <c r="L543" s="14">
        <v>1615.41</v>
      </c>
      <c r="M543" s="4" t="str">
        <f t="shared" si="32"/>
        <v>sábado</v>
      </c>
      <c r="N543" s="4" t="str">
        <f t="shared" si="33"/>
        <v>septiembre</v>
      </c>
      <c r="O543" s="4" t="str">
        <f t="shared" si="34"/>
        <v>SI</v>
      </c>
      <c r="P543" s="4" t="str">
        <f t="shared" si="35"/>
        <v>SI</v>
      </c>
      <c r="Q543" s="4" t="str" cm="1">
        <f t="array" ref="Q543">_xlfn.IFS(AND(H543&gt;=0,H543&lt;=3333),"Grupo 1",AND(H543&gt;3333,H543&lt;=6666),"Grupo 2",AND(H543&gt;6666,H543&lt;=10000),"Grupo 3")</f>
        <v>Grupo 1</v>
      </c>
    </row>
    <row r="544" spans="1:17" x14ac:dyDescent="0.25">
      <c r="A544" t="s">
        <v>154</v>
      </c>
      <c r="B544" s="2">
        <v>45511.748611111107</v>
      </c>
      <c r="C544" t="s">
        <v>308</v>
      </c>
      <c r="D544" t="s">
        <v>212</v>
      </c>
      <c r="E544">
        <v>5</v>
      </c>
      <c r="F544">
        <v>149.54</v>
      </c>
      <c r="G544" t="s">
        <v>220</v>
      </c>
      <c r="H544">
        <v>747.69999999999993</v>
      </c>
      <c r="I544">
        <v>2024</v>
      </c>
      <c r="J544">
        <v>8</v>
      </c>
      <c r="K544">
        <v>17</v>
      </c>
      <c r="L544" s="14">
        <v>149.54</v>
      </c>
      <c r="M544" s="4" t="str">
        <f t="shared" si="32"/>
        <v>miércoles</v>
      </c>
      <c r="N544" s="4" t="str">
        <f t="shared" si="33"/>
        <v>agosto</v>
      </c>
      <c r="O544" s="4" t="str">
        <f t="shared" si="34"/>
        <v>NO</v>
      </c>
      <c r="P544" s="4" t="str">
        <f t="shared" si="35"/>
        <v>NO</v>
      </c>
      <c r="Q544" s="4" t="str" cm="1">
        <f t="array" ref="Q544">_xlfn.IFS(AND(H544&gt;=0,H544&lt;=3333),"Grupo 1",AND(H544&gt;3333,H544&lt;=6666),"Grupo 2",AND(H544&gt;6666,H544&lt;=10000),"Grupo 3")</f>
        <v>Grupo 1</v>
      </c>
    </row>
    <row r="545" spans="1:17" x14ac:dyDescent="0.25">
      <c r="A545" t="s">
        <v>155</v>
      </c>
      <c r="B545" s="2">
        <v>45867.710416666669</v>
      </c>
      <c r="C545" t="s">
        <v>309</v>
      </c>
      <c r="D545" t="s">
        <v>213</v>
      </c>
      <c r="E545">
        <v>5</v>
      </c>
      <c r="F545">
        <v>955.39</v>
      </c>
      <c r="G545" t="s">
        <v>221</v>
      </c>
      <c r="H545">
        <v>4776.95</v>
      </c>
      <c r="I545">
        <v>2025</v>
      </c>
      <c r="J545">
        <v>7</v>
      </c>
      <c r="K545">
        <v>17</v>
      </c>
      <c r="L545" s="14">
        <v>955.39</v>
      </c>
      <c r="M545" s="4" t="str">
        <f t="shared" si="32"/>
        <v>martes</v>
      </c>
      <c r="N545" s="4" t="str">
        <f t="shared" si="33"/>
        <v>julio</v>
      </c>
      <c r="O545" s="4" t="str">
        <f t="shared" si="34"/>
        <v>SI</v>
      </c>
      <c r="P545" s="4" t="str">
        <f t="shared" si="35"/>
        <v>NO</v>
      </c>
      <c r="Q545" s="4" t="str" cm="1">
        <f t="array" ref="Q545">_xlfn.IFS(AND(H545&gt;=0,H545&lt;=3333),"Grupo 1",AND(H545&gt;3333,H545&lt;=6666),"Grupo 2",AND(H545&gt;6666,H545&lt;=10000),"Grupo 3")</f>
        <v>Grupo 2</v>
      </c>
    </row>
    <row r="546" spans="1:17" x14ac:dyDescent="0.25">
      <c r="A546" t="s">
        <v>156</v>
      </c>
      <c r="B546" s="2">
        <v>45339.555555555547</v>
      </c>
      <c r="C546" t="s">
        <v>310</v>
      </c>
      <c r="D546" t="s">
        <v>214</v>
      </c>
      <c r="E546">
        <v>2</v>
      </c>
      <c r="F546">
        <v>1963.63</v>
      </c>
      <c r="G546" t="s">
        <v>222</v>
      </c>
      <c r="H546">
        <v>3927.26</v>
      </c>
      <c r="I546">
        <v>2024</v>
      </c>
      <c r="J546">
        <v>2</v>
      </c>
      <c r="K546">
        <v>13</v>
      </c>
      <c r="L546" s="14">
        <v>1963.63</v>
      </c>
      <c r="M546" s="4" t="str">
        <f t="shared" si="32"/>
        <v>sábado</v>
      </c>
      <c r="N546" s="4" t="str">
        <f t="shared" si="33"/>
        <v>febrero</v>
      </c>
      <c r="O546" s="4" t="str">
        <f t="shared" si="34"/>
        <v>SI</v>
      </c>
      <c r="P546" s="4" t="str">
        <f t="shared" si="35"/>
        <v>SI</v>
      </c>
      <c r="Q546" s="4" t="str" cm="1">
        <f t="array" ref="Q546">_xlfn.IFS(AND(H546&gt;=0,H546&lt;=3333),"Grupo 1",AND(H546&gt;3333,H546&lt;=6666),"Grupo 2",AND(H546&gt;6666,H546&lt;=10000),"Grupo 3")</f>
        <v>Grupo 2</v>
      </c>
    </row>
    <row r="547" spans="1:17" x14ac:dyDescent="0.25">
      <c r="A547" t="s">
        <v>157</v>
      </c>
      <c r="B547" s="2">
        <v>45538.998611111107</v>
      </c>
      <c r="C547" t="s">
        <v>311</v>
      </c>
      <c r="D547" t="s">
        <v>216</v>
      </c>
      <c r="E547">
        <v>5</v>
      </c>
      <c r="F547">
        <v>1440.14</v>
      </c>
      <c r="G547" t="s">
        <v>221</v>
      </c>
      <c r="H547">
        <v>7200.7000000000007</v>
      </c>
      <c r="I547">
        <v>2024</v>
      </c>
      <c r="J547">
        <v>9</v>
      </c>
      <c r="K547">
        <v>23</v>
      </c>
      <c r="L547" s="14">
        <v>1440.14</v>
      </c>
      <c r="M547" s="4" t="str">
        <f t="shared" si="32"/>
        <v>martes</v>
      </c>
      <c r="N547" s="4" t="str">
        <f t="shared" si="33"/>
        <v>septiembre</v>
      </c>
      <c r="O547" s="4" t="str">
        <f t="shared" si="34"/>
        <v>SI</v>
      </c>
      <c r="P547" s="4" t="str">
        <f t="shared" si="35"/>
        <v>SI</v>
      </c>
      <c r="Q547" s="4" t="str" cm="1">
        <f t="array" ref="Q547">_xlfn.IFS(AND(H547&gt;=0,H547&lt;=3333),"Grupo 1",AND(H547&gt;3333,H547&lt;=6666),"Grupo 2",AND(H547&gt;6666,H547&lt;=10000),"Grupo 3")</f>
        <v>Grupo 3</v>
      </c>
    </row>
    <row r="548" spans="1:17" x14ac:dyDescent="0.25">
      <c r="A548" t="s">
        <v>158</v>
      </c>
      <c r="B548" s="2">
        <v>45105.837500000001</v>
      </c>
      <c r="C548" t="s">
        <v>312</v>
      </c>
      <c r="D548" t="s">
        <v>212</v>
      </c>
      <c r="E548">
        <v>4</v>
      </c>
      <c r="F548">
        <v>283.7</v>
      </c>
      <c r="G548" t="s">
        <v>220</v>
      </c>
      <c r="H548">
        <v>1134.8</v>
      </c>
      <c r="I548">
        <v>2023</v>
      </c>
      <c r="J548">
        <v>6</v>
      </c>
      <c r="K548">
        <v>20</v>
      </c>
      <c r="L548" s="14">
        <v>283.7</v>
      </c>
      <c r="M548" s="4" t="str">
        <f t="shared" si="32"/>
        <v>miércoles</v>
      </c>
      <c r="N548" s="4" t="str">
        <f t="shared" si="33"/>
        <v>junio</v>
      </c>
      <c r="O548" s="4" t="str">
        <f t="shared" si="34"/>
        <v>NO</v>
      </c>
      <c r="P548" s="4" t="str">
        <f t="shared" si="35"/>
        <v>NO</v>
      </c>
      <c r="Q548" s="4" t="str" cm="1">
        <f t="array" ref="Q548">_xlfn.IFS(AND(H548&gt;=0,H548&lt;=3333),"Grupo 1",AND(H548&gt;3333,H548&lt;=6666),"Grupo 2",AND(H548&gt;6666,H548&lt;=10000),"Grupo 3")</f>
        <v>Grupo 1</v>
      </c>
    </row>
    <row r="549" spans="1:17" x14ac:dyDescent="0.25">
      <c r="A549" t="s">
        <v>159</v>
      </c>
      <c r="B549" s="2">
        <v>45470.283333333333</v>
      </c>
      <c r="C549" t="s">
        <v>313</v>
      </c>
      <c r="D549" t="s">
        <v>215</v>
      </c>
      <c r="E549">
        <v>3</v>
      </c>
      <c r="F549">
        <v>687.51</v>
      </c>
      <c r="G549" t="s">
        <v>220</v>
      </c>
      <c r="H549">
        <v>2062.5300000000002</v>
      </c>
      <c r="I549">
        <v>2024</v>
      </c>
      <c r="J549">
        <v>6</v>
      </c>
      <c r="K549">
        <v>6</v>
      </c>
      <c r="L549" s="14">
        <v>687.50999999999988</v>
      </c>
      <c r="M549" s="4" t="str">
        <f t="shared" si="32"/>
        <v>jueves</v>
      </c>
      <c r="N549" s="4" t="str">
        <f t="shared" si="33"/>
        <v>junio</v>
      </c>
      <c r="O549" s="4" t="str">
        <f t="shared" si="34"/>
        <v>NO</v>
      </c>
      <c r="P549" s="4" t="str">
        <f t="shared" si="35"/>
        <v>NO</v>
      </c>
      <c r="Q549" s="4" t="str" cm="1">
        <f t="array" ref="Q549">_xlfn.IFS(AND(H549&gt;=0,H549&lt;=3333),"Grupo 1",AND(H549&gt;3333,H549&lt;=6666),"Grupo 2",AND(H549&gt;6666,H549&lt;=10000),"Grupo 3")</f>
        <v>Grupo 1</v>
      </c>
    </row>
    <row r="550" spans="1:17" x14ac:dyDescent="0.25">
      <c r="A550" t="s">
        <v>160</v>
      </c>
      <c r="B550" s="2">
        <v>45122.511805555558</v>
      </c>
      <c r="C550" t="s">
        <v>314</v>
      </c>
      <c r="D550" t="s">
        <v>216</v>
      </c>
      <c r="E550">
        <v>2</v>
      </c>
      <c r="F550">
        <v>282</v>
      </c>
      <c r="G550" t="s">
        <v>221</v>
      </c>
      <c r="H550">
        <v>564</v>
      </c>
      <c r="I550">
        <v>2023</v>
      </c>
      <c r="J550">
        <v>7</v>
      </c>
      <c r="K550">
        <v>12</v>
      </c>
      <c r="L550" s="14">
        <v>282</v>
      </c>
      <c r="M550" s="4" t="str">
        <f t="shared" si="32"/>
        <v>sábado</v>
      </c>
      <c r="N550" s="4" t="str">
        <f t="shared" si="33"/>
        <v>julio</v>
      </c>
      <c r="O550" s="4" t="str">
        <f t="shared" si="34"/>
        <v>NO</v>
      </c>
      <c r="P550" s="4" t="str">
        <f t="shared" si="35"/>
        <v>NO</v>
      </c>
      <c r="Q550" s="4" t="str" cm="1">
        <f t="array" ref="Q550">_xlfn.IFS(AND(H550&gt;=0,H550&lt;=3333),"Grupo 1",AND(H550&gt;3333,H550&lt;=6666),"Grupo 2",AND(H550&gt;6666,H550&lt;=10000),"Grupo 3")</f>
        <v>Grupo 1</v>
      </c>
    </row>
    <row r="551" spans="1:17" x14ac:dyDescent="0.25">
      <c r="A551" t="s">
        <v>161</v>
      </c>
      <c r="B551" s="2">
        <v>45878.351388888892</v>
      </c>
      <c r="C551" t="s">
        <v>315</v>
      </c>
      <c r="D551" t="s">
        <v>215</v>
      </c>
      <c r="E551">
        <v>4</v>
      </c>
      <c r="F551">
        <v>1471.38</v>
      </c>
      <c r="G551" t="s">
        <v>220</v>
      </c>
      <c r="H551">
        <v>5885.52</v>
      </c>
      <c r="I551">
        <v>2025</v>
      </c>
      <c r="J551">
        <v>8</v>
      </c>
      <c r="K551">
        <v>8</v>
      </c>
      <c r="L551" s="14">
        <v>1471.38</v>
      </c>
      <c r="M551" s="4" t="str">
        <f t="shared" si="32"/>
        <v>sábado</v>
      </c>
      <c r="N551" s="4" t="str">
        <f t="shared" si="33"/>
        <v>agosto</v>
      </c>
      <c r="O551" s="4" t="str">
        <f t="shared" si="34"/>
        <v>SI</v>
      </c>
      <c r="P551" s="4" t="str">
        <f t="shared" si="35"/>
        <v>SI</v>
      </c>
      <c r="Q551" s="4" t="str" cm="1">
        <f t="array" ref="Q551">_xlfn.IFS(AND(H551&gt;=0,H551&lt;=3333),"Grupo 1",AND(H551&gt;3333,H551&lt;=6666),"Grupo 2",AND(H551&gt;6666,H551&lt;=10000),"Grupo 3")</f>
        <v>Grupo 2</v>
      </c>
    </row>
    <row r="552" spans="1:17" x14ac:dyDescent="0.25">
      <c r="A552" t="s">
        <v>162</v>
      </c>
      <c r="B552" s="2">
        <v>45894.257638888892</v>
      </c>
      <c r="C552" t="s">
        <v>316</v>
      </c>
      <c r="D552" t="s">
        <v>216</v>
      </c>
      <c r="E552">
        <v>1</v>
      </c>
      <c r="F552">
        <v>1463.91</v>
      </c>
      <c r="G552" t="s">
        <v>221</v>
      </c>
      <c r="H552">
        <v>1463.91</v>
      </c>
      <c r="I552">
        <v>2025</v>
      </c>
      <c r="J552">
        <v>8</v>
      </c>
      <c r="K552">
        <v>6</v>
      </c>
      <c r="L552" s="14">
        <v>1463.91</v>
      </c>
      <c r="M552" s="4" t="str">
        <f t="shared" si="32"/>
        <v>lunes</v>
      </c>
      <c r="N552" s="4" t="str">
        <f t="shared" si="33"/>
        <v>agosto</v>
      </c>
      <c r="O552" s="4" t="str">
        <f t="shared" si="34"/>
        <v>NO</v>
      </c>
      <c r="P552" s="4" t="str">
        <f t="shared" si="35"/>
        <v>SI</v>
      </c>
      <c r="Q552" s="4" t="str" cm="1">
        <f t="array" ref="Q552">_xlfn.IFS(AND(H552&gt;=0,H552&lt;=3333),"Grupo 1",AND(H552&gt;3333,H552&lt;=6666),"Grupo 2",AND(H552&gt;6666,H552&lt;=10000),"Grupo 3")</f>
        <v>Grupo 1</v>
      </c>
    </row>
    <row r="553" spans="1:17" x14ac:dyDescent="0.25">
      <c r="A553" t="s">
        <v>163</v>
      </c>
      <c r="B553" s="2">
        <v>45321.105555555558</v>
      </c>
      <c r="C553" t="s">
        <v>317</v>
      </c>
      <c r="D553" t="s">
        <v>213</v>
      </c>
      <c r="E553">
        <v>4</v>
      </c>
      <c r="F553">
        <v>1585.49</v>
      </c>
      <c r="G553" t="s">
        <v>221</v>
      </c>
      <c r="H553">
        <v>6341.96</v>
      </c>
      <c r="I553">
        <v>2024</v>
      </c>
      <c r="J553">
        <v>1</v>
      </c>
      <c r="K553">
        <v>2</v>
      </c>
      <c r="L553" s="14">
        <v>1585.49</v>
      </c>
      <c r="M553" s="4" t="str">
        <f t="shared" si="32"/>
        <v>martes</v>
      </c>
      <c r="N553" s="4" t="str">
        <f t="shared" si="33"/>
        <v>enero</v>
      </c>
      <c r="O553" s="4" t="str">
        <f t="shared" si="34"/>
        <v>SI</v>
      </c>
      <c r="P553" s="4" t="str">
        <f t="shared" si="35"/>
        <v>SI</v>
      </c>
      <c r="Q553" s="4" t="str" cm="1">
        <f t="array" ref="Q553">_xlfn.IFS(AND(H553&gt;=0,H553&lt;=3333),"Grupo 1",AND(H553&gt;3333,H553&lt;=6666),"Grupo 2",AND(H553&gt;6666,H553&lt;=10000),"Grupo 3")</f>
        <v>Grupo 2</v>
      </c>
    </row>
    <row r="554" spans="1:17" x14ac:dyDescent="0.25">
      <c r="A554" t="s">
        <v>164</v>
      </c>
      <c r="B554" s="2">
        <v>45571.035416666673</v>
      </c>
      <c r="C554" t="s">
        <v>318</v>
      </c>
      <c r="D554" t="s">
        <v>213</v>
      </c>
      <c r="E554">
        <v>1</v>
      </c>
      <c r="F554">
        <v>662.17</v>
      </c>
      <c r="G554" t="s">
        <v>221</v>
      </c>
      <c r="H554">
        <v>662.17</v>
      </c>
      <c r="I554">
        <v>2024</v>
      </c>
      <c r="J554">
        <v>10</v>
      </c>
      <c r="K554">
        <v>0</v>
      </c>
      <c r="L554" s="14">
        <v>662.17</v>
      </c>
      <c r="M554" s="4" t="str">
        <f t="shared" si="32"/>
        <v>domingo</v>
      </c>
      <c r="N554" s="4" t="str">
        <f t="shared" si="33"/>
        <v>octubre</v>
      </c>
      <c r="O554" s="4" t="str">
        <f t="shared" si="34"/>
        <v>NO</v>
      </c>
      <c r="P554" s="4" t="str">
        <f t="shared" si="35"/>
        <v>NO</v>
      </c>
      <c r="Q554" s="4" t="str" cm="1">
        <f t="array" ref="Q554">_xlfn.IFS(AND(H554&gt;=0,H554&lt;=3333),"Grupo 1",AND(H554&gt;3333,H554&lt;=6666),"Grupo 2",AND(H554&gt;6666,H554&lt;=10000),"Grupo 3")</f>
        <v>Grupo 1</v>
      </c>
    </row>
    <row r="555" spans="1:17" x14ac:dyDescent="0.25">
      <c r="A555" t="s">
        <v>165</v>
      </c>
      <c r="B555" s="2">
        <v>45442.757638888892</v>
      </c>
      <c r="C555" t="s">
        <v>319</v>
      </c>
      <c r="D555" t="s">
        <v>216</v>
      </c>
      <c r="E555">
        <v>2</v>
      </c>
      <c r="F555">
        <v>136.68</v>
      </c>
      <c r="G555" t="s">
        <v>221</v>
      </c>
      <c r="H555">
        <v>273.36</v>
      </c>
      <c r="I555">
        <v>2024</v>
      </c>
      <c r="J555">
        <v>5</v>
      </c>
      <c r="K555">
        <v>18</v>
      </c>
      <c r="L555" s="14">
        <v>136.68</v>
      </c>
      <c r="M555" s="4" t="str">
        <f t="shared" si="32"/>
        <v>jueves</v>
      </c>
      <c r="N555" s="4" t="str">
        <f t="shared" si="33"/>
        <v>mayo</v>
      </c>
      <c r="O555" s="4" t="str">
        <f t="shared" si="34"/>
        <v>NO</v>
      </c>
      <c r="P555" s="4" t="str">
        <f t="shared" si="35"/>
        <v>NO</v>
      </c>
      <c r="Q555" s="4" t="str" cm="1">
        <f t="array" ref="Q555">_xlfn.IFS(AND(H555&gt;=0,H555&lt;=3333),"Grupo 1",AND(H555&gt;3333,H555&lt;=6666),"Grupo 2",AND(H555&gt;6666,H555&lt;=10000),"Grupo 3")</f>
        <v>Grupo 1</v>
      </c>
    </row>
    <row r="556" spans="1:17" x14ac:dyDescent="0.25">
      <c r="A556" t="s">
        <v>166</v>
      </c>
      <c r="B556" s="2">
        <v>45889.054166666669</v>
      </c>
      <c r="C556" t="s">
        <v>320</v>
      </c>
      <c r="D556" t="s">
        <v>215</v>
      </c>
      <c r="E556">
        <v>4</v>
      </c>
      <c r="F556">
        <v>118.64</v>
      </c>
      <c r="G556" t="s">
        <v>220</v>
      </c>
      <c r="H556">
        <v>474.56</v>
      </c>
      <c r="I556">
        <v>2025</v>
      </c>
      <c r="J556">
        <v>8</v>
      </c>
      <c r="K556">
        <v>1</v>
      </c>
      <c r="L556" s="14">
        <v>118.64</v>
      </c>
      <c r="M556" s="4" t="str">
        <f t="shared" si="32"/>
        <v>miércoles</v>
      </c>
      <c r="N556" s="4" t="str">
        <f t="shared" si="33"/>
        <v>agosto</v>
      </c>
      <c r="O556" s="4" t="str">
        <f t="shared" si="34"/>
        <v>NO</v>
      </c>
      <c r="P556" s="4" t="str">
        <f t="shared" si="35"/>
        <v>NO</v>
      </c>
      <c r="Q556" s="4" t="str" cm="1">
        <f t="array" ref="Q556">_xlfn.IFS(AND(H556&gt;=0,H556&lt;=3333),"Grupo 1",AND(H556&gt;3333,H556&lt;=6666),"Grupo 2",AND(H556&gt;6666,H556&lt;=10000),"Grupo 3")</f>
        <v>Grupo 1</v>
      </c>
    </row>
    <row r="557" spans="1:17" x14ac:dyDescent="0.25">
      <c r="A557" t="s">
        <v>167</v>
      </c>
      <c r="B557" s="2">
        <v>45468.727083333331</v>
      </c>
      <c r="C557" t="s">
        <v>321</v>
      </c>
      <c r="D557" t="s">
        <v>217</v>
      </c>
      <c r="E557">
        <v>3</v>
      </c>
      <c r="F557">
        <v>933.49</v>
      </c>
      <c r="G557" t="s">
        <v>220</v>
      </c>
      <c r="H557">
        <v>2800.47</v>
      </c>
      <c r="I557">
        <v>2024</v>
      </c>
      <c r="J557">
        <v>6</v>
      </c>
      <c r="K557">
        <v>17</v>
      </c>
      <c r="L557" s="14">
        <v>933.49000000000012</v>
      </c>
      <c r="M557" s="4" t="str">
        <f t="shared" si="32"/>
        <v>martes</v>
      </c>
      <c r="N557" s="4" t="str">
        <f t="shared" si="33"/>
        <v>junio</v>
      </c>
      <c r="O557" s="4" t="str">
        <f t="shared" si="34"/>
        <v>NO</v>
      </c>
      <c r="P557" s="4" t="str">
        <f t="shared" si="35"/>
        <v>NO</v>
      </c>
      <c r="Q557" s="4" t="str" cm="1">
        <f t="array" ref="Q557">_xlfn.IFS(AND(H557&gt;=0,H557&lt;=3333),"Grupo 1",AND(H557&gt;3333,H557&lt;=6666),"Grupo 2",AND(H557&gt;6666,H557&lt;=10000),"Grupo 3")</f>
        <v>Grupo 1</v>
      </c>
    </row>
    <row r="558" spans="1:17" x14ac:dyDescent="0.25">
      <c r="A558" t="s">
        <v>168</v>
      </c>
      <c r="B558" s="2">
        <v>45202.955555555563</v>
      </c>
      <c r="C558" t="s">
        <v>322</v>
      </c>
      <c r="D558" t="s">
        <v>219</v>
      </c>
      <c r="E558">
        <v>2</v>
      </c>
      <c r="F558">
        <v>1035.0899999999999</v>
      </c>
      <c r="G558" t="s">
        <v>221</v>
      </c>
      <c r="H558">
        <v>2070.1799999999998</v>
      </c>
      <c r="I558">
        <v>2023</v>
      </c>
      <c r="J558">
        <v>10</v>
      </c>
      <c r="K558">
        <v>22</v>
      </c>
      <c r="L558" s="14">
        <v>1035.0899999999999</v>
      </c>
      <c r="M558" s="4" t="str">
        <f t="shared" si="32"/>
        <v>martes</v>
      </c>
      <c r="N558" s="4" t="str">
        <f t="shared" si="33"/>
        <v>octubre</v>
      </c>
      <c r="O558" s="4" t="str">
        <f t="shared" si="34"/>
        <v>NO</v>
      </c>
      <c r="P558" s="4" t="str">
        <f t="shared" si="35"/>
        <v>SI</v>
      </c>
      <c r="Q558" s="4" t="str" cm="1">
        <f t="array" ref="Q558">_xlfn.IFS(AND(H558&gt;=0,H558&lt;=3333),"Grupo 1",AND(H558&gt;3333,H558&lt;=6666),"Grupo 2",AND(H558&gt;6666,H558&lt;=10000),"Grupo 3")</f>
        <v>Grupo 1</v>
      </c>
    </row>
    <row r="559" spans="1:17" x14ac:dyDescent="0.25">
      <c r="A559" t="s">
        <v>169</v>
      </c>
      <c r="B559" s="2">
        <v>45323.202777777777</v>
      </c>
      <c r="C559" t="s">
        <v>323</v>
      </c>
      <c r="D559" t="s">
        <v>215</v>
      </c>
      <c r="E559">
        <v>2</v>
      </c>
      <c r="F559">
        <v>1325.01</v>
      </c>
      <c r="G559" t="s">
        <v>220</v>
      </c>
      <c r="H559">
        <v>2650.02</v>
      </c>
      <c r="I559">
        <v>2024</v>
      </c>
      <c r="J559">
        <v>2</v>
      </c>
      <c r="K559">
        <v>4</v>
      </c>
      <c r="L559" s="14">
        <v>1325.01</v>
      </c>
      <c r="M559" s="4" t="str">
        <f t="shared" si="32"/>
        <v>jueves</v>
      </c>
      <c r="N559" s="4" t="str">
        <f t="shared" si="33"/>
        <v>febrero</v>
      </c>
      <c r="O559" s="4" t="str">
        <f t="shared" si="34"/>
        <v>NO</v>
      </c>
      <c r="P559" s="4" t="str">
        <f t="shared" si="35"/>
        <v>SI</v>
      </c>
      <c r="Q559" s="4" t="str" cm="1">
        <f t="array" ref="Q559">_xlfn.IFS(AND(H559&gt;=0,H559&lt;=3333),"Grupo 1",AND(H559&gt;3333,H559&lt;=6666),"Grupo 2",AND(H559&gt;6666,H559&lt;=10000),"Grupo 3")</f>
        <v>Grupo 1</v>
      </c>
    </row>
    <row r="560" spans="1:17" x14ac:dyDescent="0.25">
      <c r="A560" t="s">
        <v>170</v>
      </c>
      <c r="B560" s="2">
        <v>45288.395833333343</v>
      </c>
      <c r="C560" t="s">
        <v>324</v>
      </c>
      <c r="D560" t="s">
        <v>213</v>
      </c>
      <c r="E560">
        <v>4</v>
      </c>
      <c r="F560">
        <v>710.84</v>
      </c>
      <c r="G560" t="s">
        <v>221</v>
      </c>
      <c r="H560">
        <v>2843.36</v>
      </c>
      <c r="I560">
        <v>2023</v>
      </c>
      <c r="J560">
        <v>12</v>
      </c>
      <c r="K560">
        <v>9</v>
      </c>
      <c r="L560" s="14">
        <v>710.84</v>
      </c>
      <c r="M560" s="4" t="str">
        <f t="shared" si="32"/>
        <v>jueves</v>
      </c>
      <c r="N560" s="4" t="str">
        <f t="shared" si="33"/>
        <v>diciembre</v>
      </c>
      <c r="O560" s="4" t="str">
        <f t="shared" si="34"/>
        <v>NO</v>
      </c>
      <c r="P560" s="4" t="str">
        <f t="shared" si="35"/>
        <v>NO</v>
      </c>
      <c r="Q560" s="4" t="str" cm="1">
        <f t="array" ref="Q560">_xlfn.IFS(AND(H560&gt;=0,H560&lt;=3333),"Grupo 1",AND(H560&gt;3333,H560&lt;=6666),"Grupo 2",AND(H560&gt;6666,H560&lt;=10000),"Grupo 3")</f>
        <v>Grupo 1</v>
      </c>
    </row>
    <row r="561" spans="1:17" x14ac:dyDescent="0.25">
      <c r="A561" t="s">
        <v>171</v>
      </c>
      <c r="B561" s="2">
        <v>45900.337500000001</v>
      </c>
      <c r="C561" t="s">
        <v>325</v>
      </c>
      <c r="D561" t="s">
        <v>214</v>
      </c>
      <c r="E561">
        <v>3</v>
      </c>
      <c r="F561">
        <v>97.27</v>
      </c>
      <c r="G561" t="s">
        <v>222</v>
      </c>
      <c r="H561">
        <v>291.81</v>
      </c>
      <c r="I561">
        <v>2025</v>
      </c>
      <c r="J561">
        <v>8</v>
      </c>
      <c r="K561">
        <v>8</v>
      </c>
      <c r="L561" s="14">
        <v>97.27</v>
      </c>
      <c r="M561" s="4" t="str">
        <f t="shared" si="32"/>
        <v>domingo</v>
      </c>
      <c r="N561" s="4" t="str">
        <f t="shared" si="33"/>
        <v>agosto</v>
      </c>
      <c r="O561" s="4" t="str">
        <f t="shared" si="34"/>
        <v>NO</v>
      </c>
      <c r="P561" s="4" t="str">
        <f t="shared" si="35"/>
        <v>NO</v>
      </c>
      <c r="Q561" s="4" t="str" cm="1">
        <f t="array" ref="Q561">_xlfn.IFS(AND(H561&gt;=0,H561&lt;=3333),"Grupo 1",AND(H561&gt;3333,H561&lt;=6666),"Grupo 2",AND(H561&gt;6666,H561&lt;=10000),"Grupo 3")</f>
        <v>Grupo 1</v>
      </c>
    </row>
    <row r="562" spans="1:17" x14ac:dyDescent="0.25">
      <c r="A562" t="s">
        <v>172</v>
      </c>
      <c r="B562" s="2">
        <v>45576.732638888891</v>
      </c>
      <c r="C562" t="s">
        <v>326</v>
      </c>
      <c r="D562" t="s">
        <v>215</v>
      </c>
      <c r="E562">
        <v>5</v>
      </c>
      <c r="F562">
        <v>498.36</v>
      </c>
      <c r="G562" t="s">
        <v>220</v>
      </c>
      <c r="H562">
        <v>2491.8000000000002</v>
      </c>
      <c r="I562">
        <v>2024</v>
      </c>
      <c r="J562">
        <v>10</v>
      </c>
      <c r="K562">
        <v>17</v>
      </c>
      <c r="L562" s="14">
        <v>498.36</v>
      </c>
      <c r="M562" s="4" t="str">
        <f t="shared" si="32"/>
        <v>viernes</v>
      </c>
      <c r="N562" s="4" t="str">
        <f t="shared" si="33"/>
        <v>octubre</v>
      </c>
      <c r="O562" s="4" t="str">
        <f t="shared" si="34"/>
        <v>NO</v>
      </c>
      <c r="P562" s="4" t="str">
        <f t="shared" si="35"/>
        <v>NO</v>
      </c>
      <c r="Q562" s="4" t="str" cm="1">
        <f t="array" ref="Q562">_xlfn.IFS(AND(H562&gt;=0,H562&lt;=3333),"Grupo 1",AND(H562&gt;3333,H562&lt;=6666),"Grupo 2",AND(H562&gt;6666,H562&lt;=10000),"Grupo 3")</f>
        <v>Grupo 1</v>
      </c>
    </row>
    <row r="563" spans="1:17" x14ac:dyDescent="0.25">
      <c r="A563" t="s">
        <v>173</v>
      </c>
      <c r="B563" s="2">
        <v>45392.97152777778</v>
      </c>
      <c r="C563" t="s">
        <v>327</v>
      </c>
      <c r="D563" t="s">
        <v>214</v>
      </c>
      <c r="E563">
        <v>5</v>
      </c>
      <c r="F563">
        <v>980.89</v>
      </c>
      <c r="G563" t="s">
        <v>222</v>
      </c>
      <c r="H563">
        <v>4904.45</v>
      </c>
      <c r="I563">
        <v>2024</v>
      </c>
      <c r="J563">
        <v>4</v>
      </c>
      <c r="K563">
        <v>23</v>
      </c>
      <c r="L563" s="14">
        <v>980.89</v>
      </c>
      <c r="M563" s="4" t="str">
        <f t="shared" si="32"/>
        <v>miércoles</v>
      </c>
      <c r="N563" s="4" t="str">
        <f t="shared" si="33"/>
        <v>abril</v>
      </c>
      <c r="O563" s="4" t="str">
        <f t="shared" si="34"/>
        <v>SI</v>
      </c>
      <c r="P563" s="4" t="str">
        <f t="shared" si="35"/>
        <v>NO</v>
      </c>
      <c r="Q563" s="4" t="str" cm="1">
        <f t="array" ref="Q563">_xlfn.IFS(AND(H563&gt;=0,H563&lt;=3333),"Grupo 1",AND(H563&gt;3333,H563&lt;=6666),"Grupo 2",AND(H563&gt;6666,H563&lt;=10000),"Grupo 3")</f>
        <v>Grupo 2</v>
      </c>
    </row>
    <row r="564" spans="1:17" x14ac:dyDescent="0.25">
      <c r="A564" t="s">
        <v>174</v>
      </c>
      <c r="B564" s="2">
        <v>45584.049305555563</v>
      </c>
      <c r="C564" t="s">
        <v>328</v>
      </c>
      <c r="D564" t="s">
        <v>213</v>
      </c>
      <c r="E564">
        <v>1</v>
      </c>
      <c r="F564">
        <v>1390.33</v>
      </c>
      <c r="G564" t="s">
        <v>221</v>
      </c>
      <c r="H564">
        <v>1390.33</v>
      </c>
      <c r="I564">
        <v>2024</v>
      </c>
      <c r="J564">
        <v>10</v>
      </c>
      <c r="K564">
        <v>1</v>
      </c>
      <c r="L564" s="14">
        <v>1390.33</v>
      </c>
      <c r="M564" s="4" t="str">
        <f t="shared" si="32"/>
        <v>sábado</v>
      </c>
      <c r="N564" s="4" t="str">
        <f t="shared" si="33"/>
        <v>octubre</v>
      </c>
      <c r="O564" s="4" t="str">
        <f t="shared" si="34"/>
        <v>NO</v>
      </c>
      <c r="P564" s="4" t="str">
        <f t="shared" si="35"/>
        <v>SI</v>
      </c>
      <c r="Q564" s="4" t="str" cm="1">
        <f t="array" ref="Q564">_xlfn.IFS(AND(H564&gt;=0,H564&lt;=3333),"Grupo 1",AND(H564&gt;3333,H564&lt;=6666),"Grupo 2",AND(H564&gt;6666,H564&lt;=10000),"Grupo 3")</f>
        <v>Grupo 1</v>
      </c>
    </row>
    <row r="565" spans="1:17" x14ac:dyDescent="0.25">
      <c r="A565" t="s">
        <v>175</v>
      </c>
      <c r="B565" s="2">
        <v>44941.657638888893</v>
      </c>
      <c r="C565" t="s">
        <v>329</v>
      </c>
      <c r="D565" t="s">
        <v>217</v>
      </c>
      <c r="E565">
        <v>5</v>
      </c>
      <c r="F565">
        <v>1708.09</v>
      </c>
      <c r="G565" t="s">
        <v>220</v>
      </c>
      <c r="H565">
        <v>8540.4499999999989</v>
      </c>
      <c r="I565">
        <v>2023</v>
      </c>
      <c r="J565">
        <v>1</v>
      </c>
      <c r="K565">
        <v>15</v>
      </c>
      <c r="L565" s="14">
        <v>1708.09</v>
      </c>
      <c r="M565" s="4" t="str">
        <f t="shared" si="32"/>
        <v>domingo</v>
      </c>
      <c r="N565" s="4" t="str">
        <f t="shared" si="33"/>
        <v>enero</v>
      </c>
      <c r="O565" s="4" t="str">
        <f t="shared" si="34"/>
        <v>SI</v>
      </c>
      <c r="P565" s="4" t="str">
        <f t="shared" si="35"/>
        <v>SI</v>
      </c>
      <c r="Q565" s="4" t="str" cm="1">
        <f t="array" ref="Q565">_xlfn.IFS(AND(H565&gt;=0,H565&lt;=3333),"Grupo 1",AND(H565&gt;3333,H565&lt;=6666),"Grupo 2",AND(H565&gt;6666,H565&lt;=10000),"Grupo 3")</f>
        <v>Grupo 3</v>
      </c>
    </row>
    <row r="566" spans="1:17" x14ac:dyDescent="0.25">
      <c r="A566" t="s">
        <v>176</v>
      </c>
      <c r="B566" s="2">
        <v>45238.718055555553</v>
      </c>
      <c r="C566" t="s">
        <v>330</v>
      </c>
      <c r="D566" t="s">
        <v>219</v>
      </c>
      <c r="E566">
        <v>3</v>
      </c>
      <c r="F566">
        <v>459.4</v>
      </c>
      <c r="G566" t="s">
        <v>221</v>
      </c>
      <c r="H566">
        <v>1378.2</v>
      </c>
      <c r="I566">
        <v>2023</v>
      </c>
      <c r="J566">
        <v>11</v>
      </c>
      <c r="K566">
        <v>17</v>
      </c>
      <c r="L566" s="14">
        <v>459.39999999999992</v>
      </c>
      <c r="M566" s="4" t="str">
        <f t="shared" si="32"/>
        <v>miércoles</v>
      </c>
      <c r="N566" s="4" t="str">
        <f t="shared" si="33"/>
        <v>noviembre</v>
      </c>
      <c r="O566" s="4" t="str">
        <f t="shared" si="34"/>
        <v>NO</v>
      </c>
      <c r="P566" s="4" t="str">
        <f t="shared" si="35"/>
        <v>NO</v>
      </c>
      <c r="Q566" s="4" t="str" cm="1">
        <f t="array" ref="Q566">_xlfn.IFS(AND(H566&gt;=0,H566&lt;=3333),"Grupo 1",AND(H566&gt;3333,H566&lt;=6666),"Grupo 2",AND(H566&gt;6666,H566&lt;=10000),"Grupo 3")</f>
        <v>Grupo 1</v>
      </c>
    </row>
    <row r="567" spans="1:17" x14ac:dyDescent="0.25">
      <c r="A567" t="s">
        <v>177</v>
      </c>
      <c r="B567" s="2">
        <v>44973.59652777778</v>
      </c>
      <c r="C567" t="s">
        <v>331</v>
      </c>
      <c r="D567" t="s">
        <v>215</v>
      </c>
      <c r="E567">
        <v>1</v>
      </c>
      <c r="F567">
        <v>1578.33</v>
      </c>
      <c r="G567" t="s">
        <v>220</v>
      </c>
      <c r="H567">
        <v>1578.33</v>
      </c>
      <c r="I567">
        <v>2023</v>
      </c>
      <c r="J567">
        <v>2</v>
      </c>
      <c r="K567">
        <v>14</v>
      </c>
      <c r="L567" s="14">
        <v>1578.33</v>
      </c>
      <c r="M567" s="4" t="str">
        <f t="shared" si="32"/>
        <v>jueves</v>
      </c>
      <c r="N567" s="4" t="str">
        <f t="shared" si="33"/>
        <v>febrero</v>
      </c>
      <c r="O567" s="4" t="str">
        <f t="shared" si="34"/>
        <v>NO</v>
      </c>
      <c r="P567" s="4" t="str">
        <f t="shared" si="35"/>
        <v>SI</v>
      </c>
      <c r="Q567" s="4" t="str" cm="1">
        <f t="array" ref="Q567">_xlfn.IFS(AND(H567&gt;=0,H567&lt;=3333),"Grupo 1",AND(H567&gt;3333,H567&lt;=6666),"Grupo 2",AND(H567&gt;6666,H567&lt;=10000),"Grupo 3")</f>
        <v>Grupo 1</v>
      </c>
    </row>
    <row r="568" spans="1:17" x14ac:dyDescent="0.25">
      <c r="A568" t="s">
        <v>178</v>
      </c>
      <c r="B568" s="2">
        <v>45445.690972222219</v>
      </c>
      <c r="C568" t="s">
        <v>332</v>
      </c>
      <c r="D568" t="s">
        <v>213</v>
      </c>
      <c r="E568">
        <v>5</v>
      </c>
      <c r="F568">
        <v>1602.39</v>
      </c>
      <c r="G568" t="s">
        <v>221</v>
      </c>
      <c r="H568">
        <v>8011.9500000000007</v>
      </c>
      <c r="I568">
        <v>2024</v>
      </c>
      <c r="J568">
        <v>6</v>
      </c>
      <c r="K568">
        <v>16</v>
      </c>
      <c r="L568" s="14">
        <v>1602.39</v>
      </c>
      <c r="M568" s="4" t="str">
        <f t="shared" si="32"/>
        <v>domingo</v>
      </c>
      <c r="N568" s="4" t="str">
        <f t="shared" si="33"/>
        <v>junio</v>
      </c>
      <c r="O568" s="4" t="str">
        <f t="shared" si="34"/>
        <v>SI</v>
      </c>
      <c r="P568" s="4" t="str">
        <f t="shared" si="35"/>
        <v>SI</v>
      </c>
      <c r="Q568" s="4" t="str" cm="1">
        <f t="array" ref="Q568">_xlfn.IFS(AND(H568&gt;=0,H568&lt;=3333),"Grupo 1",AND(H568&gt;3333,H568&lt;=6666),"Grupo 2",AND(H568&gt;6666,H568&lt;=10000),"Grupo 3")</f>
        <v>Grupo 3</v>
      </c>
    </row>
    <row r="569" spans="1:17" x14ac:dyDescent="0.25">
      <c r="A569" t="s">
        <v>179</v>
      </c>
      <c r="B569" s="2">
        <v>45035.472916666673</v>
      </c>
      <c r="C569" t="s">
        <v>333</v>
      </c>
      <c r="D569" t="s">
        <v>213</v>
      </c>
      <c r="E569">
        <v>2</v>
      </c>
      <c r="F569">
        <v>714.55</v>
      </c>
      <c r="G569" t="s">
        <v>221</v>
      </c>
      <c r="H569">
        <v>1429.1</v>
      </c>
      <c r="I569">
        <v>2023</v>
      </c>
      <c r="J569">
        <v>4</v>
      </c>
      <c r="K569">
        <v>11</v>
      </c>
      <c r="L569" s="14">
        <v>714.55</v>
      </c>
      <c r="M569" s="4" t="str">
        <f t="shared" si="32"/>
        <v>miércoles</v>
      </c>
      <c r="N569" s="4" t="str">
        <f t="shared" si="33"/>
        <v>abril</v>
      </c>
      <c r="O569" s="4" t="str">
        <f t="shared" si="34"/>
        <v>NO</v>
      </c>
      <c r="P569" s="4" t="str">
        <f t="shared" si="35"/>
        <v>NO</v>
      </c>
      <c r="Q569" s="4" t="str" cm="1">
        <f t="array" ref="Q569">_xlfn.IFS(AND(H569&gt;=0,H569&lt;=3333),"Grupo 1",AND(H569&gt;3333,H569&lt;=6666),"Grupo 2",AND(H569&gt;6666,H569&lt;=10000),"Grupo 3")</f>
        <v>Grupo 1</v>
      </c>
    </row>
    <row r="570" spans="1:17" x14ac:dyDescent="0.25">
      <c r="A570" t="s">
        <v>180</v>
      </c>
      <c r="B570" s="2">
        <v>45836.104166666657</v>
      </c>
      <c r="C570" t="s">
        <v>334</v>
      </c>
      <c r="D570" t="s">
        <v>214</v>
      </c>
      <c r="E570">
        <v>2</v>
      </c>
      <c r="F570">
        <v>140.54</v>
      </c>
      <c r="G570" t="s">
        <v>222</v>
      </c>
      <c r="H570">
        <v>281.08</v>
      </c>
      <c r="I570">
        <v>2025</v>
      </c>
      <c r="J570">
        <v>6</v>
      </c>
      <c r="K570">
        <v>2</v>
      </c>
      <c r="L570" s="14">
        <v>140.54</v>
      </c>
      <c r="M570" s="4" t="str">
        <f t="shared" si="32"/>
        <v>sábado</v>
      </c>
      <c r="N570" s="4" t="str">
        <f t="shared" si="33"/>
        <v>junio</v>
      </c>
      <c r="O570" s="4" t="str">
        <f t="shared" si="34"/>
        <v>NO</v>
      </c>
      <c r="P570" s="4" t="str">
        <f t="shared" si="35"/>
        <v>NO</v>
      </c>
      <c r="Q570" s="4" t="str" cm="1">
        <f t="array" ref="Q570">_xlfn.IFS(AND(H570&gt;=0,H570&lt;=3333),"Grupo 1",AND(H570&gt;3333,H570&lt;=6666),"Grupo 2",AND(H570&gt;6666,H570&lt;=10000),"Grupo 3")</f>
        <v>Grupo 1</v>
      </c>
    </row>
    <row r="571" spans="1:17" x14ac:dyDescent="0.25">
      <c r="A571" t="s">
        <v>181</v>
      </c>
      <c r="B571" s="2">
        <v>45584.553472222222</v>
      </c>
      <c r="C571" t="s">
        <v>335</v>
      </c>
      <c r="D571" t="s">
        <v>218</v>
      </c>
      <c r="E571">
        <v>5</v>
      </c>
      <c r="F571">
        <v>286.87</v>
      </c>
      <c r="G571" t="s">
        <v>221</v>
      </c>
      <c r="H571">
        <v>1434.35</v>
      </c>
      <c r="I571">
        <v>2024</v>
      </c>
      <c r="J571">
        <v>10</v>
      </c>
      <c r="K571">
        <v>13</v>
      </c>
      <c r="L571" s="14">
        <v>286.87</v>
      </c>
      <c r="M571" s="4" t="str">
        <f t="shared" si="32"/>
        <v>sábado</v>
      </c>
      <c r="N571" s="4" t="str">
        <f t="shared" si="33"/>
        <v>octubre</v>
      </c>
      <c r="O571" s="4" t="str">
        <f t="shared" si="34"/>
        <v>NO</v>
      </c>
      <c r="P571" s="4" t="str">
        <f t="shared" si="35"/>
        <v>NO</v>
      </c>
      <c r="Q571" s="4" t="str" cm="1">
        <f t="array" ref="Q571">_xlfn.IFS(AND(H571&gt;=0,H571&lt;=3333),"Grupo 1",AND(H571&gt;3333,H571&lt;=6666),"Grupo 2",AND(H571&gt;6666,H571&lt;=10000),"Grupo 3")</f>
        <v>Grupo 1</v>
      </c>
    </row>
    <row r="572" spans="1:17" x14ac:dyDescent="0.25">
      <c r="A572" t="s">
        <v>182</v>
      </c>
      <c r="B572" s="2">
        <v>45338.585416666669</v>
      </c>
      <c r="C572" t="s">
        <v>336</v>
      </c>
      <c r="D572" t="s">
        <v>216</v>
      </c>
      <c r="E572">
        <v>5</v>
      </c>
      <c r="F572">
        <v>1897.97</v>
      </c>
      <c r="G572" t="s">
        <v>221</v>
      </c>
      <c r="H572">
        <v>9489.85</v>
      </c>
      <c r="I572">
        <v>2024</v>
      </c>
      <c r="J572">
        <v>2</v>
      </c>
      <c r="K572">
        <v>14</v>
      </c>
      <c r="L572" s="14">
        <v>1897.97</v>
      </c>
      <c r="M572" s="4" t="str">
        <f t="shared" si="32"/>
        <v>viernes</v>
      </c>
      <c r="N572" s="4" t="str">
        <f t="shared" si="33"/>
        <v>febrero</v>
      </c>
      <c r="O572" s="4" t="str">
        <f t="shared" si="34"/>
        <v>SI</v>
      </c>
      <c r="P572" s="4" t="str">
        <f t="shared" si="35"/>
        <v>SI</v>
      </c>
      <c r="Q572" s="4" t="str" cm="1">
        <f t="array" ref="Q572">_xlfn.IFS(AND(H572&gt;=0,H572&lt;=3333),"Grupo 1",AND(H572&gt;3333,H572&lt;=6666),"Grupo 2",AND(H572&gt;6666,H572&lt;=10000),"Grupo 3")</f>
        <v>Grupo 3</v>
      </c>
    </row>
    <row r="573" spans="1:17" x14ac:dyDescent="0.25">
      <c r="A573" t="s">
        <v>183</v>
      </c>
      <c r="B573" s="2">
        <v>45625.480555555558</v>
      </c>
      <c r="C573" t="s">
        <v>337</v>
      </c>
      <c r="D573" t="s">
        <v>213</v>
      </c>
      <c r="E573">
        <v>2</v>
      </c>
      <c r="F573">
        <v>587.71</v>
      </c>
      <c r="G573" t="s">
        <v>221</v>
      </c>
      <c r="H573">
        <v>1175.42</v>
      </c>
      <c r="I573">
        <v>2024</v>
      </c>
      <c r="J573">
        <v>11</v>
      </c>
      <c r="K573">
        <v>11</v>
      </c>
      <c r="L573" s="14">
        <v>587.71</v>
      </c>
      <c r="M573" s="4" t="str">
        <f t="shared" si="32"/>
        <v>viernes</v>
      </c>
      <c r="N573" s="4" t="str">
        <f t="shared" si="33"/>
        <v>noviembre</v>
      </c>
      <c r="O573" s="4" t="str">
        <f t="shared" si="34"/>
        <v>NO</v>
      </c>
      <c r="P573" s="4" t="str">
        <f t="shared" si="35"/>
        <v>NO</v>
      </c>
      <c r="Q573" s="4" t="str" cm="1">
        <f t="array" ref="Q573">_xlfn.IFS(AND(H573&gt;=0,H573&lt;=3333),"Grupo 1",AND(H573&gt;3333,H573&lt;=6666),"Grupo 2",AND(H573&gt;6666,H573&lt;=10000),"Grupo 3")</f>
        <v>Grupo 1</v>
      </c>
    </row>
    <row r="574" spans="1:17" x14ac:dyDescent="0.25">
      <c r="A574" t="s">
        <v>184</v>
      </c>
      <c r="B574" s="2">
        <v>45291</v>
      </c>
      <c r="C574" t="s">
        <v>338</v>
      </c>
      <c r="D574" t="s">
        <v>216</v>
      </c>
      <c r="E574">
        <v>4</v>
      </c>
      <c r="F574">
        <v>895.13</v>
      </c>
      <c r="G574" t="s">
        <v>221</v>
      </c>
      <c r="H574">
        <v>3580.52</v>
      </c>
      <c r="I574">
        <v>2023</v>
      </c>
      <c r="J574">
        <v>12</v>
      </c>
      <c r="K574">
        <v>0</v>
      </c>
      <c r="L574" s="14">
        <v>895.13</v>
      </c>
      <c r="M574" s="4" t="str">
        <f t="shared" si="32"/>
        <v>domingo</v>
      </c>
      <c r="N574" s="4" t="str">
        <f t="shared" si="33"/>
        <v>diciembre</v>
      </c>
      <c r="O574" s="4" t="str">
        <f t="shared" si="34"/>
        <v>SI</v>
      </c>
      <c r="P574" s="4" t="str">
        <f t="shared" si="35"/>
        <v>NO</v>
      </c>
      <c r="Q574" s="4" t="str" cm="1">
        <f t="array" ref="Q574">_xlfn.IFS(AND(H574&gt;=0,H574&lt;=3333),"Grupo 1",AND(H574&gt;3333,H574&lt;=6666),"Grupo 2",AND(H574&gt;6666,H574&lt;=10000),"Grupo 3")</f>
        <v>Grupo 2</v>
      </c>
    </row>
    <row r="575" spans="1:17" x14ac:dyDescent="0.25">
      <c r="A575" t="s">
        <v>185</v>
      </c>
      <c r="B575" s="2">
        <v>45548.488194444442</v>
      </c>
      <c r="C575" t="s">
        <v>339</v>
      </c>
      <c r="D575" t="s">
        <v>215</v>
      </c>
      <c r="E575">
        <v>3</v>
      </c>
      <c r="F575">
        <v>1457.35</v>
      </c>
      <c r="G575" t="s">
        <v>220</v>
      </c>
      <c r="H575">
        <v>4372.0499999999993</v>
      </c>
      <c r="I575">
        <v>2024</v>
      </c>
      <c r="J575">
        <v>9</v>
      </c>
      <c r="K575">
        <v>11</v>
      </c>
      <c r="L575" s="14">
        <v>1457.35</v>
      </c>
      <c r="M575" s="4" t="str">
        <f t="shared" si="32"/>
        <v>viernes</v>
      </c>
      <c r="N575" s="4" t="str">
        <f t="shared" si="33"/>
        <v>septiembre</v>
      </c>
      <c r="O575" s="4" t="str">
        <f t="shared" si="34"/>
        <v>SI</v>
      </c>
      <c r="P575" s="4" t="str">
        <f t="shared" si="35"/>
        <v>SI</v>
      </c>
      <c r="Q575" s="4" t="str" cm="1">
        <f t="array" ref="Q575">_xlfn.IFS(AND(H575&gt;=0,H575&lt;=3333),"Grupo 1",AND(H575&gt;3333,H575&lt;=6666),"Grupo 2",AND(H575&gt;6666,H575&lt;=10000),"Grupo 3")</f>
        <v>Grupo 2</v>
      </c>
    </row>
    <row r="576" spans="1:17" x14ac:dyDescent="0.25">
      <c r="A576" t="s">
        <v>186</v>
      </c>
      <c r="B576" s="2">
        <v>45540.261805555558</v>
      </c>
      <c r="C576" t="s">
        <v>340</v>
      </c>
      <c r="D576" t="s">
        <v>214</v>
      </c>
      <c r="E576">
        <v>3</v>
      </c>
      <c r="F576">
        <v>1083.32</v>
      </c>
      <c r="G576" t="s">
        <v>222</v>
      </c>
      <c r="H576">
        <v>3249.96</v>
      </c>
      <c r="I576">
        <v>2024</v>
      </c>
      <c r="J576">
        <v>9</v>
      </c>
      <c r="K576">
        <v>6</v>
      </c>
      <c r="L576" s="14">
        <v>1083.32</v>
      </c>
      <c r="M576" s="4" t="str">
        <f t="shared" si="32"/>
        <v>jueves</v>
      </c>
      <c r="N576" s="4" t="str">
        <f t="shared" si="33"/>
        <v>septiembre</v>
      </c>
      <c r="O576" s="4" t="str">
        <f t="shared" si="34"/>
        <v>SI</v>
      </c>
      <c r="P576" s="4" t="str">
        <f t="shared" si="35"/>
        <v>SI</v>
      </c>
      <c r="Q576" s="4" t="str" cm="1">
        <f t="array" ref="Q576">_xlfn.IFS(AND(H576&gt;=0,H576&lt;=3333),"Grupo 1",AND(H576&gt;3333,H576&lt;=6666),"Grupo 2",AND(H576&gt;6666,H576&lt;=10000),"Grupo 3")</f>
        <v>Grupo 1</v>
      </c>
    </row>
    <row r="577" spans="1:17" x14ac:dyDescent="0.25">
      <c r="A577" t="s">
        <v>187</v>
      </c>
      <c r="B577" s="2">
        <v>45783.684027777781</v>
      </c>
      <c r="C577" t="s">
        <v>341</v>
      </c>
      <c r="D577" t="s">
        <v>217</v>
      </c>
      <c r="E577">
        <v>3</v>
      </c>
      <c r="F577">
        <v>1542.71</v>
      </c>
      <c r="G577" t="s">
        <v>220</v>
      </c>
      <c r="H577">
        <v>4628.13</v>
      </c>
      <c r="I577">
        <v>2025</v>
      </c>
      <c r="J577">
        <v>5</v>
      </c>
      <c r="K577">
        <v>16</v>
      </c>
      <c r="L577" s="14">
        <v>1542.71</v>
      </c>
      <c r="M577" s="4" t="str">
        <f t="shared" si="32"/>
        <v>martes</v>
      </c>
      <c r="N577" s="4" t="str">
        <f t="shared" si="33"/>
        <v>mayo</v>
      </c>
      <c r="O577" s="4" t="str">
        <f t="shared" si="34"/>
        <v>SI</v>
      </c>
      <c r="P577" s="4" t="str">
        <f t="shared" si="35"/>
        <v>SI</v>
      </c>
      <c r="Q577" s="4" t="str" cm="1">
        <f t="array" ref="Q577">_xlfn.IFS(AND(H577&gt;=0,H577&lt;=3333),"Grupo 1",AND(H577&gt;3333,H577&lt;=6666),"Grupo 2",AND(H577&gt;6666,H577&lt;=10000),"Grupo 3")</f>
        <v>Grupo 2</v>
      </c>
    </row>
    <row r="578" spans="1:17" x14ac:dyDescent="0.25">
      <c r="A578" t="s">
        <v>188</v>
      </c>
      <c r="B578" s="2">
        <v>45692.470138888893</v>
      </c>
      <c r="C578" t="s">
        <v>342</v>
      </c>
      <c r="D578" t="s">
        <v>215</v>
      </c>
      <c r="E578">
        <v>5</v>
      </c>
      <c r="F578">
        <v>723.8</v>
      </c>
      <c r="G578" t="s">
        <v>220</v>
      </c>
      <c r="H578">
        <v>3619</v>
      </c>
      <c r="I578">
        <v>2025</v>
      </c>
      <c r="J578">
        <v>2</v>
      </c>
      <c r="K578">
        <v>11</v>
      </c>
      <c r="L578" s="14">
        <v>723.8</v>
      </c>
      <c r="M578" s="4" t="str">
        <f t="shared" ref="M578:M641" si="36">TEXT(B578,"dddd")</f>
        <v>martes</v>
      </c>
      <c r="N578" s="4" t="str">
        <f t="shared" ref="N578:N641" si="37">TEXT(B578,"mmmm")</f>
        <v>febrero</v>
      </c>
      <c r="O578" s="4" t="str">
        <f t="shared" si="34"/>
        <v>SI</v>
      </c>
      <c r="P578" s="4" t="str">
        <f t="shared" si="35"/>
        <v>NO</v>
      </c>
      <c r="Q578" s="4" t="str" cm="1">
        <f t="array" ref="Q578">_xlfn.IFS(AND(H578&gt;=0,H578&lt;=3333),"Grupo 1",AND(H578&gt;3333,H578&lt;=6666),"Grupo 2",AND(H578&gt;6666,H578&lt;=10000),"Grupo 3")</f>
        <v>Grupo 2</v>
      </c>
    </row>
    <row r="579" spans="1:17" x14ac:dyDescent="0.25">
      <c r="A579" t="s">
        <v>189</v>
      </c>
      <c r="B579" s="2">
        <v>45186.410416666673</v>
      </c>
      <c r="C579" t="s">
        <v>343</v>
      </c>
      <c r="D579" t="s">
        <v>213</v>
      </c>
      <c r="E579">
        <v>5</v>
      </c>
      <c r="F579">
        <v>179.97</v>
      </c>
      <c r="G579" t="s">
        <v>221</v>
      </c>
      <c r="H579">
        <v>899.85</v>
      </c>
      <c r="I579">
        <v>2023</v>
      </c>
      <c r="J579">
        <v>9</v>
      </c>
      <c r="K579">
        <v>9</v>
      </c>
      <c r="L579" s="14">
        <v>179.97</v>
      </c>
      <c r="M579" s="4" t="str">
        <f t="shared" si="36"/>
        <v>domingo</v>
      </c>
      <c r="N579" s="4" t="str">
        <f t="shared" si="37"/>
        <v>septiembre</v>
      </c>
      <c r="O579" s="4" t="str">
        <f t="shared" ref="O579:O642" si="38">IF(H579&gt;AVERAGE(H:H),"SI","NO")</f>
        <v>NO</v>
      </c>
      <c r="P579" s="4" t="str">
        <f t="shared" ref="P579:P642" si="39">IF(L579&gt;AVERAGE(L:L),"SI","NO")</f>
        <v>NO</v>
      </c>
      <c r="Q579" s="4" t="str" cm="1">
        <f t="array" ref="Q579">_xlfn.IFS(AND(H579&gt;=0,H579&lt;=3333),"Grupo 1",AND(H579&gt;3333,H579&lt;=6666),"Grupo 2",AND(H579&gt;6666,H579&lt;=10000),"Grupo 3")</f>
        <v>Grupo 1</v>
      </c>
    </row>
    <row r="580" spans="1:17" x14ac:dyDescent="0.25">
      <c r="A580" t="s">
        <v>190</v>
      </c>
      <c r="B580" s="2">
        <v>45539.616666666669</v>
      </c>
      <c r="C580" t="s">
        <v>344</v>
      </c>
      <c r="D580" t="s">
        <v>217</v>
      </c>
      <c r="E580">
        <v>1</v>
      </c>
      <c r="F580">
        <v>1318.43</v>
      </c>
      <c r="G580" t="s">
        <v>220</v>
      </c>
      <c r="H580">
        <v>1318.43</v>
      </c>
      <c r="I580">
        <v>2024</v>
      </c>
      <c r="J580">
        <v>9</v>
      </c>
      <c r="K580">
        <v>14</v>
      </c>
      <c r="L580" s="14">
        <v>1318.43</v>
      </c>
      <c r="M580" s="4" t="str">
        <f t="shared" si="36"/>
        <v>miércoles</v>
      </c>
      <c r="N580" s="4" t="str">
        <f t="shared" si="37"/>
        <v>septiembre</v>
      </c>
      <c r="O580" s="4" t="str">
        <f t="shared" si="38"/>
        <v>NO</v>
      </c>
      <c r="P580" s="4" t="str">
        <f t="shared" si="39"/>
        <v>SI</v>
      </c>
      <c r="Q580" s="4" t="str" cm="1">
        <f t="array" ref="Q580">_xlfn.IFS(AND(H580&gt;=0,H580&lt;=3333),"Grupo 1",AND(H580&gt;3333,H580&lt;=6666),"Grupo 2",AND(H580&gt;6666,H580&lt;=10000),"Grupo 3")</f>
        <v>Grupo 1</v>
      </c>
    </row>
    <row r="581" spans="1:17" x14ac:dyDescent="0.25">
      <c r="A581" t="s">
        <v>191</v>
      </c>
      <c r="B581" s="2">
        <v>45073.392361111109</v>
      </c>
      <c r="C581" t="s">
        <v>345</v>
      </c>
      <c r="D581" t="s">
        <v>215</v>
      </c>
      <c r="E581">
        <v>2</v>
      </c>
      <c r="F581">
        <v>307.37</v>
      </c>
      <c r="G581" t="s">
        <v>220</v>
      </c>
      <c r="H581">
        <v>614.74</v>
      </c>
      <c r="I581">
        <v>2023</v>
      </c>
      <c r="J581">
        <v>5</v>
      </c>
      <c r="K581">
        <v>9</v>
      </c>
      <c r="L581" s="14">
        <v>307.37</v>
      </c>
      <c r="M581" s="4" t="str">
        <f t="shared" si="36"/>
        <v>sábado</v>
      </c>
      <c r="N581" s="4" t="str">
        <f t="shared" si="37"/>
        <v>mayo</v>
      </c>
      <c r="O581" s="4" t="str">
        <f t="shared" si="38"/>
        <v>NO</v>
      </c>
      <c r="P581" s="4" t="str">
        <f t="shared" si="39"/>
        <v>NO</v>
      </c>
      <c r="Q581" s="4" t="str" cm="1">
        <f t="array" ref="Q581">_xlfn.IFS(AND(H581&gt;=0,H581&lt;=3333),"Grupo 1",AND(H581&gt;3333,H581&lt;=6666),"Grupo 2",AND(H581&gt;6666,H581&lt;=10000),"Grupo 3")</f>
        <v>Grupo 1</v>
      </c>
    </row>
    <row r="582" spans="1:17" x14ac:dyDescent="0.25">
      <c r="A582" t="s">
        <v>192</v>
      </c>
      <c r="B582" s="2">
        <v>45287.277777777781</v>
      </c>
      <c r="C582" t="s">
        <v>346</v>
      </c>
      <c r="D582" t="s">
        <v>214</v>
      </c>
      <c r="E582">
        <v>1</v>
      </c>
      <c r="F582">
        <v>1364.97</v>
      </c>
      <c r="G582" t="s">
        <v>222</v>
      </c>
      <c r="H582">
        <v>1364.97</v>
      </c>
      <c r="I582">
        <v>2023</v>
      </c>
      <c r="J582">
        <v>12</v>
      </c>
      <c r="K582">
        <v>6</v>
      </c>
      <c r="L582" s="14">
        <v>1364.97</v>
      </c>
      <c r="M582" s="4" t="str">
        <f t="shared" si="36"/>
        <v>miércoles</v>
      </c>
      <c r="N582" s="4" t="str">
        <f t="shared" si="37"/>
        <v>diciembre</v>
      </c>
      <c r="O582" s="4" t="str">
        <f t="shared" si="38"/>
        <v>NO</v>
      </c>
      <c r="P582" s="4" t="str">
        <f t="shared" si="39"/>
        <v>SI</v>
      </c>
      <c r="Q582" s="4" t="str" cm="1">
        <f t="array" ref="Q582">_xlfn.IFS(AND(H582&gt;=0,H582&lt;=3333),"Grupo 1",AND(H582&gt;3333,H582&lt;=6666),"Grupo 2",AND(H582&gt;6666,H582&lt;=10000),"Grupo 3")</f>
        <v>Grupo 1</v>
      </c>
    </row>
    <row r="583" spans="1:17" x14ac:dyDescent="0.25">
      <c r="A583" t="s">
        <v>193</v>
      </c>
      <c r="B583" s="2">
        <v>45398.678472222222</v>
      </c>
      <c r="C583" t="s">
        <v>347</v>
      </c>
      <c r="D583" t="s">
        <v>219</v>
      </c>
      <c r="E583">
        <v>3</v>
      </c>
      <c r="F583">
        <v>244.23</v>
      </c>
      <c r="G583" t="s">
        <v>221</v>
      </c>
      <c r="H583">
        <v>732.68999999999994</v>
      </c>
      <c r="I583">
        <v>2024</v>
      </c>
      <c r="J583">
        <v>4</v>
      </c>
      <c r="K583">
        <v>16</v>
      </c>
      <c r="L583" s="14">
        <v>244.23</v>
      </c>
      <c r="M583" s="4" t="str">
        <f t="shared" si="36"/>
        <v>martes</v>
      </c>
      <c r="N583" s="4" t="str">
        <f t="shared" si="37"/>
        <v>abril</v>
      </c>
      <c r="O583" s="4" t="str">
        <f t="shared" si="38"/>
        <v>NO</v>
      </c>
      <c r="P583" s="4" t="str">
        <f t="shared" si="39"/>
        <v>NO</v>
      </c>
      <c r="Q583" s="4" t="str" cm="1">
        <f t="array" ref="Q583">_xlfn.IFS(AND(H583&gt;=0,H583&lt;=3333),"Grupo 1",AND(H583&gt;3333,H583&lt;=6666),"Grupo 2",AND(H583&gt;6666,H583&lt;=10000),"Grupo 3")</f>
        <v>Grupo 1</v>
      </c>
    </row>
    <row r="584" spans="1:17" x14ac:dyDescent="0.25">
      <c r="A584" t="s">
        <v>194</v>
      </c>
      <c r="B584" s="2">
        <v>44949.395833333343</v>
      </c>
      <c r="C584" t="s">
        <v>348</v>
      </c>
      <c r="D584" t="s">
        <v>216</v>
      </c>
      <c r="E584">
        <v>3</v>
      </c>
      <c r="F584">
        <v>245.64</v>
      </c>
      <c r="G584" t="s">
        <v>221</v>
      </c>
      <c r="H584">
        <v>736.92</v>
      </c>
      <c r="I584">
        <v>2023</v>
      </c>
      <c r="J584">
        <v>1</v>
      </c>
      <c r="K584">
        <v>9</v>
      </c>
      <c r="L584" s="14">
        <v>245.64</v>
      </c>
      <c r="M584" s="4" t="str">
        <f t="shared" si="36"/>
        <v>lunes</v>
      </c>
      <c r="N584" s="4" t="str">
        <f t="shared" si="37"/>
        <v>enero</v>
      </c>
      <c r="O584" s="4" t="str">
        <f t="shared" si="38"/>
        <v>NO</v>
      </c>
      <c r="P584" s="4" t="str">
        <f t="shared" si="39"/>
        <v>NO</v>
      </c>
      <c r="Q584" s="4" t="str" cm="1">
        <f t="array" ref="Q584">_xlfn.IFS(AND(H584&gt;=0,H584&lt;=3333),"Grupo 1",AND(H584&gt;3333,H584&lt;=6666),"Grupo 2",AND(H584&gt;6666,H584&lt;=10000),"Grupo 3")</f>
        <v>Grupo 1</v>
      </c>
    </row>
    <row r="585" spans="1:17" x14ac:dyDescent="0.25">
      <c r="A585" t="s">
        <v>195</v>
      </c>
      <c r="B585" s="2">
        <v>45560.538194444453</v>
      </c>
      <c r="C585" t="s">
        <v>349</v>
      </c>
      <c r="D585" t="s">
        <v>216</v>
      </c>
      <c r="E585">
        <v>1</v>
      </c>
      <c r="F585">
        <v>1501.34</v>
      </c>
      <c r="G585" t="s">
        <v>221</v>
      </c>
      <c r="H585">
        <v>1501.34</v>
      </c>
      <c r="I585">
        <v>2024</v>
      </c>
      <c r="J585">
        <v>9</v>
      </c>
      <c r="K585">
        <v>12</v>
      </c>
      <c r="L585" s="14">
        <v>1501.34</v>
      </c>
      <c r="M585" s="4" t="str">
        <f t="shared" si="36"/>
        <v>miércoles</v>
      </c>
      <c r="N585" s="4" t="str">
        <f t="shared" si="37"/>
        <v>septiembre</v>
      </c>
      <c r="O585" s="4" t="str">
        <f t="shared" si="38"/>
        <v>NO</v>
      </c>
      <c r="P585" s="4" t="str">
        <f t="shared" si="39"/>
        <v>SI</v>
      </c>
      <c r="Q585" s="4" t="str" cm="1">
        <f t="array" ref="Q585">_xlfn.IFS(AND(H585&gt;=0,H585&lt;=3333),"Grupo 1",AND(H585&gt;3333,H585&lt;=6666),"Grupo 2",AND(H585&gt;6666,H585&lt;=10000),"Grupo 3")</f>
        <v>Grupo 1</v>
      </c>
    </row>
    <row r="586" spans="1:17" x14ac:dyDescent="0.25">
      <c r="A586" t="s">
        <v>196</v>
      </c>
      <c r="B586" s="2">
        <v>45636.231249999997</v>
      </c>
      <c r="C586" t="s">
        <v>350</v>
      </c>
      <c r="D586" t="s">
        <v>213</v>
      </c>
      <c r="E586">
        <v>4</v>
      </c>
      <c r="F586">
        <v>995.18</v>
      </c>
      <c r="G586" t="s">
        <v>221</v>
      </c>
      <c r="H586">
        <v>3980.72</v>
      </c>
      <c r="I586">
        <v>2024</v>
      </c>
      <c r="J586">
        <v>12</v>
      </c>
      <c r="K586">
        <v>5</v>
      </c>
      <c r="L586" s="14">
        <v>995.18</v>
      </c>
      <c r="M586" s="4" t="str">
        <f t="shared" si="36"/>
        <v>martes</v>
      </c>
      <c r="N586" s="4" t="str">
        <f t="shared" si="37"/>
        <v>diciembre</v>
      </c>
      <c r="O586" s="4" t="str">
        <f t="shared" si="38"/>
        <v>SI</v>
      </c>
      <c r="P586" s="4" t="str">
        <f t="shared" si="39"/>
        <v>SI</v>
      </c>
      <c r="Q586" s="4" t="str" cm="1">
        <f t="array" ref="Q586">_xlfn.IFS(AND(H586&gt;=0,H586&lt;=3333),"Grupo 1",AND(H586&gt;3333,H586&lt;=6666),"Grupo 2",AND(H586&gt;6666,H586&lt;=10000),"Grupo 3")</f>
        <v>Grupo 2</v>
      </c>
    </row>
    <row r="587" spans="1:17" x14ac:dyDescent="0.25">
      <c r="A587" t="s">
        <v>197</v>
      </c>
      <c r="B587" s="2">
        <v>45218.252083333333</v>
      </c>
      <c r="C587" t="s">
        <v>351</v>
      </c>
      <c r="D587" t="s">
        <v>213</v>
      </c>
      <c r="E587">
        <v>2</v>
      </c>
      <c r="F587">
        <v>1834.72</v>
      </c>
      <c r="G587" t="s">
        <v>221</v>
      </c>
      <c r="H587">
        <v>3669.44</v>
      </c>
      <c r="I587">
        <v>2023</v>
      </c>
      <c r="J587">
        <v>10</v>
      </c>
      <c r="K587">
        <v>6</v>
      </c>
      <c r="L587" s="14">
        <v>1834.72</v>
      </c>
      <c r="M587" s="4" t="str">
        <f t="shared" si="36"/>
        <v>jueves</v>
      </c>
      <c r="N587" s="4" t="str">
        <f t="shared" si="37"/>
        <v>octubre</v>
      </c>
      <c r="O587" s="4" t="str">
        <f t="shared" si="38"/>
        <v>SI</v>
      </c>
      <c r="P587" s="4" t="str">
        <f t="shared" si="39"/>
        <v>SI</v>
      </c>
      <c r="Q587" s="4" t="str" cm="1">
        <f t="array" ref="Q587">_xlfn.IFS(AND(H587&gt;=0,H587&lt;=3333),"Grupo 1",AND(H587&gt;3333,H587&lt;=6666),"Grupo 2",AND(H587&gt;6666,H587&lt;=10000),"Grupo 3")</f>
        <v>Grupo 2</v>
      </c>
    </row>
    <row r="588" spans="1:17" x14ac:dyDescent="0.25">
      <c r="A588" t="s">
        <v>198</v>
      </c>
      <c r="B588" s="2">
        <v>45615.827777777777</v>
      </c>
      <c r="C588" t="s">
        <v>352</v>
      </c>
      <c r="D588" t="s">
        <v>219</v>
      </c>
      <c r="E588">
        <v>2</v>
      </c>
      <c r="F588">
        <v>1942.31</v>
      </c>
      <c r="G588" t="s">
        <v>221</v>
      </c>
      <c r="H588">
        <v>3884.62</v>
      </c>
      <c r="I588">
        <v>2024</v>
      </c>
      <c r="J588">
        <v>11</v>
      </c>
      <c r="K588">
        <v>19</v>
      </c>
      <c r="L588" s="14">
        <v>1942.31</v>
      </c>
      <c r="M588" s="4" t="str">
        <f t="shared" si="36"/>
        <v>martes</v>
      </c>
      <c r="N588" s="4" t="str">
        <f t="shared" si="37"/>
        <v>noviembre</v>
      </c>
      <c r="O588" s="4" t="str">
        <f t="shared" si="38"/>
        <v>SI</v>
      </c>
      <c r="P588" s="4" t="str">
        <f t="shared" si="39"/>
        <v>SI</v>
      </c>
      <c r="Q588" s="4" t="str" cm="1">
        <f t="array" ref="Q588">_xlfn.IFS(AND(H588&gt;=0,H588&lt;=3333),"Grupo 1",AND(H588&gt;3333,H588&lt;=6666),"Grupo 2",AND(H588&gt;6666,H588&lt;=10000),"Grupo 3")</f>
        <v>Grupo 2</v>
      </c>
    </row>
    <row r="589" spans="1:17" x14ac:dyDescent="0.25">
      <c r="A589" t="s">
        <v>199</v>
      </c>
      <c r="B589" s="2">
        <v>45755.705555555563</v>
      </c>
      <c r="C589" t="s">
        <v>353</v>
      </c>
      <c r="D589" t="s">
        <v>219</v>
      </c>
      <c r="E589">
        <v>3</v>
      </c>
      <c r="F589">
        <v>1025.57</v>
      </c>
      <c r="G589" t="s">
        <v>221</v>
      </c>
      <c r="H589">
        <v>3076.71</v>
      </c>
      <c r="I589">
        <v>2025</v>
      </c>
      <c r="J589">
        <v>4</v>
      </c>
      <c r="K589">
        <v>16</v>
      </c>
      <c r="L589" s="14">
        <v>1025.57</v>
      </c>
      <c r="M589" s="4" t="str">
        <f t="shared" si="36"/>
        <v>martes</v>
      </c>
      <c r="N589" s="4" t="str">
        <f t="shared" si="37"/>
        <v>abril</v>
      </c>
      <c r="O589" s="4" t="str">
        <f t="shared" si="38"/>
        <v>SI</v>
      </c>
      <c r="P589" s="4" t="str">
        <f t="shared" si="39"/>
        <v>SI</v>
      </c>
      <c r="Q589" s="4" t="str" cm="1">
        <f t="array" ref="Q589">_xlfn.IFS(AND(H589&gt;=0,H589&lt;=3333),"Grupo 1",AND(H589&gt;3333,H589&lt;=6666),"Grupo 2",AND(H589&gt;6666,H589&lt;=10000),"Grupo 3")</f>
        <v>Grupo 1</v>
      </c>
    </row>
    <row r="590" spans="1:17" x14ac:dyDescent="0.25">
      <c r="A590" t="s">
        <v>200</v>
      </c>
      <c r="B590" s="2">
        <v>44962.009722222218</v>
      </c>
      <c r="C590" t="s">
        <v>354</v>
      </c>
      <c r="D590" t="s">
        <v>215</v>
      </c>
      <c r="E590">
        <v>4</v>
      </c>
      <c r="F590">
        <v>555.19000000000005</v>
      </c>
      <c r="G590" t="s">
        <v>220</v>
      </c>
      <c r="H590">
        <v>2220.7600000000002</v>
      </c>
      <c r="I590">
        <v>2023</v>
      </c>
      <c r="J590">
        <v>2</v>
      </c>
      <c r="K590">
        <v>0</v>
      </c>
      <c r="L590" s="14">
        <v>555.19000000000005</v>
      </c>
      <c r="M590" s="4" t="str">
        <f t="shared" si="36"/>
        <v>domingo</v>
      </c>
      <c r="N590" s="4" t="str">
        <f t="shared" si="37"/>
        <v>febrero</v>
      </c>
      <c r="O590" s="4" t="str">
        <f t="shared" si="38"/>
        <v>NO</v>
      </c>
      <c r="P590" s="4" t="str">
        <f t="shared" si="39"/>
        <v>NO</v>
      </c>
      <c r="Q590" s="4" t="str" cm="1">
        <f t="array" ref="Q590">_xlfn.IFS(AND(H590&gt;=0,H590&lt;=3333),"Grupo 1",AND(H590&gt;3333,H590&lt;=6666),"Grupo 2",AND(H590&gt;6666,H590&lt;=10000),"Grupo 3")</f>
        <v>Grupo 1</v>
      </c>
    </row>
    <row r="591" spans="1:17" x14ac:dyDescent="0.25">
      <c r="A591" t="s">
        <v>201</v>
      </c>
      <c r="B591" s="2">
        <v>45194.675000000003</v>
      </c>
      <c r="C591" t="s">
        <v>355</v>
      </c>
      <c r="D591" t="s">
        <v>214</v>
      </c>
      <c r="E591">
        <v>5</v>
      </c>
      <c r="F591">
        <v>750.82</v>
      </c>
      <c r="G591" t="s">
        <v>222</v>
      </c>
      <c r="H591">
        <v>3754.1</v>
      </c>
      <c r="I591">
        <v>2023</v>
      </c>
      <c r="J591">
        <v>9</v>
      </c>
      <c r="K591">
        <v>16</v>
      </c>
      <c r="L591" s="14">
        <v>750.82</v>
      </c>
      <c r="M591" s="4" t="str">
        <f t="shared" si="36"/>
        <v>lunes</v>
      </c>
      <c r="N591" s="4" t="str">
        <f t="shared" si="37"/>
        <v>septiembre</v>
      </c>
      <c r="O591" s="4" t="str">
        <f t="shared" si="38"/>
        <v>SI</v>
      </c>
      <c r="P591" s="4" t="str">
        <f t="shared" si="39"/>
        <v>NO</v>
      </c>
      <c r="Q591" s="4" t="str" cm="1">
        <f t="array" ref="Q591">_xlfn.IFS(AND(H591&gt;=0,H591&lt;=3333),"Grupo 1",AND(H591&gt;3333,H591&lt;=6666),"Grupo 2",AND(H591&gt;6666,H591&lt;=10000),"Grupo 3")</f>
        <v>Grupo 2</v>
      </c>
    </row>
    <row r="592" spans="1:17" x14ac:dyDescent="0.25">
      <c r="A592" t="s">
        <v>202</v>
      </c>
      <c r="B592" s="2">
        <v>45818.179861111108</v>
      </c>
      <c r="C592" t="s">
        <v>356</v>
      </c>
      <c r="D592" t="s">
        <v>215</v>
      </c>
      <c r="E592">
        <v>2</v>
      </c>
      <c r="F592">
        <v>1609.9</v>
      </c>
      <c r="G592" t="s">
        <v>220</v>
      </c>
      <c r="H592">
        <v>3219.8</v>
      </c>
      <c r="I592">
        <v>2025</v>
      </c>
      <c r="J592">
        <v>6</v>
      </c>
      <c r="K592">
        <v>4</v>
      </c>
      <c r="L592" s="14">
        <v>1609.9</v>
      </c>
      <c r="M592" s="4" t="str">
        <f t="shared" si="36"/>
        <v>martes</v>
      </c>
      <c r="N592" s="4" t="str">
        <f t="shared" si="37"/>
        <v>junio</v>
      </c>
      <c r="O592" s="4" t="str">
        <f t="shared" si="38"/>
        <v>SI</v>
      </c>
      <c r="P592" s="4" t="str">
        <f t="shared" si="39"/>
        <v>SI</v>
      </c>
      <c r="Q592" s="4" t="str" cm="1">
        <f t="array" ref="Q592">_xlfn.IFS(AND(H592&gt;=0,H592&lt;=3333),"Grupo 1",AND(H592&gt;3333,H592&lt;=6666),"Grupo 2",AND(H592&gt;6666,H592&lt;=10000),"Grupo 3")</f>
        <v>Grupo 1</v>
      </c>
    </row>
    <row r="593" spans="1:17" x14ac:dyDescent="0.25">
      <c r="A593" t="s">
        <v>203</v>
      </c>
      <c r="B593" s="2">
        <v>45755.011111111111</v>
      </c>
      <c r="C593" t="s">
        <v>357</v>
      </c>
      <c r="D593" t="s">
        <v>214</v>
      </c>
      <c r="E593">
        <v>3</v>
      </c>
      <c r="F593">
        <v>27.89</v>
      </c>
      <c r="G593" t="s">
        <v>222</v>
      </c>
      <c r="H593">
        <v>83.67</v>
      </c>
      <c r="I593">
        <v>2025</v>
      </c>
      <c r="J593">
        <v>4</v>
      </c>
      <c r="K593">
        <v>0</v>
      </c>
      <c r="L593" s="14">
        <v>27.89</v>
      </c>
      <c r="M593" s="4" t="str">
        <f t="shared" si="36"/>
        <v>martes</v>
      </c>
      <c r="N593" s="4" t="str">
        <f t="shared" si="37"/>
        <v>abril</v>
      </c>
      <c r="O593" s="4" t="str">
        <f t="shared" si="38"/>
        <v>NO</v>
      </c>
      <c r="P593" s="4" t="str">
        <f t="shared" si="39"/>
        <v>NO</v>
      </c>
      <c r="Q593" s="4" t="str" cm="1">
        <f t="array" ref="Q593">_xlfn.IFS(AND(H593&gt;=0,H593&lt;=3333),"Grupo 1",AND(H593&gt;3333,H593&lt;=6666),"Grupo 2",AND(H593&gt;6666,H593&lt;=10000),"Grupo 3")</f>
        <v>Grupo 1</v>
      </c>
    </row>
    <row r="594" spans="1:17" x14ac:dyDescent="0.25">
      <c r="A594" t="s">
        <v>204</v>
      </c>
      <c r="B594" s="2">
        <v>45862.584722222222</v>
      </c>
      <c r="C594" t="s">
        <v>358</v>
      </c>
      <c r="D594" t="s">
        <v>219</v>
      </c>
      <c r="E594">
        <v>1</v>
      </c>
      <c r="F594">
        <v>1700.54</v>
      </c>
      <c r="G594" t="s">
        <v>221</v>
      </c>
      <c r="H594">
        <v>1700.54</v>
      </c>
      <c r="I594">
        <v>2025</v>
      </c>
      <c r="J594">
        <v>7</v>
      </c>
      <c r="K594">
        <v>14</v>
      </c>
      <c r="L594" s="14">
        <v>1700.54</v>
      </c>
      <c r="M594" s="4" t="str">
        <f t="shared" si="36"/>
        <v>jueves</v>
      </c>
      <c r="N594" s="4" t="str">
        <f t="shared" si="37"/>
        <v>julio</v>
      </c>
      <c r="O594" s="4" t="str">
        <f t="shared" si="38"/>
        <v>NO</v>
      </c>
      <c r="P594" s="4" t="str">
        <f t="shared" si="39"/>
        <v>SI</v>
      </c>
      <c r="Q594" s="4" t="str" cm="1">
        <f t="array" ref="Q594">_xlfn.IFS(AND(H594&gt;=0,H594&lt;=3333),"Grupo 1",AND(H594&gt;3333,H594&lt;=6666),"Grupo 2",AND(H594&gt;6666,H594&lt;=10000),"Grupo 3")</f>
        <v>Grupo 1</v>
      </c>
    </row>
    <row r="595" spans="1:17" x14ac:dyDescent="0.25">
      <c r="A595" t="s">
        <v>205</v>
      </c>
      <c r="B595" s="2">
        <v>45802.370833333327</v>
      </c>
      <c r="C595" t="s">
        <v>359</v>
      </c>
      <c r="D595" t="s">
        <v>219</v>
      </c>
      <c r="E595">
        <v>3</v>
      </c>
      <c r="F595">
        <v>473.4</v>
      </c>
      <c r="G595" t="s">
        <v>221</v>
      </c>
      <c r="H595">
        <v>1420.2</v>
      </c>
      <c r="I595">
        <v>2025</v>
      </c>
      <c r="J595">
        <v>5</v>
      </c>
      <c r="K595">
        <v>8</v>
      </c>
      <c r="L595" s="14">
        <v>473.39999999999992</v>
      </c>
      <c r="M595" s="4" t="str">
        <f t="shared" si="36"/>
        <v>domingo</v>
      </c>
      <c r="N595" s="4" t="str">
        <f t="shared" si="37"/>
        <v>mayo</v>
      </c>
      <c r="O595" s="4" t="str">
        <f t="shared" si="38"/>
        <v>NO</v>
      </c>
      <c r="P595" s="4" t="str">
        <f t="shared" si="39"/>
        <v>NO</v>
      </c>
      <c r="Q595" s="4" t="str" cm="1">
        <f t="array" ref="Q595">_xlfn.IFS(AND(H595&gt;=0,H595&lt;=3333),"Grupo 1",AND(H595&gt;3333,H595&lt;=6666),"Grupo 2",AND(H595&gt;6666,H595&lt;=10000),"Grupo 3")</f>
        <v>Grupo 1</v>
      </c>
    </row>
    <row r="596" spans="1:17" x14ac:dyDescent="0.25">
      <c r="A596" t="s">
        <v>206</v>
      </c>
      <c r="B596" s="2">
        <v>45178.038888888892</v>
      </c>
      <c r="C596" t="s">
        <v>261</v>
      </c>
      <c r="D596" t="s">
        <v>215</v>
      </c>
      <c r="E596">
        <v>1</v>
      </c>
      <c r="F596">
        <v>521.32000000000005</v>
      </c>
      <c r="G596" t="s">
        <v>220</v>
      </c>
      <c r="H596">
        <v>521.32000000000005</v>
      </c>
      <c r="I596">
        <v>2023</v>
      </c>
      <c r="J596">
        <v>9</v>
      </c>
      <c r="K596">
        <v>0</v>
      </c>
      <c r="L596" s="14">
        <v>521.32000000000005</v>
      </c>
      <c r="M596" s="4" t="str">
        <f t="shared" si="36"/>
        <v>sábado</v>
      </c>
      <c r="N596" s="4" t="str">
        <f t="shared" si="37"/>
        <v>septiembre</v>
      </c>
      <c r="O596" s="4" t="str">
        <f t="shared" si="38"/>
        <v>NO</v>
      </c>
      <c r="P596" s="4" t="str">
        <f t="shared" si="39"/>
        <v>NO</v>
      </c>
      <c r="Q596" s="4" t="str" cm="1">
        <f t="array" ref="Q596">_xlfn.IFS(AND(H596&gt;=0,H596&lt;=3333),"Grupo 1",AND(H596&gt;3333,H596&lt;=6666),"Grupo 2",AND(H596&gt;6666,H596&lt;=10000),"Grupo 3")</f>
        <v>Grupo 1</v>
      </c>
    </row>
    <row r="597" spans="1:17" x14ac:dyDescent="0.25">
      <c r="A597" t="s">
        <v>207</v>
      </c>
      <c r="B597" s="2">
        <v>45748.34097222222</v>
      </c>
      <c r="C597" t="s">
        <v>262</v>
      </c>
      <c r="D597" t="s">
        <v>213</v>
      </c>
      <c r="E597">
        <v>1</v>
      </c>
      <c r="F597">
        <v>1067.6400000000001</v>
      </c>
      <c r="G597" t="s">
        <v>221</v>
      </c>
      <c r="H597">
        <v>1067.6400000000001</v>
      </c>
      <c r="I597">
        <v>2025</v>
      </c>
      <c r="J597">
        <v>4</v>
      </c>
      <c r="K597">
        <v>8</v>
      </c>
      <c r="L597" s="14">
        <v>1067.6400000000001</v>
      </c>
      <c r="M597" s="4" t="str">
        <f t="shared" si="36"/>
        <v>martes</v>
      </c>
      <c r="N597" s="4" t="str">
        <f t="shared" si="37"/>
        <v>abril</v>
      </c>
      <c r="O597" s="4" t="str">
        <f t="shared" si="38"/>
        <v>NO</v>
      </c>
      <c r="P597" s="4" t="str">
        <f t="shared" si="39"/>
        <v>SI</v>
      </c>
      <c r="Q597" s="4" t="str" cm="1">
        <f t="array" ref="Q597">_xlfn.IFS(AND(H597&gt;=0,H597&lt;=3333),"Grupo 1",AND(H597&gt;3333,H597&lt;=6666),"Grupo 2",AND(H597&gt;6666,H597&lt;=10000),"Grupo 3")</f>
        <v>Grupo 1</v>
      </c>
    </row>
    <row r="598" spans="1:17" x14ac:dyDescent="0.25">
      <c r="A598" t="s">
        <v>208</v>
      </c>
      <c r="B598" s="2">
        <v>45055.556250000001</v>
      </c>
      <c r="C598" t="s">
        <v>263</v>
      </c>
      <c r="D598" t="s">
        <v>218</v>
      </c>
      <c r="E598">
        <v>1</v>
      </c>
      <c r="F598">
        <v>1903.64</v>
      </c>
      <c r="G598" t="s">
        <v>221</v>
      </c>
      <c r="H598">
        <v>1903.64</v>
      </c>
      <c r="I598">
        <v>2023</v>
      </c>
      <c r="J598">
        <v>5</v>
      </c>
      <c r="K598">
        <v>13</v>
      </c>
      <c r="L598" s="14">
        <v>1903.64</v>
      </c>
      <c r="M598" s="4" t="str">
        <f t="shared" si="36"/>
        <v>martes</v>
      </c>
      <c r="N598" s="4" t="str">
        <f t="shared" si="37"/>
        <v>mayo</v>
      </c>
      <c r="O598" s="4" t="str">
        <f t="shared" si="38"/>
        <v>NO</v>
      </c>
      <c r="P598" s="4" t="str">
        <f t="shared" si="39"/>
        <v>SI</v>
      </c>
      <c r="Q598" s="4" t="str" cm="1">
        <f t="array" ref="Q598">_xlfn.IFS(AND(H598&gt;=0,H598&lt;=3333),"Grupo 1",AND(H598&gt;3333,H598&lt;=6666),"Grupo 2",AND(H598&gt;6666,H598&lt;=10000),"Grupo 3")</f>
        <v>Grupo 1</v>
      </c>
    </row>
    <row r="599" spans="1:17" x14ac:dyDescent="0.25">
      <c r="A599" t="s">
        <v>209</v>
      </c>
      <c r="B599" s="2">
        <v>44958.773611111108</v>
      </c>
      <c r="C599" t="s">
        <v>264</v>
      </c>
      <c r="D599" t="s">
        <v>214</v>
      </c>
      <c r="E599">
        <v>2</v>
      </c>
      <c r="F599">
        <v>1460.16</v>
      </c>
      <c r="G599" t="s">
        <v>222</v>
      </c>
      <c r="H599">
        <v>2920.32</v>
      </c>
      <c r="I599">
        <v>2023</v>
      </c>
      <c r="J599">
        <v>2</v>
      </c>
      <c r="K599">
        <v>18</v>
      </c>
      <c r="L599" s="14">
        <v>1460.16</v>
      </c>
      <c r="M599" s="4" t="str">
        <f t="shared" si="36"/>
        <v>miércoles</v>
      </c>
      <c r="N599" s="4" t="str">
        <f t="shared" si="37"/>
        <v>febrero</v>
      </c>
      <c r="O599" s="4" t="str">
        <f t="shared" si="38"/>
        <v>SI</v>
      </c>
      <c r="P599" s="4" t="str">
        <f t="shared" si="39"/>
        <v>SI</v>
      </c>
      <c r="Q599" s="4" t="str" cm="1">
        <f t="array" ref="Q599">_xlfn.IFS(AND(H599&gt;=0,H599&lt;=3333),"Grupo 1",AND(H599&gt;3333,H599&lt;=6666),"Grupo 2",AND(H599&gt;6666,H599&lt;=10000),"Grupo 3")</f>
        <v>Grupo 1</v>
      </c>
    </row>
    <row r="600" spans="1:17" x14ac:dyDescent="0.25">
      <c r="A600" t="s">
        <v>210</v>
      </c>
      <c r="B600" s="2">
        <v>45816.563888888893</v>
      </c>
      <c r="C600" t="s">
        <v>265</v>
      </c>
      <c r="D600" t="s">
        <v>212</v>
      </c>
      <c r="E600">
        <v>4</v>
      </c>
      <c r="F600">
        <v>847</v>
      </c>
      <c r="G600" t="s">
        <v>220</v>
      </c>
      <c r="H600">
        <v>3388</v>
      </c>
      <c r="I600">
        <v>2025</v>
      </c>
      <c r="J600">
        <v>6</v>
      </c>
      <c r="K600">
        <v>13</v>
      </c>
      <c r="L600" s="14">
        <v>847</v>
      </c>
      <c r="M600" s="4" t="str">
        <f t="shared" si="36"/>
        <v>domingo</v>
      </c>
      <c r="N600" s="4" t="str">
        <f t="shared" si="37"/>
        <v>junio</v>
      </c>
      <c r="O600" s="4" t="str">
        <f t="shared" si="38"/>
        <v>SI</v>
      </c>
      <c r="P600" s="4" t="str">
        <f t="shared" si="39"/>
        <v>NO</v>
      </c>
      <c r="Q600" s="4" t="str" cm="1">
        <f t="array" ref="Q600">_xlfn.IFS(AND(H600&gt;=0,H600&lt;=3333),"Grupo 1",AND(H600&gt;3333,H600&lt;=6666),"Grupo 2",AND(H600&gt;6666,H600&lt;=10000),"Grupo 3")</f>
        <v>Grupo 2</v>
      </c>
    </row>
    <row r="601" spans="1:17" x14ac:dyDescent="0.25">
      <c r="A601" t="s">
        <v>211</v>
      </c>
      <c r="B601" s="2">
        <v>45089.396527777782</v>
      </c>
      <c r="C601" t="s">
        <v>266</v>
      </c>
      <c r="D601" t="s">
        <v>218</v>
      </c>
      <c r="E601">
        <v>2</v>
      </c>
      <c r="F601">
        <v>1243.3399999999999</v>
      </c>
      <c r="G601" t="s">
        <v>221</v>
      </c>
      <c r="H601">
        <v>2486.6799999999998</v>
      </c>
      <c r="I601">
        <v>2023</v>
      </c>
      <c r="J601">
        <v>6</v>
      </c>
      <c r="K601">
        <v>9</v>
      </c>
      <c r="L601" s="14">
        <v>1243.3399999999999</v>
      </c>
      <c r="M601" s="4" t="str">
        <f t="shared" si="36"/>
        <v>lunes</v>
      </c>
      <c r="N601" s="4" t="str">
        <f t="shared" si="37"/>
        <v>junio</v>
      </c>
      <c r="O601" s="4" t="str">
        <f t="shared" si="38"/>
        <v>NO</v>
      </c>
      <c r="P601" s="4" t="str">
        <f t="shared" si="39"/>
        <v>SI</v>
      </c>
      <c r="Q601" s="4" t="str" cm="1">
        <f t="array" ref="Q601">_xlfn.IFS(AND(H601&gt;=0,H601&lt;=3333),"Grupo 1",AND(H601&gt;3333,H601&lt;=6666),"Grupo 2",AND(H601&gt;6666,H601&lt;=10000),"Grupo 3")</f>
        <v>Grupo 1</v>
      </c>
    </row>
    <row r="602" spans="1:17" x14ac:dyDescent="0.25">
      <c r="A602" t="s">
        <v>12</v>
      </c>
      <c r="B602" s="2">
        <v>45280.478472222218</v>
      </c>
      <c r="C602" t="s">
        <v>267</v>
      </c>
      <c r="D602" t="s">
        <v>212</v>
      </c>
      <c r="E602">
        <v>5</v>
      </c>
      <c r="F602">
        <v>1497.24</v>
      </c>
      <c r="G602" t="s">
        <v>220</v>
      </c>
      <c r="H602">
        <v>7486.2</v>
      </c>
      <c r="I602">
        <v>2023</v>
      </c>
      <c r="J602">
        <v>12</v>
      </c>
      <c r="K602">
        <v>11</v>
      </c>
      <c r="L602" s="14">
        <v>1497.24</v>
      </c>
      <c r="M602" s="4" t="str">
        <f t="shared" si="36"/>
        <v>miércoles</v>
      </c>
      <c r="N602" s="4" t="str">
        <f t="shared" si="37"/>
        <v>diciembre</v>
      </c>
      <c r="O602" s="4" t="str">
        <f t="shared" si="38"/>
        <v>SI</v>
      </c>
      <c r="P602" s="4" t="str">
        <f t="shared" si="39"/>
        <v>SI</v>
      </c>
      <c r="Q602" s="4" t="str" cm="1">
        <f t="array" ref="Q602">_xlfn.IFS(AND(H602&gt;=0,H602&lt;=3333),"Grupo 1",AND(H602&gt;3333,H602&lt;=6666),"Grupo 2",AND(H602&gt;6666,H602&lt;=10000),"Grupo 3")</f>
        <v>Grupo 3</v>
      </c>
    </row>
    <row r="603" spans="1:17" x14ac:dyDescent="0.25">
      <c r="A603" t="s">
        <v>13</v>
      </c>
      <c r="B603" s="2">
        <v>45008.840277777781</v>
      </c>
      <c r="C603" t="s">
        <v>268</v>
      </c>
      <c r="D603" t="s">
        <v>212</v>
      </c>
      <c r="E603">
        <v>1</v>
      </c>
      <c r="F603">
        <v>1687.54</v>
      </c>
      <c r="G603" t="s">
        <v>220</v>
      </c>
      <c r="H603">
        <v>1687.54</v>
      </c>
      <c r="I603">
        <v>2023</v>
      </c>
      <c r="J603">
        <v>3</v>
      </c>
      <c r="K603">
        <v>20</v>
      </c>
      <c r="L603" s="14">
        <v>1687.54</v>
      </c>
      <c r="M603" s="4" t="str">
        <f t="shared" si="36"/>
        <v>jueves</v>
      </c>
      <c r="N603" s="4" t="str">
        <f t="shared" si="37"/>
        <v>marzo</v>
      </c>
      <c r="O603" s="4" t="str">
        <f t="shared" si="38"/>
        <v>NO</v>
      </c>
      <c r="P603" s="4" t="str">
        <f t="shared" si="39"/>
        <v>SI</v>
      </c>
      <c r="Q603" s="4" t="str" cm="1">
        <f t="array" ref="Q603">_xlfn.IFS(AND(H603&gt;=0,H603&lt;=3333),"Grupo 1",AND(H603&gt;3333,H603&lt;=6666),"Grupo 2",AND(H603&gt;6666,H603&lt;=10000),"Grupo 3")</f>
        <v>Grupo 1</v>
      </c>
    </row>
    <row r="604" spans="1:17" x14ac:dyDescent="0.25">
      <c r="A604" t="s">
        <v>14</v>
      </c>
      <c r="B604" s="2">
        <v>45355.443749999999</v>
      </c>
      <c r="C604" t="s">
        <v>269</v>
      </c>
      <c r="D604" t="s">
        <v>213</v>
      </c>
      <c r="E604">
        <v>3</v>
      </c>
      <c r="F604">
        <v>768.8</v>
      </c>
      <c r="G604" t="s">
        <v>221</v>
      </c>
      <c r="H604">
        <v>2306.4</v>
      </c>
      <c r="I604">
        <v>2024</v>
      </c>
      <c r="J604">
        <v>3</v>
      </c>
      <c r="K604">
        <v>10</v>
      </c>
      <c r="L604" s="14">
        <v>768.79999999999984</v>
      </c>
      <c r="M604" s="4" t="str">
        <f t="shared" si="36"/>
        <v>lunes</v>
      </c>
      <c r="N604" s="4" t="str">
        <f t="shared" si="37"/>
        <v>marzo</v>
      </c>
      <c r="O604" s="4" t="str">
        <f t="shared" si="38"/>
        <v>NO</v>
      </c>
      <c r="P604" s="4" t="str">
        <f t="shared" si="39"/>
        <v>NO</v>
      </c>
      <c r="Q604" s="4" t="str" cm="1">
        <f t="array" ref="Q604">_xlfn.IFS(AND(H604&gt;=0,H604&lt;=3333),"Grupo 1",AND(H604&gt;3333,H604&lt;=6666),"Grupo 2",AND(H604&gt;6666,H604&lt;=10000),"Grupo 3")</f>
        <v>Grupo 1</v>
      </c>
    </row>
    <row r="605" spans="1:17" x14ac:dyDescent="0.25">
      <c r="A605" t="s">
        <v>15</v>
      </c>
      <c r="B605" s="2">
        <v>45704.374305555553</v>
      </c>
      <c r="C605" t="s">
        <v>270</v>
      </c>
      <c r="D605" t="s">
        <v>214</v>
      </c>
      <c r="E605">
        <v>1</v>
      </c>
      <c r="F605">
        <v>1532.67</v>
      </c>
      <c r="G605" t="s">
        <v>222</v>
      </c>
      <c r="H605">
        <v>1532.67</v>
      </c>
      <c r="I605">
        <v>2025</v>
      </c>
      <c r="J605">
        <v>2</v>
      </c>
      <c r="K605">
        <v>8</v>
      </c>
      <c r="L605" s="14">
        <v>1532.67</v>
      </c>
      <c r="M605" s="4" t="str">
        <f t="shared" si="36"/>
        <v>domingo</v>
      </c>
      <c r="N605" s="4" t="str">
        <f t="shared" si="37"/>
        <v>febrero</v>
      </c>
      <c r="O605" s="4" t="str">
        <f t="shared" si="38"/>
        <v>NO</v>
      </c>
      <c r="P605" s="4" t="str">
        <f t="shared" si="39"/>
        <v>SI</v>
      </c>
      <c r="Q605" s="4" t="str" cm="1">
        <f t="array" ref="Q605">_xlfn.IFS(AND(H605&gt;=0,H605&lt;=3333),"Grupo 1",AND(H605&gt;3333,H605&lt;=6666),"Grupo 2",AND(H605&gt;6666,H605&lt;=10000),"Grupo 3")</f>
        <v>Grupo 1</v>
      </c>
    </row>
    <row r="606" spans="1:17" x14ac:dyDescent="0.25">
      <c r="A606" t="s">
        <v>16</v>
      </c>
      <c r="B606" s="2">
        <v>45772.848611111112</v>
      </c>
      <c r="C606" t="s">
        <v>271</v>
      </c>
      <c r="D606" t="s">
        <v>214</v>
      </c>
      <c r="E606">
        <v>3</v>
      </c>
      <c r="F606">
        <v>1709.47</v>
      </c>
      <c r="G606" t="s">
        <v>222</v>
      </c>
      <c r="H606">
        <v>5128.41</v>
      </c>
      <c r="I606">
        <v>2025</v>
      </c>
      <c r="J606">
        <v>4</v>
      </c>
      <c r="K606">
        <v>20</v>
      </c>
      <c r="L606" s="14">
        <v>1709.47</v>
      </c>
      <c r="M606" s="4" t="str">
        <f t="shared" si="36"/>
        <v>viernes</v>
      </c>
      <c r="N606" s="4" t="str">
        <f t="shared" si="37"/>
        <v>abril</v>
      </c>
      <c r="O606" s="4" t="str">
        <f t="shared" si="38"/>
        <v>SI</v>
      </c>
      <c r="P606" s="4" t="str">
        <f t="shared" si="39"/>
        <v>SI</v>
      </c>
      <c r="Q606" s="4" t="str" cm="1">
        <f t="array" ref="Q606">_xlfn.IFS(AND(H606&gt;=0,H606&lt;=3333),"Grupo 1",AND(H606&gt;3333,H606&lt;=6666),"Grupo 2",AND(H606&gt;6666,H606&lt;=10000),"Grupo 3")</f>
        <v>Grupo 2</v>
      </c>
    </row>
    <row r="607" spans="1:17" x14ac:dyDescent="0.25">
      <c r="A607" t="s">
        <v>17</v>
      </c>
      <c r="B607" s="2">
        <v>45101.225694444453</v>
      </c>
      <c r="C607" t="s">
        <v>272</v>
      </c>
      <c r="D607" t="s">
        <v>215</v>
      </c>
      <c r="E607">
        <v>3</v>
      </c>
      <c r="F607">
        <v>297.54000000000002</v>
      </c>
      <c r="G607" t="s">
        <v>220</v>
      </c>
      <c r="H607">
        <v>892.62000000000012</v>
      </c>
      <c r="I607">
        <v>2023</v>
      </c>
      <c r="J607">
        <v>6</v>
      </c>
      <c r="K607">
        <v>5</v>
      </c>
      <c r="L607" s="14">
        <v>297.54000000000002</v>
      </c>
      <c r="M607" s="4" t="str">
        <f t="shared" si="36"/>
        <v>sábado</v>
      </c>
      <c r="N607" s="4" t="str">
        <f t="shared" si="37"/>
        <v>junio</v>
      </c>
      <c r="O607" s="4" t="str">
        <f t="shared" si="38"/>
        <v>NO</v>
      </c>
      <c r="P607" s="4" t="str">
        <f t="shared" si="39"/>
        <v>NO</v>
      </c>
      <c r="Q607" s="4" t="str" cm="1">
        <f t="array" ref="Q607">_xlfn.IFS(AND(H607&gt;=0,H607&lt;=3333),"Grupo 1",AND(H607&gt;3333,H607&lt;=6666),"Grupo 2",AND(H607&gt;6666,H607&lt;=10000),"Grupo 3")</f>
        <v>Grupo 1</v>
      </c>
    </row>
    <row r="608" spans="1:17" x14ac:dyDescent="0.25">
      <c r="A608" t="s">
        <v>18</v>
      </c>
      <c r="B608" s="2">
        <v>45694.432638888888</v>
      </c>
      <c r="C608" t="s">
        <v>273</v>
      </c>
      <c r="D608" t="s">
        <v>216</v>
      </c>
      <c r="E608">
        <v>4</v>
      </c>
      <c r="F608">
        <v>1546.65</v>
      </c>
      <c r="G608" t="s">
        <v>221</v>
      </c>
      <c r="H608">
        <v>6186.6</v>
      </c>
      <c r="I608">
        <v>2025</v>
      </c>
      <c r="J608">
        <v>2</v>
      </c>
      <c r="K608">
        <v>10</v>
      </c>
      <c r="L608" s="14">
        <v>1546.65</v>
      </c>
      <c r="M608" s="4" t="str">
        <f t="shared" si="36"/>
        <v>jueves</v>
      </c>
      <c r="N608" s="4" t="str">
        <f t="shared" si="37"/>
        <v>febrero</v>
      </c>
      <c r="O608" s="4" t="str">
        <f t="shared" si="38"/>
        <v>SI</v>
      </c>
      <c r="P608" s="4" t="str">
        <f t="shared" si="39"/>
        <v>SI</v>
      </c>
      <c r="Q608" s="4" t="str" cm="1">
        <f t="array" ref="Q608">_xlfn.IFS(AND(H608&gt;=0,H608&lt;=3333),"Grupo 1",AND(H608&gt;3333,H608&lt;=6666),"Grupo 2",AND(H608&gt;6666,H608&lt;=10000),"Grupo 3")</f>
        <v>Grupo 2</v>
      </c>
    </row>
    <row r="609" spans="1:17" x14ac:dyDescent="0.25">
      <c r="A609" t="s">
        <v>19</v>
      </c>
      <c r="B609" s="2">
        <v>45798.69027777778</v>
      </c>
      <c r="C609" t="s">
        <v>274</v>
      </c>
      <c r="D609" t="s">
        <v>212</v>
      </c>
      <c r="E609">
        <v>1</v>
      </c>
      <c r="F609">
        <v>1575.18</v>
      </c>
      <c r="G609" t="s">
        <v>220</v>
      </c>
      <c r="H609">
        <v>1575.18</v>
      </c>
      <c r="I609">
        <v>2025</v>
      </c>
      <c r="J609">
        <v>5</v>
      </c>
      <c r="K609">
        <v>16</v>
      </c>
      <c r="L609" s="14">
        <v>1575.18</v>
      </c>
      <c r="M609" s="4" t="str">
        <f t="shared" si="36"/>
        <v>miércoles</v>
      </c>
      <c r="N609" s="4" t="str">
        <f t="shared" si="37"/>
        <v>mayo</v>
      </c>
      <c r="O609" s="4" t="str">
        <f t="shared" si="38"/>
        <v>NO</v>
      </c>
      <c r="P609" s="4" t="str">
        <f t="shared" si="39"/>
        <v>SI</v>
      </c>
      <c r="Q609" s="4" t="str" cm="1">
        <f t="array" ref="Q609">_xlfn.IFS(AND(H609&gt;=0,H609&lt;=3333),"Grupo 1",AND(H609&gt;3333,H609&lt;=6666),"Grupo 2",AND(H609&gt;6666,H609&lt;=10000),"Grupo 3")</f>
        <v>Grupo 1</v>
      </c>
    </row>
    <row r="610" spans="1:17" x14ac:dyDescent="0.25">
      <c r="A610" t="s">
        <v>20</v>
      </c>
      <c r="B610" s="2">
        <v>45425.797222222223</v>
      </c>
      <c r="C610" t="s">
        <v>275</v>
      </c>
      <c r="D610" t="s">
        <v>217</v>
      </c>
      <c r="E610">
        <v>5</v>
      </c>
      <c r="F610">
        <v>1815.86</v>
      </c>
      <c r="G610" t="s">
        <v>220</v>
      </c>
      <c r="H610">
        <v>9079.2999999999993</v>
      </c>
      <c r="I610">
        <v>2024</v>
      </c>
      <c r="J610">
        <v>5</v>
      </c>
      <c r="K610">
        <v>19</v>
      </c>
      <c r="L610" s="14">
        <v>1815.86</v>
      </c>
      <c r="M610" s="4" t="str">
        <f t="shared" si="36"/>
        <v>lunes</v>
      </c>
      <c r="N610" s="4" t="str">
        <f t="shared" si="37"/>
        <v>mayo</v>
      </c>
      <c r="O610" s="4" t="str">
        <f t="shared" si="38"/>
        <v>SI</v>
      </c>
      <c r="P610" s="4" t="str">
        <f t="shared" si="39"/>
        <v>SI</v>
      </c>
      <c r="Q610" s="4" t="str" cm="1">
        <f t="array" ref="Q610">_xlfn.IFS(AND(H610&gt;=0,H610&lt;=3333),"Grupo 1",AND(H610&gt;3333,H610&lt;=6666),"Grupo 2",AND(H610&gt;6666,H610&lt;=10000),"Grupo 3")</f>
        <v>Grupo 3</v>
      </c>
    </row>
    <row r="611" spans="1:17" x14ac:dyDescent="0.25">
      <c r="A611" t="s">
        <v>21</v>
      </c>
      <c r="B611" s="2">
        <v>45525.152083333327</v>
      </c>
      <c r="C611" t="s">
        <v>276</v>
      </c>
      <c r="D611" t="s">
        <v>212</v>
      </c>
      <c r="E611">
        <v>1</v>
      </c>
      <c r="F611">
        <v>564.11</v>
      </c>
      <c r="G611" t="s">
        <v>220</v>
      </c>
      <c r="H611">
        <v>564.11</v>
      </c>
      <c r="I611">
        <v>2024</v>
      </c>
      <c r="J611">
        <v>8</v>
      </c>
      <c r="K611">
        <v>3</v>
      </c>
      <c r="L611" s="14">
        <v>564.11</v>
      </c>
      <c r="M611" s="4" t="str">
        <f t="shared" si="36"/>
        <v>miércoles</v>
      </c>
      <c r="N611" s="4" t="str">
        <f t="shared" si="37"/>
        <v>agosto</v>
      </c>
      <c r="O611" s="4" t="str">
        <f t="shared" si="38"/>
        <v>NO</v>
      </c>
      <c r="P611" s="4" t="str">
        <f t="shared" si="39"/>
        <v>NO</v>
      </c>
      <c r="Q611" s="4" t="str" cm="1">
        <f t="array" ref="Q611">_xlfn.IFS(AND(H611&gt;=0,H611&lt;=3333),"Grupo 1",AND(H611&gt;3333,H611&lt;=6666),"Grupo 2",AND(H611&gt;6666,H611&lt;=10000),"Grupo 3")</f>
        <v>Grupo 1</v>
      </c>
    </row>
    <row r="612" spans="1:17" x14ac:dyDescent="0.25">
      <c r="A612" t="s">
        <v>22</v>
      </c>
      <c r="B612" s="2">
        <v>45580.043749999997</v>
      </c>
      <c r="C612" t="s">
        <v>277</v>
      </c>
      <c r="D612" t="s">
        <v>217</v>
      </c>
      <c r="E612">
        <v>1</v>
      </c>
      <c r="F612">
        <v>454.9</v>
      </c>
      <c r="G612" t="s">
        <v>220</v>
      </c>
      <c r="H612">
        <v>454.9</v>
      </c>
      <c r="I612">
        <v>2024</v>
      </c>
      <c r="J612">
        <v>10</v>
      </c>
      <c r="K612">
        <v>1</v>
      </c>
      <c r="L612" s="14">
        <v>454.9</v>
      </c>
      <c r="M612" s="4" t="str">
        <f t="shared" si="36"/>
        <v>martes</v>
      </c>
      <c r="N612" s="4" t="str">
        <f t="shared" si="37"/>
        <v>octubre</v>
      </c>
      <c r="O612" s="4" t="str">
        <f t="shared" si="38"/>
        <v>NO</v>
      </c>
      <c r="P612" s="4" t="str">
        <f t="shared" si="39"/>
        <v>NO</v>
      </c>
      <c r="Q612" s="4" t="str" cm="1">
        <f t="array" ref="Q612">_xlfn.IFS(AND(H612&gt;=0,H612&lt;=3333),"Grupo 1",AND(H612&gt;3333,H612&lt;=6666),"Grupo 2",AND(H612&gt;6666,H612&lt;=10000),"Grupo 3")</f>
        <v>Grupo 1</v>
      </c>
    </row>
    <row r="613" spans="1:17" x14ac:dyDescent="0.25">
      <c r="A613" t="s">
        <v>23</v>
      </c>
      <c r="B613" s="2">
        <v>45551.151388888888</v>
      </c>
      <c r="C613" t="s">
        <v>278</v>
      </c>
      <c r="D613" t="s">
        <v>218</v>
      </c>
      <c r="E613">
        <v>3</v>
      </c>
      <c r="F613">
        <v>1277.51</v>
      </c>
      <c r="G613" t="s">
        <v>221</v>
      </c>
      <c r="H613">
        <v>3832.53</v>
      </c>
      <c r="I613">
        <v>2024</v>
      </c>
      <c r="J613">
        <v>9</v>
      </c>
      <c r="K613">
        <v>3</v>
      </c>
      <c r="L613" s="14">
        <v>1277.51</v>
      </c>
      <c r="M613" s="4" t="str">
        <f t="shared" si="36"/>
        <v>lunes</v>
      </c>
      <c r="N613" s="4" t="str">
        <f t="shared" si="37"/>
        <v>septiembre</v>
      </c>
      <c r="O613" s="4" t="str">
        <f t="shared" si="38"/>
        <v>SI</v>
      </c>
      <c r="P613" s="4" t="str">
        <f t="shared" si="39"/>
        <v>SI</v>
      </c>
      <c r="Q613" s="4" t="str" cm="1">
        <f t="array" ref="Q613">_xlfn.IFS(AND(H613&gt;=0,H613&lt;=3333),"Grupo 1",AND(H613&gt;3333,H613&lt;=6666),"Grupo 2",AND(H613&gt;6666,H613&lt;=10000),"Grupo 3")</f>
        <v>Grupo 2</v>
      </c>
    </row>
    <row r="614" spans="1:17" x14ac:dyDescent="0.25">
      <c r="A614" t="s">
        <v>24</v>
      </c>
      <c r="B614" s="2">
        <v>45230.395833333343</v>
      </c>
      <c r="C614" t="s">
        <v>279</v>
      </c>
      <c r="D614" t="s">
        <v>214</v>
      </c>
      <c r="E614">
        <v>2</v>
      </c>
      <c r="F614">
        <v>1870.95</v>
      </c>
      <c r="G614" t="s">
        <v>222</v>
      </c>
      <c r="H614">
        <v>3741.9</v>
      </c>
      <c r="I614">
        <v>2023</v>
      </c>
      <c r="J614">
        <v>10</v>
      </c>
      <c r="K614">
        <v>9</v>
      </c>
      <c r="L614" s="14">
        <v>1870.95</v>
      </c>
      <c r="M614" s="4" t="str">
        <f t="shared" si="36"/>
        <v>martes</v>
      </c>
      <c r="N614" s="4" t="str">
        <f t="shared" si="37"/>
        <v>octubre</v>
      </c>
      <c r="O614" s="4" t="str">
        <f t="shared" si="38"/>
        <v>SI</v>
      </c>
      <c r="P614" s="4" t="str">
        <f t="shared" si="39"/>
        <v>SI</v>
      </c>
      <c r="Q614" s="4" t="str" cm="1">
        <f t="array" ref="Q614">_xlfn.IFS(AND(H614&gt;=0,H614&lt;=3333),"Grupo 1",AND(H614&gt;3333,H614&lt;=6666),"Grupo 2",AND(H614&gt;6666,H614&lt;=10000),"Grupo 3")</f>
        <v>Grupo 2</v>
      </c>
    </row>
    <row r="615" spans="1:17" x14ac:dyDescent="0.25">
      <c r="A615" t="s">
        <v>25</v>
      </c>
      <c r="B615" s="2">
        <v>45234.645833333343</v>
      </c>
      <c r="C615" t="s">
        <v>280</v>
      </c>
      <c r="D615" t="s">
        <v>212</v>
      </c>
      <c r="E615">
        <v>4</v>
      </c>
      <c r="F615">
        <v>1227.23</v>
      </c>
      <c r="G615" t="s">
        <v>220</v>
      </c>
      <c r="H615">
        <v>4908.92</v>
      </c>
      <c r="I615">
        <v>2023</v>
      </c>
      <c r="J615">
        <v>11</v>
      </c>
      <c r="K615">
        <v>15</v>
      </c>
      <c r="L615" s="14">
        <v>1227.23</v>
      </c>
      <c r="M615" s="4" t="str">
        <f t="shared" si="36"/>
        <v>sábado</v>
      </c>
      <c r="N615" s="4" t="str">
        <f t="shared" si="37"/>
        <v>noviembre</v>
      </c>
      <c r="O615" s="4" t="str">
        <f t="shared" si="38"/>
        <v>SI</v>
      </c>
      <c r="P615" s="4" t="str">
        <f t="shared" si="39"/>
        <v>SI</v>
      </c>
      <c r="Q615" s="4" t="str" cm="1">
        <f t="array" ref="Q615">_xlfn.IFS(AND(H615&gt;=0,H615&lt;=3333),"Grupo 1",AND(H615&gt;3333,H615&lt;=6666),"Grupo 2",AND(H615&gt;6666,H615&lt;=10000),"Grupo 3")</f>
        <v>Grupo 2</v>
      </c>
    </row>
    <row r="616" spans="1:17" x14ac:dyDescent="0.25">
      <c r="A616" t="s">
        <v>26</v>
      </c>
      <c r="B616" s="2">
        <v>45464.76666666667</v>
      </c>
      <c r="C616" t="s">
        <v>281</v>
      </c>
      <c r="D616" t="s">
        <v>215</v>
      </c>
      <c r="E616">
        <v>1</v>
      </c>
      <c r="F616">
        <v>1329.6</v>
      </c>
      <c r="G616" t="s">
        <v>220</v>
      </c>
      <c r="H616">
        <v>1329.6</v>
      </c>
      <c r="I616">
        <v>2024</v>
      </c>
      <c r="J616">
        <v>6</v>
      </c>
      <c r="K616">
        <v>18</v>
      </c>
      <c r="L616" s="14">
        <v>1329.6</v>
      </c>
      <c r="M616" s="4" t="str">
        <f t="shared" si="36"/>
        <v>viernes</v>
      </c>
      <c r="N616" s="4" t="str">
        <f t="shared" si="37"/>
        <v>junio</v>
      </c>
      <c r="O616" s="4" t="str">
        <f t="shared" si="38"/>
        <v>NO</v>
      </c>
      <c r="P616" s="4" t="str">
        <f t="shared" si="39"/>
        <v>SI</v>
      </c>
      <c r="Q616" s="4" t="str" cm="1">
        <f t="array" ref="Q616">_xlfn.IFS(AND(H616&gt;=0,H616&lt;=3333),"Grupo 1",AND(H616&gt;3333,H616&lt;=6666),"Grupo 2",AND(H616&gt;6666,H616&lt;=10000),"Grupo 3")</f>
        <v>Grupo 1</v>
      </c>
    </row>
    <row r="617" spans="1:17" x14ac:dyDescent="0.25">
      <c r="A617" t="s">
        <v>27</v>
      </c>
      <c r="B617" s="2">
        <v>45138.240277777782</v>
      </c>
      <c r="C617" t="s">
        <v>282</v>
      </c>
      <c r="D617" t="s">
        <v>212</v>
      </c>
      <c r="E617">
        <v>3</v>
      </c>
      <c r="F617">
        <v>1734.12</v>
      </c>
      <c r="G617" t="s">
        <v>220</v>
      </c>
      <c r="H617">
        <v>5202.3599999999997</v>
      </c>
      <c r="I617">
        <v>2023</v>
      </c>
      <c r="J617">
        <v>7</v>
      </c>
      <c r="K617">
        <v>5</v>
      </c>
      <c r="L617" s="14">
        <v>1734.12</v>
      </c>
      <c r="M617" s="4" t="str">
        <f t="shared" si="36"/>
        <v>lunes</v>
      </c>
      <c r="N617" s="4" t="str">
        <f t="shared" si="37"/>
        <v>julio</v>
      </c>
      <c r="O617" s="4" t="str">
        <f t="shared" si="38"/>
        <v>SI</v>
      </c>
      <c r="P617" s="4" t="str">
        <f t="shared" si="39"/>
        <v>SI</v>
      </c>
      <c r="Q617" s="4" t="str" cm="1">
        <f t="array" ref="Q617">_xlfn.IFS(AND(H617&gt;=0,H617&lt;=3333),"Grupo 1",AND(H617&gt;3333,H617&lt;=6666),"Grupo 2",AND(H617&gt;6666,H617&lt;=10000),"Grupo 3")</f>
        <v>Grupo 2</v>
      </c>
    </row>
    <row r="618" spans="1:17" x14ac:dyDescent="0.25">
      <c r="A618" t="s">
        <v>28</v>
      </c>
      <c r="B618" s="2">
        <v>45455.688888888893</v>
      </c>
      <c r="C618" t="s">
        <v>283</v>
      </c>
      <c r="D618" t="s">
        <v>212</v>
      </c>
      <c r="E618">
        <v>1</v>
      </c>
      <c r="F618">
        <v>1209.6199999999999</v>
      </c>
      <c r="G618" t="s">
        <v>220</v>
      </c>
      <c r="H618">
        <v>1209.6199999999999</v>
      </c>
      <c r="I618">
        <v>2024</v>
      </c>
      <c r="J618">
        <v>6</v>
      </c>
      <c r="K618">
        <v>16</v>
      </c>
      <c r="L618" s="14">
        <v>1209.6199999999999</v>
      </c>
      <c r="M618" s="4" t="str">
        <f t="shared" si="36"/>
        <v>miércoles</v>
      </c>
      <c r="N618" s="4" t="str">
        <f t="shared" si="37"/>
        <v>junio</v>
      </c>
      <c r="O618" s="4" t="str">
        <f t="shared" si="38"/>
        <v>NO</v>
      </c>
      <c r="P618" s="4" t="str">
        <f t="shared" si="39"/>
        <v>SI</v>
      </c>
      <c r="Q618" s="4" t="str" cm="1">
        <f t="array" ref="Q618">_xlfn.IFS(AND(H618&gt;=0,H618&lt;=3333),"Grupo 1",AND(H618&gt;3333,H618&lt;=6666),"Grupo 2",AND(H618&gt;6666,H618&lt;=10000),"Grupo 3")</f>
        <v>Grupo 1</v>
      </c>
    </row>
    <row r="619" spans="1:17" x14ac:dyDescent="0.25">
      <c r="A619" t="s">
        <v>29</v>
      </c>
      <c r="B619" s="2">
        <v>45301.151388888888</v>
      </c>
      <c r="C619" t="s">
        <v>284</v>
      </c>
      <c r="D619" t="s">
        <v>218</v>
      </c>
      <c r="E619">
        <v>3</v>
      </c>
      <c r="F619">
        <v>922.33</v>
      </c>
      <c r="G619" t="s">
        <v>221</v>
      </c>
      <c r="H619">
        <v>2766.99</v>
      </c>
      <c r="I619">
        <v>2024</v>
      </c>
      <c r="J619">
        <v>1</v>
      </c>
      <c r="K619">
        <v>3</v>
      </c>
      <c r="L619" s="14">
        <v>922.33</v>
      </c>
      <c r="M619" s="4" t="str">
        <f t="shared" si="36"/>
        <v>miércoles</v>
      </c>
      <c r="N619" s="4" t="str">
        <f t="shared" si="37"/>
        <v>enero</v>
      </c>
      <c r="O619" s="4" t="str">
        <f t="shared" si="38"/>
        <v>NO</v>
      </c>
      <c r="P619" s="4" t="str">
        <f t="shared" si="39"/>
        <v>NO</v>
      </c>
      <c r="Q619" s="4" t="str" cm="1">
        <f t="array" ref="Q619">_xlfn.IFS(AND(H619&gt;=0,H619&lt;=3333),"Grupo 1",AND(H619&gt;3333,H619&lt;=6666),"Grupo 2",AND(H619&gt;6666,H619&lt;=10000),"Grupo 3")</f>
        <v>Grupo 1</v>
      </c>
    </row>
    <row r="620" spans="1:17" x14ac:dyDescent="0.25">
      <c r="A620" t="s">
        <v>30</v>
      </c>
      <c r="B620" s="2">
        <v>45677.761111111111</v>
      </c>
      <c r="C620" t="s">
        <v>285</v>
      </c>
      <c r="D620" t="s">
        <v>216</v>
      </c>
      <c r="E620">
        <v>4</v>
      </c>
      <c r="F620">
        <v>54.42</v>
      </c>
      <c r="G620" t="s">
        <v>221</v>
      </c>
      <c r="H620">
        <v>217.68</v>
      </c>
      <c r="I620">
        <v>2025</v>
      </c>
      <c r="J620">
        <v>1</v>
      </c>
      <c r="K620">
        <v>18</v>
      </c>
      <c r="L620" s="14">
        <v>54.42</v>
      </c>
      <c r="M620" s="4" t="str">
        <f t="shared" si="36"/>
        <v>lunes</v>
      </c>
      <c r="N620" s="4" t="str">
        <f t="shared" si="37"/>
        <v>enero</v>
      </c>
      <c r="O620" s="4" t="str">
        <f t="shared" si="38"/>
        <v>NO</v>
      </c>
      <c r="P620" s="4" t="str">
        <f t="shared" si="39"/>
        <v>NO</v>
      </c>
      <c r="Q620" s="4" t="str" cm="1">
        <f t="array" ref="Q620">_xlfn.IFS(AND(H620&gt;=0,H620&lt;=3333),"Grupo 1",AND(H620&gt;3333,H620&lt;=6666),"Grupo 2",AND(H620&gt;6666,H620&lt;=10000),"Grupo 3")</f>
        <v>Grupo 1</v>
      </c>
    </row>
    <row r="621" spans="1:17" x14ac:dyDescent="0.25">
      <c r="A621" t="s">
        <v>31</v>
      </c>
      <c r="B621" s="2">
        <v>45238.713888888888</v>
      </c>
      <c r="C621" t="s">
        <v>286</v>
      </c>
      <c r="D621" t="s">
        <v>218</v>
      </c>
      <c r="E621">
        <v>2</v>
      </c>
      <c r="F621">
        <v>1567.18</v>
      </c>
      <c r="G621" t="s">
        <v>221</v>
      </c>
      <c r="H621">
        <v>3134.36</v>
      </c>
      <c r="I621">
        <v>2023</v>
      </c>
      <c r="J621">
        <v>11</v>
      </c>
      <c r="K621">
        <v>17</v>
      </c>
      <c r="L621" s="14">
        <v>1567.18</v>
      </c>
      <c r="M621" s="4" t="str">
        <f t="shared" si="36"/>
        <v>miércoles</v>
      </c>
      <c r="N621" s="4" t="str">
        <f t="shared" si="37"/>
        <v>noviembre</v>
      </c>
      <c r="O621" s="4" t="str">
        <f t="shared" si="38"/>
        <v>SI</v>
      </c>
      <c r="P621" s="4" t="str">
        <f t="shared" si="39"/>
        <v>SI</v>
      </c>
      <c r="Q621" s="4" t="str" cm="1">
        <f t="array" ref="Q621">_xlfn.IFS(AND(H621&gt;=0,H621&lt;=3333),"Grupo 1",AND(H621&gt;3333,H621&lt;=6666),"Grupo 2",AND(H621&gt;6666,H621&lt;=10000),"Grupo 3")</f>
        <v>Grupo 1</v>
      </c>
    </row>
    <row r="622" spans="1:17" x14ac:dyDescent="0.25">
      <c r="A622" t="s">
        <v>32</v>
      </c>
      <c r="B622" s="2">
        <v>45231.386111111111</v>
      </c>
      <c r="C622" t="s">
        <v>287</v>
      </c>
      <c r="D622" t="s">
        <v>213</v>
      </c>
      <c r="E622">
        <v>2</v>
      </c>
      <c r="F622">
        <v>519.79999999999995</v>
      </c>
      <c r="G622" t="s">
        <v>221</v>
      </c>
      <c r="H622">
        <v>1039.5999999999999</v>
      </c>
      <c r="I622">
        <v>2023</v>
      </c>
      <c r="J622">
        <v>11</v>
      </c>
      <c r="K622">
        <v>9</v>
      </c>
      <c r="L622" s="14">
        <v>519.79999999999995</v>
      </c>
      <c r="M622" s="4" t="str">
        <f t="shared" si="36"/>
        <v>miércoles</v>
      </c>
      <c r="N622" s="4" t="str">
        <f t="shared" si="37"/>
        <v>noviembre</v>
      </c>
      <c r="O622" s="4" t="str">
        <f t="shared" si="38"/>
        <v>NO</v>
      </c>
      <c r="P622" s="4" t="str">
        <f t="shared" si="39"/>
        <v>NO</v>
      </c>
      <c r="Q622" s="4" t="str" cm="1">
        <f t="array" ref="Q622">_xlfn.IFS(AND(H622&gt;=0,H622&lt;=3333),"Grupo 1",AND(H622&gt;3333,H622&lt;=6666),"Grupo 2",AND(H622&gt;6666,H622&lt;=10000),"Grupo 3")</f>
        <v>Grupo 1</v>
      </c>
    </row>
    <row r="623" spans="1:17" x14ac:dyDescent="0.25">
      <c r="A623" t="s">
        <v>33</v>
      </c>
      <c r="B623" s="2">
        <v>45421.563888888893</v>
      </c>
      <c r="C623" t="s">
        <v>288</v>
      </c>
      <c r="D623" t="s">
        <v>214</v>
      </c>
      <c r="E623">
        <v>1</v>
      </c>
      <c r="F623">
        <v>1267.01</v>
      </c>
      <c r="G623" t="s">
        <v>222</v>
      </c>
      <c r="H623">
        <v>1267.01</v>
      </c>
      <c r="I623">
        <v>2024</v>
      </c>
      <c r="J623">
        <v>5</v>
      </c>
      <c r="K623">
        <v>13</v>
      </c>
      <c r="L623" s="14">
        <v>1267.01</v>
      </c>
      <c r="M623" s="4" t="str">
        <f t="shared" si="36"/>
        <v>jueves</v>
      </c>
      <c r="N623" s="4" t="str">
        <f t="shared" si="37"/>
        <v>mayo</v>
      </c>
      <c r="O623" s="4" t="str">
        <f t="shared" si="38"/>
        <v>NO</v>
      </c>
      <c r="P623" s="4" t="str">
        <f t="shared" si="39"/>
        <v>SI</v>
      </c>
      <c r="Q623" s="4" t="str" cm="1">
        <f t="array" ref="Q623">_xlfn.IFS(AND(H623&gt;=0,H623&lt;=3333),"Grupo 1",AND(H623&gt;3333,H623&lt;=6666),"Grupo 2",AND(H623&gt;6666,H623&lt;=10000),"Grupo 3")</f>
        <v>Grupo 1</v>
      </c>
    </row>
    <row r="624" spans="1:17" x14ac:dyDescent="0.25">
      <c r="A624" t="s">
        <v>34</v>
      </c>
      <c r="B624" s="2">
        <v>45437.592361111107</v>
      </c>
      <c r="C624" t="s">
        <v>289</v>
      </c>
      <c r="D624" t="s">
        <v>212</v>
      </c>
      <c r="E624">
        <v>4</v>
      </c>
      <c r="F624">
        <v>1027.81</v>
      </c>
      <c r="G624" t="s">
        <v>220</v>
      </c>
      <c r="H624">
        <v>4111.24</v>
      </c>
      <c r="I624">
        <v>2024</v>
      </c>
      <c r="J624">
        <v>5</v>
      </c>
      <c r="K624">
        <v>14</v>
      </c>
      <c r="L624" s="14">
        <v>1027.81</v>
      </c>
      <c r="M624" s="4" t="str">
        <f t="shared" si="36"/>
        <v>sábado</v>
      </c>
      <c r="N624" s="4" t="str">
        <f t="shared" si="37"/>
        <v>mayo</v>
      </c>
      <c r="O624" s="4" t="str">
        <f t="shared" si="38"/>
        <v>SI</v>
      </c>
      <c r="P624" s="4" t="str">
        <f t="shared" si="39"/>
        <v>SI</v>
      </c>
      <c r="Q624" s="4" t="str" cm="1">
        <f t="array" ref="Q624">_xlfn.IFS(AND(H624&gt;=0,H624&lt;=3333),"Grupo 1",AND(H624&gt;3333,H624&lt;=6666),"Grupo 2",AND(H624&gt;6666,H624&lt;=10000),"Grupo 3")</f>
        <v>Grupo 2</v>
      </c>
    </row>
    <row r="625" spans="1:17" x14ac:dyDescent="0.25">
      <c r="A625" t="s">
        <v>35</v>
      </c>
      <c r="B625" s="2">
        <v>45355.487500000003</v>
      </c>
      <c r="C625" t="s">
        <v>290</v>
      </c>
      <c r="D625" t="s">
        <v>216</v>
      </c>
      <c r="E625">
        <v>3</v>
      </c>
      <c r="F625">
        <v>925.62</v>
      </c>
      <c r="G625" t="s">
        <v>221</v>
      </c>
      <c r="H625">
        <v>2776.86</v>
      </c>
      <c r="I625">
        <v>2024</v>
      </c>
      <c r="J625">
        <v>3</v>
      </c>
      <c r="K625">
        <v>11</v>
      </c>
      <c r="L625" s="14">
        <v>925.62</v>
      </c>
      <c r="M625" s="4" t="str">
        <f t="shared" si="36"/>
        <v>lunes</v>
      </c>
      <c r="N625" s="4" t="str">
        <f t="shared" si="37"/>
        <v>marzo</v>
      </c>
      <c r="O625" s="4" t="str">
        <f t="shared" si="38"/>
        <v>NO</v>
      </c>
      <c r="P625" s="4" t="str">
        <f t="shared" si="39"/>
        <v>NO</v>
      </c>
      <c r="Q625" s="4" t="str" cm="1">
        <f t="array" ref="Q625">_xlfn.IFS(AND(H625&gt;=0,H625&lt;=3333),"Grupo 1",AND(H625&gt;3333,H625&lt;=6666),"Grupo 2",AND(H625&gt;6666,H625&lt;=10000),"Grupo 3")</f>
        <v>Grupo 1</v>
      </c>
    </row>
    <row r="626" spans="1:17" x14ac:dyDescent="0.25">
      <c r="A626" t="s">
        <v>36</v>
      </c>
      <c r="B626" s="2">
        <v>45924.43472222222</v>
      </c>
      <c r="C626" t="s">
        <v>291</v>
      </c>
      <c r="D626" t="s">
        <v>212</v>
      </c>
      <c r="E626">
        <v>3</v>
      </c>
      <c r="F626">
        <v>213.71</v>
      </c>
      <c r="G626" t="s">
        <v>220</v>
      </c>
      <c r="H626">
        <v>641.13</v>
      </c>
      <c r="I626">
        <v>2025</v>
      </c>
      <c r="J626">
        <v>9</v>
      </c>
      <c r="K626">
        <v>10</v>
      </c>
      <c r="L626" s="14">
        <v>213.71</v>
      </c>
      <c r="M626" s="4" t="str">
        <f t="shared" si="36"/>
        <v>miércoles</v>
      </c>
      <c r="N626" s="4" t="str">
        <f t="shared" si="37"/>
        <v>septiembre</v>
      </c>
      <c r="O626" s="4" t="str">
        <f t="shared" si="38"/>
        <v>NO</v>
      </c>
      <c r="P626" s="4" t="str">
        <f t="shared" si="39"/>
        <v>NO</v>
      </c>
      <c r="Q626" s="4" t="str" cm="1">
        <f t="array" ref="Q626">_xlfn.IFS(AND(H626&gt;=0,H626&lt;=3333),"Grupo 1",AND(H626&gt;3333,H626&lt;=6666),"Grupo 2",AND(H626&gt;6666,H626&lt;=10000),"Grupo 3")</f>
        <v>Grupo 1</v>
      </c>
    </row>
    <row r="627" spans="1:17" x14ac:dyDescent="0.25">
      <c r="A627" t="s">
        <v>37</v>
      </c>
      <c r="B627" s="2">
        <v>45471.931250000001</v>
      </c>
      <c r="C627" t="s">
        <v>292</v>
      </c>
      <c r="D627" t="s">
        <v>217</v>
      </c>
      <c r="E627">
        <v>2</v>
      </c>
      <c r="F627">
        <v>1146.75</v>
      </c>
      <c r="G627" t="s">
        <v>220</v>
      </c>
      <c r="H627">
        <v>2293.5</v>
      </c>
      <c r="I627">
        <v>2024</v>
      </c>
      <c r="J627">
        <v>6</v>
      </c>
      <c r="K627">
        <v>22</v>
      </c>
      <c r="L627" s="14">
        <v>1146.75</v>
      </c>
      <c r="M627" s="4" t="str">
        <f t="shared" si="36"/>
        <v>viernes</v>
      </c>
      <c r="N627" s="4" t="str">
        <f t="shared" si="37"/>
        <v>junio</v>
      </c>
      <c r="O627" s="4" t="str">
        <f t="shared" si="38"/>
        <v>NO</v>
      </c>
      <c r="P627" s="4" t="str">
        <f t="shared" si="39"/>
        <v>SI</v>
      </c>
      <c r="Q627" s="4" t="str" cm="1">
        <f t="array" ref="Q627">_xlfn.IFS(AND(H627&gt;=0,H627&lt;=3333),"Grupo 1",AND(H627&gt;3333,H627&lt;=6666),"Grupo 2",AND(H627&gt;6666,H627&lt;=10000),"Grupo 3")</f>
        <v>Grupo 1</v>
      </c>
    </row>
    <row r="628" spans="1:17" x14ac:dyDescent="0.25">
      <c r="A628" t="s">
        <v>38</v>
      </c>
      <c r="B628" s="2">
        <v>45003.59097222222</v>
      </c>
      <c r="C628" t="s">
        <v>293</v>
      </c>
      <c r="D628" t="s">
        <v>217</v>
      </c>
      <c r="E628">
        <v>5</v>
      </c>
      <c r="F628">
        <v>907.28</v>
      </c>
      <c r="G628" t="s">
        <v>220</v>
      </c>
      <c r="H628">
        <v>4536.3999999999996</v>
      </c>
      <c r="I628">
        <v>2023</v>
      </c>
      <c r="J628">
        <v>3</v>
      </c>
      <c r="K628">
        <v>14</v>
      </c>
      <c r="L628" s="14">
        <v>907.28</v>
      </c>
      <c r="M628" s="4" t="str">
        <f t="shared" si="36"/>
        <v>sábado</v>
      </c>
      <c r="N628" s="4" t="str">
        <f t="shared" si="37"/>
        <v>marzo</v>
      </c>
      <c r="O628" s="4" t="str">
        <f t="shared" si="38"/>
        <v>SI</v>
      </c>
      <c r="P628" s="4" t="str">
        <f t="shared" si="39"/>
        <v>NO</v>
      </c>
      <c r="Q628" s="4" t="str" cm="1">
        <f t="array" ref="Q628">_xlfn.IFS(AND(H628&gt;=0,H628&lt;=3333),"Grupo 1",AND(H628&gt;3333,H628&lt;=6666),"Grupo 2",AND(H628&gt;6666,H628&lt;=10000),"Grupo 3")</f>
        <v>Grupo 2</v>
      </c>
    </row>
    <row r="629" spans="1:17" x14ac:dyDescent="0.25">
      <c r="A629" t="s">
        <v>39</v>
      </c>
      <c r="B629" s="2">
        <v>45206.394444444442</v>
      </c>
      <c r="C629" t="s">
        <v>294</v>
      </c>
      <c r="D629" t="s">
        <v>216</v>
      </c>
      <c r="E629">
        <v>2</v>
      </c>
      <c r="F629">
        <v>1734.44</v>
      </c>
      <c r="G629" t="s">
        <v>221</v>
      </c>
      <c r="H629">
        <v>3468.88</v>
      </c>
      <c r="I629">
        <v>2023</v>
      </c>
      <c r="J629">
        <v>10</v>
      </c>
      <c r="K629">
        <v>9</v>
      </c>
      <c r="L629" s="14">
        <v>1734.44</v>
      </c>
      <c r="M629" s="4" t="str">
        <f t="shared" si="36"/>
        <v>sábado</v>
      </c>
      <c r="N629" s="4" t="str">
        <f t="shared" si="37"/>
        <v>octubre</v>
      </c>
      <c r="O629" s="4" t="str">
        <f t="shared" si="38"/>
        <v>SI</v>
      </c>
      <c r="P629" s="4" t="str">
        <f t="shared" si="39"/>
        <v>SI</v>
      </c>
      <c r="Q629" s="4" t="str" cm="1">
        <f t="array" ref="Q629">_xlfn.IFS(AND(H629&gt;=0,H629&lt;=3333),"Grupo 1",AND(H629&gt;3333,H629&lt;=6666),"Grupo 2",AND(H629&gt;6666,H629&lt;=10000),"Grupo 3")</f>
        <v>Grupo 2</v>
      </c>
    </row>
    <row r="630" spans="1:17" x14ac:dyDescent="0.25">
      <c r="A630" t="s">
        <v>40</v>
      </c>
      <c r="B630" s="2">
        <v>45595.773611111108</v>
      </c>
      <c r="C630" t="s">
        <v>295</v>
      </c>
      <c r="D630" t="s">
        <v>213</v>
      </c>
      <c r="E630">
        <v>1</v>
      </c>
      <c r="F630">
        <v>424.35</v>
      </c>
      <c r="G630" t="s">
        <v>221</v>
      </c>
      <c r="H630">
        <v>424.35</v>
      </c>
      <c r="I630">
        <v>2024</v>
      </c>
      <c r="J630">
        <v>10</v>
      </c>
      <c r="K630">
        <v>18</v>
      </c>
      <c r="L630" s="14">
        <v>424.35</v>
      </c>
      <c r="M630" s="4" t="str">
        <f t="shared" si="36"/>
        <v>miércoles</v>
      </c>
      <c r="N630" s="4" t="str">
        <f t="shared" si="37"/>
        <v>octubre</v>
      </c>
      <c r="O630" s="4" t="str">
        <f t="shared" si="38"/>
        <v>NO</v>
      </c>
      <c r="P630" s="4" t="str">
        <f t="shared" si="39"/>
        <v>NO</v>
      </c>
      <c r="Q630" s="4" t="str" cm="1">
        <f t="array" ref="Q630">_xlfn.IFS(AND(H630&gt;=0,H630&lt;=3333),"Grupo 1",AND(H630&gt;3333,H630&lt;=6666),"Grupo 2",AND(H630&gt;6666,H630&lt;=10000),"Grupo 3")</f>
        <v>Grupo 1</v>
      </c>
    </row>
    <row r="631" spans="1:17" x14ac:dyDescent="0.25">
      <c r="A631" t="s">
        <v>41</v>
      </c>
      <c r="B631" s="2">
        <v>45888.736805555563</v>
      </c>
      <c r="C631" t="s">
        <v>296</v>
      </c>
      <c r="D631" t="s">
        <v>212</v>
      </c>
      <c r="E631">
        <v>1</v>
      </c>
      <c r="F631">
        <v>252.57</v>
      </c>
      <c r="G631" t="s">
        <v>220</v>
      </c>
      <c r="H631">
        <v>252.57</v>
      </c>
      <c r="I631">
        <v>2025</v>
      </c>
      <c r="J631">
        <v>8</v>
      </c>
      <c r="K631">
        <v>17</v>
      </c>
      <c r="L631" s="14">
        <v>252.57</v>
      </c>
      <c r="M631" s="4" t="str">
        <f t="shared" si="36"/>
        <v>martes</v>
      </c>
      <c r="N631" s="4" t="str">
        <f t="shared" si="37"/>
        <v>agosto</v>
      </c>
      <c r="O631" s="4" t="str">
        <f t="shared" si="38"/>
        <v>NO</v>
      </c>
      <c r="P631" s="4" t="str">
        <f t="shared" si="39"/>
        <v>NO</v>
      </c>
      <c r="Q631" s="4" t="str" cm="1">
        <f t="array" ref="Q631">_xlfn.IFS(AND(H631&gt;=0,H631&lt;=3333),"Grupo 1",AND(H631&gt;3333,H631&lt;=6666),"Grupo 2",AND(H631&gt;6666,H631&lt;=10000),"Grupo 3")</f>
        <v>Grupo 1</v>
      </c>
    </row>
    <row r="632" spans="1:17" x14ac:dyDescent="0.25">
      <c r="A632" t="s">
        <v>42</v>
      </c>
      <c r="B632" s="2">
        <v>45478.06527777778</v>
      </c>
      <c r="C632" t="s">
        <v>297</v>
      </c>
      <c r="D632" t="s">
        <v>218</v>
      </c>
      <c r="E632">
        <v>3</v>
      </c>
      <c r="F632">
        <v>21.56</v>
      </c>
      <c r="G632" t="s">
        <v>221</v>
      </c>
      <c r="H632">
        <v>64.679999999999993</v>
      </c>
      <c r="I632">
        <v>2024</v>
      </c>
      <c r="J632">
        <v>7</v>
      </c>
      <c r="K632">
        <v>1</v>
      </c>
      <c r="L632" s="14">
        <v>21.56</v>
      </c>
      <c r="M632" s="4" t="str">
        <f t="shared" si="36"/>
        <v>viernes</v>
      </c>
      <c r="N632" s="4" t="str">
        <f t="shared" si="37"/>
        <v>julio</v>
      </c>
      <c r="O632" s="4" t="str">
        <f t="shared" si="38"/>
        <v>NO</v>
      </c>
      <c r="P632" s="4" t="str">
        <f t="shared" si="39"/>
        <v>NO</v>
      </c>
      <c r="Q632" s="4" t="str" cm="1">
        <f t="array" ref="Q632">_xlfn.IFS(AND(H632&gt;=0,H632&lt;=3333),"Grupo 1",AND(H632&gt;3333,H632&lt;=6666),"Grupo 2",AND(H632&gt;6666,H632&lt;=10000),"Grupo 3")</f>
        <v>Grupo 1</v>
      </c>
    </row>
    <row r="633" spans="1:17" x14ac:dyDescent="0.25">
      <c r="A633" t="s">
        <v>43</v>
      </c>
      <c r="B633" s="2">
        <v>45402.668749999997</v>
      </c>
      <c r="C633" t="s">
        <v>298</v>
      </c>
      <c r="D633" t="s">
        <v>214</v>
      </c>
      <c r="E633">
        <v>1</v>
      </c>
      <c r="F633">
        <v>446.81</v>
      </c>
      <c r="G633" t="s">
        <v>222</v>
      </c>
      <c r="H633">
        <v>446.81</v>
      </c>
      <c r="I633">
        <v>2024</v>
      </c>
      <c r="J633">
        <v>4</v>
      </c>
      <c r="K633">
        <v>16</v>
      </c>
      <c r="L633" s="14">
        <v>446.81</v>
      </c>
      <c r="M633" s="4" t="str">
        <f t="shared" si="36"/>
        <v>sábado</v>
      </c>
      <c r="N633" s="4" t="str">
        <f t="shared" si="37"/>
        <v>abril</v>
      </c>
      <c r="O633" s="4" t="str">
        <f t="shared" si="38"/>
        <v>NO</v>
      </c>
      <c r="P633" s="4" t="str">
        <f t="shared" si="39"/>
        <v>NO</v>
      </c>
      <c r="Q633" s="4" t="str" cm="1">
        <f t="array" ref="Q633">_xlfn.IFS(AND(H633&gt;=0,H633&lt;=3333),"Grupo 1",AND(H633&gt;3333,H633&lt;=6666),"Grupo 2",AND(H633&gt;6666,H633&lt;=10000),"Grupo 3")</f>
        <v>Grupo 1</v>
      </c>
    </row>
    <row r="634" spans="1:17" x14ac:dyDescent="0.25">
      <c r="A634" t="s">
        <v>44</v>
      </c>
      <c r="B634" s="2">
        <v>45033.806944444441</v>
      </c>
      <c r="C634" t="s">
        <v>299</v>
      </c>
      <c r="D634" t="s">
        <v>218</v>
      </c>
      <c r="E634">
        <v>2</v>
      </c>
      <c r="F634">
        <v>64.67</v>
      </c>
      <c r="G634" t="s">
        <v>221</v>
      </c>
      <c r="H634">
        <v>129.34</v>
      </c>
      <c r="I634">
        <v>2023</v>
      </c>
      <c r="J634">
        <v>4</v>
      </c>
      <c r="K634">
        <v>19</v>
      </c>
      <c r="L634" s="14">
        <v>64.67</v>
      </c>
      <c r="M634" s="4" t="str">
        <f t="shared" si="36"/>
        <v>lunes</v>
      </c>
      <c r="N634" s="4" t="str">
        <f t="shared" si="37"/>
        <v>abril</v>
      </c>
      <c r="O634" s="4" t="str">
        <f t="shared" si="38"/>
        <v>NO</v>
      </c>
      <c r="P634" s="4" t="str">
        <f t="shared" si="39"/>
        <v>NO</v>
      </c>
      <c r="Q634" s="4" t="str" cm="1">
        <f t="array" ref="Q634">_xlfn.IFS(AND(H634&gt;=0,H634&lt;=3333),"Grupo 1",AND(H634&gt;3333,H634&lt;=6666),"Grupo 2",AND(H634&gt;6666,H634&lt;=10000),"Grupo 3")</f>
        <v>Grupo 1</v>
      </c>
    </row>
    <row r="635" spans="1:17" x14ac:dyDescent="0.25">
      <c r="A635" t="s">
        <v>45</v>
      </c>
      <c r="B635" s="2">
        <v>45432.781944444447</v>
      </c>
      <c r="C635" t="s">
        <v>300</v>
      </c>
      <c r="D635" t="s">
        <v>216</v>
      </c>
      <c r="E635">
        <v>5</v>
      </c>
      <c r="F635">
        <v>1168.3499999999999</v>
      </c>
      <c r="G635" t="s">
        <v>221</v>
      </c>
      <c r="H635">
        <v>5841.75</v>
      </c>
      <c r="I635">
        <v>2024</v>
      </c>
      <c r="J635">
        <v>5</v>
      </c>
      <c r="K635">
        <v>18</v>
      </c>
      <c r="L635" s="14">
        <v>1168.3499999999999</v>
      </c>
      <c r="M635" s="4" t="str">
        <f t="shared" si="36"/>
        <v>lunes</v>
      </c>
      <c r="N635" s="4" t="str">
        <f t="shared" si="37"/>
        <v>mayo</v>
      </c>
      <c r="O635" s="4" t="str">
        <f t="shared" si="38"/>
        <v>SI</v>
      </c>
      <c r="P635" s="4" t="str">
        <f t="shared" si="39"/>
        <v>SI</v>
      </c>
      <c r="Q635" s="4" t="str" cm="1">
        <f t="array" ref="Q635">_xlfn.IFS(AND(H635&gt;=0,H635&lt;=3333),"Grupo 1",AND(H635&gt;3333,H635&lt;=6666),"Grupo 2",AND(H635&gt;6666,H635&lt;=10000),"Grupo 3")</f>
        <v>Grupo 2</v>
      </c>
    </row>
    <row r="636" spans="1:17" x14ac:dyDescent="0.25">
      <c r="A636" t="s">
        <v>46</v>
      </c>
      <c r="B636" s="2">
        <v>45746.083333333343</v>
      </c>
      <c r="C636" t="s">
        <v>301</v>
      </c>
      <c r="D636" t="s">
        <v>214</v>
      </c>
      <c r="E636">
        <v>2</v>
      </c>
      <c r="F636">
        <v>349.3</v>
      </c>
      <c r="G636" t="s">
        <v>222</v>
      </c>
      <c r="H636">
        <v>698.6</v>
      </c>
      <c r="I636">
        <v>2025</v>
      </c>
      <c r="J636">
        <v>3</v>
      </c>
      <c r="K636">
        <v>2</v>
      </c>
      <c r="L636" s="14">
        <v>349.3</v>
      </c>
      <c r="M636" s="4" t="str">
        <f t="shared" si="36"/>
        <v>domingo</v>
      </c>
      <c r="N636" s="4" t="str">
        <f t="shared" si="37"/>
        <v>marzo</v>
      </c>
      <c r="O636" s="4" t="str">
        <f t="shared" si="38"/>
        <v>NO</v>
      </c>
      <c r="P636" s="4" t="str">
        <f t="shared" si="39"/>
        <v>NO</v>
      </c>
      <c r="Q636" s="4" t="str" cm="1">
        <f t="array" ref="Q636">_xlfn.IFS(AND(H636&gt;=0,H636&lt;=3333),"Grupo 1",AND(H636&gt;3333,H636&lt;=6666),"Grupo 2",AND(H636&gt;6666,H636&lt;=10000),"Grupo 3")</f>
        <v>Grupo 1</v>
      </c>
    </row>
    <row r="637" spans="1:17" x14ac:dyDescent="0.25">
      <c r="A637" t="s">
        <v>47</v>
      </c>
      <c r="B637" s="2">
        <v>45515.355555555558</v>
      </c>
      <c r="C637" t="s">
        <v>302</v>
      </c>
      <c r="D637" t="s">
        <v>216</v>
      </c>
      <c r="E637">
        <v>3</v>
      </c>
      <c r="F637">
        <v>1154.06</v>
      </c>
      <c r="G637" t="s">
        <v>221</v>
      </c>
      <c r="H637">
        <v>3462.18</v>
      </c>
      <c r="I637">
        <v>2024</v>
      </c>
      <c r="J637">
        <v>8</v>
      </c>
      <c r="K637">
        <v>8</v>
      </c>
      <c r="L637" s="14">
        <v>1154.06</v>
      </c>
      <c r="M637" s="4" t="str">
        <f t="shared" si="36"/>
        <v>domingo</v>
      </c>
      <c r="N637" s="4" t="str">
        <f t="shared" si="37"/>
        <v>agosto</v>
      </c>
      <c r="O637" s="4" t="str">
        <f t="shared" si="38"/>
        <v>SI</v>
      </c>
      <c r="P637" s="4" t="str">
        <f t="shared" si="39"/>
        <v>SI</v>
      </c>
      <c r="Q637" s="4" t="str" cm="1">
        <f t="array" ref="Q637">_xlfn.IFS(AND(H637&gt;=0,H637&lt;=3333),"Grupo 1",AND(H637&gt;3333,H637&lt;=6666),"Grupo 2",AND(H637&gt;6666,H637&lt;=10000),"Grupo 3")</f>
        <v>Grupo 2</v>
      </c>
    </row>
    <row r="638" spans="1:17" x14ac:dyDescent="0.25">
      <c r="A638" t="s">
        <v>48</v>
      </c>
      <c r="B638" s="2">
        <v>45730.554861111108</v>
      </c>
      <c r="C638" t="s">
        <v>303</v>
      </c>
      <c r="D638" t="s">
        <v>215</v>
      </c>
      <c r="E638">
        <v>4</v>
      </c>
      <c r="F638">
        <v>1566.37</v>
      </c>
      <c r="G638" t="s">
        <v>220</v>
      </c>
      <c r="H638">
        <v>6265.48</v>
      </c>
      <c r="I638">
        <v>2025</v>
      </c>
      <c r="J638">
        <v>3</v>
      </c>
      <c r="K638">
        <v>13</v>
      </c>
      <c r="L638" s="14">
        <v>1566.37</v>
      </c>
      <c r="M638" s="4" t="str">
        <f t="shared" si="36"/>
        <v>viernes</v>
      </c>
      <c r="N638" s="4" t="str">
        <f t="shared" si="37"/>
        <v>marzo</v>
      </c>
      <c r="O638" s="4" t="str">
        <f t="shared" si="38"/>
        <v>SI</v>
      </c>
      <c r="P638" s="4" t="str">
        <f t="shared" si="39"/>
        <v>SI</v>
      </c>
      <c r="Q638" s="4" t="str" cm="1">
        <f t="array" ref="Q638">_xlfn.IFS(AND(H638&gt;=0,H638&lt;=3333),"Grupo 1",AND(H638&gt;3333,H638&lt;=6666),"Grupo 2",AND(H638&gt;6666,H638&lt;=10000),"Grupo 3")</f>
        <v>Grupo 2</v>
      </c>
    </row>
    <row r="639" spans="1:17" x14ac:dyDescent="0.25">
      <c r="A639" t="s">
        <v>49</v>
      </c>
      <c r="B639" s="2">
        <v>45603.252083333333</v>
      </c>
      <c r="C639" t="s">
        <v>304</v>
      </c>
      <c r="D639" t="s">
        <v>212</v>
      </c>
      <c r="E639">
        <v>2</v>
      </c>
      <c r="F639">
        <v>674.48</v>
      </c>
      <c r="G639" t="s">
        <v>220</v>
      </c>
      <c r="H639">
        <v>1348.96</v>
      </c>
      <c r="I639">
        <v>2024</v>
      </c>
      <c r="J639">
        <v>11</v>
      </c>
      <c r="K639">
        <v>6</v>
      </c>
      <c r="L639" s="14">
        <v>674.48</v>
      </c>
      <c r="M639" s="4" t="str">
        <f t="shared" si="36"/>
        <v>jueves</v>
      </c>
      <c r="N639" s="4" t="str">
        <f t="shared" si="37"/>
        <v>noviembre</v>
      </c>
      <c r="O639" s="4" t="str">
        <f t="shared" si="38"/>
        <v>NO</v>
      </c>
      <c r="P639" s="4" t="str">
        <f t="shared" si="39"/>
        <v>NO</v>
      </c>
      <c r="Q639" s="4" t="str" cm="1">
        <f t="array" ref="Q639">_xlfn.IFS(AND(H639&gt;=0,H639&lt;=3333),"Grupo 1",AND(H639&gt;3333,H639&lt;=6666),"Grupo 2",AND(H639&gt;6666,H639&lt;=10000),"Grupo 3")</f>
        <v>Grupo 1</v>
      </c>
    </row>
    <row r="640" spans="1:17" x14ac:dyDescent="0.25">
      <c r="A640" t="s">
        <v>50</v>
      </c>
      <c r="B640" s="2">
        <v>45420.054861111108</v>
      </c>
      <c r="C640" t="s">
        <v>305</v>
      </c>
      <c r="D640" t="s">
        <v>212</v>
      </c>
      <c r="E640">
        <v>2</v>
      </c>
      <c r="F640">
        <v>1543.98</v>
      </c>
      <c r="G640" t="s">
        <v>220</v>
      </c>
      <c r="H640">
        <v>3087.96</v>
      </c>
      <c r="I640">
        <v>2024</v>
      </c>
      <c r="J640">
        <v>5</v>
      </c>
      <c r="K640">
        <v>1</v>
      </c>
      <c r="L640" s="14">
        <v>1543.98</v>
      </c>
      <c r="M640" s="4" t="str">
        <f t="shared" si="36"/>
        <v>miércoles</v>
      </c>
      <c r="N640" s="4" t="str">
        <f t="shared" si="37"/>
        <v>mayo</v>
      </c>
      <c r="O640" s="4" t="str">
        <f t="shared" si="38"/>
        <v>SI</v>
      </c>
      <c r="P640" s="4" t="str">
        <f t="shared" si="39"/>
        <v>SI</v>
      </c>
      <c r="Q640" s="4" t="str" cm="1">
        <f t="array" ref="Q640">_xlfn.IFS(AND(H640&gt;=0,H640&lt;=3333),"Grupo 1",AND(H640&gt;3333,H640&lt;=6666),"Grupo 2",AND(H640&gt;6666,H640&lt;=10000),"Grupo 3")</f>
        <v>Grupo 1</v>
      </c>
    </row>
    <row r="641" spans="1:17" x14ac:dyDescent="0.25">
      <c r="A641" t="s">
        <v>51</v>
      </c>
      <c r="B641" s="2">
        <v>44931.743055555547</v>
      </c>
      <c r="C641" t="s">
        <v>306</v>
      </c>
      <c r="D641" t="s">
        <v>217</v>
      </c>
      <c r="E641">
        <v>5</v>
      </c>
      <c r="F641">
        <v>917.31</v>
      </c>
      <c r="G641" t="s">
        <v>220</v>
      </c>
      <c r="H641">
        <v>4586.5499999999993</v>
      </c>
      <c r="I641">
        <v>2023</v>
      </c>
      <c r="J641">
        <v>1</v>
      </c>
      <c r="K641">
        <v>17</v>
      </c>
      <c r="L641" s="14">
        <v>917.30999999999983</v>
      </c>
      <c r="M641" s="4" t="str">
        <f t="shared" si="36"/>
        <v>jueves</v>
      </c>
      <c r="N641" s="4" t="str">
        <f t="shared" si="37"/>
        <v>enero</v>
      </c>
      <c r="O641" s="4" t="str">
        <f t="shared" si="38"/>
        <v>SI</v>
      </c>
      <c r="P641" s="4" t="str">
        <f t="shared" si="39"/>
        <v>NO</v>
      </c>
      <c r="Q641" s="4" t="str" cm="1">
        <f t="array" ref="Q641">_xlfn.IFS(AND(H641&gt;=0,H641&lt;=3333),"Grupo 1",AND(H641&gt;3333,H641&lt;=6666),"Grupo 2",AND(H641&gt;6666,H641&lt;=10000),"Grupo 3")</f>
        <v>Grupo 2</v>
      </c>
    </row>
    <row r="642" spans="1:17" x14ac:dyDescent="0.25">
      <c r="A642" t="s">
        <v>52</v>
      </c>
      <c r="B642" s="2">
        <v>45326.684027777781</v>
      </c>
      <c r="C642" t="s">
        <v>307</v>
      </c>
      <c r="D642" t="s">
        <v>219</v>
      </c>
      <c r="E642">
        <v>4</v>
      </c>
      <c r="F642">
        <v>450.36</v>
      </c>
      <c r="G642" t="s">
        <v>221</v>
      </c>
      <c r="H642">
        <v>1801.44</v>
      </c>
      <c r="I642">
        <v>2024</v>
      </c>
      <c r="J642">
        <v>2</v>
      </c>
      <c r="K642">
        <v>16</v>
      </c>
      <c r="L642" s="14">
        <v>450.36</v>
      </c>
      <c r="M642" s="4" t="str">
        <f t="shared" ref="M642:M705" si="40">TEXT(B642,"dddd")</f>
        <v>domingo</v>
      </c>
      <c r="N642" s="4" t="str">
        <f t="shared" ref="N642:N705" si="41">TEXT(B642,"mmmm")</f>
        <v>febrero</v>
      </c>
      <c r="O642" s="4" t="str">
        <f t="shared" si="38"/>
        <v>NO</v>
      </c>
      <c r="P642" s="4" t="str">
        <f t="shared" si="39"/>
        <v>NO</v>
      </c>
      <c r="Q642" s="4" t="str" cm="1">
        <f t="array" ref="Q642">_xlfn.IFS(AND(H642&gt;=0,H642&lt;=3333),"Grupo 1",AND(H642&gt;3333,H642&lt;=6666),"Grupo 2",AND(H642&gt;6666,H642&lt;=10000),"Grupo 3")</f>
        <v>Grupo 1</v>
      </c>
    </row>
    <row r="643" spans="1:17" x14ac:dyDescent="0.25">
      <c r="A643" t="s">
        <v>53</v>
      </c>
      <c r="B643" s="2">
        <v>45146.872916666667</v>
      </c>
      <c r="C643" t="s">
        <v>308</v>
      </c>
      <c r="D643" t="s">
        <v>215</v>
      </c>
      <c r="E643">
        <v>2</v>
      </c>
      <c r="F643">
        <v>755.48</v>
      </c>
      <c r="G643" t="s">
        <v>220</v>
      </c>
      <c r="H643">
        <v>1510.96</v>
      </c>
      <c r="I643">
        <v>2023</v>
      </c>
      <c r="J643">
        <v>8</v>
      </c>
      <c r="K643">
        <v>20</v>
      </c>
      <c r="L643" s="14">
        <v>755.48</v>
      </c>
      <c r="M643" s="4" t="str">
        <f t="shared" si="40"/>
        <v>martes</v>
      </c>
      <c r="N643" s="4" t="str">
        <f t="shared" si="41"/>
        <v>agosto</v>
      </c>
      <c r="O643" s="4" t="str">
        <f t="shared" ref="O643:O706" si="42">IF(H643&gt;AVERAGE(H:H),"SI","NO")</f>
        <v>NO</v>
      </c>
      <c r="P643" s="4" t="str">
        <f t="shared" ref="P643:P706" si="43">IF(L643&gt;AVERAGE(L:L),"SI","NO")</f>
        <v>NO</v>
      </c>
      <c r="Q643" s="4" t="str" cm="1">
        <f t="array" ref="Q643">_xlfn.IFS(AND(H643&gt;=0,H643&lt;=3333),"Grupo 1",AND(H643&gt;3333,H643&lt;=6666),"Grupo 2",AND(H643&gt;6666,H643&lt;=10000),"Grupo 3")</f>
        <v>Grupo 1</v>
      </c>
    </row>
    <row r="644" spans="1:17" x14ac:dyDescent="0.25">
      <c r="A644" t="s">
        <v>54</v>
      </c>
      <c r="B644" s="2">
        <v>45464.595833333333</v>
      </c>
      <c r="C644" t="s">
        <v>309</v>
      </c>
      <c r="D644" t="s">
        <v>213</v>
      </c>
      <c r="E644">
        <v>3</v>
      </c>
      <c r="F644">
        <v>1855.55</v>
      </c>
      <c r="G644" t="s">
        <v>221</v>
      </c>
      <c r="H644">
        <v>5566.65</v>
      </c>
      <c r="I644">
        <v>2024</v>
      </c>
      <c r="J644">
        <v>6</v>
      </c>
      <c r="K644">
        <v>14</v>
      </c>
      <c r="L644" s="14">
        <v>1855.55</v>
      </c>
      <c r="M644" s="4" t="str">
        <f t="shared" si="40"/>
        <v>viernes</v>
      </c>
      <c r="N644" s="4" t="str">
        <f t="shared" si="41"/>
        <v>junio</v>
      </c>
      <c r="O644" s="4" t="str">
        <f t="shared" si="42"/>
        <v>SI</v>
      </c>
      <c r="P644" s="4" t="str">
        <f t="shared" si="43"/>
        <v>SI</v>
      </c>
      <c r="Q644" s="4" t="str" cm="1">
        <f t="array" ref="Q644">_xlfn.IFS(AND(H644&gt;=0,H644&lt;=3333),"Grupo 1",AND(H644&gt;3333,H644&lt;=6666),"Grupo 2",AND(H644&gt;6666,H644&lt;=10000),"Grupo 3")</f>
        <v>Grupo 2</v>
      </c>
    </row>
    <row r="645" spans="1:17" x14ac:dyDescent="0.25">
      <c r="A645" t="s">
        <v>55</v>
      </c>
      <c r="B645" s="2">
        <v>45171.9</v>
      </c>
      <c r="C645" t="s">
        <v>310</v>
      </c>
      <c r="D645" t="s">
        <v>216</v>
      </c>
      <c r="E645">
        <v>5</v>
      </c>
      <c r="F645">
        <v>1011.75</v>
      </c>
      <c r="G645" t="s">
        <v>221</v>
      </c>
      <c r="H645">
        <v>5058.75</v>
      </c>
      <c r="I645">
        <v>2023</v>
      </c>
      <c r="J645">
        <v>9</v>
      </c>
      <c r="K645">
        <v>21</v>
      </c>
      <c r="L645" s="14">
        <v>1011.75</v>
      </c>
      <c r="M645" s="4" t="str">
        <f t="shared" si="40"/>
        <v>sábado</v>
      </c>
      <c r="N645" s="4" t="str">
        <f t="shared" si="41"/>
        <v>septiembre</v>
      </c>
      <c r="O645" s="4" t="str">
        <f t="shared" si="42"/>
        <v>SI</v>
      </c>
      <c r="P645" s="4" t="str">
        <f t="shared" si="43"/>
        <v>SI</v>
      </c>
      <c r="Q645" s="4" t="str" cm="1">
        <f t="array" ref="Q645">_xlfn.IFS(AND(H645&gt;=0,H645&lt;=3333),"Grupo 1",AND(H645&gt;3333,H645&lt;=6666),"Grupo 2",AND(H645&gt;6666,H645&lt;=10000),"Grupo 3")</f>
        <v>Grupo 2</v>
      </c>
    </row>
    <row r="646" spans="1:17" x14ac:dyDescent="0.25">
      <c r="A646" t="s">
        <v>56</v>
      </c>
      <c r="B646" s="2">
        <v>44992.136111111111</v>
      </c>
      <c r="C646" t="s">
        <v>311</v>
      </c>
      <c r="D646" t="s">
        <v>213</v>
      </c>
      <c r="E646">
        <v>5</v>
      </c>
      <c r="F646">
        <v>1218.3399999999999</v>
      </c>
      <c r="G646" t="s">
        <v>221</v>
      </c>
      <c r="H646">
        <v>6091.7</v>
      </c>
      <c r="I646">
        <v>2023</v>
      </c>
      <c r="J646">
        <v>3</v>
      </c>
      <c r="K646">
        <v>3</v>
      </c>
      <c r="L646" s="14">
        <v>1218.3399999999999</v>
      </c>
      <c r="M646" s="4" t="str">
        <f t="shared" si="40"/>
        <v>martes</v>
      </c>
      <c r="N646" s="4" t="str">
        <f t="shared" si="41"/>
        <v>marzo</v>
      </c>
      <c r="O646" s="4" t="str">
        <f t="shared" si="42"/>
        <v>SI</v>
      </c>
      <c r="P646" s="4" t="str">
        <f t="shared" si="43"/>
        <v>SI</v>
      </c>
      <c r="Q646" s="4" t="str" cm="1">
        <f t="array" ref="Q646">_xlfn.IFS(AND(H646&gt;=0,H646&lt;=3333),"Grupo 1",AND(H646&gt;3333,H646&lt;=6666),"Grupo 2",AND(H646&gt;6666,H646&lt;=10000),"Grupo 3")</f>
        <v>Grupo 2</v>
      </c>
    </row>
    <row r="647" spans="1:17" x14ac:dyDescent="0.25">
      <c r="A647" t="s">
        <v>57</v>
      </c>
      <c r="B647" s="2">
        <v>44927.061111111107</v>
      </c>
      <c r="C647" t="s">
        <v>312</v>
      </c>
      <c r="D647" t="s">
        <v>216</v>
      </c>
      <c r="E647">
        <v>2</v>
      </c>
      <c r="F647">
        <v>361.59</v>
      </c>
      <c r="G647" t="s">
        <v>221</v>
      </c>
      <c r="H647">
        <v>723.18</v>
      </c>
      <c r="I647">
        <v>2023</v>
      </c>
      <c r="J647">
        <v>1</v>
      </c>
      <c r="K647">
        <v>1</v>
      </c>
      <c r="L647" s="14">
        <v>361.59</v>
      </c>
      <c r="M647" s="4" t="str">
        <f t="shared" si="40"/>
        <v>domingo</v>
      </c>
      <c r="N647" s="4" t="str">
        <f t="shared" si="41"/>
        <v>enero</v>
      </c>
      <c r="O647" s="4" t="str">
        <f t="shared" si="42"/>
        <v>NO</v>
      </c>
      <c r="P647" s="4" t="str">
        <f t="shared" si="43"/>
        <v>NO</v>
      </c>
      <c r="Q647" s="4" t="str" cm="1">
        <f t="array" ref="Q647">_xlfn.IFS(AND(H647&gt;=0,H647&lt;=3333),"Grupo 1",AND(H647&gt;3333,H647&lt;=6666),"Grupo 2",AND(H647&gt;6666,H647&lt;=10000),"Grupo 3")</f>
        <v>Grupo 1</v>
      </c>
    </row>
    <row r="648" spans="1:17" x14ac:dyDescent="0.25">
      <c r="A648" t="s">
        <v>58</v>
      </c>
      <c r="B648" s="2">
        <v>45097.359027777777</v>
      </c>
      <c r="C648" t="s">
        <v>313</v>
      </c>
      <c r="D648" t="s">
        <v>213</v>
      </c>
      <c r="E648">
        <v>5</v>
      </c>
      <c r="F648">
        <v>958.8</v>
      </c>
      <c r="G648" t="s">
        <v>221</v>
      </c>
      <c r="H648">
        <v>4794</v>
      </c>
      <c r="I648">
        <v>2023</v>
      </c>
      <c r="J648">
        <v>6</v>
      </c>
      <c r="K648">
        <v>8</v>
      </c>
      <c r="L648" s="14">
        <v>958.8</v>
      </c>
      <c r="M648" s="4" t="str">
        <f t="shared" si="40"/>
        <v>martes</v>
      </c>
      <c r="N648" s="4" t="str">
        <f t="shared" si="41"/>
        <v>junio</v>
      </c>
      <c r="O648" s="4" t="str">
        <f t="shared" si="42"/>
        <v>SI</v>
      </c>
      <c r="P648" s="4" t="str">
        <f t="shared" si="43"/>
        <v>NO</v>
      </c>
      <c r="Q648" s="4" t="str" cm="1">
        <f t="array" ref="Q648">_xlfn.IFS(AND(H648&gt;=0,H648&lt;=3333),"Grupo 1",AND(H648&gt;3333,H648&lt;=6666),"Grupo 2",AND(H648&gt;6666,H648&lt;=10000),"Grupo 3")</f>
        <v>Grupo 2</v>
      </c>
    </row>
    <row r="649" spans="1:17" x14ac:dyDescent="0.25">
      <c r="A649" t="s">
        <v>59</v>
      </c>
      <c r="B649" s="2">
        <v>45755.288194444453</v>
      </c>
      <c r="C649" t="s">
        <v>314</v>
      </c>
      <c r="D649" t="s">
        <v>214</v>
      </c>
      <c r="E649">
        <v>5</v>
      </c>
      <c r="F649">
        <v>1776.87</v>
      </c>
      <c r="G649" t="s">
        <v>222</v>
      </c>
      <c r="H649">
        <v>8884.3499999999985</v>
      </c>
      <c r="I649">
        <v>2025</v>
      </c>
      <c r="J649">
        <v>4</v>
      </c>
      <c r="K649">
        <v>6</v>
      </c>
      <c r="L649" s="14">
        <v>1776.87</v>
      </c>
      <c r="M649" s="4" t="str">
        <f t="shared" si="40"/>
        <v>martes</v>
      </c>
      <c r="N649" s="4" t="str">
        <f t="shared" si="41"/>
        <v>abril</v>
      </c>
      <c r="O649" s="4" t="str">
        <f t="shared" si="42"/>
        <v>SI</v>
      </c>
      <c r="P649" s="4" t="str">
        <f t="shared" si="43"/>
        <v>SI</v>
      </c>
      <c r="Q649" s="4" t="str" cm="1">
        <f t="array" ref="Q649">_xlfn.IFS(AND(H649&gt;=0,H649&lt;=3333),"Grupo 1",AND(H649&gt;3333,H649&lt;=6666),"Grupo 2",AND(H649&gt;6666,H649&lt;=10000),"Grupo 3")</f>
        <v>Grupo 3</v>
      </c>
    </row>
    <row r="650" spans="1:17" x14ac:dyDescent="0.25">
      <c r="A650" t="s">
        <v>60</v>
      </c>
      <c r="B650" s="2">
        <v>45782.866666666669</v>
      </c>
      <c r="C650" t="s">
        <v>315</v>
      </c>
      <c r="D650" t="s">
        <v>219</v>
      </c>
      <c r="E650">
        <v>1</v>
      </c>
      <c r="F650">
        <v>1467.34</v>
      </c>
      <c r="G650" t="s">
        <v>221</v>
      </c>
      <c r="H650">
        <v>1467.34</v>
      </c>
      <c r="I650">
        <v>2025</v>
      </c>
      <c r="J650">
        <v>5</v>
      </c>
      <c r="K650">
        <v>20</v>
      </c>
      <c r="L650" s="14">
        <v>1467.34</v>
      </c>
      <c r="M650" s="4" t="str">
        <f t="shared" si="40"/>
        <v>lunes</v>
      </c>
      <c r="N650" s="4" t="str">
        <f t="shared" si="41"/>
        <v>mayo</v>
      </c>
      <c r="O650" s="4" t="str">
        <f t="shared" si="42"/>
        <v>NO</v>
      </c>
      <c r="P650" s="4" t="str">
        <f t="shared" si="43"/>
        <v>SI</v>
      </c>
      <c r="Q650" s="4" t="str" cm="1">
        <f t="array" ref="Q650">_xlfn.IFS(AND(H650&gt;=0,H650&lt;=3333),"Grupo 1",AND(H650&gt;3333,H650&lt;=6666),"Grupo 2",AND(H650&gt;6666,H650&lt;=10000),"Grupo 3")</f>
        <v>Grupo 1</v>
      </c>
    </row>
    <row r="651" spans="1:17" x14ac:dyDescent="0.25">
      <c r="A651" t="s">
        <v>61</v>
      </c>
      <c r="B651" s="2">
        <v>45819.341666666667</v>
      </c>
      <c r="C651" t="s">
        <v>316</v>
      </c>
      <c r="D651" t="s">
        <v>214</v>
      </c>
      <c r="E651">
        <v>3</v>
      </c>
      <c r="F651">
        <v>683.91</v>
      </c>
      <c r="G651" t="s">
        <v>222</v>
      </c>
      <c r="H651">
        <v>2051.73</v>
      </c>
      <c r="I651">
        <v>2025</v>
      </c>
      <c r="J651">
        <v>6</v>
      </c>
      <c r="K651">
        <v>8</v>
      </c>
      <c r="L651" s="14">
        <v>683.91</v>
      </c>
      <c r="M651" s="4" t="str">
        <f t="shared" si="40"/>
        <v>miércoles</v>
      </c>
      <c r="N651" s="4" t="str">
        <f t="shared" si="41"/>
        <v>junio</v>
      </c>
      <c r="O651" s="4" t="str">
        <f t="shared" si="42"/>
        <v>NO</v>
      </c>
      <c r="P651" s="4" t="str">
        <f t="shared" si="43"/>
        <v>NO</v>
      </c>
      <c r="Q651" s="4" t="str" cm="1">
        <f t="array" ref="Q651">_xlfn.IFS(AND(H651&gt;=0,H651&lt;=3333),"Grupo 1",AND(H651&gt;3333,H651&lt;=6666),"Grupo 2",AND(H651&gt;6666,H651&lt;=10000),"Grupo 3")</f>
        <v>Grupo 1</v>
      </c>
    </row>
    <row r="652" spans="1:17" x14ac:dyDescent="0.25">
      <c r="A652" t="s">
        <v>62</v>
      </c>
      <c r="B652" s="2">
        <v>45441.993055555547</v>
      </c>
      <c r="C652" t="s">
        <v>317</v>
      </c>
      <c r="D652" t="s">
        <v>214</v>
      </c>
      <c r="E652">
        <v>1</v>
      </c>
      <c r="F652">
        <v>1083.8599999999999</v>
      </c>
      <c r="G652" t="s">
        <v>222</v>
      </c>
      <c r="H652">
        <v>1083.8599999999999</v>
      </c>
      <c r="I652">
        <v>2024</v>
      </c>
      <c r="J652">
        <v>5</v>
      </c>
      <c r="K652">
        <v>23</v>
      </c>
      <c r="L652" s="14">
        <v>1083.8599999999999</v>
      </c>
      <c r="M652" s="4" t="str">
        <f t="shared" si="40"/>
        <v>miércoles</v>
      </c>
      <c r="N652" s="4" t="str">
        <f t="shared" si="41"/>
        <v>mayo</v>
      </c>
      <c r="O652" s="4" t="str">
        <f t="shared" si="42"/>
        <v>NO</v>
      </c>
      <c r="P652" s="4" t="str">
        <f t="shared" si="43"/>
        <v>SI</v>
      </c>
      <c r="Q652" s="4" t="str" cm="1">
        <f t="array" ref="Q652">_xlfn.IFS(AND(H652&gt;=0,H652&lt;=3333),"Grupo 1",AND(H652&gt;3333,H652&lt;=6666),"Grupo 2",AND(H652&gt;6666,H652&lt;=10000),"Grupo 3")</f>
        <v>Grupo 1</v>
      </c>
    </row>
    <row r="653" spans="1:17" x14ac:dyDescent="0.25">
      <c r="A653" t="s">
        <v>63</v>
      </c>
      <c r="B653" s="2">
        <v>45180.999305555553</v>
      </c>
      <c r="C653" t="s">
        <v>318</v>
      </c>
      <c r="D653" t="s">
        <v>212</v>
      </c>
      <c r="E653">
        <v>2</v>
      </c>
      <c r="F653">
        <v>1551.85</v>
      </c>
      <c r="G653" t="s">
        <v>220</v>
      </c>
      <c r="H653">
        <v>3103.7</v>
      </c>
      <c r="I653">
        <v>2023</v>
      </c>
      <c r="J653">
        <v>9</v>
      </c>
      <c r="K653">
        <v>23</v>
      </c>
      <c r="L653" s="14">
        <v>1551.85</v>
      </c>
      <c r="M653" s="4" t="str">
        <f t="shared" si="40"/>
        <v>lunes</v>
      </c>
      <c r="N653" s="4" t="str">
        <f t="shared" si="41"/>
        <v>septiembre</v>
      </c>
      <c r="O653" s="4" t="str">
        <f t="shared" si="42"/>
        <v>SI</v>
      </c>
      <c r="P653" s="4" t="str">
        <f t="shared" si="43"/>
        <v>SI</v>
      </c>
      <c r="Q653" s="4" t="str" cm="1">
        <f t="array" ref="Q653">_xlfn.IFS(AND(H653&gt;=0,H653&lt;=3333),"Grupo 1",AND(H653&gt;3333,H653&lt;=6666),"Grupo 2",AND(H653&gt;6666,H653&lt;=10000),"Grupo 3")</f>
        <v>Grupo 1</v>
      </c>
    </row>
    <row r="654" spans="1:17" x14ac:dyDescent="0.25">
      <c r="A654" t="s">
        <v>64</v>
      </c>
      <c r="B654" s="2">
        <v>45624.619444444441</v>
      </c>
      <c r="C654" t="s">
        <v>319</v>
      </c>
      <c r="D654" t="s">
        <v>217</v>
      </c>
      <c r="E654">
        <v>5</v>
      </c>
      <c r="F654">
        <v>1368.27</v>
      </c>
      <c r="G654" t="s">
        <v>220</v>
      </c>
      <c r="H654">
        <v>6841.35</v>
      </c>
      <c r="I654">
        <v>2024</v>
      </c>
      <c r="J654">
        <v>11</v>
      </c>
      <c r="K654">
        <v>14</v>
      </c>
      <c r="L654" s="14">
        <v>1368.27</v>
      </c>
      <c r="M654" s="4" t="str">
        <f t="shared" si="40"/>
        <v>jueves</v>
      </c>
      <c r="N654" s="4" t="str">
        <f t="shared" si="41"/>
        <v>noviembre</v>
      </c>
      <c r="O654" s="4" t="str">
        <f t="shared" si="42"/>
        <v>SI</v>
      </c>
      <c r="P654" s="4" t="str">
        <f t="shared" si="43"/>
        <v>SI</v>
      </c>
      <c r="Q654" s="4" t="str" cm="1">
        <f t="array" ref="Q654">_xlfn.IFS(AND(H654&gt;=0,H654&lt;=3333),"Grupo 1",AND(H654&gt;3333,H654&lt;=6666),"Grupo 2",AND(H654&gt;6666,H654&lt;=10000),"Grupo 3")</f>
        <v>Grupo 3</v>
      </c>
    </row>
    <row r="655" spans="1:17" x14ac:dyDescent="0.25">
      <c r="A655" t="s">
        <v>65</v>
      </c>
      <c r="B655" s="2">
        <v>45447.955555555563</v>
      </c>
      <c r="C655" t="s">
        <v>320</v>
      </c>
      <c r="D655" t="s">
        <v>217</v>
      </c>
      <c r="E655">
        <v>4</v>
      </c>
      <c r="F655">
        <v>1818.88</v>
      </c>
      <c r="G655" t="s">
        <v>220</v>
      </c>
      <c r="H655">
        <v>7275.52</v>
      </c>
      <c r="I655">
        <v>2024</v>
      </c>
      <c r="J655">
        <v>6</v>
      </c>
      <c r="K655">
        <v>22</v>
      </c>
      <c r="L655" s="14">
        <v>1818.88</v>
      </c>
      <c r="M655" s="4" t="str">
        <f t="shared" si="40"/>
        <v>martes</v>
      </c>
      <c r="N655" s="4" t="str">
        <f t="shared" si="41"/>
        <v>junio</v>
      </c>
      <c r="O655" s="4" t="str">
        <f t="shared" si="42"/>
        <v>SI</v>
      </c>
      <c r="P655" s="4" t="str">
        <f t="shared" si="43"/>
        <v>SI</v>
      </c>
      <c r="Q655" s="4" t="str" cm="1">
        <f t="array" ref="Q655">_xlfn.IFS(AND(H655&gt;=0,H655&lt;=3333),"Grupo 1",AND(H655&gt;3333,H655&lt;=6666),"Grupo 2",AND(H655&gt;6666,H655&lt;=10000),"Grupo 3")</f>
        <v>Grupo 3</v>
      </c>
    </row>
    <row r="656" spans="1:17" x14ac:dyDescent="0.25">
      <c r="A656" t="s">
        <v>66</v>
      </c>
      <c r="B656" s="2">
        <v>45051.74722222222</v>
      </c>
      <c r="C656" t="s">
        <v>321</v>
      </c>
      <c r="D656" t="s">
        <v>218</v>
      </c>
      <c r="E656">
        <v>4</v>
      </c>
      <c r="F656">
        <v>1601.32</v>
      </c>
      <c r="G656" t="s">
        <v>221</v>
      </c>
      <c r="H656">
        <v>6405.28</v>
      </c>
      <c r="I656">
        <v>2023</v>
      </c>
      <c r="J656">
        <v>5</v>
      </c>
      <c r="K656">
        <v>17</v>
      </c>
      <c r="L656" s="14">
        <v>1601.32</v>
      </c>
      <c r="M656" s="4" t="str">
        <f t="shared" si="40"/>
        <v>viernes</v>
      </c>
      <c r="N656" s="4" t="str">
        <f t="shared" si="41"/>
        <v>mayo</v>
      </c>
      <c r="O656" s="4" t="str">
        <f t="shared" si="42"/>
        <v>SI</v>
      </c>
      <c r="P656" s="4" t="str">
        <f t="shared" si="43"/>
        <v>SI</v>
      </c>
      <c r="Q656" s="4" t="str" cm="1">
        <f t="array" ref="Q656">_xlfn.IFS(AND(H656&gt;=0,H656&lt;=3333),"Grupo 1",AND(H656&gt;3333,H656&lt;=6666),"Grupo 2",AND(H656&gt;6666,H656&lt;=10000),"Grupo 3")</f>
        <v>Grupo 2</v>
      </c>
    </row>
    <row r="657" spans="1:17" x14ac:dyDescent="0.25">
      <c r="A657" t="s">
        <v>67</v>
      </c>
      <c r="B657" s="2">
        <v>45019.26666666667</v>
      </c>
      <c r="C657" t="s">
        <v>322</v>
      </c>
      <c r="D657" t="s">
        <v>213</v>
      </c>
      <c r="E657">
        <v>4</v>
      </c>
      <c r="F657">
        <v>177.79</v>
      </c>
      <c r="G657" t="s">
        <v>221</v>
      </c>
      <c r="H657">
        <v>711.16</v>
      </c>
      <c r="I657">
        <v>2023</v>
      </c>
      <c r="J657">
        <v>4</v>
      </c>
      <c r="K657">
        <v>6</v>
      </c>
      <c r="L657" s="14">
        <v>177.79</v>
      </c>
      <c r="M657" s="4" t="str">
        <f t="shared" si="40"/>
        <v>lunes</v>
      </c>
      <c r="N657" s="4" t="str">
        <f t="shared" si="41"/>
        <v>abril</v>
      </c>
      <c r="O657" s="4" t="str">
        <f t="shared" si="42"/>
        <v>NO</v>
      </c>
      <c r="P657" s="4" t="str">
        <f t="shared" si="43"/>
        <v>NO</v>
      </c>
      <c r="Q657" s="4" t="str" cm="1">
        <f t="array" ref="Q657">_xlfn.IFS(AND(H657&gt;=0,H657&lt;=3333),"Grupo 1",AND(H657&gt;3333,H657&lt;=6666),"Grupo 2",AND(H657&gt;6666,H657&lt;=10000),"Grupo 3")</f>
        <v>Grupo 1</v>
      </c>
    </row>
    <row r="658" spans="1:17" x14ac:dyDescent="0.25">
      <c r="A658" t="s">
        <v>68</v>
      </c>
      <c r="B658" s="2">
        <v>44969.094444444447</v>
      </c>
      <c r="C658" t="s">
        <v>323</v>
      </c>
      <c r="D658" t="s">
        <v>213</v>
      </c>
      <c r="E658">
        <v>1</v>
      </c>
      <c r="F658">
        <v>83.48</v>
      </c>
      <c r="G658" t="s">
        <v>221</v>
      </c>
      <c r="H658">
        <v>83.48</v>
      </c>
      <c r="I658">
        <v>2023</v>
      </c>
      <c r="J658">
        <v>2</v>
      </c>
      <c r="K658">
        <v>2</v>
      </c>
      <c r="L658" s="14">
        <v>83.48</v>
      </c>
      <c r="M658" s="4" t="str">
        <f t="shared" si="40"/>
        <v>domingo</v>
      </c>
      <c r="N658" s="4" t="str">
        <f t="shared" si="41"/>
        <v>febrero</v>
      </c>
      <c r="O658" s="4" t="str">
        <f t="shared" si="42"/>
        <v>NO</v>
      </c>
      <c r="P658" s="4" t="str">
        <f t="shared" si="43"/>
        <v>NO</v>
      </c>
      <c r="Q658" s="4" t="str" cm="1">
        <f t="array" ref="Q658">_xlfn.IFS(AND(H658&gt;=0,H658&lt;=3333),"Grupo 1",AND(H658&gt;3333,H658&lt;=6666),"Grupo 2",AND(H658&gt;6666,H658&lt;=10000),"Grupo 3")</f>
        <v>Grupo 1</v>
      </c>
    </row>
    <row r="659" spans="1:17" x14ac:dyDescent="0.25">
      <c r="A659" t="s">
        <v>69</v>
      </c>
      <c r="B659" s="2">
        <v>45091.519444444442</v>
      </c>
      <c r="C659" t="s">
        <v>324</v>
      </c>
      <c r="D659" t="s">
        <v>219</v>
      </c>
      <c r="E659">
        <v>1</v>
      </c>
      <c r="F659">
        <v>1372.72</v>
      </c>
      <c r="G659" t="s">
        <v>221</v>
      </c>
      <c r="H659">
        <v>1372.72</v>
      </c>
      <c r="I659">
        <v>2023</v>
      </c>
      <c r="J659">
        <v>6</v>
      </c>
      <c r="K659">
        <v>12</v>
      </c>
      <c r="L659" s="14">
        <v>1372.72</v>
      </c>
      <c r="M659" s="4" t="str">
        <f t="shared" si="40"/>
        <v>miércoles</v>
      </c>
      <c r="N659" s="4" t="str">
        <f t="shared" si="41"/>
        <v>junio</v>
      </c>
      <c r="O659" s="4" t="str">
        <f t="shared" si="42"/>
        <v>NO</v>
      </c>
      <c r="P659" s="4" t="str">
        <f t="shared" si="43"/>
        <v>SI</v>
      </c>
      <c r="Q659" s="4" t="str" cm="1">
        <f t="array" ref="Q659">_xlfn.IFS(AND(H659&gt;=0,H659&lt;=3333),"Grupo 1",AND(H659&gt;3333,H659&lt;=6666),"Grupo 2",AND(H659&gt;6666,H659&lt;=10000),"Grupo 3")</f>
        <v>Grupo 1</v>
      </c>
    </row>
    <row r="660" spans="1:17" x14ac:dyDescent="0.25">
      <c r="A660" t="s">
        <v>70</v>
      </c>
      <c r="B660" s="2">
        <v>45494</v>
      </c>
      <c r="C660" t="s">
        <v>325</v>
      </c>
      <c r="D660" t="s">
        <v>212</v>
      </c>
      <c r="E660">
        <v>1</v>
      </c>
      <c r="F660">
        <v>1618.91</v>
      </c>
      <c r="G660" t="s">
        <v>220</v>
      </c>
      <c r="H660">
        <v>1618.91</v>
      </c>
      <c r="I660">
        <v>2024</v>
      </c>
      <c r="J660">
        <v>7</v>
      </c>
      <c r="K660">
        <v>0</v>
      </c>
      <c r="L660" s="14">
        <v>1618.91</v>
      </c>
      <c r="M660" s="4" t="str">
        <f t="shared" si="40"/>
        <v>domingo</v>
      </c>
      <c r="N660" s="4" t="str">
        <f t="shared" si="41"/>
        <v>julio</v>
      </c>
      <c r="O660" s="4" t="str">
        <f t="shared" si="42"/>
        <v>NO</v>
      </c>
      <c r="P660" s="4" t="str">
        <f t="shared" si="43"/>
        <v>SI</v>
      </c>
      <c r="Q660" s="4" t="str" cm="1">
        <f t="array" ref="Q660">_xlfn.IFS(AND(H660&gt;=0,H660&lt;=3333),"Grupo 1",AND(H660&gt;3333,H660&lt;=6666),"Grupo 2",AND(H660&gt;6666,H660&lt;=10000),"Grupo 3")</f>
        <v>Grupo 1</v>
      </c>
    </row>
    <row r="661" spans="1:17" x14ac:dyDescent="0.25">
      <c r="A661" t="s">
        <v>71</v>
      </c>
      <c r="B661" s="2">
        <v>45364.463194444441</v>
      </c>
      <c r="C661" t="s">
        <v>326</v>
      </c>
      <c r="D661" t="s">
        <v>215</v>
      </c>
      <c r="E661">
        <v>4</v>
      </c>
      <c r="F661">
        <v>530.65</v>
      </c>
      <c r="G661" t="s">
        <v>220</v>
      </c>
      <c r="H661">
        <v>2122.6</v>
      </c>
      <c r="I661">
        <v>2024</v>
      </c>
      <c r="J661">
        <v>3</v>
      </c>
      <c r="K661">
        <v>11</v>
      </c>
      <c r="L661" s="14">
        <v>530.65</v>
      </c>
      <c r="M661" s="4" t="str">
        <f t="shared" si="40"/>
        <v>miércoles</v>
      </c>
      <c r="N661" s="4" t="str">
        <f t="shared" si="41"/>
        <v>marzo</v>
      </c>
      <c r="O661" s="4" t="str">
        <f t="shared" si="42"/>
        <v>NO</v>
      </c>
      <c r="P661" s="4" t="str">
        <f t="shared" si="43"/>
        <v>NO</v>
      </c>
      <c r="Q661" s="4" t="str" cm="1">
        <f t="array" ref="Q661">_xlfn.IFS(AND(H661&gt;=0,H661&lt;=3333),"Grupo 1",AND(H661&gt;3333,H661&lt;=6666),"Grupo 2",AND(H661&gt;6666,H661&lt;=10000),"Grupo 3")</f>
        <v>Grupo 1</v>
      </c>
    </row>
    <row r="662" spans="1:17" x14ac:dyDescent="0.25">
      <c r="A662" t="s">
        <v>72</v>
      </c>
      <c r="B662" s="2">
        <v>45583.023611111108</v>
      </c>
      <c r="C662" t="s">
        <v>327</v>
      </c>
      <c r="D662" t="s">
        <v>216</v>
      </c>
      <c r="E662">
        <v>5</v>
      </c>
      <c r="F662">
        <v>418.83</v>
      </c>
      <c r="G662" t="s">
        <v>221</v>
      </c>
      <c r="H662">
        <v>2094.15</v>
      </c>
      <c r="I662">
        <v>2024</v>
      </c>
      <c r="J662">
        <v>10</v>
      </c>
      <c r="K662">
        <v>0</v>
      </c>
      <c r="L662" s="14">
        <v>418.83</v>
      </c>
      <c r="M662" s="4" t="str">
        <f t="shared" si="40"/>
        <v>viernes</v>
      </c>
      <c r="N662" s="4" t="str">
        <f t="shared" si="41"/>
        <v>octubre</v>
      </c>
      <c r="O662" s="4" t="str">
        <f t="shared" si="42"/>
        <v>NO</v>
      </c>
      <c r="P662" s="4" t="str">
        <f t="shared" si="43"/>
        <v>NO</v>
      </c>
      <c r="Q662" s="4" t="str" cm="1">
        <f t="array" ref="Q662">_xlfn.IFS(AND(H662&gt;=0,H662&lt;=3333),"Grupo 1",AND(H662&gt;3333,H662&lt;=6666),"Grupo 2",AND(H662&gt;6666,H662&lt;=10000),"Grupo 3")</f>
        <v>Grupo 1</v>
      </c>
    </row>
    <row r="663" spans="1:17" x14ac:dyDescent="0.25">
      <c r="A663" t="s">
        <v>73</v>
      </c>
      <c r="B663" s="2">
        <v>45779.546527777777</v>
      </c>
      <c r="C663" t="s">
        <v>328</v>
      </c>
      <c r="D663" t="s">
        <v>214</v>
      </c>
      <c r="E663">
        <v>3</v>
      </c>
      <c r="F663">
        <v>664.98</v>
      </c>
      <c r="G663" t="s">
        <v>222</v>
      </c>
      <c r="H663">
        <v>1994.94</v>
      </c>
      <c r="I663">
        <v>2025</v>
      </c>
      <c r="J663">
        <v>5</v>
      </c>
      <c r="K663">
        <v>13</v>
      </c>
      <c r="L663" s="14">
        <v>664.98</v>
      </c>
      <c r="M663" s="4" t="str">
        <f t="shared" si="40"/>
        <v>viernes</v>
      </c>
      <c r="N663" s="4" t="str">
        <f t="shared" si="41"/>
        <v>mayo</v>
      </c>
      <c r="O663" s="4" t="str">
        <f t="shared" si="42"/>
        <v>NO</v>
      </c>
      <c r="P663" s="4" t="str">
        <f t="shared" si="43"/>
        <v>NO</v>
      </c>
      <c r="Q663" s="4" t="str" cm="1">
        <f t="array" ref="Q663">_xlfn.IFS(AND(H663&gt;=0,H663&lt;=3333),"Grupo 1",AND(H663&gt;3333,H663&lt;=6666),"Grupo 2",AND(H663&gt;6666,H663&lt;=10000),"Grupo 3")</f>
        <v>Grupo 1</v>
      </c>
    </row>
    <row r="664" spans="1:17" x14ac:dyDescent="0.25">
      <c r="A664" t="s">
        <v>74</v>
      </c>
      <c r="B664" s="2">
        <v>45516.480555555558</v>
      </c>
      <c r="C664" t="s">
        <v>329</v>
      </c>
      <c r="D664" t="s">
        <v>217</v>
      </c>
      <c r="E664">
        <v>1</v>
      </c>
      <c r="F664">
        <v>1322.41</v>
      </c>
      <c r="G664" t="s">
        <v>220</v>
      </c>
      <c r="H664">
        <v>1322.41</v>
      </c>
      <c r="I664">
        <v>2024</v>
      </c>
      <c r="J664">
        <v>8</v>
      </c>
      <c r="K664">
        <v>11</v>
      </c>
      <c r="L664" s="14">
        <v>1322.41</v>
      </c>
      <c r="M664" s="4" t="str">
        <f t="shared" si="40"/>
        <v>lunes</v>
      </c>
      <c r="N664" s="4" t="str">
        <f t="shared" si="41"/>
        <v>agosto</v>
      </c>
      <c r="O664" s="4" t="str">
        <f t="shared" si="42"/>
        <v>NO</v>
      </c>
      <c r="P664" s="4" t="str">
        <f t="shared" si="43"/>
        <v>SI</v>
      </c>
      <c r="Q664" s="4" t="str" cm="1">
        <f t="array" ref="Q664">_xlfn.IFS(AND(H664&gt;=0,H664&lt;=3333),"Grupo 1",AND(H664&gt;3333,H664&lt;=6666),"Grupo 2",AND(H664&gt;6666,H664&lt;=10000),"Grupo 3")</f>
        <v>Grupo 1</v>
      </c>
    </row>
    <row r="665" spans="1:17" x14ac:dyDescent="0.25">
      <c r="A665" t="s">
        <v>75</v>
      </c>
      <c r="B665" s="2">
        <v>45285.25277777778</v>
      </c>
      <c r="C665" t="s">
        <v>330</v>
      </c>
      <c r="D665" t="s">
        <v>212</v>
      </c>
      <c r="E665">
        <v>4</v>
      </c>
      <c r="F665">
        <v>1467.27</v>
      </c>
      <c r="G665" t="s">
        <v>220</v>
      </c>
      <c r="H665">
        <v>5869.08</v>
      </c>
      <c r="I665">
        <v>2023</v>
      </c>
      <c r="J665">
        <v>12</v>
      </c>
      <c r="K665">
        <v>6</v>
      </c>
      <c r="L665" s="14">
        <v>1467.27</v>
      </c>
      <c r="M665" s="4" t="str">
        <f t="shared" si="40"/>
        <v>lunes</v>
      </c>
      <c r="N665" s="4" t="str">
        <f t="shared" si="41"/>
        <v>diciembre</v>
      </c>
      <c r="O665" s="4" t="str">
        <f t="shared" si="42"/>
        <v>SI</v>
      </c>
      <c r="P665" s="4" t="str">
        <f t="shared" si="43"/>
        <v>SI</v>
      </c>
      <c r="Q665" s="4" t="str" cm="1">
        <f t="array" ref="Q665">_xlfn.IFS(AND(H665&gt;=0,H665&lt;=3333),"Grupo 1",AND(H665&gt;3333,H665&lt;=6666),"Grupo 2",AND(H665&gt;6666,H665&lt;=10000),"Grupo 3")</f>
        <v>Grupo 2</v>
      </c>
    </row>
    <row r="666" spans="1:17" x14ac:dyDescent="0.25">
      <c r="A666" t="s">
        <v>76</v>
      </c>
      <c r="B666" s="2">
        <v>45297.965277777781</v>
      </c>
      <c r="C666" t="s">
        <v>331</v>
      </c>
      <c r="D666" t="s">
        <v>215</v>
      </c>
      <c r="E666">
        <v>4</v>
      </c>
      <c r="F666">
        <v>1804.12</v>
      </c>
      <c r="G666" t="s">
        <v>220</v>
      </c>
      <c r="H666">
        <v>7216.48</v>
      </c>
      <c r="I666">
        <v>2024</v>
      </c>
      <c r="J666">
        <v>1</v>
      </c>
      <c r="K666">
        <v>23</v>
      </c>
      <c r="L666" s="14">
        <v>1804.12</v>
      </c>
      <c r="M666" s="4" t="str">
        <f t="shared" si="40"/>
        <v>sábado</v>
      </c>
      <c r="N666" s="4" t="str">
        <f t="shared" si="41"/>
        <v>enero</v>
      </c>
      <c r="O666" s="4" t="str">
        <f t="shared" si="42"/>
        <v>SI</v>
      </c>
      <c r="P666" s="4" t="str">
        <f t="shared" si="43"/>
        <v>SI</v>
      </c>
      <c r="Q666" s="4" t="str" cm="1">
        <f t="array" ref="Q666">_xlfn.IFS(AND(H666&gt;=0,H666&lt;=3333),"Grupo 1",AND(H666&gt;3333,H666&lt;=6666),"Grupo 2",AND(H666&gt;6666,H666&lt;=10000),"Grupo 3")</f>
        <v>Grupo 3</v>
      </c>
    </row>
    <row r="667" spans="1:17" x14ac:dyDescent="0.25">
      <c r="A667" t="s">
        <v>77</v>
      </c>
      <c r="B667" s="2">
        <v>45434.519444444442</v>
      </c>
      <c r="C667" t="s">
        <v>332</v>
      </c>
      <c r="D667" t="s">
        <v>219</v>
      </c>
      <c r="E667">
        <v>1</v>
      </c>
      <c r="F667">
        <v>1172.72</v>
      </c>
      <c r="G667" t="s">
        <v>221</v>
      </c>
      <c r="H667">
        <v>1172.72</v>
      </c>
      <c r="I667">
        <v>2024</v>
      </c>
      <c r="J667">
        <v>5</v>
      </c>
      <c r="K667">
        <v>12</v>
      </c>
      <c r="L667" s="14">
        <v>1172.72</v>
      </c>
      <c r="M667" s="4" t="str">
        <f t="shared" si="40"/>
        <v>miércoles</v>
      </c>
      <c r="N667" s="4" t="str">
        <f t="shared" si="41"/>
        <v>mayo</v>
      </c>
      <c r="O667" s="4" t="str">
        <f t="shared" si="42"/>
        <v>NO</v>
      </c>
      <c r="P667" s="4" t="str">
        <f t="shared" si="43"/>
        <v>SI</v>
      </c>
      <c r="Q667" s="4" t="str" cm="1">
        <f t="array" ref="Q667">_xlfn.IFS(AND(H667&gt;=0,H667&lt;=3333),"Grupo 1",AND(H667&gt;3333,H667&lt;=6666),"Grupo 2",AND(H667&gt;6666,H667&lt;=10000),"Grupo 3")</f>
        <v>Grupo 1</v>
      </c>
    </row>
    <row r="668" spans="1:17" x14ac:dyDescent="0.25">
      <c r="A668" t="s">
        <v>78</v>
      </c>
      <c r="B668" s="2">
        <v>45290.050694444442</v>
      </c>
      <c r="C668" t="s">
        <v>333</v>
      </c>
      <c r="D668" t="s">
        <v>218</v>
      </c>
      <c r="E668">
        <v>1</v>
      </c>
      <c r="F668">
        <v>725.07</v>
      </c>
      <c r="G668" t="s">
        <v>221</v>
      </c>
      <c r="H668">
        <v>725.07</v>
      </c>
      <c r="I668">
        <v>2023</v>
      </c>
      <c r="J668">
        <v>12</v>
      </c>
      <c r="K668">
        <v>1</v>
      </c>
      <c r="L668" s="14">
        <v>725.07</v>
      </c>
      <c r="M668" s="4" t="str">
        <f t="shared" si="40"/>
        <v>sábado</v>
      </c>
      <c r="N668" s="4" t="str">
        <f t="shared" si="41"/>
        <v>diciembre</v>
      </c>
      <c r="O668" s="4" t="str">
        <f t="shared" si="42"/>
        <v>NO</v>
      </c>
      <c r="P668" s="4" t="str">
        <f t="shared" si="43"/>
        <v>NO</v>
      </c>
      <c r="Q668" s="4" t="str" cm="1">
        <f t="array" ref="Q668">_xlfn.IFS(AND(H668&gt;=0,H668&lt;=3333),"Grupo 1",AND(H668&gt;3333,H668&lt;=6666),"Grupo 2",AND(H668&gt;6666,H668&lt;=10000),"Grupo 3")</f>
        <v>Grupo 1</v>
      </c>
    </row>
    <row r="669" spans="1:17" x14ac:dyDescent="0.25">
      <c r="A669" t="s">
        <v>79</v>
      </c>
      <c r="B669" s="2">
        <v>45684.334027777782</v>
      </c>
      <c r="C669" t="s">
        <v>334</v>
      </c>
      <c r="D669" t="s">
        <v>212</v>
      </c>
      <c r="E669">
        <v>5</v>
      </c>
      <c r="F669">
        <v>563.69000000000005</v>
      </c>
      <c r="G669" t="s">
        <v>220</v>
      </c>
      <c r="H669">
        <v>2818.45</v>
      </c>
      <c r="I669">
        <v>2025</v>
      </c>
      <c r="J669">
        <v>1</v>
      </c>
      <c r="K669">
        <v>8</v>
      </c>
      <c r="L669" s="14">
        <v>563.69000000000005</v>
      </c>
      <c r="M669" s="4" t="str">
        <f t="shared" si="40"/>
        <v>lunes</v>
      </c>
      <c r="N669" s="4" t="str">
        <f t="shared" si="41"/>
        <v>enero</v>
      </c>
      <c r="O669" s="4" t="str">
        <f t="shared" si="42"/>
        <v>NO</v>
      </c>
      <c r="P669" s="4" t="str">
        <f t="shared" si="43"/>
        <v>NO</v>
      </c>
      <c r="Q669" s="4" t="str" cm="1">
        <f t="array" ref="Q669">_xlfn.IFS(AND(H669&gt;=0,H669&lt;=3333),"Grupo 1",AND(H669&gt;3333,H669&lt;=6666),"Grupo 2",AND(H669&gt;6666,H669&lt;=10000),"Grupo 3")</f>
        <v>Grupo 1</v>
      </c>
    </row>
    <row r="670" spans="1:17" x14ac:dyDescent="0.25">
      <c r="A670" t="s">
        <v>80</v>
      </c>
      <c r="B670" s="2">
        <v>45222.202777777777</v>
      </c>
      <c r="C670" t="s">
        <v>335</v>
      </c>
      <c r="D670" t="s">
        <v>219</v>
      </c>
      <c r="E670">
        <v>5</v>
      </c>
      <c r="F670">
        <v>1547.41</v>
      </c>
      <c r="G670" t="s">
        <v>221</v>
      </c>
      <c r="H670">
        <v>7737.05</v>
      </c>
      <c r="I670">
        <v>2023</v>
      </c>
      <c r="J670">
        <v>10</v>
      </c>
      <c r="K670">
        <v>4</v>
      </c>
      <c r="L670" s="14">
        <v>1547.41</v>
      </c>
      <c r="M670" s="4" t="str">
        <f t="shared" si="40"/>
        <v>lunes</v>
      </c>
      <c r="N670" s="4" t="str">
        <f t="shared" si="41"/>
        <v>octubre</v>
      </c>
      <c r="O670" s="4" t="str">
        <f t="shared" si="42"/>
        <v>SI</v>
      </c>
      <c r="P670" s="4" t="str">
        <f t="shared" si="43"/>
        <v>SI</v>
      </c>
      <c r="Q670" s="4" t="str" cm="1">
        <f t="array" ref="Q670">_xlfn.IFS(AND(H670&gt;=0,H670&lt;=3333),"Grupo 1",AND(H670&gt;3333,H670&lt;=6666),"Grupo 2",AND(H670&gt;6666,H670&lt;=10000),"Grupo 3")</f>
        <v>Grupo 3</v>
      </c>
    </row>
    <row r="671" spans="1:17" x14ac:dyDescent="0.25">
      <c r="A671" t="s">
        <v>81</v>
      </c>
      <c r="B671" s="2">
        <v>45274.597916666673</v>
      </c>
      <c r="C671" t="s">
        <v>336</v>
      </c>
      <c r="D671" t="s">
        <v>216</v>
      </c>
      <c r="E671">
        <v>2</v>
      </c>
      <c r="F671">
        <v>1903.65</v>
      </c>
      <c r="G671" t="s">
        <v>221</v>
      </c>
      <c r="H671">
        <v>3807.3</v>
      </c>
      <c r="I671">
        <v>2023</v>
      </c>
      <c r="J671">
        <v>12</v>
      </c>
      <c r="K671">
        <v>14</v>
      </c>
      <c r="L671" s="14">
        <v>1903.65</v>
      </c>
      <c r="M671" s="4" t="str">
        <f t="shared" si="40"/>
        <v>jueves</v>
      </c>
      <c r="N671" s="4" t="str">
        <f t="shared" si="41"/>
        <v>diciembre</v>
      </c>
      <c r="O671" s="4" t="str">
        <f t="shared" si="42"/>
        <v>SI</v>
      </c>
      <c r="P671" s="4" t="str">
        <f t="shared" si="43"/>
        <v>SI</v>
      </c>
      <c r="Q671" s="4" t="str" cm="1">
        <f t="array" ref="Q671">_xlfn.IFS(AND(H671&gt;=0,H671&lt;=3333),"Grupo 1",AND(H671&gt;3333,H671&lt;=6666),"Grupo 2",AND(H671&gt;6666,H671&lt;=10000),"Grupo 3")</f>
        <v>Grupo 2</v>
      </c>
    </row>
    <row r="672" spans="1:17" x14ac:dyDescent="0.25">
      <c r="A672" t="s">
        <v>82</v>
      </c>
      <c r="B672" s="2">
        <v>45358.874305555553</v>
      </c>
      <c r="C672" t="s">
        <v>337</v>
      </c>
      <c r="D672" t="s">
        <v>215</v>
      </c>
      <c r="E672">
        <v>2</v>
      </c>
      <c r="F672">
        <v>1198.2</v>
      </c>
      <c r="G672" t="s">
        <v>220</v>
      </c>
      <c r="H672">
        <v>2396.4</v>
      </c>
      <c r="I672">
        <v>2024</v>
      </c>
      <c r="J672">
        <v>3</v>
      </c>
      <c r="K672">
        <v>20</v>
      </c>
      <c r="L672" s="14">
        <v>1198.2</v>
      </c>
      <c r="M672" s="4" t="str">
        <f t="shared" si="40"/>
        <v>jueves</v>
      </c>
      <c r="N672" s="4" t="str">
        <f t="shared" si="41"/>
        <v>marzo</v>
      </c>
      <c r="O672" s="4" t="str">
        <f t="shared" si="42"/>
        <v>NO</v>
      </c>
      <c r="P672" s="4" t="str">
        <f t="shared" si="43"/>
        <v>SI</v>
      </c>
      <c r="Q672" s="4" t="str" cm="1">
        <f t="array" ref="Q672">_xlfn.IFS(AND(H672&gt;=0,H672&lt;=3333),"Grupo 1",AND(H672&gt;3333,H672&lt;=6666),"Grupo 2",AND(H672&gt;6666,H672&lt;=10000),"Grupo 3")</f>
        <v>Grupo 1</v>
      </c>
    </row>
    <row r="673" spans="1:17" x14ac:dyDescent="0.25">
      <c r="A673" t="s">
        <v>83</v>
      </c>
      <c r="B673" s="2">
        <v>45850.171527777777</v>
      </c>
      <c r="C673" t="s">
        <v>338</v>
      </c>
      <c r="D673" t="s">
        <v>213</v>
      </c>
      <c r="E673">
        <v>3</v>
      </c>
      <c r="F673">
        <v>543.72</v>
      </c>
      <c r="G673" t="s">
        <v>221</v>
      </c>
      <c r="H673">
        <v>1631.16</v>
      </c>
      <c r="I673">
        <v>2025</v>
      </c>
      <c r="J673">
        <v>7</v>
      </c>
      <c r="K673">
        <v>4</v>
      </c>
      <c r="L673" s="14">
        <v>543.72</v>
      </c>
      <c r="M673" s="4" t="str">
        <f t="shared" si="40"/>
        <v>sábado</v>
      </c>
      <c r="N673" s="4" t="str">
        <f t="shared" si="41"/>
        <v>julio</v>
      </c>
      <c r="O673" s="4" t="str">
        <f t="shared" si="42"/>
        <v>NO</v>
      </c>
      <c r="P673" s="4" t="str">
        <f t="shared" si="43"/>
        <v>NO</v>
      </c>
      <c r="Q673" s="4" t="str" cm="1">
        <f t="array" ref="Q673">_xlfn.IFS(AND(H673&gt;=0,H673&lt;=3333),"Grupo 1",AND(H673&gt;3333,H673&lt;=6666),"Grupo 2",AND(H673&gt;6666,H673&lt;=10000),"Grupo 3")</f>
        <v>Grupo 1</v>
      </c>
    </row>
    <row r="674" spans="1:17" x14ac:dyDescent="0.25">
      <c r="A674" t="s">
        <v>84</v>
      </c>
      <c r="B674" s="2">
        <v>45041.884027777778</v>
      </c>
      <c r="C674" t="s">
        <v>339</v>
      </c>
      <c r="D674" t="s">
        <v>216</v>
      </c>
      <c r="E674">
        <v>2</v>
      </c>
      <c r="F674">
        <v>1449.53</v>
      </c>
      <c r="G674" t="s">
        <v>221</v>
      </c>
      <c r="H674">
        <v>2899.06</v>
      </c>
      <c r="I674">
        <v>2023</v>
      </c>
      <c r="J674">
        <v>4</v>
      </c>
      <c r="K674">
        <v>21</v>
      </c>
      <c r="L674" s="14">
        <v>1449.53</v>
      </c>
      <c r="M674" s="4" t="str">
        <f t="shared" si="40"/>
        <v>martes</v>
      </c>
      <c r="N674" s="4" t="str">
        <f t="shared" si="41"/>
        <v>abril</v>
      </c>
      <c r="O674" s="4" t="str">
        <f t="shared" si="42"/>
        <v>SI</v>
      </c>
      <c r="P674" s="4" t="str">
        <f t="shared" si="43"/>
        <v>SI</v>
      </c>
      <c r="Q674" s="4" t="str" cm="1">
        <f t="array" ref="Q674">_xlfn.IFS(AND(H674&gt;=0,H674&lt;=3333),"Grupo 1",AND(H674&gt;3333,H674&lt;=6666),"Grupo 2",AND(H674&gt;6666,H674&lt;=10000),"Grupo 3")</f>
        <v>Grupo 1</v>
      </c>
    </row>
    <row r="675" spans="1:17" x14ac:dyDescent="0.25">
      <c r="A675" t="s">
        <v>85</v>
      </c>
      <c r="B675" s="2">
        <v>45564.772916666669</v>
      </c>
      <c r="C675" t="s">
        <v>340</v>
      </c>
      <c r="D675" t="s">
        <v>214</v>
      </c>
      <c r="E675">
        <v>5</v>
      </c>
      <c r="F675">
        <v>472.42</v>
      </c>
      <c r="G675" t="s">
        <v>222</v>
      </c>
      <c r="H675">
        <v>2362.1</v>
      </c>
      <c r="I675">
        <v>2024</v>
      </c>
      <c r="J675">
        <v>9</v>
      </c>
      <c r="K675">
        <v>18</v>
      </c>
      <c r="L675" s="14">
        <v>472.42</v>
      </c>
      <c r="M675" s="4" t="str">
        <f t="shared" si="40"/>
        <v>domingo</v>
      </c>
      <c r="N675" s="4" t="str">
        <f t="shared" si="41"/>
        <v>septiembre</v>
      </c>
      <c r="O675" s="4" t="str">
        <f t="shared" si="42"/>
        <v>NO</v>
      </c>
      <c r="P675" s="4" t="str">
        <f t="shared" si="43"/>
        <v>NO</v>
      </c>
      <c r="Q675" s="4" t="str" cm="1">
        <f t="array" ref="Q675">_xlfn.IFS(AND(H675&gt;=0,H675&lt;=3333),"Grupo 1",AND(H675&gt;3333,H675&lt;=6666),"Grupo 2",AND(H675&gt;6666,H675&lt;=10000),"Grupo 3")</f>
        <v>Grupo 1</v>
      </c>
    </row>
    <row r="676" spans="1:17" x14ac:dyDescent="0.25">
      <c r="A676" t="s">
        <v>86</v>
      </c>
      <c r="B676" s="2">
        <v>45118.247916666667</v>
      </c>
      <c r="C676" t="s">
        <v>341</v>
      </c>
      <c r="D676" t="s">
        <v>219</v>
      </c>
      <c r="E676">
        <v>3</v>
      </c>
      <c r="F676">
        <v>367.9</v>
      </c>
      <c r="G676" t="s">
        <v>221</v>
      </c>
      <c r="H676">
        <v>1103.7</v>
      </c>
      <c r="I676">
        <v>2023</v>
      </c>
      <c r="J676">
        <v>7</v>
      </c>
      <c r="K676">
        <v>5</v>
      </c>
      <c r="L676" s="14">
        <v>367.89999999999992</v>
      </c>
      <c r="M676" s="4" t="str">
        <f t="shared" si="40"/>
        <v>martes</v>
      </c>
      <c r="N676" s="4" t="str">
        <f t="shared" si="41"/>
        <v>julio</v>
      </c>
      <c r="O676" s="4" t="str">
        <f t="shared" si="42"/>
        <v>NO</v>
      </c>
      <c r="P676" s="4" t="str">
        <f t="shared" si="43"/>
        <v>NO</v>
      </c>
      <c r="Q676" s="4" t="str" cm="1">
        <f t="array" ref="Q676">_xlfn.IFS(AND(H676&gt;=0,H676&lt;=3333),"Grupo 1",AND(H676&gt;3333,H676&lt;=6666),"Grupo 2",AND(H676&gt;6666,H676&lt;=10000),"Grupo 3")</f>
        <v>Grupo 1</v>
      </c>
    </row>
    <row r="677" spans="1:17" x14ac:dyDescent="0.25">
      <c r="A677" t="s">
        <v>87</v>
      </c>
      <c r="B677" s="2">
        <v>45717.986111111109</v>
      </c>
      <c r="C677" t="s">
        <v>342</v>
      </c>
      <c r="D677" t="s">
        <v>219</v>
      </c>
      <c r="E677">
        <v>5</v>
      </c>
      <c r="F677">
        <v>739.51</v>
      </c>
      <c r="G677" t="s">
        <v>221</v>
      </c>
      <c r="H677">
        <v>3697.55</v>
      </c>
      <c r="I677">
        <v>2025</v>
      </c>
      <c r="J677">
        <v>3</v>
      </c>
      <c r="K677">
        <v>23</v>
      </c>
      <c r="L677" s="14">
        <v>739.51</v>
      </c>
      <c r="M677" s="4" t="str">
        <f t="shared" si="40"/>
        <v>sábado</v>
      </c>
      <c r="N677" s="4" t="str">
        <f t="shared" si="41"/>
        <v>marzo</v>
      </c>
      <c r="O677" s="4" t="str">
        <f t="shared" si="42"/>
        <v>SI</v>
      </c>
      <c r="P677" s="4" t="str">
        <f t="shared" si="43"/>
        <v>NO</v>
      </c>
      <c r="Q677" s="4" t="str" cm="1">
        <f t="array" ref="Q677">_xlfn.IFS(AND(H677&gt;=0,H677&lt;=3333),"Grupo 1",AND(H677&gt;3333,H677&lt;=6666),"Grupo 2",AND(H677&gt;6666,H677&lt;=10000),"Grupo 3")</f>
        <v>Grupo 2</v>
      </c>
    </row>
    <row r="678" spans="1:17" x14ac:dyDescent="0.25">
      <c r="A678" t="s">
        <v>88</v>
      </c>
      <c r="B678" s="2">
        <v>45162.795138888891</v>
      </c>
      <c r="C678" t="s">
        <v>343</v>
      </c>
      <c r="D678" t="s">
        <v>217</v>
      </c>
      <c r="E678">
        <v>2</v>
      </c>
      <c r="F678">
        <v>1089.1300000000001</v>
      </c>
      <c r="G678" t="s">
        <v>220</v>
      </c>
      <c r="H678">
        <v>2178.2600000000002</v>
      </c>
      <c r="I678">
        <v>2023</v>
      </c>
      <c r="J678">
        <v>8</v>
      </c>
      <c r="K678">
        <v>19</v>
      </c>
      <c r="L678" s="14">
        <v>1089.1300000000001</v>
      </c>
      <c r="M678" s="4" t="str">
        <f t="shared" si="40"/>
        <v>jueves</v>
      </c>
      <c r="N678" s="4" t="str">
        <f t="shared" si="41"/>
        <v>agosto</v>
      </c>
      <c r="O678" s="4" t="str">
        <f t="shared" si="42"/>
        <v>NO</v>
      </c>
      <c r="P678" s="4" t="str">
        <f t="shared" si="43"/>
        <v>SI</v>
      </c>
      <c r="Q678" s="4" t="str" cm="1">
        <f t="array" ref="Q678">_xlfn.IFS(AND(H678&gt;=0,H678&lt;=3333),"Grupo 1",AND(H678&gt;3333,H678&lt;=6666),"Grupo 2",AND(H678&gt;6666,H678&lt;=10000),"Grupo 3")</f>
        <v>Grupo 1</v>
      </c>
    </row>
    <row r="679" spans="1:17" x14ac:dyDescent="0.25">
      <c r="A679" t="s">
        <v>89</v>
      </c>
      <c r="B679" s="2">
        <v>45517.353472222218</v>
      </c>
      <c r="C679" t="s">
        <v>344</v>
      </c>
      <c r="D679" t="s">
        <v>216</v>
      </c>
      <c r="E679">
        <v>5</v>
      </c>
      <c r="F679">
        <v>1632.75</v>
      </c>
      <c r="G679" t="s">
        <v>221</v>
      </c>
      <c r="H679">
        <v>8163.75</v>
      </c>
      <c r="I679">
        <v>2024</v>
      </c>
      <c r="J679">
        <v>8</v>
      </c>
      <c r="K679">
        <v>8</v>
      </c>
      <c r="L679" s="14">
        <v>1632.75</v>
      </c>
      <c r="M679" s="4" t="str">
        <f t="shared" si="40"/>
        <v>martes</v>
      </c>
      <c r="N679" s="4" t="str">
        <f t="shared" si="41"/>
        <v>agosto</v>
      </c>
      <c r="O679" s="4" t="str">
        <f t="shared" si="42"/>
        <v>SI</v>
      </c>
      <c r="P679" s="4" t="str">
        <f t="shared" si="43"/>
        <v>SI</v>
      </c>
      <c r="Q679" s="4" t="str" cm="1">
        <f t="array" ref="Q679">_xlfn.IFS(AND(H679&gt;=0,H679&lt;=3333),"Grupo 1",AND(H679&gt;3333,H679&lt;=6666),"Grupo 2",AND(H679&gt;6666,H679&lt;=10000),"Grupo 3")</f>
        <v>Grupo 3</v>
      </c>
    </row>
    <row r="680" spans="1:17" x14ac:dyDescent="0.25">
      <c r="A680" t="s">
        <v>90</v>
      </c>
      <c r="B680" s="2">
        <v>45245.664583333331</v>
      </c>
      <c r="C680" t="s">
        <v>345</v>
      </c>
      <c r="D680" t="s">
        <v>212</v>
      </c>
      <c r="E680">
        <v>3</v>
      </c>
      <c r="F680">
        <v>817.35</v>
      </c>
      <c r="G680" t="s">
        <v>220</v>
      </c>
      <c r="H680">
        <v>2452.0500000000002</v>
      </c>
      <c r="I680">
        <v>2023</v>
      </c>
      <c r="J680">
        <v>11</v>
      </c>
      <c r="K680">
        <v>15</v>
      </c>
      <c r="L680" s="14">
        <v>817.35</v>
      </c>
      <c r="M680" s="4" t="str">
        <f t="shared" si="40"/>
        <v>miércoles</v>
      </c>
      <c r="N680" s="4" t="str">
        <f t="shared" si="41"/>
        <v>noviembre</v>
      </c>
      <c r="O680" s="4" t="str">
        <f t="shared" si="42"/>
        <v>NO</v>
      </c>
      <c r="P680" s="4" t="str">
        <f t="shared" si="43"/>
        <v>NO</v>
      </c>
      <c r="Q680" s="4" t="str" cm="1">
        <f t="array" ref="Q680">_xlfn.IFS(AND(H680&gt;=0,H680&lt;=3333),"Grupo 1",AND(H680&gt;3333,H680&lt;=6666),"Grupo 2",AND(H680&gt;6666,H680&lt;=10000),"Grupo 3")</f>
        <v>Grupo 1</v>
      </c>
    </row>
    <row r="681" spans="1:17" x14ac:dyDescent="0.25">
      <c r="A681" t="s">
        <v>91</v>
      </c>
      <c r="B681" s="2">
        <v>45603.368055555547</v>
      </c>
      <c r="C681" t="s">
        <v>346</v>
      </c>
      <c r="D681" t="s">
        <v>213</v>
      </c>
      <c r="E681">
        <v>2</v>
      </c>
      <c r="F681">
        <v>1186.58</v>
      </c>
      <c r="G681" t="s">
        <v>221</v>
      </c>
      <c r="H681">
        <v>2373.16</v>
      </c>
      <c r="I681">
        <v>2024</v>
      </c>
      <c r="J681">
        <v>11</v>
      </c>
      <c r="K681">
        <v>8</v>
      </c>
      <c r="L681" s="14">
        <v>1186.58</v>
      </c>
      <c r="M681" s="4" t="str">
        <f t="shared" si="40"/>
        <v>jueves</v>
      </c>
      <c r="N681" s="4" t="str">
        <f t="shared" si="41"/>
        <v>noviembre</v>
      </c>
      <c r="O681" s="4" t="str">
        <f t="shared" si="42"/>
        <v>NO</v>
      </c>
      <c r="P681" s="4" t="str">
        <f t="shared" si="43"/>
        <v>SI</v>
      </c>
      <c r="Q681" s="4" t="str" cm="1">
        <f t="array" ref="Q681">_xlfn.IFS(AND(H681&gt;=0,H681&lt;=3333),"Grupo 1",AND(H681&gt;3333,H681&lt;=6666),"Grupo 2",AND(H681&gt;6666,H681&lt;=10000),"Grupo 3")</f>
        <v>Grupo 1</v>
      </c>
    </row>
    <row r="682" spans="1:17" x14ac:dyDescent="0.25">
      <c r="A682" t="s">
        <v>92</v>
      </c>
      <c r="B682" s="2">
        <v>44990.597916666673</v>
      </c>
      <c r="C682" t="s">
        <v>347</v>
      </c>
      <c r="D682" t="s">
        <v>215</v>
      </c>
      <c r="E682">
        <v>2</v>
      </c>
      <c r="F682">
        <v>1872.8</v>
      </c>
      <c r="G682" t="s">
        <v>220</v>
      </c>
      <c r="H682">
        <v>3745.6</v>
      </c>
      <c r="I682">
        <v>2023</v>
      </c>
      <c r="J682">
        <v>3</v>
      </c>
      <c r="K682">
        <v>14</v>
      </c>
      <c r="L682" s="14">
        <v>1872.8</v>
      </c>
      <c r="M682" s="4" t="str">
        <f t="shared" si="40"/>
        <v>domingo</v>
      </c>
      <c r="N682" s="4" t="str">
        <f t="shared" si="41"/>
        <v>marzo</v>
      </c>
      <c r="O682" s="4" t="str">
        <f t="shared" si="42"/>
        <v>SI</v>
      </c>
      <c r="P682" s="4" t="str">
        <f t="shared" si="43"/>
        <v>SI</v>
      </c>
      <c r="Q682" s="4" t="str" cm="1">
        <f t="array" ref="Q682">_xlfn.IFS(AND(H682&gt;=0,H682&lt;=3333),"Grupo 1",AND(H682&gt;3333,H682&lt;=6666),"Grupo 2",AND(H682&gt;6666,H682&lt;=10000),"Grupo 3")</f>
        <v>Grupo 2</v>
      </c>
    </row>
    <row r="683" spans="1:17" x14ac:dyDescent="0.25">
      <c r="A683" t="s">
        <v>93</v>
      </c>
      <c r="B683" s="2">
        <v>45273.106249999997</v>
      </c>
      <c r="C683" t="s">
        <v>348</v>
      </c>
      <c r="D683" t="s">
        <v>214</v>
      </c>
      <c r="E683">
        <v>3</v>
      </c>
      <c r="F683">
        <v>680.19</v>
      </c>
      <c r="G683" t="s">
        <v>222</v>
      </c>
      <c r="H683">
        <v>2040.57</v>
      </c>
      <c r="I683">
        <v>2023</v>
      </c>
      <c r="J683">
        <v>12</v>
      </c>
      <c r="K683">
        <v>2</v>
      </c>
      <c r="L683" s="14">
        <v>680.19</v>
      </c>
      <c r="M683" s="4" t="str">
        <f t="shared" si="40"/>
        <v>miércoles</v>
      </c>
      <c r="N683" s="4" t="str">
        <f t="shared" si="41"/>
        <v>diciembre</v>
      </c>
      <c r="O683" s="4" t="str">
        <f t="shared" si="42"/>
        <v>NO</v>
      </c>
      <c r="P683" s="4" t="str">
        <f t="shared" si="43"/>
        <v>NO</v>
      </c>
      <c r="Q683" s="4" t="str" cm="1">
        <f t="array" ref="Q683">_xlfn.IFS(AND(H683&gt;=0,H683&lt;=3333),"Grupo 1",AND(H683&gt;3333,H683&lt;=6666),"Grupo 2",AND(H683&gt;6666,H683&lt;=10000),"Grupo 3")</f>
        <v>Grupo 1</v>
      </c>
    </row>
    <row r="684" spans="1:17" x14ac:dyDescent="0.25">
      <c r="A684" t="s">
        <v>94</v>
      </c>
      <c r="B684" s="2">
        <v>45022.271527777782</v>
      </c>
      <c r="C684" t="s">
        <v>349</v>
      </c>
      <c r="D684" t="s">
        <v>216</v>
      </c>
      <c r="E684">
        <v>4</v>
      </c>
      <c r="F684">
        <v>262.82</v>
      </c>
      <c r="G684" t="s">
        <v>221</v>
      </c>
      <c r="H684">
        <v>1051.28</v>
      </c>
      <c r="I684">
        <v>2023</v>
      </c>
      <c r="J684">
        <v>4</v>
      </c>
      <c r="K684">
        <v>6</v>
      </c>
      <c r="L684" s="14">
        <v>262.82</v>
      </c>
      <c r="M684" s="4" t="str">
        <f t="shared" si="40"/>
        <v>jueves</v>
      </c>
      <c r="N684" s="4" t="str">
        <f t="shared" si="41"/>
        <v>abril</v>
      </c>
      <c r="O684" s="4" t="str">
        <f t="shared" si="42"/>
        <v>NO</v>
      </c>
      <c r="P684" s="4" t="str">
        <f t="shared" si="43"/>
        <v>NO</v>
      </c>
      <c r="Q684" s="4" t="str" cm="1">
        <f t="array" ref="Q684">_xlfn.IFS(AND(H684&gt;=0,H684&lt;=3333),"Grupo 1",AND(H684&gt;3333,H684&lt;=6666),"Grupo 2",AND(H684&gt;6666,H684&lt;=10000),"Grupo 3")</f>
        <v>Grupo 1</v>
      </c>
    </row>
    <row r="685" spans="1:17" x14ac:dyDescent="0.25">
      <c r="A685" t="s">
        <v>95</v>
      </c>
      <c r="B685" s="2">
        <v>45682.68472222222</v>
      </c>
      <c r="C685" t="s">
        <v>350</v>
      </c>
      <c r="D685" t="s">
        <v>215</v>
      </c>
      <c r="E685">
        <v>4</v>
      </c>
      <c r="F685">
        <v>1531.75</v>
      </c>
      <c r="G685" t="s">
        <v>220</v>
      </c>
      <c r="H685">
        <v>6127</v>
      </c>
      <c r="I685">
        <v>2025</v>
      </c>
      <c r="J685">
        <v>1</v>
      </c>
      <c r="K685">
        <v>16</v>
      </c>
      <c r="L685" s="14">
        <v>1531.75</v>
      </c>
      <c r="M685" s="4" t="str">
        <f t="shared" si="40"/>
        <v>sábado</v>
      </c>
      <c r="N685" s="4" t="str">
        <f t="shared" si="41"/>
        <v>enero</v>
      </c>
      <c r="O685" s="4" t="str">
        <f t="shared" si="42"/>
        <v>SI</v>
      </c>
      <c r="P685" s="4" t="str">
        <f t="shared" si="43"/>
        <v>SI</v>
      </c>
      <c r="Q685" s="4" t="str" cm="1">
        <f t="array" ref="Q685">_xlfn.IFS(AND(H685&gt;=0,H685&lt;=3333),"Grupo 1",AND(H685&gt;3333,H685&lt;=6666),"Grupo 2",AND(H685&gt;6666,H685&lt;=10000),"Grupo 3")</f>
        <v>Grupo 2</v>
      </c>
    </row>
    <row r="686" spans="1:17" x14ac:dyDescent="0.25">
      <c r="A686" t="s">
        <v>96</v>
      </c>
      <c r="B686" s="2">
        <v>45099.143750000003</v>
      </c>
      <c r="C686" t="s">
        <v>351</v>
      </c>
      <c r="D686" t="s">
        <v>215</v>
      </c>
      <c r="E686">
        <v>1</v>
      </c>
      <c r="F686">
        <v>503.84</v>
      </c>
      <c r="G686" t="s">
        <v>220</v>
      </c>
      <c r="H686">
        <v>503.84</v>
      </c>
      <c r="I686">
        <v>2023</v>
      </c>
      <c r="J686">
        <v>6</v>
      </c>
      <c r="K686">
        <v>3</v>
      </c>
      <c r="L686" s="14">
        <v>503.84</v>
      </c>
      <c r="M686" s="4" t="str">
        <f t="shared" si="40"/>
        <v>jueves</v>
      </c>
      <c r="N686" s="4" t="str">
        <f t="shared" si="41"/>
        <v>junio</v>
      </c>
      <c r="O686" s="4" t="str">
        <f t="shared" si="42"/>
        <v>NO</v>
      </c>
      <c r="P686" s="4" t="str">
        <f t="shared" si="43"/>
        <v>NO</v>
      </c>
      <c r="Q686" s="4" t="str" cm="1">
        <f t="array" ref="Q686">_xlfn.IFS(AND(H686&gt;=0,H686&lt;=3333),"Grupo 1",AND(H686&gt;3333,H686&lt;=6666),"Grupo 2",AND(H686&gt;6666,H686&lt;=10000),"Grupo 3")</f>
        <v>Grupo 1</v>
      </c>
    </row>
    <row r="687" spans="1:17" x14ac:dyDescent="0.25">
      <c r="A687" t="s">
        <v>97</v>
      </c>
      <c r="B687" s="2">
        <v>45546.810416666667</v>
      </c>
      <c r="C687" t="s">
        <v>352</v>
      </c>
      <c r="D687" t="s">
        <v>217</v>
      </c>
      <c r="E687">
        <v>4</v>
      </c>
      <c r="F687">
        <v>1908.41</v>
      </c>
      <c r="G687" t="s">
        <v>220</v>
      </c>
      <c r="H687">
        <v>7633.64</v>
      </c>
      <c r="I687">
        <v>2024</v>
      </c>
      <c r="J687">
        <v>9</v>
      </c>
      <c r="K687">
        <v>19</v>
      </c>
      <c r="L687" s="14">
        <v>1908.41</v>
      </c>
      <c r="M687" s="4" t="str">
        <f t="shared" si="40"/>
        <v>miércoles</v>
      </c>
      <c r="N687" s="4" t="str">
        <f t="shared" si="41"/>
        <v>septiembre</v>
      </c>
      <c r="O687" s="4" t="str">
        <f t="shared" si="42"/>
        <v>SI</v>
      </c>
      <c r="P687" s="4" t="str">
        <f t="shared" si="43"/>
        <v>SI</v>
      </c>
      <c r="Q687" s="4" t="str" cm="1">
        <f t="array" ref="Q687">_xlfn.IFS(AND(H687&gt;=0,H687&lt;=3333),"Grupo 1",AND(H687&gt;3333,H687&lt;=6666),"Grupo 2",AND(H687&gt;6666,H687&lt;=10000),"Grupo 3")</f>
        <v>Grupo 3</v>
      </c>
    </row>
    <row r="688" spans="1:17" x14ac:dyDescent="0.25">
      <c r="A688" t="s">
        <v>98</v>
      </c>
      <c r="B688" s="2">
        <v>45451.106249999997</v>
      </c>
      <c r="C688" t="s">
        <v>353</v>
      </c>
      <c r="D688" t="s">
        <v>215</v>
      </c>
      <c r="E688">
        <v>2</v>
      </c>
      <c r="F688">
        <v>114.6</v>
      </c>
      <c r="G688" t="s">
        <v>220</v>
      </c>
      <c r="H688">
        <v>229.2</v>
      </c>
      <c r="I688">
        <v>2024</v>
      </c>
      <c r="J688">
        <v>6</v>
      </c>
      <c r="K688">
        <v>2</v>
      </c>
      <c r="L688" s="14">
        <v>114.6</v>
      </c>
      <c r="M688" s="4" t="str">
        <f t="shared" si="40"/>
        <v>sábado</v>
      </c>
      <c r="N688" s="4" t="str">
        <f t="shared" si="41"/>
        <v>junio</v>
      </c>
      <c r="O688" s="4" t="str">
        <f t="shared" si="42"/>
        <v>NO</v>
      </c>
      <c r="P688" s="4" t="str">
        <f t="shared" si="43"/>
        <v>NO</v>
      </c>
      <c r="Q688" s="4" t="str" cm="1">
        <f t="array" ref="Q688">_xlfn.IFS(AND(H688&gt;=0,H688&lt;=3333),"Grupo 1",AND(H688&gt;3333,H688&lt;=6666),"Grupo 2",AND(H688&gt;6666,H688&lt;=10000),"Grupo 3")</f>
        <v>Grupo 1</v>
      </c>
    </row>
    <row r="689" spans="1:17" x14ac:dyDescent="0.25">
      <c r="A689" t="s">
        <v>99</v>
      </c>
      <c r="B689" s="2">
        <v>45101.551388888889</v>
      </c>
      <c r="C689" t="s">
        <v>354</v>
      </c>
      <c r="D689" t="s">
        <v>215</v>
      </c>
      <c r="E689">
        <v>2</v>
      </c>
      <c r="F689">
        <v>595.78</v>
      </c>
      <c r="G689" t="s">
        <v>220</v>
      </c>
      <c r="H689">
        <v>1191.56</v>
      </c>
      <c r="I689">
        <v>2023</v>
      </c>
      <c r="J689">
        <v>6</v>
      </c>
      <c r="K689">
        <v>13</v>
      </c>
      <c r="L689" s="14">
        <v>595.78</v>
      </c>
      <c r="M689" s="4" t="str">
        <f t="shared" si="40"/>
        <v>sábado</v>
      </c>
      <c r="N689" s="4" t="str">
        <f t="shared" si="41"/>
        <v>junio</v>
      </c>
      <c r="O689" s="4" t="str">
        <f t="shared" si="42"/>
        <v>NO</v>
      </c>
      <c r="P689" s="4" t="str">
        <f t="shared" si="43"/>
        <v>NO</v>
      </c>
      <c r="Q689" s="4" t="str" cm="1">
        <f t="array" ref="Q689">_xlfn.IFS(AND(H689&gt;=0,H689&lt;=3333),"Grupo 1",AND(H689&gt;3333,H689&lt;=6666),"Grupo 2",AND(H689&gt;6666,H689&lt;=10000),"Grupo 3")</f>
        <v>Grupo 1</v>
      </c>
    </row>
    <row r="690" spans="1:17" x14ac:dyDescent="0.25">
      <c r="A690" t="s">
        <v>100</v>
      </c>
      <c r="B690" s="2">
        <v>45405.413194444453</v>
      </c>
      <c r="C690" t="s">
        <v>355</v>
      </c>
      <c r="D690" t="s">
        <v>217</v>
      </c>
      <c r="E690">
        <v>2</v>
      </c>
      <c r="F690">
        <v>75.02</v>
      </c>
      <c r="G690" t="s">
        <v>220</v>
      </c>
      <c r="H690">
        <v>150.04</v>
      </c>
      <c r="I690">
        <v>2024</v>
      </c>
      <c r="J690">
        <v>4</v>
      </c>
      <c r="K690">
        <v>9</v>
      </c>
      <c r="L690" s="14">
        <v>75.02</v>
      </c>
      <c r="M690" s="4" t="str">
        <f t="shared" si="40"/>
        <v>martes</v>
      </c>
      <c r="N690" s="4" t="str">
        <f t="shared" si="41"/>
        <v>abril</v>
      </c>
      <c r="O690" s="4" t="str">
        <f t="shared" si="42"/>
        <v>NO</v>
      </c>
      <c r="P690" s="4" t="str">
        <f t="shared" si="43"/>
        <v>NO</v>
      </c>
      <c r="Q690" s="4" t="str" cm="1">
        <f t="array" ref="Q690">_xlfn.IFS(AND(H690&gt;=0,H690&lt;=3333),"Grupo 1",AND(H690&gt;3333,H690&lt;=6666),"Grupo 2",AND(H690&gt;6666,H690&lt;=10000),"Grupo 3")</f>
        <v>Grupo 1</v>
      </c>
    </row>
    <row r="691" spans="1:17" x14ac:dyDescent="0.25">
      <c r="A691" t="s">
        <v>101</v>
      </c>
      <c r="B691" s="2">
        <v>45465.332638888889</v>
      </c>
      <c r="C691" t="s">
        <v>356</v>
      </c>
      <c r="D691" t="s">
        <v>216</v>
      </c>
      <c r="E691">
        <v>5</v>
      </c>
      <c r="F691">
        <v>540.91999999999996</v>
      </c>
      <c r="G691" t="s">
        <v>221</v>
      </c>
      <c r="H691">
        <v>2704.6</v>
      </c>
      <c r="I691">
        <v>2024</v>
      </c>
      <c r="J691">
        <v>6</v>
      </c>
      <c r="K691">
        <v>7</v>
      </c>
      <c r="L691" s="14">
        <v>540.91999999999996</v>
      </c>
      <c r="M691" s="4" t="str">
        <f t="shared" si="40"/>
        <v>sábado</v>
      </c>
      <c r="N691" s="4" t="str">
        <f t="shared" si="41"/>
        <v>junio</v>
      </c>
      <c r="O691" s="4" t="str">
        <f t="shared" si="42"/>
        <v>NO</v>
      </c>
      <c r="P691" s="4" t="str">
        <f t="shared" si="43"/>
        <v>NO</v>
      </c>
      <c r="Q691" s="4" t="str" cm="1">
        <f t="array" ref="Q691">_xlfn.IFS(AND(H691&gt;=0,H691&lt;=3333),"Grupo 1",AND(H691&gt;3333,H691&lt;=6666),"Grupo 2",AND(H691&gt;6666,H691&lt;=10000),"Grupo 3")</f>
        <v>Grupo 1</v>
      </c>
    </row>
    <row r="692" spans="1:17" x14ac:dyDescent="0.25">
      <c r="A692" t="s">
        <v>102</v>
      </c>
      <c r="B692" s="2">
        <v>45863.330555555563</v>
      </c>
      <c r="C692" t="s">
        <v>357</v>
      </c>
      <c r="D692" t="s">
        <v>212</v>
      </c>
      <c r="E692">
        <v>2</v>
      </c>
      <c r="F692">
        <v>356.91</v>
      </c>
      <c r="G692" t="s">
        <v>220</v>
      </c>
      <c r="H692">
        <v>713.82</v>
      </c>
      <c r="I692">
        <v>2025</v>
      </c>
      <c r="J692">
        <v>7</v>
      </c>
      <c r="K692">
        <v>7</v>
      </c>
      <c r="L692" s="14">
        <v>356.91</v>
      </c>
      <c r="M692" s="4" t="str">
        <f t="shared" si="40"/>
        <v>viernes</v>
      </c>
      <c r="N692" s="4" t="str">
        <f t="shared" si="41"/>
        <v>julio</v>
      </c>
      <c r="O692" s="4" t="str">
        <f t="shared" si="42"/>
        <v>NO</v>
      </c>
      <c r="P692" s="4" t="str">
        <f t="shared" si="43"/>
        <v>NO</v>
      </c>
      <c r="Q692" s="4" t="str" cm="1">
        <f t="array" ref="Q692">_xlfn.IFS(AND(H692&gt;=0,H692&lt;=3333),"Grupo 1",AND(H692&gt;3333,H692&lt;=6666),"Grupo 2",AND(H692&gt;6666,H692&lt;=10000),"Grupo 3")</f>
        <v>Grupo 1</v>
      </c>
    </row>
    <row r="693" spans="1:17" x14ac:dyDescent="0.25">
      <c r="A693" t="s">
        <v>103</v>
      </c>
      <c r="B693" s="2">
        <v>45727.712500000001</v>
      </c>
      <c r="C693" t="s">
        <v>358</v>
      </c>
      <c r="D693" t="s">
        <v>219</v>
      </c>
      <c r="E693">
        <v>3</v>
      </c>
      <c r="F693">
        <v>1135.67</v>
      </c>
      <c r="G693" t="s">
        <v>221</v>
      </c>
      <c r="H693">
        <v>3407.01</v>
      </c>
      <c r="I693">
        <v>2025</v>
      </c>
      <c r="J693">
        <v>3</v>
      </c>
      <c r="K693">
        <v>17</v>
      </c>
      <c r="L693" s="14">
        <v>1135.67</v>
      </c>
      <c r="M693" s="4" t="str">
        <f t="shared" si="40"/>
        <v>martes</v>
      </c>
      <c r="N693" s="4" t="str">
        <f t="shared" si="41"/>
        <v>marzo</v>
      </c>
      <c r="O693" s="4" t="str">
        <f t="shared" si="42"/>
        <v>SI</v>
      </c>
      <c r="P693" s="4" t="str">
        <f t="shared" si="43"/>
        <v>SI</v>
      </c>
      <c r="Q693" s="4" t="str" cm="1">
        <f t="array" ref="Q693">_xlfn.IFS(AND(H693&gt;=0,H693&lt;=3333),"Grupo 1",AND(H693&gt;3333,H693&lt;=6666),"Grupo 2",AND(H693&gt;6666,H693&lt;=10000),"Grupo 3")</f>
        <v>Grupo 2</v>
      </c>
    </row>
    <row r="694" spans="1:17" x14ac:dyDescent="0.25">
      <c r="A694" t="s">
        <v>104</v>
      </c>
      <c r="B694" s="2">
        <v>45676.398611111108</v>
      </c>
      <c r="C694" t="s">
        <v>359</v>
      </c>
      <c r="D694" t="s">
        <v>215</v>
      </c>
      <c r="E694">
        <v>3</v>
      </c>
      <c r="F694">
        <v>805.69</v>
      </c>
      <c r="G694" t="s">
        <v>220</v>
      </c>
      <c r="H694">
        <v>2417.0700000000002</v>
      </c>
      <c r="I694">
        <v>2025</v>
      </c>
      <c r="J694">
        <v>1</v>
      </c>
      <c r="K694">
        <v>9</v>
      </c>
      <c r="L694" s="14">
        <v>805.69</v>
      </c>
      <c r="M694" s="4" t="str">
        <f t="shared" si="40"/>
        <v>domingo</v>
      </c>
      <c r="N694" s="4" t="str">
        <f t="shared" si="41"/>
        <v>enero</v>
      </c>
      <c r="O694" s="4" t="str">
        <f t="shared" si="42"/>
        <v>NO</v>
      </c>
      <c r="P694" s="4" t="str">
        <f t="shared" si="43"/>
        <v>NO</v>
      </c>
      <c r="Q694" s="4" t="str" cm="1">
        <f t="array" ref="Q694">_xlfn.IFS(AND(H694&gt;=0,H694&lt;=3333),"Grupo 1",AND(H694&gt;3333,H694&lt;=6666),"Grupo 2",AND(H694&gt;6666,H694&lt;=10000),"Grupo 3")</f>
        <v>Grupo 1</v>
      </c>
    </row>
    <row r="695" spans="1:17" x14ac:dyDescent="0.25">
      <c r="A695" t="s">
        <v>105</v>
      </c>
      <c r="B695" s="2">
        <v>45289.026388888888</v>
      </c>
      <c r="C695" t="s">
        <v>261</v>
      </c>
      <c r="D695" t="s">
        <v>217</v>
      </c>
      <c r="E695">
        <v>2</v>
      </c>
      <c r="F695">
        <v>1259.07</v>
      </c>
      <c r="G695" t="s">
        <v>220</v>
      </c>
      <c r="H695">
        <v>2518.14</v>
      </c>
      <c r="I695">
        <v>2023</v>
      </c>
      <c r="J695">
        <v>12</v>
      </c>
      <c r="K695">
        <v>0</v>
      </c>
      <c r="L695" s="14">
        <v>1259.07</v>
      </c>
      <c r="M695" s="4" t="str">
        <f t="shared" si="40"/>
        <v>viernes</v>
      </c>
      <c r="N695" s="4" t="str">
        <f t="shared" si="41"/>
        <v>diciembre</v>
      </c>
      <c r="O695" s="4" t="str">
        <f t="shared" si="42"/>
        <v>NO</v>
      </c>
      <c r="P695" s="4" t="str">
        <f t="shared" si="43"/>
        <v>SI</v>
      </c>
      <c r="Q695" s="4" t="str" cm="1">
        <f t="array" ref="Q695">_xlfn.IFS(AND(H695&gt;=0,H695&lt;=3333),"Grupo 1",AND(H695&gt;3333,H695&lt;=6666),"Grupo 2",AND(H695&gt;6666,H695&lt;=10000),"Grupo 3")</f>
        <v>Grupo 1</v>
      </c>
    </row>
    <row r="696" spans="1:17" x14ac:dyDescent="0.25">
      <c r="A696" t="s">
        <v>106</v>
      </c>
      <c r="B696" s="2">
        <v>45473.418749999997</v>
      </c>
      <c r="C696" t="s">
        <v>262</v>
      </c>
      <c r="D696" t="s">
        <v>218</v>
      </c>
      <c r="E696">
        <v>3</v>
      </c>
      <c r="F696">
        <v>600.4</v>
      </c>
      <c r="G696" t="s">
        <v>221</v>
      </c>
      <c r="H696">
        <v>1801.2</v>
      </c>
      <c r="I696">
        <v>2024</v>
      </c>
      <c r="J696">
        <v>6</v>
      </c>
      <c r="K696">
        <v>10</v>
      </c>
      <c r="L696" s="14">
        <v>600.4</v>
      </c>
      <c r="M696" s="4" t="str">
        <f t="shared" si="40"/>
        <v>domingo</v>
      </c>
      <c r="N696" s="4" t="str">
        <f t="shared" si="41"/>
        <v>junio</v>
      </c>
      <c r="O696" s="4" t="str">
        <f t="shared" si="42"/>
        <v>NO</v>
      </c>
      <c r="P696" s="4" t="str">
        <f t="shared" si="43"/>
        <v>NO</v>
      </c>
      <c r="Q696" s="4" t="str" cm="1">
        <f t="array" ref="Q696">_xlfn.IFS(AND(H696&gt;=0,H696&lt;=3333),"Grupo 1",AND(H696&gt;3333,H696&lt;=6666),"Grupo 2",AND(H696&gt;6666,H696&lt;=10000),"Grupo 3")</f>
        <v>Grupo 1</v>
      </c>
    </row>
    <row r="697" spans="1:17" x14ac:dyDescent="0.25">
      <c r="A697" t="s">
        <v>107</v>
      </c>
      <c r="B697" s="2">
        <v>45499.757638888892</v>
      </c>
      <c r="C697" t="s">
        <v>263</v>
      </c>
      <c r="D697" t="s">
        <v>214</v>
      </c>
      <c r="E697">
        <v>2</v>
      </c>
      <c r="F697">
        <v>479.81</v>
      </c>
      <c r="G697" t="s">
        <v>222</v>
      </c>
      <c r="H697">
        <v>959.62</v>
      </c>
      <c r="I697">
        <v>2024</v>
      </c>
      <c r="J697">
        <v>7</v>
      </c>
      <c r="K697">
        <v>18</v>
      </c>
      <c r="L697" s="14">
        <v>479.81</v>
      </c>
      <c r="M697" s="4" t="str">
        <f t="shared" si="40"/>
        <v>viernes</v>
      </c>
      <c r="N697" s="4" t="str">
        <f t="shared" si="41"/>
        <v>julio</v>
      </c>
      <c r="O697" s="4" t="str">
        <f t="shared" si="42"/>
        <v>NO</v>
      </c>
      <c r="P697" s="4" t="str">
        <f t="shared" si="43"/>
        <v>NO</v>
      </c>
      <c r="Q697" s="4" t="str" cm="1">
        <f t="array" ref="Q697">_xlfn.IFS(AND(H697&gt;=0,H697&lt;=3333),"Grupo 1",AND(H697&gt;3333,H697&lt;=6666),"Grupo 2",AND(H697&gt;6666,H697&lt;=10000),"Grupo 3")</f>
        <v>Grupo 1</v>
      </c>
    </row>
    <row r="698" spans="1:17" x14ac:dyDescent="0.25">
      <c r="A698" t="s">
        <v>108</v>
      </c>
      <c r="B698" s="2">
        <v>45541.331250000003</v>
      </c>
      <c r="C698" t="s">
        <v>264</v>
      </c>
      <c r="D698" t="s">
        <v>216</v>
      </c>
      <c r="E698">
        <v>1</v>
      </c>
      <c r="F698">
        <v>1888.86</v>
      </c>
      <c r="G698" t="s">
        <v>221</v>
      </c>
      <c r="H698">
        <v>1888.86</v>
      </c>
      <c r="I698">
        <v>2024</v>
      </c>
      <c r="J698">
        <v>9</v>
      </c>
      <c r="K698">
        <v>7</v>
      </c>
      <c r="L698" s="14">
        <v>1888.86</v>
      </c>
      <c r="M698" s="4" t="str">
        <f t="shared" si="40"/>
        <v>viernes</v>
      </c>
      <c r="N698" s="4" t="str">
        <f t="shared" si="41"/>
        <v>septiembre</v>
      </c>
      <c r="O698" s="4" t="str">
        <f t="shared" si="42"/>
        <v>NO</v>
      </c>
      <c r="P698" s="4" t="str">
        <f t="shared" si="43"/>
        <v>SI</v>
      </c>
      <c r="Q698" s="4" t="str" cm="1">
        <f t="array" ref="Q698">_xlfn.IFS(AND(H698&gt;=0,H698&lt;=3333),"Grupo 1",AND(H698&gt;3333,H698&lt;=6666),"Grupo 2",AND(H698&gt;6666,H698&lt;=10000),"Grupo 3")</f>
        <v>Grupo 1</v>
      </c>
    </row>
    <row r="699" spans="1:17" x14ac:dyDescent="0.25">
      <c r="A699" t="s">
        <v>109</v>
      </c>
      <c r="B699" s="2">
        <v>45542.574305555558</v>
      </c>
      <c r="C699" t="s">
        <v>265</v>
      </c>
      <c r="D699" t="s">
        <v>217</v>
      </c>
      <c r="E699">
        <v>4</v>
      </c>
      <c r="F699">
        <v>1821.05</v>
      </c>
      <c r="G699" t="s">
        <v>220</v>
      </c>
      <c r="H699">
        <v>7284.2</v>
      </c>
      <c r="I699">
        <v>2024</v>
      </c>
      <c r="J699">
        <v>9</v>
      </c>
      <c r="K699">
        <v>13</v>
      </c>
      <c r="L699" s="14">
        <v>1821.05</v>
      </c>
      <c r="M699" s="4" t="str">
        <f t="shared" si="40"/>
        <v>sábado</v>
      </c>
      <c r="N699" s="4" t="str">
        <f t="shared" si="41"/>
        <v>septiembre</v>
      </c>
      <c r="O699" s="4" t="str">
        <f t="shared" si="42"/>
        <v>SI</v>
      </c>
      <c r="P699" s="4" t="str">
        <f t="shared" si="43"/>
        <v>SI</v>
      </c>
      <c r="Q699" s="4" t="str" cm="1">
        <f t="array" ref="Q699">_xlfn.IFS(AND(H699&gt;=0,H699&lt;=3333),"Grupo 1",AND(H699&gt;3333,H699&lt;=6666),"Grupo 2",AND(H699&gt;6666,H699&lt;=10000),"Grupo 3")</f>
        <v>Grupo 3</v>
      </c>
    </row>
    <row r="700" spans="1:17" x14ac:dyDescent="0.25">
      <c r="A700" t="s">
        <v>110</v>
      </c>
      <c r="B700" s="2">
        <v>45846.336805555547</v>
      </c>
      <c r="C700" t="s">
        <v>266</v>
      </c>
      <c r="D700" t="s">
        <v>218</v>
      </c>
      <c r="E700">
        <v>3</v>
      </c>
      <c r="F700">
        <v>1537.23</v>
      </c>
      <c r="G700" t="s">
        <v>221</v>
      </c>
      <c r="H700">
        <v>4611.6900000000014</v>
      </c>
      <c r="I700">
        <v>2025</v>
      </c>
      <c r="J700">
        <v>7</v>
      </c>
      <c r="K700">
        <v>8</v>
      </c>
      <c r="L700" s="14">
        <v>1537.23</v>
      </c>
      <c r="M700" s="4" t="str">
        <f t="shared" si="40"/>
        <v>martes</v>
      </c>
      <c r="N700" s="4" t="str">
        <f t="shared" si="41"/>
        <v>julio</v>
      </c>
      <c r="O700" s="4" t="str">
        <f t="shared" si="42"/>
        <v>SI</v>
      </c>
      <c r="P700" s="4" t="str">
        <f t="shared" si="43"/>
        <v>SI</v>
      </c>
      <c r="Q700" s="4" t="str" cm="1">
        <f t="array" ref="Q700">_xlfn.IFS(AND(H700&gt;=0,H700&lt;=3333),"Grupo 1",AND(H700&gt;3333,H700&lt;=6666),"Grupo 2",AND(H700&gt;6666,H700&lt;=10000),"Grupo 3")</f>
        <v>Grupo 2</v>
      </c>
    </row>
    <row r="701" spans="1:17" x14ac:dyDescent="0.25">
      <c r="A701" t="s">
        <v>111</v>
      </c>
      <c r="B701" s="2">
        <v>45318.705555555563</v>
      </c>
      <c r="C701" t="s">
        <v>267</v>
      </c>
      <c r="D701" t="s">
        <v>214</v>
      </c>
      <c r="E701">
        <v>3</v>
      </c>
      <c r="F701">
        <v>311.66000000000003</v>
      </c>
      <c r="G701" t="s">
        <v>222</v>
      </c>
      <c r="H701">
        <v>934.98</v>
      </c>
      <c r="I701">
        <v>2024</v>
      </c>
      <c r="J701">
        <v>1</v>
      </c>
      <c r="K701">
        <v>16</v>
      </c>
      <c r="L701" s="14">
        <v>311.66000000000003</v>
      </c>
      <c r="M701" s="4" t="str">
        <f t="shared" si="40"/>
        <v>sábado</v>
      </c>
      <c r="N701" s="4" t="str">
        <f t="shared" si="41"/>
        <v>enero</v>
      </c>
      <c r="O701" s="4" t="str">
        <f t="shared" si="42"/>
        <v>NO</v>
      </c>
      <c r="P701" s="4" t="str">
        <f t="shared" si="43"/>
        <v>NO</v>
      </c>
      <c r="Q701" s="4" t="str" cm="1">
        <f t="array" ref="Q701">_xlfn.IFS(AND(H701&gt;=0,H701&lt;=3333),"Grupo 1",AND(H701&gt;3333,H701&lt;=6666),"Grupo 2",AND(H701&gt;6666,H701&lt;=10000),"Grupo 3")</f>
        <v>Grupo 1</v>
      </c>
    </row>
    <row r="702" spans="1:17" x14ac:dyDescent="0.25">
      <c r="A702" t="s">
        <v>112</v>
      </c>
      <c r="B702" s="2">
        <v>45595.668055555558</v>
      </c>
      <c r="C702" t="s">
        <v>268</v>
      </c>
      <c r="D702" t="s">
        <v>213</v>
      </c>
      <c r="E702">
        <v>5</v>
      </c>
      <c r="F702">
        <v>149.09</v>
      </c>
      <c r="G702" t="s">
        <v>221</v>
      </c>
      <c r="H702">
        <v>745.45</v>
      </c>
      <c r="I702">
        <v>2024</v>
      </c>
      <c r="J702">
        <v>10</v>
      </c>
      <c r="K702">
        <v>16</v>
      </c>
      <c r="L702" s="14">
        <v>149.09</v>
      </c>
      <c r="M702" s="4" t="str">
        <f t="shared" si="40"/>
        <v>miércoles</v>
      </c>
      <c r="N702" s="4" t="str">
        <f t="shared" si="41"/>
        <v>octubre</v>
      </c>
      <c r="O702" s="4" t="str">
        <f t="shared" si="42"/>
        <v>NO</v>
      </c>
      <c r="P702" s="4" t="str">
        <f t="shared" si="43"/>
        <v>NO</v>
      </c>
      <c r="Q702" s="4" t="str" cm="1">
        <f t="array" ref="Q702">_xlfn.IFS(AND(H702&gt;=0,H702&lt;=3333),"Grupo 1",AND(H702&gt;3333,H702&lt;=6666),"Grupo 2",AND(H702&gt;6666,H702&lt;=10000),"Grupo 3")</f>
        <v>Grupo 1</v>
      </c>
    </row>
    <row r="703" spans="1:17" x14ac:dyDescent="0.25">
      <c r="A703" t="s">
        <v>113</v>
      </c>
      <c r="B703" s="2">
        <v>44984.418055555558</v>
      </c>
      <c r="C703" t="s">
        <v>269</v>
      </c>
      <c r="D703" t="s">
        <v>217</v>
      </c>
      <c r="E703">
        <v>5</v>
      </c>
      <c r="F703">
        <v>1885.48</v>
      </c>
      <c r="G703" t="s">
        <v>220</v>
      </c>
      <c r="H703">
        <v>9427.4</v>
      </c>
      <c r="I703">
        <v>2023</v>
      </c>
      <c r="J703">
        <v>2</v>
      </c>
      <c r="K703">
        <v>10</v>
      </c>
      <c r="L703" s="14">
        <v>1885.48</v>
      </c>
      <c r="M703" s="4" t="str">
        <f t="shared" si="40"/>
        <v>lunes</v>
      </c>
      <c r="N703" s="4" t="str">
        <f t="shared" si="41"/>
        <v>febrero</v>
      </c>
      <c r="O703" s="4" t="str">
        <f t="shared" si="42"/>
        <v>SI</v>
      </c>
      <c r="P703" s="4" t="str">
        <f t="shared" si="43"/>
        <v>SI</v>
      </c>
      <c r="Q703" s="4" t="str" cm="1">
        <f t="array" ref="Q703">_xlfn.IFS(AND(H703&gt;=0,H703&lt;=3333),"Grupo 1",AND(H703&gt;3333,H703&lt;=6666),"Grupo 2",AND(H703&gt;6666,H703&lt;=10000),"Grupo 3")</f>
        <v>Grupo 3</v>
      </c>
    </row>
    <row r="704" spans="1:17" x14ac:dyDescent="0.25">
      <c r="A704" t="s">
        <v>114</v>
      </c>
      <c r="B704" s="2">
        <v>45153.455555555563</v>
      </c>
      <c r="C704" t="s">
        <v>270</v>
      </c>
      <c r="D704" t="s">
        <v>216</v>
      </c>
      <c r="E704">
        <v>3</v>
      </c>
      <c r="F704">
        <v>1591.92</v>
      </c>
      <c r="G704" t="s">
        <v>221</v>
      </c>
      <c r="H704">
        <v>4775.76</v>
      </c>
      <c r="I704">
        <v>2023</v>
      </c>
      <c r="J704">
        <v>8</v>
      </c>
      <c r="K704">
        <v>10</v>
      </c>
      <c r="L704" s="14">
        <v>1591.92</v>
      </c>
      <c r="M704" s="4" t="str">
        <f t="shared" si="40"/>
        <v>martes</v>
      </c>
      <c r="N704" s="4" t="str">
        <f t="shared" si="41"/>
        <v>agosto</v>
      </c>
      <c r="O704" s="4" t="str">
        <f t="shared" si="42"/>
        <v>SI</v>
      </c>
      <c r="P704" s="4" t="str">
        <f t="shared" si="43"/>
        <v>SI</v>
      </c>
      <c r="Q704" s="4" t="str" cm="1">
        <f t="array" ref="Q704">_xlfn.IFS(AND(H704&gt;=0,H704&lt;=3333),"Grupo 1",AND(H704&gt;3333,H704&lt;=6666),"Grupo 2",AND(H704&gt;6666,H704&lt;=10000),"Grupo 3")</f>
        <v>Grupo 2</v>
      </c>
    </row>
    <row r="705" spans="1:17" x14ac:dyDescent="0.25">
      <c r="A705" t="s">
        <v>115</v>
      </c>
      <c r="B705" s="2">
        <v>45919.24722222222</v>
      </c>
      <c r="C705" t="s">
        <v>271</v>
      </c>
      <c r="D705" t="s">
        <v>216</v>
      </c>
      <c r="E705">
        <v>5</v>
      </c>
      <c r="F705">
        <v>1383.33</v>
      </c>
      <c r="G705" t="s">
        <v>221</v>
      </c>
      <c r="H705">
        <v>6916.65</v>
      </c>
      <c r="I705">
        <v>2025</v>
      </c>
      <c r="J705">
        <v>9</v>
      </c>
      <c r="K705">
        <v>5</v>
      </c>
      <c r="L705" s="14">
        <v>1383.33</v>
      </c>
      <c r="M705" s="4" t="str">
        <f t="shared" si="40"/>
        <v>viernes</v>
      </c>
      <c r="N705" s="4" t="str">
        <f t="shared" si="41"/>
        <v>septiembre</v>
      </c>
      <c r="O705" s="4" t="str">
        <f t="shared" si="42"/>
        <v>SI</v>
      </c>
      <c r="P705" s="4" t="str">
        <f t="shared" si="43"/>
        <v>SI</v>
      </c>
      <c r="Q705" s="4" t="str" cm="1">
        <f t="array" ref="Q705">_xlfn.IFS(AND(H705&gt;=0,H705&lt;=3333),"Grupo 1",AND(H705&gt;3333,H705&lt;=6666),"Grupo 2",AND(H705&gt;6666,H705&lt;=10000),"Grupo 3")</f>
        <v>Grupo 3</v>
      </c>
    </row>
    <row r="706" spans="1:17" x14ac:dyDescent="0.25">
      <c r="A706" t="s">
        <v>116</v>
      </c>
      <c r="B706" s="2">
        <v>45815.543055555558</v>
      </c>
      <c r="C706" t="s">
        <v>272</v>
      </c>
      <c r="D706" t="s">
        <v>214</v>
      </c>
      <c r="E706">
        <v>2</v>
      </c>
      <c r="F706">
        <v>1051.23</v>
      </c>
      <c r="G706" t="s">
        <v>222</v>
      </c>
      <c r="H706">
        <v>2102.46</v>
      </c>
      <c r="I706">
        <v>2025</v>
      </c>
      <c r="J706">
        <v>6</v>
      </c>
      <c r="K706">
        <v>13</v>
      </c>
      <c r="L706" s="14">
        <v>1051.23</v>
      </c>
      <c r="M706" s="4" t="str">
        <f t="shared" ref="M706:M769" si="44">TEXT(B706,"dddd")</f>
        <v>sábado</v>
      </c>
      <c r="N706" s="4" t="str">
        <f t="shared" ref="N706:N769" si="45">TEXT(B706,"mmmm")</f>
        <v>junio</v>
      </c>
      <c r="O706" s="4" t="str">
        <f t="shared" si="42"/>
        <v>NO</v>
      </c>
      <c r="P706" s="4" t="str">
        <f t="shared" si="43"/>
        <v>SI</v>
      </c>
      <c r="Q706" s="4" t="str" cm="1">
        <f t="array" ref="Q706">_xlfn.IFS(AND(H706&gt;=0,H706&lt;=3333),"Grupo 1",AND(H706&gt;3333,H706&lt;=6666),"Grupo 2",AND(H706&gt;6666,H706&lt;=10000),"Grupo 3")</f>
        <v>Grupo 1</v>
      </c>
    </row>
    <row r="707" spans="1:17" x14ac:dyDescent="0.25">
      <c r="A707" t="s">
        <v>117</v>
      </c>
      <c r="B707" s="2">
        <v>45255.4</v>
      </c>
      <c r="C707" t="s">
        <v>273</v>
      </c>
      <c r="D707" t="s">
        <v>219</v>
      </c>
      <c r="E707">
        <v>4</v>
      </c>
      <c r="F707">
        <v>1274.46</v>
      </c>
      <c r="G707" t="s">
        <v>221</v>
      </c>
      <c r="H707">
        <v>5097.84</v>
      </c>
      <c r="I707">
        <v>2023</v>
      </c>
      <c r="J707">
        <v>11</v>
      </c>
      <c r="K707">
        <v>9</v>
      </c>
      <c r="L707" s="14">
        <v>1274.46</v>
      </c>
      <c r="M707" s="4" t="str">
        <f t="shared" si="44"/>
        <v>sábado</v>
      </c>
      <c r="N707" s="4" t="str">
        <f t="shared" si="45"/>
        <v>noviembre</v>
      </c>
      <c r="O707" s="4" t="str">
        <f t="shared" ref="O707:O770" si="46">IF(H707&gt;AVERAGE(H:H),"SI","NO")</f>
        <v>SI</v>
      </c>
      <c r="P707" s="4" t="str">
        <f t="shared" ref="P707:P770" si="47">IF(L707&gt;AVERAGE(L:L),"SI","NO")</f>
        <v>SI</v>
      </c>
      <c r="Q707" s="4" t="str" cm="1">
        <f t="array" ref="Q707">_xlfn.IFS(AND(H707&gt;=0,H707&lt;=3333),"Grupo 1",AND(H707&gt;3333,H707&lt;=6666),"Grupo 2",AND(H707&gt;6666,H707&lt;=10000),"Grupo 3")</f>
        <v>Grupo 2</v>
      </c>
    </row>
    <row r="708" spans="1:17" x14ac:dyDescent="0.25">
      <c r="A708" t="s">
        <v>118</v>
      </c>
      <c r="B708" s="2">
        <v>45754.797222222223</v>
      </c>
      <c r="C708" t="s">
        <v>274</v>
      </c>
      <c r="D708" t="s">
        <v>212</v>
      </c>
      <c r="E708">
        <v>1</v>
      </c>
      <c r="F708">
        <v>1251.08</v>
      </c>
      <c r="G708" t="s">
        <v>220</v>
      </c>
      <c r="H708">
        <v>1251.08</v>
      </c>
      <c r="I708">
        <v>2025</v>
      </c>
      <c r="J708">
        <v>4</v>
      </c>
      <c r="K708">
        <v>19</v>
      </c>
      <c r="L708" s="14">
        <v>1251.08</v>
      </c>
      <c r="M708" s="4" t="str">
        <f t="shared" si="44"/>
        <v>lunes</v>
      </c>
      <c r="N708" s="4" t="str">
        <f t="shared" si="45"/>
        <v>abril</v>
      </c>
      <c r="O708" s="4" t="str">
        <f t="shared" si="46"/>
        <v>NO</v>
      </c>
      <c r="P708" s="4" t="str">
        <f t="shared" si="47"/>
        <v>SI</v>
      </c>
      <c r="Q708" s="4" t="str" cm="1">
        <f t="array" ref="Q708">_xlfn.IFS(AND(H708&gt;=0,H708&lt;=3333),"Grupo 1",AND(H708&gt;3333,H708&lt;=6666),"Grupo 2",AND(H708&gt;6666,H708&lt;=10000),"Grupo 3")</f>
        <v>Grupo 1</v>
      </c>
    </row>
    <row r="709" spans="1:17" x14ac:dyDescent="0.25">
      <c r="A709" t="s">
        <v>119</v>
      </c>
      <c r="B709" s="2">
        <v>45764.185416666667</v>
      </c>
      <c r="C709" t="s">
        <v>275</v>
      </c>
      <c r="D709" t="s">
        <v>219</v>
      </c>
      <c r="E709">
        <v>5</v>
      </c>
      <c r="F709">
        <v>1582.2</v>
      </c>
      <c r="G709" t="s">
        <v>221</v>
      </c>
      <c r="H709">
        <v>7911</v>
      </c>
      <c r="I709">
        <v>2025</v>
      </c>
      <c r="J709">
        <v>4</v>
      </c>
      <c r="K709">
        <v>4</v>
      </c>
      <c r="L709" s="14">
        <v>1582.2</v>
      </c>
      <c r="M709" s="4" t="str">
        <f t="shared" si="44"/>
        <v>jueves</v>
      </c>
      <c r="N709" s="4" t="str">
        <f t="shared" si="45"/>
        <v>abril</v>
      </c>
      <c r="O709" s="4" t="str">
        <f t="shared" si="46"/>
        <v>SI</v>
      </c>
      <c r="P709" s="4" t="str">
        <f t="shared" si="47"/>
        <v>SI</v>
      </c>
      <c r="Q709" s="4" t="str" cm="1">
        <f t="array" ref="Q709">_xlfn.IFS(AND(H709&gt;=0,H709&lt;=3333),"Grupo 1",AND(H709&gt;3333,H709&lt;=6666),"Grupo 2",AND(H709&gt;6666,H709&lt;=10000),"Grupo 3")</f>
        <v>Grupo 3</v>
      </c>
    </row>
    <row r="710" spans="1:17" x14ac:dyDescent="0.25">
      <c r="A710" t="s">
        <v>120</v>
      </c>
      <c r="B710" s="2">
        <v>45240.82916666667</v>
      </c>
      <c r="C710" t="s">
        <v>276</v>
      </c>
      <c r="D710" t="s">
        <v>214</v>
      </c>
      <c r="E710">
        <v>1</v>
      </c>
      <c r="F710">
        <v>81.92</v>
      </c>
      <c r="G710" t="s">
        <v>222</v>
      </c>
      <c r="H710">
        <v>81.92</v>
      </c>
      <c r="I710">
        <v>2023</v>
      </c>
      <c r="J710">
        <v>11</v>
      </c>
      <c r="K710">
        <v>19</v>
      </c>
      <c r="L710" s="14">
        <v>81.92</v>
      </c>
      <c r="M710" s="4" t="str">
        <f t="shared" si="44"/>
        <v>viernes</v>
      </c>
      <c r="N710" s="4" t="str">
        <f t="shared" si="45"/>
        <v>noviembre</v>
      </c>
      <c r="O710" s="4" t="str">
        <f t="shared" si="46"/>
        <v>NO</v>
      </c>
      <c r="P710" s="4" t="str">
        <f t="shared" si="47"/>
        <v>NO</v>
      </c>
      <c r="Q710" s="4" t="str" cm="1">
        <f t="array" ref="Q710">_xlfn.IFS(AND(H710&gt;=0,H710&lt;=3333),"Grupo 1",AND(H710&gt;3333,H710&lt;=6666),"Grupo 2",AND(H710&gt;6666,H710&lt;=10000),"Grupo 3")</f>
        <v>Grupo 1</v>
      </c>
    </row>
    <row r="711" spans="1:17" x14ac:dyDescent="0.25">
      <c r="A711" t="s">
        <v>121</v>
      </c>
      <c r="B711" s="2">
        <v>45634.470138888893</v>
      </c>
      <c r="C711" t="s">
        <v>277</v>
      </c>
      <c r="D711" t="s">
        <v>218</v>
      </c>
      <c r="E711">
        <v>1</v>
      </c>
      <c r="F711">
        <v>1153.31</v>
      </c>
      <c r="G711" t="s">
        <v>221</v>
      </c>
      <c r="H711">
        <v>1153.31</v>
      </c>
      <c r="I711">
        <v>2024</v>
      </c>
      <c r="J711">
        <v>12</v>
      </c>
      <c r="K711">
        <v>11</v>
      </c>
      <c r="L711" s="14">
        <v>1153.31</v>
      </c>
      <c r="M711" s="4" t="str">
        <f t="shared" si="44"/>
        <v>domingo</v>
      </c>
      <c r="N711" s="4" t="str">
        <f t="shared" si="45"/>
        <v>diciembre</v>
      </c>
      <c r="O711" s="4" t="str">
        <f t="shared" si="46"/>
        <v>NO</v>
      </c>
      <c r="P711" s="4" t="str">
        <f t="shared" si="47"/>
        <v>SI</v>
      </c>
      <c r="Q711" s="4" t="str" cm="1">
        <f t="array" ref="Q711">_xlfn.IFS(AND(H711&gt;=0,H711&lt;=3333),"Grupo 1",AND(H711&gt;3333,H711&lt;=6666),"Grupo 2",AND(H711&gt;6666,H711&lt;=10000),"Grupo 3")</f>
        <v>Grupo 1</v>
      </c>
    </row>
    <row r="712" spans="1:17" x14ac:dyDescent="0.25">
      <c r="A712" t="s">
        <v>122</v>
      </c>
      <c r="B712" s="2">
        <v>45913.939583333333</v>
      </c>
      <c r="C712" t="s">
        <v>278</v>
      </c>
      <c r="D712" t="s">
        <v>218</v>
      </c>
      <c r="E712">
        <v>3</v>
      </c>
      <c r="F712">
        <v>1078.08</v>
      </c>
      <c r="G712" t="s">
        <v>221</v>
      </c>
      <c r="H712">
        <v>3234.24</v>
      </c>
      <c r="I712">
        <v>2025</v>
      </c>
      <c r="J712">
        <v>9</v>
      </c>
      <c r="K712">
        <v>22</v>
      </c>
      <c r="L712" s="14">
        <v>1078.08</v>
      </c>
      <c r="M712" s="4" t="str">
        <f t="shared" si="44"/>
        <v>sábado</v>
      </c>
      <c r="N712" s="4" t="str">
        <f t="shared" si="45"/>
        <v>septiembre</v>
      </c>
      <c r="O712" s="4" t="str">
        <f t="shared" si="46"/>
        <v>SI</v>
      </c>
      <c r="P712" s="4" t="str">
        <f t="shared" si="47"/>
        <v>SI</v>
      </c>
      <c r="Q712" s="4" t="str" cm="1">
        <f t="array" ref="Q712">_xlfn.IFS(AND(H712&gt;=0,H712&lt;=3333),"Grupo 1",AND(H712&gt;3333,H712&lt;=6666),"Grupo 2",AND(H712&gt;6666,H712&lt;=10000),"Grupo 3")</f>
        <v>Grupo 1</v>
      </c>
    </row>
    <row r="713" spans="1:17" x14ac:dyDescent="0.25">
      <c r="A713" t="s">
        <v>123</v>
      </c>
      <c r="B713" s="2">
        <v>45526.149305555547</v>
      </c>
      <c r="C713" t="s">
        <v>279</v>
      </c>
      <c r="D713" t="s">
        <v>215</v>
      </c>
      <c r="E713">
        <v>1</v>
      </c>
      <c r="F713">
        <v>201.91</v>
      </c>
      <c r="G713" t="s">
        <v>220</v>
      </c>
      <c r="H713">
        <v>201.91</v>
      </c>
      <c r="I713">
        <v>2024</v>
      </c>
      <c r="J713">
        <v>8</v>
      </c>
      <c r="K713">
        <v>3</v>
      </c>
      <c r="L713" s="14">
        <v>201.91</v>
      </c>
      <c r="M713" s="4" t="str">
        <f t="shared" si="44"/>
        <v>jueves</v>
      </c>
      <c r="N713" s="4" t="str">
        <f t="shared" si="45"/>
        <v>agosto</v>
      </c>
      <c r="O713" s="4" t="str">
        <f t="shared" si="46"/>
        <v>NO</v>
      </c>
      <c r="P713" s="4" t="str">
        <f t="shared" si="47"/>
        <v>NO</v>
      </c>
      <c r="Q713" s="4" t="str" cm="1">
        <f t="array" ref="Q713">_xlfn.IFS(AND(H713&gt;=0,H713&lt;=3333),"Grupo 1",AND(H713&gt;3333,H713&lt;=6666),"Grupo 2",AND(H713&gt;6666,H713&lt;=10000),"Grupo 3")</f>
        <v>Grupo 1</v>
      </c>
    </row>
    <row r="714" spans="1:17" x14ac:dyDescent="0.25">
      <c r="A714" t="s">
        <v>124</v>
      </c>
      <c r="B714" s="2">
        <v>45487.067361111112</v>
      </c>
      <c r="C714" t="s">
        <v>280</v>
      </c>
      <c r="D714" t="s">
        <v>216</v>
      </c>
      <c r="E714">
        <v>3</v>
      </c>
      <c r="F714">
        <v>727.36</v>
      </c>
      <c r="G714" t="s">
        <v>221</v>
      </c>
      <c r="H714">
        <v>2182.08</v>
      </c>
      <c r="I714">
        <v>2024</v>
      </c>
      <c r="J714">
        <v>7</v>
      </c>
      <c r="K714">
        <v>1</v>
      </c>
      <c r="L714" s="14">
        <v>727.36</v>
      </c>
      <c r="M714" s="4" t="str">
        <f t="shared" si="44"/>
        <v>domingo</v>
      </c>
      <c r="N714" s="4" t="str">
        <f t="shared" si="45"/>
        <v>julio</v>
      </c>
      <c r="O714" s="4" t="str">
        <f t="shared" si="46"/>
        <v>NO</v>
      </c>
      <c r="P714" s="4" t="str">
        <f t="shared" si="47"/>
        <v>NO</v>
      </c>
      <c r="Q714" s="4" t="str" cm="1">
        <f t="array" ref="Q714">_xlfn.IFS(AND(H714&gt;=0,H714&lt;=3333),"Grupo 1",AND(H714&gt;3333,H714&lt;=6666),"Grupo 2",AND(H714&gt;6666,H714&lt;=10000),"Grupo 3")</f>
        <v>Grupo 1</v>
      </c>
    </row>
    <row r="715" spans="1:17" x14ac:dyDescent="0.25">
      <c r="A715" t="s">
        <v>125</v>
      </c>
      <c r="B715" s="2">
        <v>45281.986805555563</v>
      </c>
      <c r="C715" t="s">
        <v>281</v>
      </c>
      <c r="D715" t="s">
        <v>219</v>
      </c>
      <c r="E715">
        <v>3</v>
      </c>
      <c r="F715">
        <v>1645.43</v>
      </c>
      <c r="G715" t="s">
        <v>221</v>
      </c>
      <c r="H715">
        <v>4936.29</v>
      </c>
      <c r="I715">
        <v>2023</v>
      </c>
      <c r="J715">
        <v>12</v>
      </c>
      <c r="K715">
        <v>23</v>
      </c>
      <c r="L715" s="14">
        <v>1645.43</v>
      </c>
      <c r="M715" s="4" t="str">
        <f t="shared" si="44"/>
        <v>jueves</v>
      </c>
      <c r="N715" s="4" t="str">
        <f t="shared" si="45"/>
        <v>diciembre</v>
      </c>
      <c r="O715" s="4" t="str">
        <f t="shared" si="46"/>
        <v>SI</v>
      </c>
      <c r="P715" s="4" t="str">
        <f t="shared" si="47"/>
        <v>SI</v>
      </c>
      <c r="Q715" s="4" t="str" cm="1">
        <f t="array" ref="Q715">_xlfn.IFS(AND(H715&gt;=0,H715&lt;=3333),"Grupo 1",AND(H715&gt;3333,H715&lt;=6666),"Grupo 2",AND(H715&gt;6666,H715&lt;=10000),"Grupo 3")</f>
        <v>Grupo 2</v>
      </c>
    </row>
    <row r="716" spans="1:17" x14ac:dyDescent="0.25">
      <c r="A716" t="s">
        <v>126</v>
      </c>
      <c r="B716" s="2">
        <v>45468.378472222219</v>
      </c>
      <c r="C716" t="s">
        <v>282</v>
      </c>
      <c r="D716" t="s">
        <v>217</v>
      </c>
      <c r="E716">
        <v>3</v>
      </c>
      <c r="F716">
        <v>420.05</v>
      </c>
      <c r="G716" t="s">
        <v>220</v>
      </c>
      <c r="H716">
        <v>1260.1500000000001</v>
      </c>
      <c r="I716">
        <v>2024</v>
      </c>
      <c r="J716">
        <v>6</v>
      </c>
      <c r="K716">
        <v>9</v>
      </c>
      <c r="L716" s="14">
        <v>420.05</v>
      </c>
      <c r="M716" s="4" t="str">
        <f t="shared" si="44"/>
        <v>martes</v>
      </c>
      <c r="N716" s="4" t="str">
        <f t="shared" si="45"/>
        <v>junio</v>
      </c>
      <c r="O716" s="4" t="str">
        <f t="shared" si="46"/>
        <v>NO</v>
      </c>
      <c r="P716" s="4" t="str">
        <f t="shared" si="47"/>
        <v>NO</v>
      </c>
      <c r="Q716" s="4" t="str" cm="1">
        <f t="array" ref="Q716">_xlfn.IFS(AND(H716&gt;=0,H716&lt;=3333),"Grupo 1",AND(H716&gt;3333,H716&lt;=6666),"Grupo 2",AND(H716&gt;6666,H716&lt;=10000),"Grupo 3")</f>
        <v>Grupo 1</v>
      </c>
    </row>
    <row r="717" spans="1:17" x14ac:dyDescent="0.25">
      <c r="A717" t="s">
        <v>127</v>
      </c>
      <c r="B717" s="2">
        <v>45529.436805555553</v>
      </c>
      <c r="C717" t="s">
        <v>283</v>
      </c>
      <c r="D717" t="s">
        <v>214</v>
      </c>
      <c r="E717">
        <v>4</v>
      </c>
      <c r="F717">
        <v>496.9</v>
      </c>
      <c r="G717" t="s">
        <v>222</v>
      </c>
      <c r="H717">
        <v>1987.6</v>
      </c>
      <c r="I717">
        <v>2024</v>
      </c>
      <c r="J717">
        <v>8</v>
      </c>
      <c r="K717">
        <v>10</v>
      </c>
      <c r="L717" s="14">
        <v>496.9</v>
      </c>
      <c r="M717" s="4" t="str">
        <f t="shared" si="44"/>
        <v>domingo</v>
      </c>
      <c r="N717" s="4" t="str">
        <f t="shared" si="45"/>
        <v>agosto</v>
      </c>
      <c r="O717" s="4" t="str">
        <f t="shared" si="46"/>
        <v>NO</v>
      </c>
      <c r="P717" s="4" t="str">
        <f t="shared" si="47"/>
        <v>NO</v>
      </c>
      <c r="Q717" s="4" t="str" cm="1">
        <f t="array" ref="Q717">_xlfn.IFS(AND(H717&gt;=0,H717&lt;=3333),"Grupo 1",AND(H717&gt;3333,H717&lt;=6666),"Grupo 2",AND(H717&gt;6666,H717&lt;=10000),"Grupo 3")</f>
        <v>Grupo 1</v>
      </c>
    </row>
    <row r="718" spans="1:17" x14ac:dyDescent="0.25">
      <c r="A718" t="s">
        <v>128</v>
      </c>
      <c r="B718" s="2">
        <v>44961.01666666667</v>
      </c>
      <c r="C718" t="s">
        <v>284</v>
      </c>
      <c r="D718" t="s">
        <v>213</v>
      </c>
      <c r="E718">
        <v>2</v>
      </c>
      <c r="F718">
        <v>721.56</v>
      </c>
      <c r="G718" t="s">
        <v>221</v>
      </c>
      <c r="H718">
        <v>1443.12</v>
      </c>
      <c r="I718">
        <v>2023</v>
      </c>
      <c r="J718">
        <v>2</v>
      </c>
      <c r="K718">
        <v>0</v>
      </c>
      <c r="L718" s="14">
        <v>721.56</v>
      </c>
      <c r="M718" s="4" t="str">
        <f t="shared" si="44"/>
        <v>sábado</v>
      </c>
      <c r="N718" s="4" t="str">
        <f t="shared" si="45"/>
        <v>febrero</v>
      </c>
      <c r="O718" s="4" t="str">
        <f t="shared" si="46"/>
        <v>NO</v>
      </c>
      <c r="P718" s="4" t="str">
        <f t="shared" si="47"/>
        <v>NO</v>
      </c>
      <c r="Q718" s="4" t="str" cm="1">
        <f t="array" ref="Q718">_xlfn.IFS(AND(H718&gt;=0,H718&lt;=3333),"Grupo 1",AND(H718&gt;3333,H718&lt;=6666),"Grupo 2",AND(H718&gt;6666,H718&lt;=10000),"Grupo 3")</f>
        <v>Grupo 1</v>
      </c>
    </row>
    <row r="719" spans="1:17" x14ac:dyDescent="0.25">
      <c r="A719" t="s">
        <v>129</v>
      </c>
      <c r="B719" s="2">
        <v>45041.746527777781</v>
      </c>
      <c r="C719" t="s">
        <v>285</v>
      </c>
      <c r="D719" t="s">
        <v>219</v>
      </c>
      <c r="E719">
        <v>4</v>
      </c>
      <c r="F719">
        <v>1353.9</v>
      </c>
      <c r="G719" t="s">
        <v>221</v>
      </c>
      <c r="H719">
        <v>5415.6</v>
      </c>
      <c r="I719">
        <v>2023</v>
      </c>
      <c r="J719">
        <v>4</v>
      </c>
      <c r="K719">
        <v>17</v>
      </c>
      <c r="L719" s="14">
        <v>1353.9</v>
      </c>
      <c r="M719" s="4" t="str">
        <f t="shared" si="44"/>
        <v>martes</v>
      </c>
      <c r="N719" s="4" t="str">
        <f t="shared" si="45"/>
        <v>abril</v>
      </c>
      <c r="O719" s="4" t="str">
        <f t="shared" si="46"/>
        <v>SI</v>
      </c>
      <c r="P719" s="4" t="str">
        <f t="shared" si="47"/>
        <v>SI</v>
      </c>
      <c r="Q719" s="4" t="str" cm="1">
        <f t="array" ref="Q719">_xlfn.IFS(AND(H719&gt;=0,H719&lt;=3333),"Grupo 1",AND(H719&gt;3333,H719&lt;=6666),"Grupo 2",AND(H719&gt;6666,H719&lt;=10000),"Grupo 3")</f>
        <v>Grupo 2</v>
      </c>
    </row>
    <row r="720" spans="1:17" x14ac:dyDescent="0.25">
      <c r="A720" t="s">
        <v>130</v>
      </c>
      <c r="B720" s="2">
        <v>45400.756249999999</v>
      </c>
      <c r="C720" t="s">
        <v>286</v>
      </c>
      <c r="D720" t="s">
        <v>215</v>
      </c>
      <c r="E720">
        <v>2</v>
      </c>
      <c r="F720">
        <v>429.52</v>
      </c>
      <c r="G720" t="s">
        <v>220</v>
      </c>
      <c r="H720">
        <v>859.04</v>
      </c>
      <c r="I720">
        <v>2024</v>
      </c>
      <c r="J720">
        <v>4</v>
      </c>
      <c r="K720">
        <v>18</v>
      </c>
      <c r="L720" s="14">
        <v>429.52</v>
      </c>
      <c r="M720" s="4" t="str">
        <f t="shared" si="44"/>
        <v>jueves</v>
      </c>
      <c r="N720" s="4" t="str">
        <f t="shared" si="45"/>
        <v>abril</v>
      </c>
      <c r="O720" s="4" t="str">
        <f t="shared" si="46"/>
        <v>NO</v>
      </c>
      <c r="P720" s="4" t="str">
        <f t="shared" si="47"/>
        <v>NO</v>
      </c>
      <c r="Q720" s="4" t="str" cm="1">
        <f t="array" ref="Q720">_xlfn.IFS(AND(H720&gt;=0,H720&lt;=3333),"Grupo 1",AND(H720&gt;3333,H720&lt;=6666),"Grupo 2",AND(H720&gt;6666,H720&lt;=10000),"Grupo 3")</f>
        <v>Grupo 1</v>
      </c>
    </row>
    <row r="721" spans="1:17" x14ac:dyDescent="0.25">
      <c r="A721" t="s">
        <v>131</v>
      </c>
      <c r="B721" s="2">
        <v>45465.772916666669</v>
      </c>
      <c r="C721" t="s">
        <v>287</v>
      </c>
      <c r="D721" t="s">
        <v>214</v>
      </c>
      <c r="E721">
        <v>2</v>
      </c>
      <c r="F721">
        <v>1824.96</v>
      </c>
      <c r="G721" t="s">
        <v>222</v>
      </c>
      <c r="H721">
        <v>3649.92</v>
      </c>
      <c r="I721">
        <v>2024</v>
      </c>
      <c r="J721">
        <v>6</v>
      </c>
      <c r="K721">
        <v>18</v>
      </c>
      <c r="L721" s="14">
        <v>1824.96</v>
      </c>
      <c r="M721" s="4" t="str">
        <f t="shared" si="44"/>
        <v>sábado</v>
      </c>
      <c r="N721" s="4" t="str">
        <f t="shared" si="45"/>
        <v>junio</v>
      </c>
      <c r="O721" s="4" t="str">
        <f t="shared" si="46"/>
        <v>SI</v>
      </c>
      <c r="P721" s="4" t="str">
        <f t="shared" si="47"/>
        <v>SI</v>
      </c>
      <c r="Q721" s="4" t="str" cm="1">
        <f t="array" ref="Q721">_xlfn.IFS(AND(H721&gt;=0,H721&lt;=3333),"Grupo 1",AND(H721&gt;3333,H721&lt;=6666),"Grupo 2",AND(H721&gt;6666,H721&lt;=10000),"Grupo 3")</f>
        <v>Grupo 2</v>
      </c>
    </row>
    <row r="722" spans="1:17" x14ac:dyDescent="0.25">
      <c r="A722" t="s">
        <v>132</v>
      </c>
      <c r="B722" s="2">
        <v>45316.202777777777</v>
      </c>
      <c r="C722" t="s">
        <v>288</v>
      </c>
      <c r="D722" t="s">
        <v>218</v>
      </c>
      <c r="E722">
        <v>5</v>
      </c>
      <c r="F722">
        <v>1059.81</v>
      </c>
      <c r="G722" t="s">
        <v>221</v>
      </c>
      <c r="H722">
        <v>5299.0499999999993</v>
      </c>
      <c r="I722">
        <v>2024</v>
      </c>
      <c r="J722">
        <v>1</v>
      </c>
      <c r="K722">
        <v>4</v>
      </c>
      <c r="L722" s="14">
        <v>1059.81</v>
      </c>
      <c r="M722" s="4" t="str">
        <f t="shared" si="44"/>
        <v>jueves</v>
      </c>
      <c r="N722" s="4" t="str">
        <f t="shared" si="45"/>
        <v>enero</v>
      </c>
      <c r="O722" s="4" t="str">
        <f t="shared" si="46"/>
        <v>SI</v>
      </c>
      <c r="P722" s="4" t="str">
        <f t="shared" si="47"/>
        <v>SI</v>
      </c>
      <c r="Q722" s="4" t="str" cm="1">
        <f t="array" ref="Q722">_xlfn.IFS(AND(H722&gt;=0,H722&lt;=3333),"Grupo 1",AND(H722&gt;3333,H722&lt;=6666),"Grupo 2",AND(H722&gt;6666,H722&lt;=10000),"Grupo 3")</f>
        <v>Grupo 2</v>
      </c>
    </row>
    <row r="723" spans="1:17" x14ac:dyDescent="0.25">
      <c r="A723" t="s">
        <v>133</v>
      </c>
      <c r="B723" s="2">
        <v>45118.634722222218</v>
      </c>
      <c r="C723" t="s">
        <v>289</v>
      </c>
      <c r="D723" t="s">
        <v>214</v>
      </c>
      <c r="E723">
        <v>4</v>
      </c>
      <c r="F723">
        <v>46.39</v>
      </c>
      <c r="G723" t="s">
        <v>222</v>
      </c>
      <c r="H723">
        <v>185.56</v>
      </c>
      <c r="I723">
        <v>2023</v>
      </c>
      <c r="J723">
        <v>7</v>
      </c>
      <c r="K723">
        <v>15</v>
      </c>
      <c r="L723" s="14">
        <v>46.39</v>
      </c>
      <c r="M723" s="4" t="str">
        <f t="shared" si="44"/>
        <v>martes</v>
      </c>
      <c r="N723" s="4" t="str">
        <f t="shared" si="45"/>
        <v>julio</v>
      </c>
      <c r="O723" s="4" t="str">
        <f t="shared" si="46"/>
        <v>NO</v>
      </c>
      <c r="P723" s="4" t="str">
        <f t="shared" si="47"/>
        <v>NO</v>
      </c>
      <c r="Q723" s="4" t="str" cm="1">
        <f t="array" ref="Q723">_xlfn.IFS(AND(H723&gt;=0,H723&lt;=3333),"Grupo 1",AND(H723&gt;3333,H723&lt;=6666),"Grupo 2",AND(H723&gt;6666,H723&lt;=10000),"Grupo 3")</f>
        <v>Grupo 1</v>
      </c>
    </row>
    <row r="724" spans="1:17" x14ac:dyDescent="0.25">
      <c r="A724" t="s">
        <v>134</v>
      </c>
      <c r="B724" s="2">
        <v>45232.75</v>
      </c>
      <c r="C724" t="s">
        <v>290</v>
      </c>
      <c r="D724" t="s">
        <v>217</v>
      </c>
      <c r="E724">
        <v>1</v>
      </c>
      <c r="F724">
        <v>754.07</v>
      </c>
      <c r="G724" t="s">
        <v>220</v>
      </c>
      <c r="H724">
        <v>754.07</v>
      </c>
      <c r="I724">
        <v>2023</v>
      </c>
      <c r="J724">
        <v>11</v>
      </c>
      <c r="K724">
        <v>18</v>
      </c>
      <c r="L724" s="14">
        <v>754.07</v>
      </c>
      <c r="M724" s="4" t="str">
        <f t="shared" si="44"/>
        <v>jueves</v>
      </c>
      <c r="N724" s="4" t="str">
        <f t="shared" si="45"/>
        <v>noviembre</v>
      </c>
      <c r="O724" s="4" t="str">
        <f t="shared" si="46"/>
        <v>NO</v>
      </c>
      <c r="P724" s="4" t="str">
        <f t="shared" si="47"/>
        <v>NO</v>
      </c>
      <c r="Q724" s="4" t="str" cm="1">
        <f t="array" ref="Q724">_xlfn.IFS(AND(H724&gt;=0,H724&lt;=3333),"Grupo 1",AND(H724&gt;3333,H724&lt;=6666),"Grupo 2",AND(H724&gt;6666,H724&lt;=10000),"Grupo 3")</f>
        <v>Grupo 1</v>
      </c>
    </row>
    <row r="725" spans="1:17" x14ac:dyDescent="0.25">
      <c r="A725" t="s">
        <v>135</v>
      </c>
      <c r="B725" s="2">
        <v>45745.421527777777</v>
      </c>
      <c r="C725" t="s">
        <v>291</v>
      </c>
      <c r="D725" t="s">
        <v>219</v>
      </c>
      <c r="E725">
        <v>1</v>
      </c>
      <c r="F725">
        <v>1681.02</v>
      </c>
      <c r="G725" t="s">
        <v>221</v>
      </c>
      <c r="H725">
        <v>1681.02</v>
      </c>
      <c r="I725">
        <v>2025</v>
      </c>
      <c r="J725">
        <v>3</v>
      </c>
      <c r="K725">
        <v>10</v>
      </c>
      <c r="L725" s="14">
        <v>1681.02</v>
      </c>
      <c r="M725" s="4" t="str">
        <f t="shared" si="44"/>
        <v>sábado</v>
      </c>
      <c r="N725" s="4" t="str">
        <f t="shared" si="45"/>
        <v>marzo</v>
      </c>
      <c r="O725" s="4" t="str">
        <f t="shared" si="46"/>
        <v>NO</v>
      </c>
      <c r="P725" s="4" t="str">
        <f t="shared" si="47"/>
        <v>SI</v>
      </c>
      <c r="Q725" s="4" t="str" cm="1">
        <f t="array" ref="Q725">_xlfn.IFS(AND(H725&gt;=0,H725&lt;=3333),"Grupo 1",AND(H725&gt;3333,H725&lt;=6666),"Grupo 2",AND(H725&gt;6666,H725&lt;=10000),"Grupo 3")</f>
        <v>Grupo 1</v>
      </c>
    </row>
    <row r="726" spans="1:17" x14ac:dyDescent="0.25">
      <c r="A726" t="s">
        <v>136</v>
      </c>
      <c r="B726" s="2">
        <v>45802.370833333327</v>
      </c>
      <c r="C726" t="s">
        <v>292</v>
      </c>
      <c r="D726" t="s">
        <v>212</v>
      </c>
      <c r="E726">
        <v>2</v>
      </c>
      <c r="F726">
        <v>1198.72</v>
      </c>
      <c r="G726" t="s">
        <v>220</v>
      </c>
      <c r="H726">
        <v>2397.44</v>
      </c>
      <c r="I726">
        <v>2025</v>
      </c>
      <c r="J726">
        <v>5</v>
      </c>
      <c r="K726">
        <v>8</v>
      </c>
      <c r="L726" s="14">
        <v>1198.72</v>
      </c>
      <c r="M726" s="4" t="str">
        <f t="shared" si="44"/>
        <v>domingo</v>
      </c>
      <c r="N726" s="4" t="str">
        <f t="shared" si="45"/>
        <v>mayo</v>
      </c>
      <c r="O726" s="4" t="str">
        <f t="shared" si="46"/>
        <v>NO</v>
      </c>
      <c r="P726" s="4" t="str">
        <f t="shared" si="47"/>
        <v>SI</v>
      </c>
      <c r="Q726" s="4" t="str" cm="1">
        <f t="array" ref="Q726">_xlfn.IFS(AND(H726&gt;=0,H726&lt;=3333),"Grupo 1",AND(H726&gt;3333,H726&lt;=6666),"Grupo 2",AND(H726&gt;6666,H726&lt;=10000),"Grupo 3")</f>
        <v>Grupo 1</v>
      </c>
    </row>
    <row r="727" spans="1:17" x14ac:dyDescent="0.25">
      <c r="A727" t="s">
        <v>137</v>
      </c>
      <c r="B727" s="2">
        <v>45249.604861111111</v>
      </c>
      <c r="C727" t="s">
        <v>293</v>
      </c>
      <c r="D727" t="s">
        <v>219</v>
      </c>
      <c r="E727">
        <v>2</v>
      </c>
      <c r="F727">
        <v>1040.2</v>
      </c>
      <c r="G727" t="s">
        <v>221</v>
      </c>
      <c r="H727">
        <v>2080.4</v>
      </c>
      <c r="I727">
        <v>2023</v>
      </c>
      <c r="J727">
        <v>11</v>
      </c>
      <c r="K727">
        <v>14</v>
      </c>
      <c r="L727" s="14">
        <v>1040.2</v>
      </c>
      <c r="M727" s="4" t="str">
        <f t="shared" si="44"/>
        <v>domingo</v>
      </c>
      <c r="N727" s="4" t="str">
        <f t="shared" si="45"/>
        <v>noviembre</v>
      </c>
      <c r="O727" s="4" t="str">
        <f t="shared" si="46"/>
        <v>NO</v>
      </c>
      <c r="P727" s="4" t="str">
        <f t="shared" si="47"/>
        <v>SI</v>
      </c>
      <c r="Q727" s="4" t="str" cm="1">
        <f t="array" ref="Q727">_xlfn.IFS(AND(H727&gt;=0,H727&lt;=3333),"Grupo 1",AND(H727&gt;3333,H727&lt;=6666),"Grupo 2",AND(H727&gt;6666,H727&lt;=10000),"Grupo 3")</f>
        <v>Grupo 1</v>
      </c>
    </row>
    <row r="728" spans="1:17" x14ac:dyDescent="0.25">
      <c r="A728" t="s">
        <v>138</v>
      </c>
      <c r="B728" s="2">
        <v>45854.013194444437</v>
      </c>
      <c r="C728" t="s">
        <v>294</v>
      </c>
      <c r="D728" t="s">
        <v>213</v>
      </c>
      <c r="E728">
        <v>3</v>
      </c>
      <c r="F728">
        <v>107.53</v>
      </c>
      <c r="G728" t="s">
        <v>221</v>
      </c>
      <c r="H728">
        <v>322.58999999999997</v>
      </c>
      <c r="I728">
        <v>2025</v>
      </c>
      <c r="J728">
        <v>7</v>
      </c>
      <c r="K728">
        <v>0</v>
      </c>
      <c r="L728" s="14">
        <v>107.53</v>
      </c>
      <c r="M728" s="4" t="str">
        <f t="shared" si="44"/>
        <v>miércoles</v>
      </c>
      <c r="N728" s="4" t="str">
        <f t="shared" si="45"/>
        <v>julio</v>
      </c>
      <c r="O728" s="4" t="str">
        <f t="shared" si="46"/>
        <v>NO</v>
      </c>
      <c r="P728" s="4" t="str">
        <f t="shared" si="47"/>
        <v>NO</v>
      </c>
      <c r="Q728" s="4" t="str" cm="1">
        <f t="array" ref="Q728">_xlfn.IFS(AND(H728&gt;=0,H728&lt;=3333),"Grupo 1",AND(H728&gt;3333,H728&lt;=6666),"Grupo 2",AND(H728&gt;6666,H728&lt;=10000),"Grupo 3")</f>
        <v>Grupo 1</v>
      </c>
    </row>
    <row r="729" spans="1:17" x14ac:dyDescent="0.25">
      <c r="A729" t="s">
        <v>139</v>
      </c>
      <c r="B729" s="2">
        <v>45828.018055555563</v>
      </c>
      <c r="C729" t="s">
        <v>295</v>
      </c>
      <c r="D729" t="s">
        <v>215</v>
      </c>
      <c r="E729">
        <v>4</v>
      </c>
      <c r="F729">
        <v>380.66</v>
      </c>
      <c r="G729" t="s">
        <v>220</v>
      </c>
      <c r="H729">
        <v>1522.64</v>
      </c>
      <c r="I729">
        <v>2025</v>
      </c>
      <c r="J729">
        <v>6</v>
      </c>
      <c r="K729">
        <v>0</v>
      </c>
      <c r="L729" s="14">
        <v>380.66</v>
      </c>
      <c r="M729" s="4" t="str">
        <f t="shared" si="44"/>
        <v>viernes</v>
      </c>
      <c r="N729" s="4" t="str">
        <f t="shared" si="45"/>
        <v>junio</v>
      </c>
      <c r="O729" s="4" t="str">
        <f t="shared" si="46"/>
        <v>NO</v>
      </c>
      <c r="P729" s="4" t="str">
        <f t="shared" si="47"/>
        <v>NO</v>
      </c>
      <c r="Q729" s="4" t="str" cm="1">
        <f t="array" ref="Q729">_xlfn.IFS(AND(H729&gt;=0,H729&lt;=3333),"Grupo 1",AND(H729&gt;3333,H729&lt;=6666),"Grupo 2",AND(H729&gt;6666,H729&lt;=10000),"Grupo 3")</f>
        <v>Grupo 1</v>
      </c>
    </row>
    <row r="730" spans="1:17" x14ac:dyDescent="0.25">
      <c r="A730" t="s">
        <v>140</v>
      </c>
      <c r="B730" s="2">
        <v>45673.40902777778</v>
      </c>
      <c r="C730" t="s">
        <v>296</v>
      </c>
      <c r="D730" t="s">
        <v>212</v>
      </c>
      <c r="E730">
        <v>2</v>
      </c>
      <c r="F730">
        <v>700.11</v>
      </c>
      <c r="G730" t="s">
        <v>220</v>
      </c>
      <c r="H730">
        <v>1400.22</v>
      </c>
      <c r="I730">
        <v>2025</v>
      </c>
      <c r="J730">
        <v>1</v>
      </c>
      <c r="K730">
        <v>9</v>
      </c>
      <c r="L730" s="14">
        <v>700.11</v>
      </c>
      <c r="M730" s="4" t="str">
        <f t="shared" si="44"/>
        <v>jueves</v>
      </c>
      <c r="N730" s="4" t="str">
        <f t="shared" si="45"/>
        <v>enero</v>
      </c>
      <c r="O730" s="4" t="str">
        <f t="shared" si="46"/>
        <v>NO</v>
      </c>
      <c r="P730" s="4" t="str">
        <f t="shared" si="47"/>
        <v>NO</v>
      </c>
      <c r="Q730" s="4" t="str" cm="1">
        <f t="array" ref="Q730">_xlfn.IFS(AND(H730&gt;=0,H730&lt;=3333),"Grupo 1",AND(H730&gt;3333,H730&lt;=6666),"Grupo 2",AND(H730&gt;6666,H730&lt;=10000),"Grupo 3")</f>
        <v>Grupo 1</v>
      </c>
    </row>
    <row r="731" spans="1:17" x14ac:dyDescent="0.25">
      <c r="A731" t="s">
        <v>141</v>
      </c>
      <c r="B731" s="2">
        <v>44932.951388888891</v>
      </c>
      <c r="C731" t="s">
        <v>297</v>
      </c>
      <c r="D731" t="s">
        <v>215</v>
      </c>
      <c r="E731">
        <v>5</v>
      </c>
      <c r="F731">
        <v>358.48</v>
      </c>
      <c r="G731" t="s">
        <v>220</v>
      </c>
      <c r="H731">
        <v>1792.4</v>
      </c>
      <c r="I731">
        <v>2023</v>
      </c>
      <c r="J731">
        <v>1</v>
      </c>
      <c r="K731">
        <v>22</v>
      </c>
      <c r="L731" s="14">
        <v>358.48</v>
      </c>
      <c r="M731" s="4" t="str">
        <f t="shared" si="44"/>
        <v>viernes</v>
      </c>
      <c r="N731" s="4" t="str">
        <f t="shared" si="45"/>
        <v>enero</v>
      </c>
      <c r="O731" s="4" t="str">
        <f t="shared" si="46"/>
        <v>NO</v>
      </c>
      <c r="P731" s="4" t="str">
        <f t="shared" si="47"/>
        <v>NO</v>
      </c>
      <c r="Q731" s="4" t="str" cm="1">
        <f t="array" ref="Q731">_xlfn.IFS(AND(H731&gt;=0,H731&lt;=3333),"Grupo 1",AND(H731&gt;3333,H731&lt;=6666),"Grupo 2",AND(H731&gt;6666,H731&lt;=10000),"Grupo 3")</f>
        <v>Grupo 1</v>
      </c>
    </row>
    <row r="732" spans="1:17" x14ac:dyDescent="0.25">
      <c r="A732" t="s">
        <v>142</v>
      </c>
      <c r="B732" s="2">
        <v>45381.871527777781</v>
      </c>
      <c r="C732" t="s">
        <v>298</v>
      </c>
      <c r="D732" t="s">
        <v>214</v>
      </c>
      <c r="E732">
        <v>4</v>
      </c>
      <c r="F732">
        <v>746.6</v>
      </c>
      <c r="G732" t="s">
        <v>222</v>
      </c>
      <c r="H732">
        <v>2986.4</v>
      </c>
      <c r="I732">
        <v>2024</v>
      </c>
      <c r="J732">
        <v>3</v>
      </c>
      <c r="K732">
        <v>20</v>
      </c>
      <c r="L732" s="14">
        <v>746.6</v>
      </c>
      <c r="M732" s="4" t="str">
        <f t="shared" si="44"/>
        <v>sábado</v>
      </c>
      <c r="N732" s="4" t="str">
        <f t="shared" si="45"/>
        <v>marzo</v>
      </c>
      <c r="O732" s="4" t="str">
        <f t="shared" si="46"/>
        <v>SI</v>
      </c>
      <c r="P732" s="4" t="str">
        <f t="shared" si="47"/>
        <v>NO</v>
      </c>
      <c r="Q732" s="4" t="str" cm="1">
        <f t="array" ref="Q732">_xlfn.IFS(AND(H732&gt;=0,H732&lt;=3333),"Grupo 1",AND(H732&gt;3333,H732&lt;=6666),"Grupo 2",AND(H732&gt;6666,H732&lt;=10000),"Grupo 3")</f>
        <v>Grupo 1</v>
      </c>
    </row>
    <row r="733" spans="1:17" x14ac:dyDescent="0.25">
      <c r="A733" t="s">
        <v>143</v>
      </c>
      <c r="B733" s="2">
        <v>45450.97152777778</v>
      </c>
      <c r="C733" t="s">
        <v>299</v>
      </c>
      <c r="D733" t="s">
        <v>217</v>
      </c>
      <c r="E733">
        <v>1</v>
      </c>
      <c r="F733">
        <v>751.43</v>
      </c>
      <c r="G733" t="s">
        <v>220</v>
      </c>
      <c r="H733">
        <v>751.43</v>
      </c>
      <c r="I733">
        <v>2024</v>
      </c>
      <c r="J733">
        <v>6</v>
      </c>
      <c r="K733">
        <v>23</v>
      </c>
      <c r="L733" s="14">
        <v>751.43</v>
      </c>
      <c r="M733" s="4" t="str">
        <f t="shared" si="44"/>
        <v>viernes</v>
      </c>
      <c r="N733" s="4" t="str">
        <f t="shared" si="45"/>
        <v>junio</v>
      </c>
      <c r="O733" s="4" t="str">
        <f t="shared" si="46"/>
        <v>NO</v>
      </c>
      <c r="P733" s="4" t="str">
        <f t="shared" si="47"/>
        <v>NO</v>
      </c>
      <c r="Q733" s="4" t="str" cm="1">
        <f t="array" ref="Q733">_xlfn.IFS(AND(H733&gt;=0,H733&lt;=3333),"Grupo 1",AND(H733&gt;3333,H733&lt;=6666),"Grupo 2",AND(H733&gt;6666,H733&lt;=10000),"Grupo 3")</f>
        <v>Grupo 1</v>
      </c>
    </row>
    <row r="734" spans="1:17" x14ac:dyDescent="0.25">
      <c r="A734" t="s">
        <v>144</v>
      </c>
      <c r="B734" s="2">
        <v>45122.813888888893</v>
      </c>
      <c r="C734" t="s">
        <v>300</v>
      </c>
      <c r="D734" t="s">
        <v>218</v>
      </c>
      <c r="E734">
        <v>5</v>
      </c>
      <c r="F734">
        <v>1109.08</v>
      </c>
      <c r="G734" t="s">
        <v>221</v>
      </c>
      <c r="H734">
        <v>5545.4</v>
      </c>
      <c r="I734">
        <v>2023</v>
      </c>
      <c r="J734">
        <v>7</v>
      </c>
      <c r="K734">
        <v>19</v>
      </c>
      <c r="L734" s="14">
        <v>1109.08</v>
      </c>
      <c r="M734" s="4" t="str">
        <f t="shared" si="44"/>
        <v>sábado</v>
      </c>
      <c r="N734" s="4" t="str">
        <f t="shared" si="45"/>
        <v>julio</v>
      </c>
      <c r="O734" s="4" t="str">
        <f t="shared" si="46"/>
        <v>SI</v>
      </c>
      <c r="P734" s="4" t="str">
        <f t="shared" si="47"/>
        <v>SI</v>
      </c>
      <c r="Q734" s="4" t="str" cm="1">
        <f t="array" ref="Q734">_xlfn.IFS(AND(H734&gt;=0,H734&lt;=3333),"Grupo 1",AND(H734&gt;3333,H734&lt;=6666),"Grupo 2",AND(H734&gt;6666,H734&lt;=10000),"Grupo 3")</f>
        <v>Grupo 2</v>
      </c>
    </row>
    <row r="735" spans="1:17" x14ac:dyDescent="0.25">
      <c r="A735" t="s">
        <v>145</v>
      </c>
      <c r="B735" s="2">
        <v>45329.842361111107</v>
      </c>
      <c r="C735" t="s">
        <v>301</v>
      </c>
      <c r="D735" t="s">
        <v>212</v>
      </c>
      <c r="E735">
        <v>5</v>
      </c>
      <c r="F735">
        <v>642.74</v>
      </c>
      <c r="G735" t="s">
        <v>220</v>
      </c>
      <c r="H735">
        <v>3213.7</v>
      </c>
      <c r="I735">
        <v>2024</v>
      </c>
      <c r="J735">
        <v>2</v>
      </c>
      <c r="K735">
        <v>20</v>
      </c>
      <c r="L735" s="14">
        <v>642.74</v>
      </c>
      <c r="M735" s="4" t="str">
        <f t="shared" si="44"/>
        <v>miércoles</v>
      </c>
      <c r="N735" s="4" t="str">
        <f t="shared" si="45"/>
        <v>febrero</v>
      </c>
      <c r="O735" s="4" t="str">
        <f t="shared" si="46"/>
        <v>SI</v>
      </c>
      <c r="P735" s="4" t="str">
        <f t="shared" si="47"/>
        <v>NO</v>
      </c>
      <c r="Q735" s="4" t="str" cm="1">
        <f t="array" ref="Q735">_xlfn.IFS(AND(H735&gt;=0,H735&lt;=3333),"Grupo 1",AND(H735&gt;3333,H735&lt;=6666),"Grupo 2",AND(H735&gt;6666,H735&lt;=10000),"Grupo 3")</f>
        <v>Grupo 1</v>
      </c>
    </row>
    <row r="736" spans="1:17" x14ac:dyDescent="0.25">
      <c r="A736" t="s">
        <v>146</v>
      </c>
      <c r="B736" s="2">
        <v>45615.539583333331</v>
      </c>
      <c r="C736" t="s">
        <v>302</v>
      </c>
      <c r="D736" t="s">
        <v>219</v>
      </c>
      <c r="E736">
        <v>5</v>
      </c>
      <c r="F736">
        <v>245.73</v>
      </c>
      <c r="G736" t="s">
        <v>221</v>
      </c>
      <c r="H736">
        <v>1228.6500000000001</v>
      </c>
      <c r="I736">
        <v>2024</v>
      </c>
      <c r="J736">
        <v>11</v>
      </c>
      <c r="K736">
        <v>12</v>
      </c>
      <c r="L736" s="14">
        <v>245.73</v>
      </c>
      <c r="M736" s="4" t="str">
        <f t="shared" si="44"/>
        <v>martes</v>
      </c>
      <c r="N736" s="4" t="str">
        <f t="shared" si="45"/>
        <v>noviembre</v>
      </c>
      <c r="O736" s="4" t="str">
        <f t="shared" si="46"/>
        <v>NO</v>
      </c>
      <c r="P736" s="4" t="str">
        <f t="shared" si="47"/>
        <v>NO</v>
      </c>
      <c r="Q736" s="4" t="str" cm="1">
        <f t="array" ref="Q736">_xlfn.IFS(AND(H736&gt;=0,H736&lt;=3333),"Grupo 1",AND(H736&gt;3333,H736&lt;=6666),"Grupo 2",AND(H736&gt;6666,H736&lt;=10000),"Grupo 3")</f>
        <v>Grupo 1</v>
      </c>
    </row>
    <row r="737" spans="1:17" x14ac:dyDescent="0.25">
      <c r="A737" t="s">
        <v>147</v>
      </c>
      <c r="B737" s="2">
        <v>45222.775694444441</v>
      </c>
      <c r="C737" t="s">
        <v>303</v>
      </c>
      <c r="D737" t="s">
        <v>216</v>
      </c>
      <c r="E737">
        <v>3</v>
      </c>
      <c r="F737">
        <v>1782.13</v>
      </c>
      <c r="G737" t="s">
        <v>221</v>
      </c>
      <c r="H737">
        <v>5346.39</v>
      </c>
      <c r="I737">
        <v>2023</v>
      </c>
      <c r="J737">
        <v>10</v>
      </c>
      <c r="K737">
        <v>18</v>
      </c>
      <c r="L737" s="14">
        <v>1782.13</v>
      </c>
      <c r="M737" s="4" t="str">
        <f t="shared" si="44"/>
        <v>lunes</v>
      </c>
      <c r="N737" s="4" t="str">
        <f t="shared" si="45"/>
        <v>octubre</v>
      </c>
      <c r="O737" s="4" t="str">
        <f t="shared" si="46"/>
        <v>SI</v>
      </c>
      <c r="P737" s="4" t="str">
        <f t="shared" si="47"/>
        <v>SI</v>
      </c>
      <c r="Q737" s="4" t="str" cm="1">
        <f t="array" ref="Q737">_xlfn.IFS(AND(H737&gt;=0,H737&lt;=3333),"Grupo 1",AND(H737&gt;3333,H737&lt;=6666),"Grupo 2",AND(H737&gt;6666,H737&lt;=10000),"Grupo 3")</f>
        <v>Grupo 2</v>
      </c>
    </row>
    <row r="738" spans="1:17" x14ac:dyDescent="0.25">
      <c r="A738" t="s">
        <v>148</v>
      </c>
      <c r="B738" s="2">
        <v>45525.048611111109</v>
      </c>
      <c r="C738" t="s">
        <v>304</v>
      </c>
      <c r="D738" t="s">
        <v>215</v>
      </c>
      <c r="E738">
        <v>5</v>
      </c>
      <c r="F738">
        <v>1137.1400000000001</v>
      </c>
      <c r="G738" t="s">
        <v>220</v>
      </c>
      <c r="H738">
        <v>5685.7000000000007</v>
      </c>
      <c r="I738">
        <v>2024</v>
      </c>
      <c r="J738">
        <v>8</v>
      </c>
      <c r="K738">
        <v>1</v>
      </c>
      <c r="L738" s="14">
        <v>1137.1400000000001</v>
      </c>
      <c r="M738" s="4" t="str">
        <f t="shared" si="44"/>
        <v>miércoles</v>
      </c>
      <c r="N738" s="4" t="str">
        <f t="shared" si="45"/>
        <v>agosto</v>
      </c>
      <c r="O738" s="4" t="str">
        <f t="shared" si="46"/>
        <v>SI</v>
      </c>
      <c r="P738" s="4" t="str">
        <f t="shared" si="47"/>
        <v>SI</v>
      </c>
      <c r="Q738" s="4" t="str" cm="1">
        <f t="array" ref="Q738">_xlfn.IFS(AND(H738&gt;=0,H738&lt;=3333),"Grupo 1",AND(H738&gt;3333,H738&lt;=6666),"Grupo 2",AND(H738&gt;6666,H738&lt;=10000),"Grupo 3")</f>
        <v>Grupo 2</v>
      </c>
    </row>
    <row r="739" spans="1:17" x14ac:dyDescent="0.25">
      <c r="A739" t="s">
        <v>149</v>
      </c>
      <c r="B739" s="2">
        <v>45520.686111111107</v>
      </c>
      <c r="C739" t="s">
        <v>305</v>
      </c>
      <c r="D739" t="s">
        <v>213</v>
      </c>
      <c r="E739">
        <v>4</v>
      </c>
      <c r="F739">
        <v>966.72</v>
      </c>
      <c r="G739" t="s">
        <v>221</v>
      </c>
      <c r="H739">
        <v>3866.88</v>
      </c>
      <c r="I739">
        <v>2024</v>
      </c>
      <c r="J739">
        <v>8</v>
      </c>
      <c r="K739">
        <v>16</v>
      </c>
      <c r="L739" s="14">
        <v>966.72</v>
      </c>
      <c r="M739" s="4" t="str">
        <f t="shared" si="44"/>
        <v>viernes</v>
      </c>
      <c r="N739" s="4" t="str">
        <f t="shared" si="45"/>
        <v>agosto</v>
      </c>
      <c r="O739" s="4" t="str">
        <f t="shared" si="46"/>
        <v>SI</v>
      </c>
      <c r="P739" s="4" t="str">
        <f t="shared" si="47"/>
        <v>NO</v>
      </c>
      <c r="Q739" s="4" t="str" cm="1">
        <f t="array" ref="Q739">_xlfn.IFS(AND(H739&gt;=0,H739&lt;=3333),"Grupo 1",AND(H739&gt;3333,H739&lt;=6666),"Grupo 2",AND(H739&gt;6666,H739&lt;=10000),"Grupo 3")</f>
        <v>Grupo 2</v>
      </c>
    </row>
    <row r="740" spans="1:17" x14ac:dyDescent="0.25">
      <c r="A740" t="s">
        <v>150</v>
      </c>
      <c r="B740" s="2">
        <v>45484.331944444442</v>
      </c>
      <c r="C740" t="s">
        <v>306</v>
      </c>
      <c r="D740" t="s">
        <v>215</v>
      </c>
      <c r="E740">
        <v>5</v>
      </c>
      <c r="F740">
        <v>754.88</v>
      </c>
      <c r="G740" t="s">
        <v>220</v>
      </c>
      <c r="H740">
        <v>3774.4</v>
      </c>
      <c r="I740">
        <v>2024</v>
      </c>
      <c r="J740">
        <v>7</v>
      </c>
      <c r="K740">
        <v>7</v>
      </c>
      <c r="L740" s="14">
        <v>754.88</v>
      </c>
      <c r="M740" s="4" t="str">
        <f t="shared" si="44"/>
        <v>jueves</v>
      </c>
      <c r="N740" s="4" t="str">
        <f t="shared" si="45"/>
        <v>julio</v>
      </c>
      <c r="O740" s="4" t="str">
        <f t="shared" si="46"/>
        <v>SI</v>
      </c>
      <c r="P740" s="4" t="str">
        <f t="shared" si="47"/>
        <v>NO</v>
      </c>
      <c r="Q740" s="4" t="str" cm="1">
        <f t="array" ref="Q740">_xlfn.IFS(AND(H740&gt;=0,H740&lt;=3333),"Grupo 1",AND(H740&gt;3333,H740&lt;=6666),"Grupo 2",AND(H740&gt;6666,H740&lt;=10000),"Grupo 3")</f>
        <v>Grupo 2</v>
      </c>
    </row>
    <row r="741" spans="1:17" x14ac:dyDescent="0.25">
      <c r="A741" t="s">
        <v>151</v>
      </c>
      <c r="B741" s="2">
        <v>45842.433333333327</v>
      </c>
      <c r="C741" t="s">
        <v>307</v>
      </c>
      <c r="D741" t="s">
        <v>216</v>
      </c>
      <c r="E741">
        <v>4</v>
      </c>
      <c r="F741">
        <v>902.5</v>
      </c>
      <c r="G741" t="s">
        <v>221</v>
      </c>
      <c r="H741">
        <v>3610</v>
      </c>
      <c r="I741">
        <v>2025</v>
      </c>
      <c r="J741">
        <v>7</v>
      </c>
      <c r="K741">
        <v>10</v>
      </c>
      <c r="L741" s="14">
        <v>902.5</v>
      </c>
      <c r="M741" s="4" t="str">
        <f t="shared" si="44"/>
        <v>viernes</v>
      </c>
      <c r="N741" s="4" t="str">
        <f t="shared" si="45"/>
        <v>julio</v>
      </c>
      <c r="O741" s="4" t="str">
        <f t="shared" si="46"/>
        <v>SI</v>
      </c>
      <c r="P741" s="4" t="str">
        <f t="shared" si="47"/>
        <v>NO</v>
      </c>
      <c r="Q741" s="4" t="str" cm="1">
        <f t="array" ref="Q741">_xlfn.IFS(AND(H741&gt;=0,H741&lt;=3333),"Grupo 1",AND(H741&gt;3333,H741&lt;=6666),"Grupo 2",AND(H741&gt;6666,H741&lt;=10000),"Grupo 3")</f>
        <v>Grupo 2</v>
      </c>
    </row>
    <row r="742" spans="1:17" x14ac:dyDescent="0.25">
      <c r="A742" t="s">
        <v>152</v>
      </c>
      <c r="B742" s="2">
        <v>45697.842361111107</v>
      </c>
      <c r="C742" t="s">
        <v>308</v>
      </c>
      <c r="D742" t="s">
        <v>218</v>
      </c>
      <c r="E742">
        <v>2</v>
      </c>
      <c r="F742">
        <v>78.180000000000007</v>
      </c>
      <c r="G742" t="s">
        <v>221</v>
      </c>
      <c r="H742">
        <v>156.36000000000001</v>
      </c>
      <c r="I742">
        <v>2025</v>
      </c>
      <c r="J742">
        <v>2</v>
      </c>
      <c r="K742">
        <v>20</v>
      </c>
      <c r="L742" s="14">
        <v>78.180000000000007</v>
      </c>
      <c r="M742" s="4" t="str">
        <f t="shared" si="44"/>
        <v>domingo</v>
      </c>
      <c r="N742" s="4" t="str">
        <f t="shared" si="45"/>
        <v>febrero</v>
      </c>
      <c r="O742" s="4" t="str">
        <f t="shared" si="46"/>
        <v>NO</v>
      </c>
      <c r="P742" s="4" t="str">
        <f t="shared" si="47"/>
        <v>NO</v>
      </c>
      <c r="Q742" s="4" t="str" cm="1">
        <f t="array" ref="Q742">_xlfn.IFS(AND(H742&gt;=0,H742&lt;=3333),"Grupo 1",AND(H742&gt;3333,H742&lt;=6666),"Grupo 2",AND(H742&gt;6666,H742&lt;=10000),"Grupo 3")</f>
        <v>Grupo 1</v>
      </c>
    </row>
    <row r="743" spans="1:17" x14ac:dyDescent="0.25">
      <c r="A743" t="s">
        <v>153</v>
      </c>
      <c r="B743" s="2">
        <v>45927.180555555547</v>
      </c>
      <c r="C743" t="s">
        <v>309</v>
      </c>
      <c r="D743" t="s">
        <v>212</v>
      </c>
      <c r="E743">
        <v>2</v>
      </c>
      <c r="F743">
        <v>1615.41</v>
      </c>
      <c r="G743" t="s">
        <v>220</v>
      </c>
      <c r="H743">
        <v>3230.82</v>
      </c>
      <c r="I743">
        <v>2025</v>
      </c>
      <c r="J743">
        <v>9</v>
      </c>
      <c r="K743">
        <v>4</v>
      </c>
      <c r="L743" s="14">
        <v>1615.41</v>
      </c>
      <c r="M743" s="4" t="str">
        <f t="shared" si="44"/>
        <v>sábado</v>
      </c>
      <c r="N743" s="4" t="str">
        <f t="shared" si="45"/>
        <v>septiembre</v>
      </c>
      <c r="O743" s="4" t="str">
        <f t="shared" si="46"/>
        <v>SI</v>
      </c>
      <c r="P743" s="4" t="str">
        <f t="shared" si="47"/>
        <v>SI</v>
      </c>
      <c r="Q743" s="4" t="str" cm="1">
        <f t="array" ref="Q743">_xlfn.IFS(AND(H743&gt;=0,H743&lt;=3333),"Grupo 1",AND(H743&gt;3333,H743&lt;=6666),"Grupo 2",AND(H743&gt;6666,H743&lt;=10000),"Grupo 3")</f>
        <v>Grupo 1</v>
      </c>
    </row>
    <row r="744" spans="1:17" x14ac:dyDescent="0.25">
      <c r="A744" t="s">
        <v>154</v>
      </c>
      <c r="B744" s="2">
        <v>45511.748611111107</v>
      </c>
      <c r="C744" t="s">
        <v>310</v>
      </c>
      <c r="D744" t="s">
        <v>212</v>
      </c>
      <c r="E744">
        <v>5</v>
      </c>
      <c r="F744">
        <v>149.54</v>
      </c>
      <c r="G744" t="s">
        <v>220</v>
      </c>
      <c r="H744">
        <v>747.69999999999993</v>
      </c>
      <c r="I744">
        <v>2024</v>
      </c>
      <c r="J744">
        <v>8</v>
      </c>
      <c r="K744">
        <v>17</v>
      </c>
      <c r="L744" s="14">
        <v>149.54</v>
      </c>
      <c r="M744" s="4" t="str">
        <f t="shared" si="44"/>
        <v>miércoles</v>
      </c>
      <c r="N744" s="4" t="str">
        <f t="shared" si="45"/>
        <v>agosto</v>
      </c>
      <c r="O744" s="4" t="str">
        <f t="shared" si="46"/>
        <v>NO</v>
      </c>
      <c r="P744" s="4" t="str">
        <f t="shared" si="47"/>
        <v>NO</v>
      </c>
      <c r="Q744" s="4" t="str" cm="1">
        <f t="array" ref="Q744">_xlfn.IFS(AND(H744&gt;=0,H744&lt;=3333),"Grupo 1",AND(H744&gt;3333,H744&lt;=6666),"Grupo 2",AND(H744&gt;6666,H744&lt;=10000),"Grupo 3")</f>
        <v>Grupo 1</v>
      </c>
    </row>
    <row r="745" spans="1:17" x14ac:dyDescent="0.25">
      <c r="A745" t="s">
        <v>155</v>
      </c>
      <c r="B745" s="2">
        <v>45867.710416666669</v>
      </c>
      <c r="C745" t="s">
        <v>311</v>
      </c>
      <c r="D745" t="s">
        <v>213</v>
      </c>
      <c r="E745">
        <v>5</v>
      </c>
      <c r="F745">
        <v>955.39</v>
      </c>
      <c r="G745" t="s">
        <v>221</v>
      </c>
      <c r="H745">
        <v>4776.95</v>
      </c>
      <c r="I745">
        <v>2025</v>
      </c>
      <c r="J745">
        <v>7</v>
      </c>
      <c r="K745">
        <v>17</v>
      </c>
      <c r="L745" s="14">
        <v>955.39</v>
      </c>
      <c r="M745" s="4" t="str">
        <f t="shared" si="44"/>
        <v>martes</v>
      </c>
      <c r="N745" s="4" t="str">
        <f t="shared" si="45"/>
        <v>julio</v>
      </c>
      <c r="O745" s="4" t="str">
        <f t="shared" si="46"/>
        <v>SI</v>
      </c>
      <c r="P745" s="4" t="str">
        <f t="shared" si="47"/>
        <v>NO</v>
      </c>
      <c r="Q745" s="4" t="str" cm="1">
        <f t="array" ref="Q745">_xlfn.IFS(AND(H745&gt;=0,H745&lt;=3333),"Grupo 1",AND(H745&gt;3333,H745&lt;=6666),"Grupo 2",AND(H745&gt;6666,H745&lt;=10000),"Grupo 3")</f>
        <v>Grupo 2</v>
      </c>
    </row>
    <row r="746" spans="1:17" x14ac:dyDescent="0.25">
      <c r="A746" t="s">
        <v>156</v>
      </c>
      <c r="B746" s="2">
        <v>45339.555555555547</v>
      </c>
      <c r="C746" t="s">
        <v>312</v>
      </c>
      <c r="D746" t="s">
        <v>214</v>
      </c>
      <c r="E746">
        <v>2</v>
      </c>
      <c r="F746">
        <v>1963.63</v>
      </c>
      <c r="G746" t="s">
        <v>222</v>
      </c>
      <c r="H746">
        <v>3927.26</v>
      </c>
      <c r="I746">
        <v>2024</v>
      </c>
      <c r="J746">
        <v>2</v>
      </c>
      <c r="K746">
        <v>13</v>
      </c>
      <c r="L746" s="14">
        <v>1963.63</v>
      </c>
      <c r="M746" s="4" t="str">
        <f t="shared" si="44"/>
        <v>sábado</v>
      </c>
      <c r="N746" s="4" t="str">
        <f t="shared" si="45"/>
        <v>febrero</v>
      </c>
      <c r="O746" s="4" t="str">
        <f t="shared" si="46"/>
        <v>SI</v>
      </c>
      <c r="P746" s="4" t="str">
        <f t="shared" si="47"/>
        <v>SI</v>
      </c>
      <c r="Q746" s="4" t="str" cm="1">
        <f t="array" ref="Q746">_xlfn.IFS(AND(H746&gt;=0,H746&lt;=3333),"Grupo 1",AND(H746&gt;3333,H746&lt;=6666),"Grupo 2",AND(H746&gt;6666,H746&lt;=10000),"Grupo 3")</f>
        <v>Grupo 2</v>
      </c>
    </row>
    <row r="747" spans="1:17" x14ac:dyDescent="0.25">
      <c r="A747" t="s">
        <v>157</v>
      </c>
      <c r="B747" s="2">
        <v>45538.998611111107</v>
      </c>
      <c r="C747" t="s">
        <v>313</v>
      </c>
      <c r="D747" t="s">
        <v>216</v>
      </c>
      <c r="E747">
        <v>5</v>
      </c>
      <c r="F747">
        <v>1440.14</v>
      </c>
      <c r="G747" t="s">
        <v>221</v>
      </c>
      <c r="H747">
        <v>7200.7000000000007</v>
      </c>
      <c r="I747">
        <v>2024</v>
      </c>
      <c r="J747">
        <v>9</v>
      </c>
      <c r="K747">
        <v>23</v>
      </c>
      <c r="L747" s="14">
        <v>1440.14</v>
      </c>
      <c r="M747" s="4" t="str">
        <f t="shared" si="44"/>
        <v>martes</v>
      </c>
      <c r="N747" s="4" t="str">
        <f t="shared" si="45"/>
        <v>septiembre</v>
      </c>
      <c r="O747" s="4" t="str">
        <f t="shared" si="46"/>
        <v>SI</v>
      </c>
      <c r="P747" s="4" t="str">
        <f t="shared" si="47"/>
        <v>SI</v>
      </c>
      <c r="Q747" s="4" t="str" cm="1">
        <f t="array" ref="Q747">_xlfn.IFS(AND(H747&gt;=0,H747&lt;=3333),"Grupo 1",AND(H747&gt;3333,H747&lt;=6666),"Grupo 2",AND(H747&gt;6666,H747&lt;=10000),"Grupo 3")</f>
        <v>Grupo 3</v>
      </c>
    </row>
    <row r="748" spans="1:17" x14ac:dyDescent="0.25">
      <c r="A748" t="s">
        <v>158</v>
      </c>
      <c r="B748" s="2">
        <v>45105.837500000001</v>
      </c>
      <c r="C748" t="s">
        <v>314</v>
      </c>
      <c r="D748" t="s">
        <v>212</v>
      </c>
      <c r="E748">
        <v>4</v>
      </c>
      <c r="F748">
        <v>283.7</v>
      </c>
      <c r="G748" t="s">
        <v>220</v>
      </c>
      <c r="H748">
        <v>1134.8</v>
      </c>
      <c r="I748">
        <v>2023</v>
      </c>
      <c r="J748">
        <v>6</v>
      </c>
      <c r="K748">
        <v>20</v>
      </c>
      <c r="L748" s="14">
        <v>283.7</v>
      </c>
      <c r="M748" s="4" t="str">
        <f t="shared" si="44"/>
        <v>miércoles</v>
      </c>
      <c r="N748" s="4" t="str">
        <f t="shared" si="45"/>
        <v>junio</v>
      </c>
      <c r="O748" s="4" t="str">
        <f t="shared" si="46"/>
        <v>NO</v>
      </c>
      <c r="P748" s="4" t="str">
        <f t="shared" si="47"/>
        <v>NO</v>
      </c>
      <c r="Q748" s="4" t="str" cm="1">
        <f t="array" ref="Q748">_xlfn.IFS(AND(H748&gt;=0,H748&lt;=3333),"Grupo 1",AND(H748&gt;3333,H748&lt;=6666),"Grupo 2",AND(H748&gt;6666,H748&lt;=10000),"Grupo 3")</f>
        <v>Grupo 1</v>
      </c>
    </row>
    <row r="749" spans="1:17" x14ac:dyDescent="0.25">
      <c r="A749" t="s">
        <v>159</v>
      </c>
      <c r="B749" s="2">
        <v>45470.283333333333</v>
      </c>
      <c r="C749" t="s">
        <v>315</v>
      </c>
      <c r="D749" t="s">
        <v>215</v>
      </c>
      <c r="E749">
        <v>3</v>
      </c>
      <c r="F749">
        <v>687.51</v>
      </c>
      <c r="G749" t="s">
        <v>220</v>
      </c>
      <c r="H749">
        <v>2062.5300000000002</v>
      </c>
      <c r="I749">
        <v>2024</v>
      </c>
      <c r="J749">
        <v>6</v>
      </c>
      <c r="K749">
        <v>6</v>
      </c>
      <c r="L749" s="14">
        <v>687.50999999999988</v>
      </c>
      <c r="M749" s="4" t="str">
        <f t="shared" si="44"/>
        <v>jueves</v>
      </c>
      <c r="N749" s="4" t="str">
        <f t="shared" si="45"/>
        <v>junio</v>
      </c>
      <c r="O749" s="4" t="str">
        <f t="shared" si="46"/>
        <v>NO</v>
      </c>
      <c r="P749" s="4" t="str">
        <f t="shared" si="47"/>
        <v>NO</v>
      </c>
      <c r="Q749" s="4" t="str" cm="1">
        <f t="array" ref="Q749">_xlfn.IFS(AND(H749&gt;=0,H749&lt;=3333),"Grupo 1",AND(H749&gt;3333,H749&lt;=6666),"Grupo 2",AND(H749&gt;6666,H749&lt;=10000),"Grupo 3")</f>
        <v>Grupo 1</v>
      </c>
    </row>
    <row r="750" spans="1:17" x14ac:dyDescent="0.25">
      <c r="A750" t="s">
        <v>160</v>
      </c>
      <c r="B750" s="2">
        <v>45122.511805555558</v>
      </c>
      <c r="C750" t="s">
        <v>316</v>
      </c>
      <c r="D750" t="s">
        <v>216</v>
      </c>
      <c r="E750">
        <v>2</v>
      </c>
      <c r="F750">
        <v>282</v>
      </c>
      <c r="G750" t="s">
        <v>221</v>
      </c>
      <c r="H750">
        <v>564</v>
      </c>
      <c r="I750">
        <v>2023</v>
      </c>
      <c r="J750">
        <v>7</v>
      </c>
      <c r="K750">
        <v>12</v>
      </c>
      <c r="L750" s="14">
        <v>282</v>
      </c>
      <c r="M750" s="4" t="str">
        <f t="shared" si="44"/>
        <v>sábado</v>
      </c>
      <c r="N750" s="4" t="str">
        <f t="shared" si="45"/>
        <v>julio</v>
      </c>
      <c r="O750" s="4" t="str">
        <f t="shared" si="46"/>
        <v>NO</v>
      </c>
      <c r="P750" s="4" t="str">
        <f t="shared" si="47"/>
        <v>NO</v>
      </c>
      <c r="Q750" s="4" t="str" cm="1">
        <f t="array" ref="Q750">_xlfn.IFS(AND(H750&gt;=0,H750&lt;=3333),"Grupo 1",AND(H750&gt;3333,H750&lt;=6666),"Grupo 2",AND(H750&gt;6666,H750&lt;=10000),"Grupo 3")</f>
        <v>Grupo 1</v>
      </c>
    </row>
    <row r="751" spans="1:17" x14ac:dyDescent="0.25">
      <c r="A751" t="s">
        <v>161</v>
      </c>
      <c r="B751" s="2">
        <v>45878.351388888892</v>
      </c>
      <c r="C751" t="s">
        <v>317</v>
      </c>
      <c r="D751" t="s">
        <v>215</v>
      </c>
      <c r="E751">
        <v>4</v>
      </c>
      <c r="F751">
        <v>1471.38</v>
      </c>
      <c r="G751" t="s">
        <v>220</v>
      </c>
      <c r="H751">
        <v>5885.52</v>
      </c>
      <c r="I751">
        <v>2025</v>
      </c>
      <c r="J751">
        <v>8</v>
      </c>
      <c r="K751">
        <v>8</v>
      </c>
      <c r="L751" s="14">
        <v>1471.38</v>
      </c>
      <c r="M751" s="4" t="str">
        <f t="shared" si="44"/>
        <v>sábado</v>
      </c>
      <c r="N751" s="4" t="str">
        <f t="shared" si="45"/>
        <v>agosto</v>
      </c>
      <c r="O751" s="4" t="str">
        <f t="shared" si="46"/>
        <v>SI</v>
      </c>
      <c r="P751" s="4" t="str">
        <f t="shared" si="47"/>
        <v>SI</v>
      </c>
      <c r="Q751" s="4" t="str" cm="1">
        <f t="array" ref="Q751">_xlfn.IFS(AND(H751&gt;=0,H751&lt;=3333),"Grupo 1",AND(H751&gt;3333,H751&lt;=6666),"Grupo 2",AND(H751&gt;6666,H751&lt;=10000),"Grupo 3")</f>
        <v>Grupo 2</v>
      </c>
    </row>
    <row r="752" spans="1:17" x14ac:dyDescent="0.25">
      <c r="A752" t="s">
        <v>162</v>
      </c>
      <c r="B752" s="2">
        <v>45894.257638888892</v>
      </c>
      <c r="C752" t="s">
        <v>318</v>
      </c>
      <c r="D752" t="s">
        <v>216</v>
      </c>
      <c r="E752">
        <v>1</v>
      </c>
      <c r="F752">
        <v>1463.91</v>
      </c>
      <c r="G752" t="s">
        <v>221</v>
      </c>
      <c r="H752">
        <v>1463.91</v>
      </c>
      <c r="I752">
        <v>2025</v>
      </c>
      <c r="J752">
        <v>8</v>
      </c>
      <c r="K752">
        <v>6</v>
      </c>
      <c r="L752" s="14">
        <v>1463.91</v>
      </c>
      <c r="M752" s="4" t="str">
        <f t="shared" si="44"/>
        <v>lunes</v>
      </c>
      <c r="N752" s="4" t="str">
        <f t="shared" si="45"/>
        <v>agosto</v>
      </c>
      <c r="O752" s="4" t="str">
        <f t="shared" si="46"/>
        <v>NO</v>
      </c>
      <c r="P752" s="4" t="str">
        <f t="shared" si="47"/>
        <v>SI</v>
      </c>
      <c r="Q752" s="4" t="str" cm="1">
        <f t="array" ref="Q752">_xlfn.IFS(AND(H752&gt;=0,H752&lt;=3333),"Grupo 1",AND(H752&gt;3333,H752&lt;=6666),"Grupo 2",AND(H752&gt;6666,H752&lt;=10000),"Grupo 3")</f>
        <v>Grupo 1</v>
      </c>
    </row>
    <row r="753" spans="1:17" x14ac:dyDescent="0.25">
      <c r="A753" t="s">
        <v>163</v>
      </c>
      <c r="B753" s="2">
        <v>45321.105555555558</v>
      </c>
      <c r="C753" t="s">
        <v>319</v>
      </c>
      <c r="D753" t="s">
        <v>213</v>
      </c>
      <c r="E753">
        <v>4</v>
      </c>
      <c r="F753">
        <v>1585.49</v>
      </c>
      <c r="G753" t="s">
        <v>221</v>
      </c>
      <c r="H753">
        <v>6341.96</v>
      </c>
      <c r="I753">
        <v>2024</v>
      </c>
      <c r="J753">
        <v>1</v>
      </c>
      <c r="K753">
        <v>2</v>
      </c>
      <c r="L753" s="14">
        <v>1585.49</v>
      </c>
      <c r="M753" s="4" t="str">
        <f t="shared" si="44"/>
        <v>martes</v>
      </c>
      <c r="N753" s="4" t="str">
        <f t="shared" si="45"/>
        <v>enero</v>
      </c>
      <c r="O753" s="4" t="str">
        <f t="shared" si="46"/>
        <v>SI</v>
      </c>
      <c r="P753" s="4" t="str">
        <f t="shared" si="47"/>
        <v>SI</v>
      </c>
      <c r="Q753" s="4" t="str" cm="1">
        <f t="array" ref="Q753">_xlfn.IFS(AND(H753&gt;=0,H753&lt;=3333),"Grupo 1",AND(H753&gt;3333,H753&lt;=6666),"Grupo 2",AND(H753&gt;6666,H753&lt;=10000),"Grupo 3")</f>
        <v>Grupo 2</v>
      </c>
    </row>
    <row r="754" spans="1:17" x14ac:dyDescent="0.25">
      <c r="A754" t="s">
        <v>164</v>
      </c>
      <c r="B754" s="2">
        <v>45571.035416666673</v>
      </c>
      <c r="C754" t="s">
        <v>320</v>
      </c>
      <c r="D754" t="s">
        <v>213</v>
      </c>
      <c r="E754">
        <v>1</v>
      </c>
      <c r="F754">
        <v>662.17</v>
      </c>
      <c r="G754" t="s">
        <v>221</v>
      </c>
      <c r="H754">
        <v>662.17</v>
      </c>
      <c r="I754">
        <v>2024</v>
      </c>
      <c r="J754">
        <v>10</v>
      </c>
      <c r="K754">
        <v>0</v>
      </c>
      <c r="L754" s="14">
        <v>662.17</v>
      </c>
      <c r="M754" s="4" t="str">
        <f t="shared" si="44"/>
        <v>domingo</v>
      </c>
      <c r="N754" s="4" t="str">
        <f t="shared" si="45"/>
        <v>octubre</v>
      </c>
      <c r="O754" s="4" t="str">
        <f t="shared" si="46"/>
        <v>NO</v>
      </c>
      <c r="P754" s="4" t="str">
        <f t="shared" si="47"/>
        <v>NO</v>
      </c>
      <c r="Q754" s="4" t="str" cm="1">
        <f t="array" ref="Q754">_xlfn.IFS(AND(H754&gt;=0,H754&lt;=3333),"Grupo 1",AND(H754&gt;3333,H754&lt;=6666),"Grupo 2",AND(H754&gt;6666,H754&lt;=10000),"Grupo 3")</f>
        <v>Grupo 1</v>
      </c>
    </row>
    <row r="755" spans="1:17" x14ac:dyDescent="0.25">
      <c r="A755" t="s">
        <v>165</v>
      </c>
      <c r="B755" s="2">
        <v>45442.757638888892</v>
      </c>
      <c r="C755" t="s">
        <v>321</v>
      </c>
      <c r="D755" t="s">
        <v>216</v>
      </c>
      <c r="E755">
        <v>2</v>
      </c>
      <c r="F755">
        <v>136.68</v>
      </c>
      <c r="G755" t="s">
        <v>221</v>
      </c>
      <c r="H755">
        <v>273.36</v>
      </c>
      <c r="I755">
        <v>2024</v>
      </c>
      <c r="J755">
        <v>5</v>
      </c>
      <c r="K755">
        <v>18</v>
      </c>
      <c r="L755" s="14">
        <v>136.68</v>
      </c>
      <c r="M755" s="4" t="str">
        <f t="shared" si="44"/>
        <v>jueves</v>
      </c>
      <c r="N755" s="4" t="str">
        <f t="shared" si="45"/>
        <v>mayo</v>
      </c>
      <c r="O755" s="4" t="str">
        <f t="shared" si="46"/>
        <v>NO</v>
      </c>
      <c r="P755" s="4" t="str">
        <f t="shared" si="47"/>
        <v>NO</v>
      </c>
      <c r="Q755" s="4" t="str" cm="1">
        <f t="array" ref="Q755">_xlfn.IFS(AND(H755&gt;=0,H755&lt;=3333),"Grupo 1",AND(H755&gt;3333,H755&lt;=6666),"Grupo 2",AND(H755&gt;6666,H755&lt;=10000),"Grupo 3")</f>
        <v>Grupo 1</v>
      </c>
    </row>
    <row r="756" spans="1:17" x14ac:dyDescent="0.25">
      <c r="A756" t="s">
        <v>166</v>
      </c>
      <c r="B756" s="2">
        <v>45889.054166666669</v>
      </c>
      <c r="C756" t="s">
        <v>322</v>
      </c>
      <c r="D756" t="s">
        <v>215</v>
      </c>
      <c r="E756">
        <v>4</v>
      </c>
      <c r="F756">
        <v>118.64</v>
      </c>
      <c r="G756" t="s">
        <v>220</v>
      </c>
      <c r="H756">
        <v>474.56</v>
      </c>
      <c r="I756">
        <v>2025</v>
      </c>
      <c r="J756">
        <v>8</v>
      </c>
      <c r="K756">
        <v>1</v>
      </c>
      <c r="L756" s="14">
        <v>118.64</v>
      </c>
      <c r="M756" s="4" t="str">
        <f t="shared" si="44"/>
        <v>miércoles</v>
      </c>
      <c r="N756" s="4" t="str">
        <f t="shared" si="45"/>
        <v>agosto</v>
      </c>
      <c r="O756" s="4" t="str">
        <f t="shared" si="46"/>
        <v>NO</v>
      </c>
      <c r="P756" s="4" t="str">
        <f t="shared" si="47"/>
        <v>NO</v>
      </c>
      <c r="Q756" s="4" t="str" cm="1">
        <f t="array" ref="Q756">_xlfn.IFS(AND(H756&gt;=0,H756&lt;=3333),"Grupo 1",AND(H756&gt;3333,H756&lt;=6666),"Grupo 2",AND(H756&gt;6666,H756&lt;=10000),"Grupo 3")</f>
        <v>Grupo 1</v>
      </c>
    </row>
    <row r="757" spans="1:17" x14ac:dyDescent="0.25">
      <c r="A757" t="s">
        <v>167</v>
      </c>
      <c r="B757" s="2">
        <v>45468.727083333331</v>
      </c>
      <c r="C757" t="s">
        <v>323</v>
      </c>
      <c r="D757" t="s">
        <v>217</v>
      </c>
      <c r="E757">
        <v>3</v>
      </c>
      <c r="F757">
        <v>933.49</v>
      </c>
      <c r="G757" t="s">
        <v>220</v>
      </c>
      <c r="H757">
        <v>2800.47</v>
      </c>
      <c r="I757">
        <v>2024</v>
      </c>
      <c r="J757">
        <v>6</v>
      </c>
      <c r="K757">
        <v>17</v>
      </c>
      <c r="L757" s="14">
        <v>933.49000000000012</v>
      </c>
      <c r="M757" s="4" t="str">
        <f t="shared" si="44"/>
        <v>martes</v>
      </c>
      <c r="N757" s="4" t="str">
        <f t="shared" si="45"/>
        <v>junio</v>
      </c>
      <c r="O757" s="4" t="str">
        <f t="shared" si="46"/>
        <v>NO</v>
      </c>
      <c r="P757" s="4" t="str">
        <f t="shared" si="47"/>
        <v>NO</v>
      </c>
      <c r="Q757" s="4" t="str" cm="1">
        <f t="array" ref="Q757">_xlfn.IFS(AND(H757&gt;=0,H757&lt;=3333),"Grupo 1",AND(H757&gt;3333,H757&lt;=6666),"Grupo 2",AND(H757&gt;6666,H757&lt;=10000),"Grupo 3")</f>
        <v>Grupo 1</v>
      </c>
    </row>
    <row r="758" spans="1:17" x14ac:dyDescent="0.25">
      <c r="A758" t="s">
        <v>168</v>
      </c>
      <c r="B758" s="2">
        <v>45202.955555555563</v>
      </c>
      <c r="C758" t="s">
        <v>324</v>
      </c>
      <c r="D758" t="s">
        <v>219</v>
      </c>
      <c r="E758">
        <v>2</v>
      </c>
      <c r="F758">
        <v>1035.0899999999999</v>
      </c>
      <c r="G758" t="s">
        <v>221</v>
      </c>
      <c r="H758">
        <v>2070.1799999999998</v>
      </c>
      <c r="I758">
        <v>2023</v>
      </c>
      <c r="J758">
        <v>10</v>
      </c>
      <c r="K758">
        <v>22</v>
      </c>
      <c r="L758" s="14">
        <v>1035.0899999999999</v>
      </c>
      <c r="M758" s="4" t="str">
        <f t="shared" si="44"/>
        <v>martes</v>
      </c>
      <c r="N758" s="4" t="str">
        <f t="shared" si="45"/>
        <v>octubre</v>
      </c>
      <c r="O758" s="4" t="str">
        <f t="shared" si="46"/>
        <v>NO</v>
      </c>
      <c r="P758" s="4" t="str">
        <f t="shared" si="47"/>
        <v>SI</v>
      </c>
      <c r="Q758" s="4" t="str" cm="1">
        <f t="array" ref="Q758">_xlfn.IFS(AND(H758&gt;=0,H758&lt;=3333),"Grupo 1",AND(H758&gt;3333,H758&lt;=6666),"Grupo 2",AND(H758&gt;6666,H758&lt;=10000),"Grupo 3")</f>
        <v>Grupo 1</v>
      </c>
    </row>
    <row r="759" spans="1:17" x14ac:dyDescent="0.25">
      <c r="A759" t="s">
        <v>169</v>
      </c>
      <c r="B759" s="2">
        <v>45323.202777777777</v>
      </c>
      <c r="C759" t="s">
        <v>325</v>
      </c>
      <c r="D759" t="s">
        <v>215</v>
      </c>
      <c r="E759">
        <v>2</v>
      </c>
      <c r="F759">
        <v>1325.01</v>
      </c>
      <c r="G759" t="s">
        <v>220</v>
      </c>
      <c r="H759">
        <v>2650.02</v>
      </c>
      <c r="I759">
        <v>2024</v>
      </c>
      <c r="J759">
        <v>2</v>
      </c>
      <c r="K759">
        <v>4</v>
      </c>
      <c r="L759" s="14">
        <v>1325.01</v>
      </c>
      <c r="M759" s="4" t="str">
        <f t="shared" si="44"/>
        <v>jueves</v>
      </c>
      <c r="N759" s="4" t="str">
        <f t="shared" si="45"/>
        <v>febrero</v>
      </c>
      <c r="O759" s="4" t="str">
        <f t="shared" si="46"/>
        <v>NO</v>
      </c>
      <c r="P759" s="4" t="str">
        <f t="shared" si="47"/>
        <v>SI</v>
      </c>
      <c r="Q759" s="4" t="str" cm="1">
        <f t="array" ref="Q759">_xlfn.IFS(AND(H759&gt;=0,H759&lt;=3333),"Grupo 1",AND(H759&gt;3333,H759&lt;=6666),"Grupo 2",AND(H759&gt;6666,H759&lt;=10000),"Grupo 3")</f>
        <v>Grupo 1</v>
      </c>
    </row>
    <row r="760" spans="1:17" x14ac:dyDescent="0.25">
      <c r="A760" t="s">
        <v>170</v>
      </c>
      <c r="B760" s="2">
        <v>45288.395833333343</v>
      </c>
      <c r="C760" t="s">
        <v>326</v>
      </c>
      <c r="D760" t="s">
        <v>213</v>
      </c>
      <c r="E760">
        <v>4</v>
      </c>
      <c r="F760">
        <v>710.84</v>
      </c>
      <c r="G760" t="s">
        <v>221</v>
      </c>
      <c r="H760">
        <v>2843.36</v>
      </c>
      <c r="I760">
        <v>2023</v>
      </c>
      <c r="J760">
        <v>12</v>
      </c>
      <c r="K760">
        <v>9</v>
      </c>
      <c r="L760" s="14">
        <v>710.84</v>
      </c>
      <c r="M760" s="4" t="str">
        <f t="shared" si="44"/>
        <v>jueves</v>
      </c>
      <c r="N760" s="4" t="str">
        <f t="shared" si="45"/>
        <v>diciembre</v>
      </c>
      <c r="O760" s="4" t="str">
        <f t="shared" si="46"/>
        <v>NO</v>
      </c>
      <c r="P760" s="4" t="str">
        <f t="shared" si="47"/>
        <v>NO</v>
      </c>
      <c r="Q760" s="4" t="str" cm="1">
        <f t="array" ref="Q760">_xlfn.IFS(AND(H760&gt;=0,H760&lt;=3333),"Grupo 1",AND(H760&gt;3333,H760&lt;=6666),"Grupo 2",AND(H760&gt;6666,H760&lt;=10000),"Grupo 3")</f>
        <v>Grupo 1</v>
      </c>
    </row>
    <row r="761" spans="1:17" x14ac:dyDescent="0.25">
      <c r="A761" t="s">
        <v>171</v>
      </c>
      <c r="B761" s="2">
        <v>45900.337500000001</v>
      </c>
      <c r="C761" t="s">
        <v>327</v>
      </c>
      <c r="D761" t="s">
        <v>214</v>
      </c>
      <c r="E761">
        <v>3</v>
      </c>
      <c r="F761">
        <v>97.27</v>
      </c>
      <c r="G761" t="s">
        <v>222</v>
      </c>
      <c r="H761">
        <v>291.81</v>
      </c>
      <c r="I761">
        <v>2025</v>
      </c>
      <c r="J761">
        <v>8</v>
      </c>
      <c r="K761">
        <v>8</v>
      </c>
      <c r="L761" s="14">
        <v>97.27</v>
      </c>
      <c r="M761" s="4" t="str">
        <f t="shared" si="44"/>
        <v>domingo</v>
      </c>
      <c r="N761" s="4" t="str">
        <f t="shared" si="45"/>
        <v>agosto</v>
      </c>
      <c r="O761" s="4" t="str">
        <f t="shared" si="46"/>
        <v>NO</v>
      </c>
      <c r="P761" s="4" t="str">
        <f t="shared" si="47"/>
        <v>NO</v>
      </c>
      <c r="Q761" s="4" t="str" cm="1">
        <f t="array" ref="Q761">_xlfn.IFS(AND(H761&gt;=0,H761&lt;=3333),"Grupo 1",AND(H761&gt;3333,H761&lt;=6666),"Grupo 2",AND(H761&gt;6666,H761&lt;=10000),"Grupo 3")</f>
        <v>Grupo 1</v>
      </c>
    </row>
    <row r="762" spans="1:17" x14ac:dyDescent="0.25">
      <c r="A762" t="s">
        <v>172</v>
      </c>
      <c r="B762" s="2">
        <v>45576.732638888891</v>
      </c>
      <c r="C762" t="s">
        <v>328</v>
      </c>
      <c r="D762" t="s">
        <v>215</v>
      </c>
      <c r="E762">
        <v>5</v>
      </c>
      <c r="F762">
        <v>498.36</v>
      </c>
      <c r="G762" t="s">
        <v>220</v>
      </c>
      <c r="H762">
        <v>2491.8000000000002</v>
      </c>
      <c r="I762">
        <v>2024</v>
      </c>
      <c r="J762">
        <v>10</v>
      </c>
      <c r="K762">
        <v>17</v>
      </c>
      <c r="L762" s="14">
        <v>498.36</v>
      </c>
      <c r="M762" s="4" t="str">
        <f t="shared" si="44"/>
        <v>viernes</v>
      </c>
      <c r="N762" s="4" t="str">
        <f t="shared" si="45"/>
        <v>octubre</v>
      </c>
      <c r="O762" s="4" t="str">
        <f t="shared" si="46"/>
        <v>NO</v>
      </c>
      <c r="P762" s="4" t="str">
        <f t="shared" si="47"/>
        <v>NO</v>
      </c>
      <c r="Q762" s="4" t="str" cm="1">
        <f t="array" ref="Q762">_xlfn.IFS(AND(H762&gt;=0,H762&lt;=3333),"Grupo 1",AND(H762&gt;3333,H762&lt;=6666),"Grupo 2",AND(H762&gt;6666,H762&lt;=10000),"Grupo 3")</f>
        <v>Grupo 1</v>
      </c>
    </row>
    <row r="763" spans="1:17" x14ac:dyDescent="0.25">
      <c r="A763" t="s">
        <v>173</v>
      </c>
      <c r="B763" s="2">
        <v>45392.97152777778</v>
      </c>
      <c r="C763" t="s">
        <v>329</v>
      </c>
      <c r="D763" t="s">
        <v>214</v>
      </c>
      <c r="E763">
        <v>5</v>
      </c>
      <c r="F763">
        <v>980.89</v>
      </c>
      <c r="G763" t="s">
        <v>222</v>
      </c>
      <c r="H763">
        <v>4904.45</v>
      </c>
      <c r="I763">
        <v>2024</v>
      </c>
      <c r="J763">
        <v>4</v>
      </c>
      <c r="K763">
        <v>23</v>
      </c>
      <c r="L763" s="14">
        <v>980.89</v>
      </c>
      <c r="M763" s="4" t="str">
        <f t="shared" si="44"/>
        <v>miércoles</v>
      </c>
      <c r="N763" s="4" t="str">
        <f t="shared" si="45"/>
        <v>abril</v>
      </c>
      <c r="O763" s="4" t="str">
        <f t="shared" si="46"/>
        <v>SI</v>
      </c>
      <c r="P763" s="4" t="str">
        <f t="shared" si="47"/>
        <v>NO</v>
      </c>
      <c r="Q763" s="4" t="str" cm="1">
        <f t="array" ref="Q763">_xlfn.IFS(AND(H763&gt;=0,H763&lt;=3333),"Grupo 1",AND(H763&gt;3333,H763&lt;=6666),"Grupo 2",AND(H763&gt;6666,H763&lt;=10000),"Grupo 3")</f>
        <v>Grupo 2</v>
      </c>
    </row>
    <row r="764" spans="1:17" x14ac:dyDescent="0.25">
      <c r="A764" t="s">
        <v>174</v>
      </c>
      <c r="B764" s="2">
        <v>45584.049305555563</v>
      </c>
      <c r="C764" t="s">
        <v>330</v>
      </c>
      <c r="D764" t="s">
        <v>213</v>
      </c>
      <c r="E764">
        <v>1</v>
      </c>
      <c r="F764">
        <v>1390.33</v>
      </c>
      <c r="G764" t="s">
        <v>221</v>
      </c>
      <c r="H764">
        <v>1390.33</v>
      </c>
      <c r="I764">
        <v>2024</v>
      </c>
      <c r="J764">
        <v>10</v>
      </c>
      <c r="K764">
        <v>1</v>
      </c>
      <c r="L764" s="14">
        <v>1390.33</v>
      </c>
      <c r="M764" s="4" t="str">
        <f t="shared" si="44"/>
        <v>sábado</v>
      </c>
      <c r="N764" s="4" t="str">
        <f t="shared" si="45"/>
        <v>octubre</v>
      </c>
      <c r="O764" s="4" t="str">
        <f t="shared" si="46"/>
        <v>NO</v>
      </c>
      <c r="P764" s="4" t="str">
        <f t="shared" si="47"/>
        <v>SI</v>
      </c>
      <c r="Q764" s="4" t="str" cm="1">
        <f t="array" ref="Q764">_xlfn.IFS(AND(H764&gt;=0,H764&lt;=3333),"Grupo 1",AND(H764&gt;3333,H764&lt;=6666),"Grupo 2",AND(H764&gt;6666,H764&lt;=10000),"Grupo 3")</f>
        <v>Grupo 1</v>
      </c>
    </row>
    <row r="765" spans="1:17" x14ac:dyDescent="0.25">
      <c r="A765" t="s">
        <v>175</v>
      </c>
      <c r="B765" s="2">
        <v>44941.657638888893</v>
      </c>
      <c r="C765" t="s">
        <v>331</v>
      </c>
      <c r="D765" t="s">
        <v>217</v>
      </c>
      <c r="E765">
        <v>5</v>
      </c>
      <c r="F765">
        <v>1708.09</v>
      </c>
      <c r="G765" t="s">
        <v>220</v>
      </c>
      <c r="H765">
        <v>8540.4499999999989</v>
      </c>
      <c r="I765">
        <v>2023</v>
      </c>
      <c r="J765">
        <v>1</v>
      </c>
      <c r="K765">
        <v>15</v>
      </c>
      <c r="L765" s="14">
        <v>1708.09</v>
      </c>
      <c r="M765" s="4" t="str">
        <f t="shared" si="44"/>
        <v>domingo</v>
      </c>
      <c r="N765" s="4" t="str">
        <f t="shared" si="45"/>
        <v>enero</v>
      </c>
      <c r="O765" s="4" t="str">
        <f t="shared" si="46"/>
        <v>SI</v>
      </c>
      <c r="P765" s="4" t="str">
        <f t="shared" si="47"/>
        <v>SI</v>
      </c>
      <c r="Q765" s="4" t="str" cm="1">
        <f t="array" ref="Q765">_xlfn.IFS(AND(H765&gt;=0,H765&lt;=3333),"Grupo 1",AND(H765&gt;3333,H765&lt;=6666),"Grupo 2",AND(H765&gt;6666,H765&lt;=10000),"Grupo 3")</f>
        <v>Grupo 3</v>
      </c>
    </row>
    <row r="766" spans="1:17" x14ac:dyDescent="0.25">
      <c r="A766" t="s">
        <v>176</v>
      </c>
      <c r="B766" s="2">
        <v>45238.718055555553</v>
      </c>
      <c r="C766" t="s">
        <v>332</v>
      </c>
      <c r="D766" t="s">
        <v>219</v>
      </c>
      <c r="E766">
        <v>3</v>
      </c>
      <c r="F766">
        <v>459.4</v>
      </c>
      <c r="G766" t="s">
        <v>221</v>
      </c>
      <c r="H766">
        <v>1378.2</v>
      </c>
      <c r="I766">
        <v>2023</v>
      </c>
      <c r="J766">
        <v>11</v>
      </c>
      <c r="K766">
        <v>17</v>
      </c>
      <c r="L766" s="14">
        <v>459.39999999999992</v>
      </c>
      <c r="M766" s="4" t="str">
        <f t="shared" si="44"/>
        <v>miércoles</v>
      </c>
      <c r="N766" s="4" t="str">
        <f t="shared" si="45"/>
        <v>noviembre</v>
      </c>
      <c r="O766" s="4" t="str">
        <f t="shared" si="46"/>
        <v>NO</v>
      </c>
      <c r="P766" s="4" t="str">
        <f t="shared" si="47"/>
        <v>NO</v>
      </c>
      <c r="Q766" s="4" t="str" cm="1">
        <f t="array" ref="Q766">_xlfn.IFS(AND(H766&gt;=0,H766&lt;=3333),"Grupo 1",AND(H766&gt;3333,H766&lt;=6666),"Grupo 2",AND(H766&gt;6666,H766&lt;=10000),"Grupo 3")</f>
        <v>Grupo 1</v>
      </c>
    </row>
    <row r="767" spans="1:17" x14ac:dyDescent="0.25">
      <c r="A767" t="s">
        <v>177</v>
      </c>
      <c r="B767" s="2">
        <v>44973.59652777778</v>
      </c>
      <c r="C767" t="s">
        <v>333</v>
      </c>
      <c r="D767" t="s">
        <v>215</v>
      </c>
      <c r="E767">
        <v>1</v>
      </c>
      <c r="F767">
        <v>1578.33</v>
      </c>
      <c r="G767" t="s">
        <v>220</v>
      </c>
      <c r="H767">
        <v>1578.33</v>
      </c>
      <c r="I767">
        <v>2023</v>
      </c>
      <c r="J767">
        <v>2</v>
      </c>
      <c r="K767">
        <v>14</v>
      </c>
      <c r="L767" s="14">
        <v>1578.33</v>
      </c>
      <c r="M767" s="4" t="str">
        <f t="shared" si="44"/>
        <v>jueves</v>
      </c>
      <c r="N767" s="4" t="str">
        <f t="shared" si="45"/>
        <v>febrero</v>
      </c>
      <c r="O767" s="4" t="str">
        <f t="shared" si="46"/>
        <v>NO</v>
      </c>
      <c r="P767" s="4" t="str">
        <f t="shared" si="47"/>
        <v>SI</v>
      </c>
      <c r="Q767" s="4" t="str" cm="1">
        <f t="array" ref="Q767">_xlfn.IFS(AND(H767&gt;=0,H767&lt;=3333),"Grupo 1",AND(H767&gt;3333,H767&lt;=6666),"Grupo 2",AND(H767&gt;6666,H767&lt;=10000),"Grupo 3")</f>
        <v>Grupo 1</v>
      </c>
    </row>
    <row r="768" spans="1:17" x14ac:dyDescent="0.25">
      <c r="A768" t="s">
        <v>178</v>
      </c>
      <c r="B768" s="2">
        <v>45445.690972222219</v>
      </c>
      <c r="C768" t="s">
        <v>334</v>
      </c>
      <c r="D768" t="s">
        <v>213</v>
      </c>
      <c r="E768">
        <v>5</v>
      </c>
      <c r="F768">
        <v>1602.39</v>
      </c>
      <c r="G768" t="s">
        <v>221</v>
      </c>
      <c r="H768">
        <v>8011.9500000000007</v>
      </c>
      <c r="I768">
        <v>2024</v>
      </c>
      <c r="J768">
        <v>6</v>
      </c>
      <c r="K768">
        <v>16</v>
      </c>
      <c r="L768" s="14">
        <v>1602.39</v>
      </c>
      <c r="M768" s="4" t="str">
        <f t="shared" si="44"/>
        <v>domingo</v>
      </c>
      <c r="N768" s="4" t="str">
        <f t="shared" si="45"/>
        <v>junio</v>
      </c>
      <c r="O768" s="4" t="str">
        <f t="shared" si="46"/>
        <v>SI</v>
      </c>
      <c r="P768" s="4" t="str">
        <f t="shared" si="47"/>
        <v>SI</v>
      </c>
      <c r="Q768" s="4" t="str" cm="1">
        <f t="array" ref="Q768">_xlfn.IFS(AND(H768&gt;=0,H768&lt;=3333),"Grupo 1",AND(H768&gt;3333,H768&lt;=6666),"Grupo 2",AND(H768&gt;6666,H768&lt;=10000),"Grupo 3")</f>
        <v>Grupo 3</v>
      </c>
    </row>
    <row r="769" spans="1:17" x14ac:dyDescent="0.25">
      <c r="A769" t="s">
        <v>179</v>
      </c>
      <c r="B769" s="2">
        <v>45035.472916666673</v>
      </c>
      <c r="C769" t="s">
        <v>335</v>
      </c>
      <c r="D769" t="s">
        <v>213</v>
      </c>
      <c r="E769">
        <v>2</v>
      </c>
      <c r="F769">
        <v>714.55</v>
      </c>
      <c r="G769" t="s">
        <v>221</v>
      </c>
      <c r="H769">
        <v>1429.1</v>
      </c>
      <c r="I769">
        <v>2023</v>
      </c>
      <c r="J769">
        <v>4</v>
      </c>
      <c r="K769">
        <v>11</v>
      </c>
      <c r="L769" s="14">
        <v>714.55</v>
      </c>
      <c r="M769" s="4" t="str">
        <f t="shared" si="44"/>
        <v>miércoles</v>
      </c>
      <c r="N769" s="4" t="str">
        <f t="shared" si="45"/>
        <v>abril</v>
      </c>
      <c r="O769" s="4" t="str">
        <f t="shared" si="46"/>
        <v>NO</v>
      </c>
      <c r="P769" s="4" t="str">
        <f t="shared" si="47"/>
        <v>NO</v>
      </c>
      <c r="Q769" s="4" t="str" cm="1">
        <f t="array" ref="Q769">_xlfn.IFS(AND(H769&gt;=0,H769&lt;=3333),"Grupo 1",AND(H769&gt;3333,H769&lt;=6666),"Grupo 2",AND(H769&gt;6666,H769&lt;=10000),"Grupo 3")</f>
        <v>Grupo 1</v>
      </c>
    </row>
    <row r="770" spans="1:17" x14ac:dyDescent="0.25">
      <c r="A770" t="s">
        <v>180</v>
      </c>
      <c r="B770" s="2">
        <v>45836.104166666657</v>
      </c>
      <c r="C770" t="s">
        <v>336</v>
      </c>
      <c r="D770" t="s">
        <v>214</v>
      </c>
      <c r="E770">
        <v>2</v>
      </c>
      <c r="F770">
        <v>140.54</v>
      </c>
      <c r="G770" t="s">
        <v>222</v>
      </c>
      <c r="H770">
        <v>281.08</v>
      </c>
      <c r="I770">
        <v>2025</v>
      </c>
      <c r="J770">
        <v>6</v>
      </c>
      <c r="K770">
        <v>2</v>
      </c>
      <c r="L770" s="14">
        <v>140.54</v>
      </c>
      <c r="M770" s="4" t="str">
        <f t="shared" ref="M770:M833" si="48">TEXT(B770,"dddd")</f>
        <v>sábado</v>
      </c>
      <c r="N770" s="4" t="str">
        <f t="shared" ref="N770:N833" si="49">TEXT(B770,"mmmm")</f>
        <v>junio</v>
      </c>
      <c r="O770" s="4" t="str">
        <f t="shared" si="46"/>
        <v>NO</v>
      </c>
      <c r="P770" s="4" t="str">
        <f t="shared" si="47"/>
        <v>NO</v>
      </c>
      <c r="Q770" s="4" t="str" cm="1">
        <f t="array" ref="Q770">_xlfn.IFS(AND(H770&gt;=0,H770&lt;=3333),"Grupo 1",AND(H770&gt;3333,H770&lt;=6666),"Grupo 2",AND(H770&gt;6666,H770&lt;=10000),"Grupo 3")</f>
        <v>Grupo 1</v>
      </c>
    </row>
    <row r="771" spans="1:17" x14ac:dyDescent="0.25">
      <c r="A771" t="s">
        <v>181</v>
      </c>
      <c r="B771" s="2">
        <v>45584.553472222222</v>
      </c>
      <c r="C771" t="s">
        <v>337</v>
      </c>
      <c r="D771" t="s">
        <v>218</v>
      </c>
      <c r="E771">
        <v>5</v>
      </c>
      <c r="F771">
        <v>286.87</v>
      </c>
      <c r="G771" t="s">
        <v>221</v>
      </c>
      <c r="H771">
        <v>1434.35</v>
      </c>
      <c r="I771">
        <v>2024</v>
      </c>
      <c r="J771">
        <v>10</v>
      </c>
      <c r="K771">
        <v>13</v>
      </c>
      <c r="L771" s="14">
        <v>286.87</v>
      </c>
      <c r="M771" s="4" t="str">
        <f t="shared" si="48"/>
        <v>sábado</v>
      </c>
      <c r="N771" s="4" t="str">
        <f t="shared" si="49"/>
        <v>octubre</v>
      </c>
      <c r="O771" s="4" t="str">
        <f t="shared" ref="O771:O834" si="50">IF(H771&gt;AVERAGE(H:H),"SI","NO")</f>
        <v>NO</v>
      </c>
      <c r="P771" s="4" t="str">
        <f t="shared" ref="P771:P834" si="51">IF(L771&gt;AVERAGE(L:L),"SI","NO")</f>
        <v>NO</v>
      </c>
      <c r="Q771" s="4" t="str" cm="1">
        <f t="array" ref="Q771">_xlfn.IFS(AND(H771&gt;=0,H771&lt;=3333),"Grupo 1",AND(H771&gt;3333,H771&lt;=6666),"Grupo 2",AND(H771&gt;6666,H771&lt;=10000),"Grupo 3")</f>
        <v>Grupo 1</v>
      </c>
    </row>
    <row r="772" spans="1:17" x14ac:dyDescent="0.25">
      <c r="A772" t="s">
        <v>182</v>
      </c>
      <c r="B772" s="2">
        <v>45338.585416666669</v>
      </c>
      <c r="C772" t="s">
        <v>338</v>
      </c>
      <c r="D772" t="s">
        <v>216</v>
      </c>
      <c r="E772">
        <v>5</v>
      </c>
      <c r="F772">
        <v>1897.97</v>
      </c>
      <c r="G772" t="s">
        <v>221</v>
      </c>
      <c r="H772">
        <v>9489.85</v>
      </c>
      <c r="I772">
        <v>2024</v>
      </c>
      <c r="J772">
        <v>2</v>
      </c>
      <c r="K772">
        <v>14</v>
      </c>
      <c r="L772" s="14">
        <v>1897.97</v>
      </c>
      <c r="M772" s="4" t="str">
        <f t="shared" si="48"/>
        <v>viernes</v>
      </c>
      <c r="N772" s="4" t="str">
        <f t="shared" si="49"/>
        <v>febrero</v>
      </c>
      <c r="O772" s="4" t="str">
        <f t="shared" si="50"/>
        <v>SI</v>
      </c>
      <c r="P772" s="4" t="str">
        <f t="shared" si="51"/>
        <v>SI</v>
      </c>
      <c r="Q772" s="4" t="str" cm="1">
        <f t="array" ref="Q772">_xlfn.IFS(AND(H772&gt;=0,H772&lt;=3333),"Grupo 1",AND(H772&gt;3333,H772&lt;=6666),"Grupo 2",AND(H772&gt;6666,H772&lt;=10000),"Grupo 3")</f>
        <v>Grupo 3</v>
      </c>
    </row>
    <row r="773" spans="1:17" x14ac:dyDescent="0.25">
      <c r="A773" t="s">
        <v>183</v>
      </c>
      <c r="B773" s="2">
        <v>45625.480555555558</v>
      </c>
      <c r="C773" t="s">
        <v>339</v>
      </c>
      <c r="D773" t="s">
        <v>213</v>
      </c>
      <c r="E773">
        <v>2</v>
      </c>
      <c r="F773">
        <v>587.71</v>
      </c>
      <c r="G773" t="s">
        <v>221</v>
      </c>
      <c r="H773">
        <v>1175.42</v>
      </c>
      <c r="I773">
        <v>2024</v>
      </c>
      <c r="J773">
        <v>11</v>
      </c>
      <c r="K773">
        <v>11</v>
      </c>
      <c r="L773" s="14">
        <v>587.71</v>
      </c>
      <c r="M773" s="4" t="str">
        <f t="shared" si="48"/>
        <v>viernes</v>
      </c>
      <c r="N773" s="4" t="str">
        <f t="shared" si="49"/>
        <v>noviembre</v>
      </c>
      <c r="O773" s="4" t="str">
        <f t="shared" si="50"/>
        <v>NO</v>
      </c>
      <c r="P773" s="4" t="str">
        <f t="shared" si="51"/>
        <v>NO</v>
      </c>
      <c r="Q773" s="4" t="str" cm="1">
        <f t="array" ref="Q773">_xlfn.IFS(AND(H773&gt;=0,H773&lt;=3333),"Grupo 1",AND(H773&gt;3333,H773&lt;=6666),"Grupo 2",AND(H773&gt;6666,H773&lt;=10000),"Grupo 3")</f>
        <v>Grupo 1</v>
      </c>
    </row>
    <row r="774" spans="1:17" x14ac:dyDescent="0.25">
      <c r="A774" t="s">
        <v>184</v>
      </c>
      <c r="B774" s="2">
        <v>45291</v>
      </c>
      <c r="C774" t="s">
        <v>340</v>
      </c>
      <c r="D774" t="s">
        <v>216</v>
      </c>
      <c r="E774">
        <v>4</v>
      </c>
      <c r="F774">
        <v>895.13</v>
      </c>
      <c r="G774" t="s">
        <v>221</v>
      </c>
      <c r="H774">
        <v>3580.52</v>
      </c>
      <c r="I774">
        <v>2023</v>
      </c>
      <c r="J774">
        <v>12</v>
      </c>
      <c r="K774">
        <v>0</v>
      </c>
      <c r="L774" s="14">
        <v>895.13</v>
      </c>
      <c r="M774" s="4" t="str">
        <f t="shared" si="48"/>
        <v>domingo</v>
      </c>
      <c r="N774" s="4" t="str">
        <f t="shared" si="49"/>
        <v>diciembre</v>
      </c>
      <c r="O774" s="4" t="str">
        <f t="shared" si="50"/>
        <v>SI</v>
      </c>
      <c r="P774" s="4" t="str">
        <f t="shared" si="51"/>
        <v>NO</v>
      </c>
      <c r="Q774" s="4" t="str" cm="1">
        <f t="array" ref="Q774">_xlfn.IFS(AND(H774&gt;=0,H774&lt;=3333),"Grupo 1",AND(H774&gt;3333,H774&lt;=6666),"Grupo 2",AND(H774&gt;6666,H774&lt;=10000),"Grupo 3")</f>
        <v>Grupo 2</v>
      </c>
    </row>
    <row r="775" spans="1:17" x14ac:dyDescent="0.25">
      <c r="A775" t="s">
        <v>185</v>
      </c>
      <c r="B775" s="2">
        <v>45548.488194444442</v>
      </c>
      <c r="C775" t="s">
        <v>341</v>
      </c>
      <c r="D775" t="s">
        <v>215</v>
      </c>
      <c r="E775">
        <v>3</v>
      </c>
      <c r="F775">
        <v>1457.35</v>
      </c>
      <c r="G775" t="s">
        <v>220</v>
      </c>
      <c r="H775">
        <v>4372.0499999999993</v>
      </c>
      <c r="I775">
        <v>2024</v>
      </c>
      <c r="J775">
        <v>9</v>
      </c>
      <c r="K775">
        <v>11</v>
      </c>
      <c r="L775" s="14">
        <v>1457.35</v>
      </c>
      <c r="M775" s="4" t="str">
        <f t="shared" si="48"/>
        <v>viernes</v>
      </c>
      <c r="N775" s="4" t="str">
        <f t="shared" si="49"/>
        <v>septiembre</v>
      </c>
      <c r="O775" s="4" t="str">
        <f t="shared" si="50"/>
        <v>SI</v>
      </c>
      <c r="P775" s="4" t="str">
        <f t="shared" si="51"/>
        <v>SI</v>
      </c>
      <c r="Q775" s="4" t="str" cm="1">
        <f t="array" ref="Q775">_xlfn.IFS(AND(H775&gt;=0,H775&lt;=3333),"Grupo 1",AND(H775&gt;3333,H775&lt;=6666),"Grupo 2",AND(H775&gt;6666,H775&lt;=10000),"Grupo 3")</f>
        <v>Grupo 2</v>
      </c>
    </row>
    <row r="776" spans="1:17" x14ac:dyDescent="0.25">
      <c r="A776" t="s">
        <v>186</v>
      </c>
      <c r="B776" s="2">
        <v>45540.261805555558</v>
      </c>
      <c r="C776" t="s">
        <v>342</v>
      </c>
      <c r="D776" t="s">
        <v>214</v>
      </c>
      <c r="E776">
        <v>3</v>
      </c>
      <c r="F776">
        <v>1083.32</v>
      </c>
      <c r="G776" t="s">
        <v>222</v>
      </c>
      <c r="H776">
        <v>3249.96</v>
      </c>
      <c r="I776">
        <v>2024</v>
      </c>
      <c r="J776">
        <v>9</v>
      </c>
      <c r="K776">
        <v>6</v>
      </c>
      <c r="L776" s="14">
        <v>1083.32</v>
      </c>
      <c r="M776" s="4" t="str">
        <f t="shared" si="48"/>
        <v>jueves</v>
      </c>
      <c r="N776" s="4" t="str">
        <f t="shared" si="49"/>
        <v>septiembre</v>
      </c>
      <c r="O776" s="4" t="str">
        <f t="shared" si="50"/>
        <v>SI</v>
      </c>
      <c r="P776" s="4" t="str">
        <f t="shared" si="51"/>
        <v>SI</v>
      </c>
      <c r="Q776" s="4" t="str" cm="1">
        <f t="array" ref="Q776">_xlfn.IFS(AND(H776&gt;=0,H776&lt;=3333),"Grupo 1",AND(H776&gt;3333,H776&lt;=6666),"Grupo 2",AND(H776&gt;6666,H776&lt;=10000),"Grupo 3")</f>
        <v>Grupo 1</v>
      </c>
    </row>
    <row r="777" spans="1:17" x14ac:dyDescent="0.25">
      <c r="A777" t="s">
        <v>187</v>
      </c>
      <c r="B777" s="2">
        <v>45783.684027777781</v>
      </c>
      <c r="C777" t="s">
        <v>343</v>
      </c>
      <c r="D777" t="s">
        <v>217</v>
      </c>
      <c r="E777">
        <v>3</v>
      </c>
      <c r="F777">
        <v>1542.71</v>
      </c>
      <c r="G777" t="s">
        <v>220</v>
      </c>
      <c r="H777">
        <v>4628.13</v>
      </c>
      <c r="I777">
        <v>2025</v>
      </c>
      <c r="J777">
        <v>5</v>
      </c>
      <c r="K777">
        <v>16</v>
      </c>
      <c r="L777" s="14">
        <v>1542.71</v>
      </c>
      <c r="M777" s="4" t="str">
        <f t="shared" si="48"/>
        <v>martes</v>
      </c>
      <c r="N777" s="4" t="str">
        <f t="shared" si="49"/>
        <v>mayo</v>
      </c>
      <c r="O777" s="4" t="str">
        <f t="shared" si="50"/>
        <v>SI</v>
      </c>
      <c r="P777" s="4" t="str">
        <f t="shared" si="51"/>
        <v>SI</v>
      </c>
      <c r="Q777" s="4" t="str" cm="1">
        <f t="array" ref="Q777">_xlfn.IFS(AND(H777&gt;=0,H777&lt;=3333),"Grupo 1",AND(H777&gt;3333,H777&lt;=6666),"Grupo 2",AND(H777&gt;6666,H777&lt;=10000),"Grupo 3")</f>
        <v>Grupo 2</v>
      </c>
    </row>
    <row r="778" spans="1:17" x14ac:dyDescent="0.25">
      <c r="A778" t="s">
        <v>188</v>
      </c>
      <c r="B778" s="2">
        <v>45692.470138888893</v>
      </c>
      <c r="C778" t="s">
        <v>344</v>
      </c>
      <c r="D778" t="s">
        <v>215</v>
      </c>
      <c r="E778">
        <v>5</v>
      </c>
      <c r="F778">
        <v>723.8</v>
      </c>
      <c r="G778" t="s">
        <v>220</v>
      </c>
      <c r="H778">
        <v>3619</v>
      </c>
      <c r="I778">
        <v>2025</v>
      </c>
      <c r="J778">
        <v>2</v>
      </c>
      <c r="K778">
        <v>11</v>
      </c>
      <c r="L778" s="14">
        <v>723.8</v>
      </c>
      <c r="M778" s="4" t="str">
        <f t="shared" si="48"/>
        <v>martes</v>
      </c>
      <c r="N778" s="4" t="str">
        <f t="shared" si="49"/>
        <v>febrero</v>
      </c>
      <c r="O778" s="4" t="str">
        <f t="shared" si="50"/>
        <v>SI</v>
      </c>
      <c r="P778" s="4" t="str">
        <f t="shared" si="51"/>
        <v>NO</v>
      </c>
      <c r="Q778" s="4" t="str" cm="1">
        <f t="array" ref="Q778">_xlfn.IFS(AND(H778&gt;=0,H778&lt;=3333),"Grupo 1",AND(H778&gt;3333,H778&lt;=6666),"Grupo 2",AND(H778&gt;6666,H778&lt;=10000),"Grupo 3")</f>
        <v>Grupo 2</v>
      </c>
    </row>
    <row r="779" spans="1:17" x14ac:dyDescent="0.25">
      <c r="A779" t="s">
        <v>189</v>
      </c>
      <c r="B779" s="2">
        <v>45186.410416666673</v>
      </c>
      <c r="C779" t="s">
        <v>345</v>
      </c>
      <c r="D779" t="s">
        <v>213</v>
      </c>
      <c r="E779">
        <v>5</v>
      </c>
      <c r="F779">
        <v>179.97</v>
      </c>
      <c r="G779" t="s">
        <v>221</v>
      </c>
      <c r="H779">
        <v>899.85</v>
      </c>
      <c r="I779">
        <v>2023</v>
      </c>
      <c r="J779">
        <v>9</v>
      </c>
      <c r="K779">
        <v>9</v>
      </c>
      <c r="L779" s="14">
        <v>179.97</v>
      </c>
      <c r="M779" s="4" t="str">
        <f t="shared" si="48"/>
        <v>domingo</v>
      </c>
      <c r="N779" s="4" t="str">
        <f t="shared" si="49"/>
        <v>septiembre</v>
      </c>
      <c r="O779" s="4" t="str">
        <f t="shared" si="50"/>
        <v>NO</v>
      </c>
      <c r="P779" s="4" t="str">
        <f t="shared" si="51"/>
        <v>NO</v>
      </c>
      <c r="Q779" s="4" t="str" cm="1">
        <f t="array" ref="Q779">_xlfn.IFS(AND(H779&gt;=0,H779&lt;=3333),"Grupo 1",AND(H779&gt;3333,H779&lt;=6666),"Grupo 2",AND(H779&gt;6666,H779&lt;=10000),"Grupo 3")</f>
        <v>Grupo 1</v>
      </c>
    </row>
    <row r="780" spans="1:17" x14ac:dyDescent="0.25">
      <c r="A780" t="s">
        <v>190</v>
      </c>
      <c r="B780" s="2">
        <v>45539.616666666669</v>
      </c>
      <c r="C780" t="s">
        <v>346</v>
      </c>
      <c r="D780" t="s">
        <v>217</v>
      </c>
      <c r="E780">
        <v>1</v>
      </c>
      <c r="F780">
        <v>1318.43</v>
      </c>
      <c r="G780" t="s">
        <v>220</v>
      </c>
      <c r="H780">
        <v>1318.43</v>
      </c>
      <c r="I780">
        <v>2024</v>
      </c>
      <c r="J780">
        <v>9</v>
      </c>
      <c r="K780">
        <v>14</v>
      </c>
      <c r="L780" s="14">
        <v>1318.43</v>
      </c>
      <c r="M780" s="4" t="str">
        <f t="shared" si="48"/>
        <v>miércoles</v>
      </c>
      <c r="N780" s="4" t="str">
        <f t="shared" si="49"/>
        <v>septiembre</v>
      </c>
      <c r="O780" s="4" t="str">
        <f t="shared" si="50"/>
        <v>NO</v>
      </c>
      <c r="P780" s="4" t="str">
        <f t="shared" si="51"/>
        <v>SI</v>
      </c>
      <c r="Q780" s="4" t="str" cm="1">
        <f t="array" ref="Q780">_xlfn.IFS(AND(H780&gt;=0,H780&lt;=3333),"Grupo 1",AND(H780&gt;3333,H780&lt;=6666),"Grupo 2",AND(H780&gt;6666,H780&lt;=10000),"Grupo 3")</f>
        <v>Grupo 1</v>
      </c>
    </row>
    <row r="781" spans="1:17" x14ac:dyDescent="0.25">
      <c r="A781" t="s">
        <v>191</v>
      </c>
      <c r="B781" s="2">
        <v>45073.392361111109</v>
      </c>
      <c r="C781" t="s">
        <v>347</v>
      </c>
      <c r="D781" t="s">
        <v>215</v>
      </c>
      <c r="E781">
        <v>2</v>
      </c>
      <c r="F781">
        <v>307.37</v>
      </c>
      <c r="G781" t="s">
        <v>220</v>
      </c>
      <c r="H781">
        <v>614.74</v>
      </c>
      <c r="I781">
        <v>2023</v>
      </c>
      <c r="J781">
        <v>5</v>
      </c>
      <c r="K781">
        <v>9</v>
      </c>
      <c r="L781" s="14">
        <v>307.37</v>
      </c>
      <c r="M781" s="4" t="str">
        <f t="shared" si="48"/>
        <v>sábado</v>
      </c>
      <c r="N781" s="4" t="str">
        <f t="shared" si="49"/>
        <v>mayo</v>
      </c>
      <c r="O781" s="4" t="str">
        <f t="shared" si="50"/>
        <v>NO</v>
      </c>
      <c r="P781" s="4" t="str">
        <f t="shared" si="51"/>
        <v>NO</v>
      </c>
      <c r="Q781" s="4" t="str" cm="1">
        <f t="array" ref="Q781">_xlfn.IFS(AND(H781&gt;=0,H781&lt;=3333),"Grupo 1",AND(H781&gt;3333,H781&lt;=6666),"Grupo 2",AND(H781&gt;6666,H781&lt;=10000),"Grupo 3")</f>
        <v>Grupo 1</v>
      </c>
    </row>
    <row r="782" spans="1:17" x14ac:dyDescent="0.25">
      <c r="A782" t="s">
        <v>192</v>
      </c>
      <c r="B782" s="2">
        <v>45287.277777777781</v>
      </c>
      <c r="C782" t="s">
        <v>348</v>
      </c>
      <c r="D782" t="s">
        <v>214</v>
      </c>
      <c r="E782">
        <v>1</v>
      </c>
      <c r="F782">
        <v>1364.97</v>
      </c>
      <c r="G782" t="s">
        <v>222</v>
      </c>
      <c r="H782">
        <v>1364.97</v>
      </c>
      <c r="I782">
        <v>2023</v>
      </c>
      <c r="J782">
        <v>12</v>
      </c>
      <c r="K782">
        <v>6</v>
      </c>
      <c r="L782" s="14">
        <v>1364.97</v>
      </c>
      <c r="M782" s="4" t="str">
        <f t="shared" si="48"/>
        <v>miércoles</v>
      </c>
      <c r="N782" s="4" t="str">
        <f t="shared" si="49"/>
        <v>diciembre</v>
      </c>
      <c r="O782" s="4" t="str">
        <f t="shared" si="50"/>
        <v>NO</v>
      </c>
      <c r="P782" s="4" t="str">
        <f t="shared" si="51"/>
        <v>SI</v>
      </c>
      <c r="Q782" s="4" t="str" cm="1">
        <f t="array" ref="Q782">_xlfn.IFS(AND(H782&gt;=0,H782&lt;=3333),"Grupo 1",AND(H782&gt;3333,H782&lt;=6666),"Grupo 2",AND(H782&gt;6666,H782&lt;=10000),"Grupo 3")</f>
        <v>Grupo 1</v>
      </c>
    </row>
    <row r="783" spans="1:17" x14ac:dyDescent="0.25">
      <c r="A783" t="s">
        <v>193</v>
      </c>
      <c r="B783" s="2">
        <v>45398.678472222222</v>
      </c>
      <c r="C783" t="s">
        <v>349</v>
      </c>
      <c r="D783" t="s">
        <v>219</v>
      </c>
      <c r="E783">
        <v>3</v>
      </c>
      <c r="F783">
        <v>244.23</v>
      </c>
      <c r="G783" t="s">
        <v>221</v>
      </c>
      <c r="H783">
        <v>732.68999999999994</v>
      </c>
      <c r="I783">
        <v>2024</v>
      </c>
      <c r="J783">
        <v>4</v>
      </c>
      <c r="K783">
        <v>16</v>
      </c>
      <c r="L783" s="14">
        <v>244.23</v>
      </c>
      <c r="M783" s="4" t="str">
        <f t="shared" si="48"/>
        <v>martes</v>
      </c>
      <c r="N783" s="4" t="str">
        <f t="shared" si="49"/>
        <v>abril</v>
      </c>
      <c r="O783" s="4" t="str">
        <f t="shared" si="50"/>
        <v>NO</v>
      </c>
      <c r="P783" s="4" t="str">
        <f t="shared" si="51"/>
        <v>NO</v>
      </c>
      <c r="Q783" s="4" t="str" cm="1">
        <f t="array" ref="Q783">_xlfn.IFS(AND(H783&gt;=0,H783&lt;=3333),"Grupo 1",AND(H783&gt;3333,H783&lt;=6666),"Grupo 2",AND(H783&gt;6666,H783&lt;=10000),"Grupo 3")</f>
        <v>Grupo 1</v>
      </c>
    </row>
    <row r="784" spans="1:17" x14ac:dyDescent="0.25">
      <c r="A784" t="s">
        <v>194</v>
      </c>
      <c r="B784" s="2">
        <v>44949.395833333343</v>
      </c>
      <c r="C784" t="s">
        <v>350</v>
      </c>
      <c r="D784" t="s">
        <v>216</v>
      </c>
      <c r="E784">
        <v>3</v>
      </c>
      <c r="F784">
        <v>245.64</v>
      </c>
      <c r="G784" t="s">
        <v>221</v>
      </c>
      <c r="H784">
        <v>736.92</v>
      </c>
      <c r="I784">
        <v>2023</v>
      </c>
      <c r="J784">
        <v>1</v>
      </c>
      <c r="K784">
        <v>9</v>
      </c>
      <c r="L784" s="14">
        <v>245.64</v>
      </c>
      <c r="M784" s="4" t="str">
        <f t="shared" si="48"/>
        <v>lunes</v>
      </c>
      <c r="N784" s="4" t="str">
        <f t="shared" si="49"/>
        <v>enero</v>
      </c>
      <c r="O784" s="4" t="str">
        <f t="shared" si="50"/>
        <v>NO</v>
      </c>
      <c r="P784" s="4" t="str">
        <f t="shared" si="51"/>
        <v>NO</v>
      </c>
      <c r="Q784" s="4" t="str" cm="1">
        <f t="array" ref="Q784">_xlfn.IFS(AND(H784&gt;=0,H784&lt;=3333),"Grupo 1",AND(H784&gt;3333,H784&lt;=6666),"Grupo 2",AND(H784&gt;6666,H784&lt;=10000),"Grupo 3")</f>
        <v>Grupo 1</v>
      </c>
    </row>
    <row r="785" spans="1:17" x14ac:dyDescent="0.25">
      <c r="A785" t="s">
        <v>195</v>
      </c>
      <c r="B785" s="2">
        <v>45560.538194444453</v>
      </c>
      <c r="C785" t="s">
        <v>351</v>
      </c>
      <c r="D785" t="s">
        <v>216</v>
      </c>
      <c r="E785">
        <v>1</v>
      </c>
      <c r="F785">
        <v>1501.34</v>
      </c>
      <c r="G785" t="s">
        <v>221</v>
      </c>
      <c r="H785">
        <v>1501.34</v>
      </c>
      <c r="I785">
        <v>2024</v>
      </c>
      <c r="J785">
        <v>9</v>
      </c>
      <c r="K785">
        <v>12</v>
      </c>
      <c r="L785" s="14">
        <v>1501.34</v>
      </c>
      <c r="M785" s="4" t="str">
        <f t="shared" si="48"/>
        <v>miércoles</v>
      </c>
      <c r="N785" s="4" t="str">
        <f t="shared" si="49"/>
        <v>septiembre</v>
      </c>
      <c r="O785" s="4" t="str">
        <f t="shared" si="50"/>
        <v>NO</v>
      </c>
      <c r="P785" s="4" t="str">
        <f t="shared" si="51"/>
        <v>SI</v>
      </c>
      <c r="Q785" s="4" t="str" cm="1">
        <f t="array" ref="Q785">_xlfn.IFS(AND(H785&gt;=0,H785&lt;=3333),"Grupo 1",AND(H785&gt;3333,H785&lt;=6666),"Grupo 2",AND(H785&gt;6666,H785&lt;=10000),"Grupo 3")</f>
        <v>Grupo 1</v>
      </c>
    </row>
    <row r="786" spans="1:17" x14ac:dyDescent="0.25">
      <c r="A786" t="s">
        <v>196</v>
      </c>
      <c r="B786" s="2">
        <v>45636.231249999997</v>
      </c>
      <c r="C786" t="s">
        <v>352</v>
      </c>
      <c r="D786" t="s">
        <v>213</v>
      </c>
      <c r="E786">
        <v>4</v>
      </c>
      <c r="F786">
        <v>995.18</v>
      </c>
      <c r="G786" t="s">
        <v>221</v>
      </c>
      <c r="H786">
        <v>3980.72</v>
      </c>
      <c r="I786">
        <v>2024</v>
      </c>
      <c r="J786">
        <v>12</v>
      </c>
      <c r="K786">
        <v>5</v>
      </c>
      <c r="L786" s="14">
        <v>995.18</v>
      </c>
      <c r="M786" s="4" t="str">
        <f t="shared" si="48"/>
        <v>martes</v>
      </c>
      <c r="N786" s="4" t="str">
        <f t="shared" si="49"/>
        <v>diciembre</v>
      </c>
      <c r="O786" s="4" t="str">
        <f t="shared" si="50"/>
        <v>SI</v>
      </c>
      <c r="P786" s="4" t="str">
        <f t="shared" si="51"/>
        <v>SI</v>
      </c>
      <c r="Q786" s="4" t="str" cm="1">
        <f t="array" ref="Q786">_xlfn.IFS(AND(H786&gt;=0,H786&lt;=3333),"Grupo 1",AND(H786&gt;3333,H786&lt;=6666),"Grupo 2",AND(H786&gt;6666,H786&lt;=10000),"Grupo 3")</f>
        <v>Grupo 2</v>
      </c>
    </row>
    <row r="787" spans="1:17" x14ac:dyDescent="0.25">
      <c r="A787" t="s">
        <v>197</v>
      </c>
      <c r="B787" s="2">
        <v>45218.252083333333</v>
      </c>
      <c r="C787" t="s">
        <v>353</v>
      </c>
      <c r="D787" t="s">
        <v>213</v>
      </c>
      <c r="E787">
        <v>2</v>
      </c>
      <c r="F787">
        <v>1834.72</v>
      </c>
      <c r="G787" t="s">
        <v>221</v>
      </c>
      <c r="H787">
        <v>3669.44</v>
      </c>
      <c r="I787">
        <v>2023</v>
      </c>
      <c r="J787">
        <v>10</v>
      </c>
      <c r="K787">
        <v>6</v>
      </c>
      <c r="L787" s="14">
        <v>1834.72</v>
      </c>
      <c r="M787" s="4" t="str">
        <f t="shared" si="48"/>
        <v>jueves</v>
      </c>
      <c r="N787" s="4" t="str">
        <f t="shared" si="49"/>
        <v>octubre</v>
      </c>
      <c r="O787" s="4" t="str">
        <f t="shared" si="50"/>
        <v>SI</v>
      </c>
      <c r="P787" s="4" t="str">
        <f t="shared" si="51"/>
        <v>SI</v>
      </c>
      <c r="Q787" s="4" t="str" cm="1">
        <f t="array" ref="Q787">_xlfn.IFS(AND(H787&gt;=0,H787&lt;=3333),"Grupo 1",AND(H787&gt;3333,H787&lt;=6666),"Grupo 2",AND(H787&gt;6666,H787&lt;=10000),"Grupo 3")</f>
        <v>Grupo 2</v>
      </c>
    </row>
    <row r="788" spans="1:17" x14ac:dyDescent="0.25">
      <c r="A788" t="s">
        <v>198</v>
      </c>
      <c r="B788" s="2">
        <v>45615.827777777777</v>
      </c>
      <c r="C788" t="s">
        <v>354</v>
      </c>
      <c r="D788" t="s">
        <v>219</v>
      </c>
      <c r="E788">
        <v>2</v>
      </c>
      <c r="F788">
        <v>1942.31</v>
      </c>
      <c r="G788" t="s">
        <v>221</v>
      </c>
      <c r="H788">
        <v>3884.62</v>
      </c>
      <c r="I788">
        <v>2024</v>
      </c>
      <c r="J788">
        <v>11</v>
      </c>
      <c r="K788">
        <v>19</v>
      </c>
      <c r="L788" s="14">
        <v>1942.31</v>
      </c>
      <c r="M788" s="4" t="str">
        <f t="shared" si="48"/>
        <v>martes</v>
      </c>
      <c r="N788" s="4" t="str">
        <f t="shared" si="49"/>
        <v>noviembre</v>
      </c>
      <c r="O788" s="4" t="str">
        <f t="shared" si="50"/>
        <v>SI</v>
      </c>
      <c r="P788" s="4" t="str">
        <f t="shared" si="51"/>
        <v>SI</v>
      </c>
      <c r="Q788" s="4" t="str" cm="1">
        <f t="array" ref="Q788">_xlfn.IFS(AND(H788&gt;=0,H788&lt;=3333),"Grupo 1",AND(H788&gt;3333,H788&lt;=6666),"Grupo 2",AND(H788&gt;6666,H788&lt;=10000),"Grupo 3")</f>
        <v>Grupo 2</v>
      </c>
    </row>
    <row r="789" spans="1:17" x14ac:dyDescent="0.25">
      <c r="A789" t="s">
        <v>199</v>
      </c>
      <c r="B789" s="2">
        <v>45755.705555555563</v>
      </c>
      <c r="C789" t="s">
        <v>355</v>
      </c>
      <c r="D789" t="s">
        <v>219</v>
      </c>
      <c r="E789">
        <v>3</v>
      </c>
      <c r="F789">
        <v>1025.57</v>
      </c>
      <c r="G789" t="s">
        <v>221</v>
      </c>
      <c r="H789">
        <v>3076.71</v>
      </c>
      <c r="I789">
        <v>2025</v>
      </c>
      <c r="J789">
        <v>4</v>
      </c>
      <c r="K789">
        <v>16</v>
      </c>
      <c r="L789" s="14">
        <v>1025.57</v>
      </c>
      <c r="M789" s="4" t="str">
        <f t="shared" si="48"/>
        <v>martes</v>
      </c>
      <c r="N789" s="4" t="str">
        <f t="shared" si="49"/>
        <v>abril</v>
      </c>
      <c r="O789" s="4" t="str">
        <f t="shared" si="50"/>
        <v>SI</v>
      </c>
      <c r="P789" s="4" t="str">
        <f t="shared" si="51"/>
        <v>SI</v>
      </c>
      <c r="Q789" s="4" t="str" cm="1">
        <f t="array" ref="Q789">_xlfn.IFS(AND(H789&gt;=0,H789&lt;=3333),"Grupo 1",AND(H789&gt;3333,H789&lt;=6666),"Grupo 2",AND(H789&gt;6666,H789&lt;=10000),"Grupo 3")</f>
        <v>Grupo 1</v>
      </c>
    </row>
    <row r="790" spans="1:17" x14ac:dyDescent="0.25">
      <c r="A790" t="s">
        <v>200</v>
      </c>
      <c r="B790" s="2">
        <v>44962.009722222218</v>
      </c>
      <c r="C790" t="s">
        <v>356</v>
      </c>
      <c r="D790" t="s">
        <v>215</v>
      </c>
      <c r="E790">
        <v>4</v>
      </c>
      <c r="F790">
        <v>555.19000000000005</v>
      </c>
      <c r="G790" t="s">
        <v>220</v>
      </c>
      <c r="H790">
        <v>2220.7600000000002</v>
      </c>
      <c r="I790">
        <v>2023</v>
      </c>
      <c r="J790">
        <v>2</v>
      </c>
      <c r="K790">
        <v>0</v>
      </c>
      <c r="L790" s="14">
        <v>555.19000000000005</v>
      </c>
      <c r="M790" s="4" t="str">
        <f t="shared" si="48"/>
        <v>domingo</v>
      </c>
      <c r="N790" s="4" t="str">
        <f t="shared" si="49"/>
        <v>febrero</v>
      </c>
      <c r="O790" s="4" t="str">
        <f t="shared" si="50"/>
        <v>NO</v>
      </c>
      <c r="P790" s="4" t="str">
        <f t="shared" si="51"/>
        <v>NO</v>
      </c>
      <c r="Q790" s="4" t="str" cm="1">
        <f t="array" ref="Q790">_xlfn.IFS(AND(H790&gt;=0,H790&lt;=3333),"Grupo 1",AND(H790&gt;3333,H790&lt;=6666),"Grupo 2",AND(H790&gt;6666,H790&lt;=10000),"Grupo 3")</f>
        <v>Grupo 1</v>
      </c>
    </row>
    <row r="791" spans="1:17" x14ac:dyDescent="0.25">
      <c r="A791" t="s">
        <v>201</v>
      </c>
      <c r="B791" s="2">
        <v>45194.675000000003</v>
      </c>
      <c r="C791" t="s">
        <v>357</v>
      </c>
      <c r="D791" t="s">
        <v>214</v>
      </c>
      <c r="E791">
        <v>5</v>
      </c>
      <c r="F791">
        <v>750.82</v>
      </c>
      <c r="G791" t="s">
        <v>222</v>
      </c>
      <c r="H791">
        <v>3754.1</v>
      </c>
      <c r="I791">
        <v>2023</v>
      </c>
      <c r="J791">
        <v>9</v>
      </c>
      <c r="K791">
        <v>16</v>
      </c>
      <c r="L791" s="14">
        <v>750.82</v>
      </c>
      <c r="M791" s="4" t="str">
        <f t="shared" si="48"/>
        <v>lunes</v>
      </c>
      <c r="N791" s="4" t="str">
        <f t="shared" si="49"/>
        <v>septiembre</v>
      </c>
      <c r="O791" s="4" t="str">
        <f t="shared" si="50"/>
        <v>SI</v>
      </c>
      <c r="P791" s="4" t="str">
        <f t="shared" si="51"/>
        <v>NO</v>
      </c>
      <c r="Q791" s="4" t="str" cm="1">
        <f t="array" ref="Q791">_xlfn.IFS(AND(H791&gt;=0,H791&lt;=3333),"Grupo 1",AND(H791&gt;3333,H791&lt;=6666),"Grupo 2",AND(H791&gt;6666,H791&lt;=10000),"Grupo 3")</f>
        <v>Grupo 2</v>
      </c>
    </row>
    <row r="792" spans="1:17" x14ac:dyDescent="0.25">
      <c r="A792" t="s">
        <v>202</v>
      </c>
      <c r="B792" s="2">
        <v>45818.179861111108</v>
      </c>
      <c r="C792" t="s">
        <v>358</v>
      </c>
      <c r="D792" t="s">
        <v>215</v>
      </c>
      <c r="E792">
        <v>2</v>
      </c>
      <c r="F792">
        <v>1609.9</v>
      </c>
      <c r="G792" t="s">
        <v>220</v>
      </c>
      <c r="H792">
        <v>3219.8</v>
      </c>
      <c r="I792">
        <v>2025</v>
      </c>
      <c r="J792">
        <v>6</v>
      </c>
      <c r="K792">
        <v>4</v>
      </c>
      <c r="L792" s="14">
        <v>1609.9</v>
      </c>
      <c r="M792" s="4" t="str">
        <f t="shared" si="48"/>
        <v>martes</v>
      </c>
      <c r="N792" s="4" t="str">
        <f t="shared" si="49"/>
        <v>junio</v>
      </c>
      <c r="O792" s="4" t="str">
        <f t="shared" si="50"/>
        <v>SI</v>
      </c>
      <c r="P792" s="4" t="str">
        <f t="shared" si="51"/>
        <v>SI</v>
      </c>
      <c r="Q792" s="4" t="str" cm="1">
        <f t="array" ref="Q792">_xlfn.IFS(AND(H792&gt;=0,H792&lt;=3333),"Grupo 1",AND(H792&gt;3333,H792&lt;=6666),"Grupo 2",AND(H792&gt;6666,H792&lt;=10000),"Grupo 3")</f>
        <v>Grupo 1</v>
      </c>
    </row>
    <row r="793" spans="1:17" x14ac:dyDescent="0.25">
      <c r="A793" t="s">
        <v>203</v>
      </c>
      <c r="B793" s="2">
        <v>45755.011111111111</v>
      </c>
      <c r="C793" t="s">
        <v>359</v>
      </c>
      <c r="D793" t="s">
        <v>214</v>
      </c>
      <c r="E793">
        <v>3</v>
      </c>
      <c r="F793">
        <v>27.89</v>
      </c>
      <c r="G793" t="s">
        <v>222</v>
      </c>
      <c r="H793">
        <v>83.67</v>
      </c>
      <c r="I793">
        <v>2025</v>
      </c>
      <c r="J793">
        <v>4</v>
      </c>
      <c r="K793">
        <v>0</v>
      </c>
      <c r="L793" s="14">
        <v>27.89</v>
      </c>
      <c r="M793" s="4" t="str">
        <f t="shared" si="48"/>
        <v>martes</v>
      </c>
      <c r="N793" s="4" t="str">
        <f t="shared" si="49"/>
        <v>abril</v>
      </c>
      <c r="O793" s="4" t="str">
        <f t="shared" si="50"/>
        <v>NO</v>
      </c>
      <c r="P793" s="4" t="str">
        <f t="shared" si="51"/>
        <v>NO</v>
      </c>
      <c r="Q793" s="4" t="str" cm="1">
        <f t="array" ref="Q793">_xlfn.IFS(AND(H793&gt;=0,H793&lt;=3333),"Grupo 1",AND(H793&gt;3333,H793&lt;=6666),"Grupo 2",AND(H793&gt;6666,H793&lt;=10000),"Grupo 3")</f>
        <v>Grupo 1</v>
      </c>
    </row>
    <row r="794" spans="1:17" x14ac:dyDescent="0.25">
      <c r="A794" t="s">
        <v>204</v>
      </c>
      <c r="B794" s="2">
        <v>45862.584722222222</v>
      </c>
      <c r="C794" t="s">
        <v>261</v>
      </c>
      <c r="D794" t="s">
        <v>219</v>
      </c>
      <c r="E794">
        <v>1</v>
      </c>
      <c r="F794">
        <v>1700.54</v>
      </c>
      <c r="G794" t="s">
        <v>221</v>
      </c>
      <c r="H794">
        <v>1700.54</v>
      </c>
      <c r="I794">
        <v>2025</v>
      </c>
      <c r="J794">
        <v>7</v>
      </c>
      <c r="K794">
        <v>14</v>
      </c>
      <c r="L794" s="14">
        <v>1700.54</v>
      </c>
      <c r="M794" s="4" t="str">
        <f t="shared" si="48"/>
        <v>jueves</v>
      </c>
      <c r="N794" s="4" t="str">
        <f t="shared" si="49"/>
        <v>julio</v>
      </c>
      <c r="O794" s="4" t="str">
        <f t="shared" si="50"/>
        <v>NO</v>
      </c>
      <c r="P794" s="4" t="str">
        <f t="shared" si="51"/>
        <v>SI</v>
      </c>
      <c r="Q794" s="4" t="str" cm="1">
        <f t="array" ref="Q794">_xlfn.IFS(AND(H794&gt;=0,H794&lt;=3333),"Grupo 1",AND(H794&gt;3333,H794&lt;=6666),"Grupo 2",AND(H794&gt;6666,H794&lt;=10000),"Grupo 3")</f>
        <v>Grupo 1</v>
      </c>
    </row>
    <row r="795" spans="1:17" x14ac:dyDescent="0.25">
      <c r="A795" t="s">
        <v>205</v>
      </c>
      <c r="B795" s="2">
        <v>45802.370833333327</v>
      </c>
      <c r="C795" t="s">
        <v>262</v>
      </c>
      <c r="D795" t="s">
        <v>219</v>
      </c>
      <c r="E795">
        <v>3</v>
      </c>
      <c r="F795">
        <v>473.4</v>
      </c>
      <c r="G795" t="s">
        <v>221</v>
      </c>
      <c r="H795">
        <v>1420.2</v>
      </c>
      <c r="I795">
        <v>2025</v>
      </c>
      <c r="J795">
        <v>5</v>
      </c>
      <c r="K795">
        <v>8</v>
      </c>
      <c r="L795" s="14">
        <v>473.39999999999992</v>
      </c>
      <c r="M795" s="4" t="str">
        <f t="shared" si="48"/>
        <v>domingo</v>
      </c>
      <c r="N795" s="4" t="str">
        <f t="shared" si="49"/>
        <v>mayo</v>
      </c>
      <c r="O795" s="4" t="str">
        <f t="shared" si="50"/>
        <v>NO</v>
      </c>
      <c r="P795" s="4" t="str">
        <f t="shared" si="51"/>
        <v>NO</v>
      </c>
      <c r="Q795" s="4" t="str" cm="1">
        <f t="array" ref="Q795">_xlfn.IFS(AND(H795&gt;=0,H795&lt;=3333),"Grupo 1",AND(H795&gt;3333,H795&lt;=6666),"Grupo 2",AND(H795&gt;6666,H795&lt;=10000),"Grupo 3")</f>
        <v>Grupo 1</v>
      </c>
    </row>
    <row r="796" spans="1:17" x14ac:dyDescent="0.25">
      <c r="A796" t="s">
        <v>206</v>
      </c>
      <c r="B796" s="2">
        <v>45178.038888888892</v>
      </c>
      <c r="C796" t="s">
        <v>263</v>
      </c>
      <c r="D796" t="s">
        <v>215</v>
      </c>
      <c r="E796">
        <v>1</v>
      </c>
      <c r="F796">
        <v>521.32000000000005</v>
      </c>
      <c r="G796" t="s">
        <v>220</v>
      </c>
      <c r="H796">
        <v>521.32000000000005</v>
      </c>
      <c r="I796">
        <v>2023</v>
      </c>
      <c r="J796">
        <v>9</v>
      </c>
      <c r="K796">
        <v>0</v>
      </c>
      <c r="L796" s="14">
        <v>521.32000000000005</v>
      </c>
      <c r="M796" s="4" t="str">
        <f t="shared" si="48"/>
        <v>sábado</v>
      </c>
      <c r="N796" s="4" t="str">
        <f t="shared" si="49"/>
        <v>septiembre</v>
      </c>
      <c r="O796" s="4" t="str">
        <f t="shared" si="50"/>
        <v>NO</v>
      </c>
      <c r="P796" s="4" t="str">
        <f t="shared" si="51"/>
        <v>NO</v>
      </c>
      <c r="Q796" s="4" t="str" cm="1">
        <f t="array" ref="Q796">_xlfn.IFS(AND(H796&gt;=0,H796&lt;=3333),"Grupo 1",AND(H796&gt;3333,H796&lt;=6666),"Grupo 2",AND(H796&gt;6666,H796&lt;=10000),"Grupo 3")</f>
        <v>Grupo 1</v>
      </c>
    </row>
    <row r="797" spans="1:17" x14ac:dyDescent="0.25">
      <c r="A797" t="s">
        <v>207</v>
      </c>
      <c r="B797" s="2">
        <v>45748.34097222222</v>
      </c>
      <c r="C797" t="s">
        <v>264</v>
      </c>
      <c r="D797" t="s">
        <v>213</v>
      </c>
      <c r="E797">
        <v>1</v>
      </c>
      <c r="F797">
        <v>1067.6400000000001</v>
      </c>
      <c r="G797" t="s">
        <v>221</v>
      </c>
      <c r="H797">
        <v>1067.6400000000001</v>
      </c>
      <c r="I797">
        <v>2025</v>
      </c>
      <c r="J797">
        <v>4</v>
      </c>
      <c r="K797">
        <v>8</v>
      </c>
      <c r="L797" s="14">
        <v>1067.6400000000001</v>
      </c>
      <c r="M797" s="4" t="str">
        <f t="shared" si="48"/>
        <v>martes</v>
      </c>
      <c r="N797" s="4" t="str">
        <f t="shared" si="49"/>
        <v>abril</v>
      </c>
      <c r="O797" s="4" t="str">
        <f t="shared" si="50"/>
        <v>NO</v>
      </c>
      <c r="P797" s="4" t="str">
        <f t="shared" si="51"/>
        <v>SI</v>
      </c>
      <c r="Q797" s="4" t="str" cm="1">
        <f t="array" ref="Q797">_xlfn.IFS(AND(H797&gt;=0,H797&lt;=3333),"Grupo 1",AND(H797&gt;3333,H797&lt;=6666),"Grupo 2",AND(H797&gt;6666,H797&lt;=10000),"Grupo 3")</f>
        <v>Grupo 1</v>
      </c>
    </row>
    <row r="798" spans="1:17" x14ac:dyDescent="0.25">
      <c r="A798" t="s">
        <v>208</v>
      </c>
      <c r="B798" s="2">
        <v>45055.556250000001</v>
      </c>
      <c r="C798" t="s">
        <v>265</v>
      </c>
      <c r="D798" t="s">
        <v>218</v>
      </c>
      <c r="E798">
        <v>1</v>
      </c>
      <c r="F798">
        <v>1903.64</v>
      </c>
      <c r="G798" t="s">
        <v>221</v>
      </c>
      <c r="H798">
        <v>1903.64</v>
      </c>
      <c r="I798">
        <v>2023</v>
      </c>
      <c r="J798">
        <v>5</v>
      </c>
      <c r="K798">
        <v>13</v>
      </c>
      <c r="L798" s="14">
        <v>1903.64</v>
      </c>
      <c r="M798" s="4" t="str">
        <f t="shared" si="48"/>
        <v>martes</v>
      </c>
      <c r="N798" s="4" t="str">
        <f t="shared" si="49"/>
        <v>mayo</v>
      </c>
      <c r="O798" s="4" t="str">
        <f t="shared" si="50"/>
        <v>NO</v>
      </c>
      <c r="P798" s="4" t="str">
        <f t="shared" si="51"/>
        <v>SI</v>
      </c>
      <c r="Q798" s="4" t="str" cm="1">
        <f t="array" ref="Q798">_xlfn.IFS(AND(H798&gt;=0,H798&lt;=3333),"Grupo 1",AND(H798&gt;3333,H798&lt;=6666),"Grupo 2",AND(H798&gt;6666,H798&lt;=10000),"Grupo 3")</f>
        <v>Grupo 1</v>
      </c>
    </row>
    <row r="799" spans="1:17" x14ac:dyDescent="0.25">
      <c r="A799" t="s">
        <v>209</v>
      </c>
      <c r="B799" s="2">
        <v>44958.773611111108</v>
      </c>
      <c r="C799" t="s">
        <v>266</v>
      </c>
      <c r="D799" t="s">
        <v>214</v>
      </c>
      <c r="E799">
        <v>2</v>
      </c>
      <c r="F799">
        <v>1460.16</v>
      </c>
      <c r="G799" t="s">
        <v>222</v>
      </c>
      <c r="H799">
        <v>2920.32</v>
      </c>
      <c r="I799">
        <v>2023</v>
      </c>
      <c r="J799">
        <v>2</v>
      </c>
      <c r="K799">
        <v>18</v>
      </c>
      <c r="L799" s="14">
        <v>1460.16</v>
      </c>
      <c r="M799" s="4" t="str">
        <f t="shared" si="48"/>
        <v>miércoles</v>
      </c>
      <c r="N799" s="4" t="str">
        <f t="shared" si="49"/>
        <v>febrero</v>
      </c>
      <c r="O799" s="4" t="str">
        <f t="shared" si="50"/>
        <v>SI</v>
      </c>
      <c r="P799" s="4" t="str">
        <f t="shared" si="51"/>
        <v>SI</v>
      </c>
      <c r="Q799" s="4" t="str" cm="1">
        <f t="array" ref="Q799">_xlfn.IFS(AND(H799&gt;=0,H799&lt;=3333),"Grupo 1",AND(H799&gt;3333,H799&lt;=6666),"Grupo 2",AND(H799&gt;6666,H799&lt;=10000),"Grupo 3")</f>
        <v>Grupo 1</v>
      </c>
    </row>
    <row r="800" spans="1:17" x14ac:dyDescent="0.25">
      <c r="A800" t="s">
        <v>210</v>
      </c>
      <c r="B800" s="2">
        <v>45816.563888888893</v>
      </c>
      <c r="C800" t="s">
        <v>267</v>
      </c>
      <c r="D800" t="s">
        <v>212</v>
      </c>
      <c r="E800">
        <v>4</v>
      </c>
      <c r="F800">
        <v>847</v>
      </c>
      <c r="G800" t="s">
        <v>220</v>
      </c>
      <c r="H800">
        <v>3388</v>
      </c>
      <c r="I800">
        <v>2025</v>
      </c>
      <c r="J800">
        <v>6</v>
      </c>
      <c r="K800">
        <v>13</v>
      </c>
      <c r="L800" s="14">
        <v>847</v>
      </c>
      <c r="M800" s="4" t="str">
        <f t="shared" si="48"/>
        <v>domingo</v>
      </c>
      <c r="N800" s="4" t="str">
        <f t="shared" si="49"/>
        <v>junio</v>
      </c>
      <c r="O800" s="4" t="str">
        <f t="shared" si="50"/>
        <v>SI</v>
      </c>
      <c r="P800" s="4" t="str">
        <f t="shared" si="51"/>
        <v>NO</v>
      </c>
      <c r="Q800" s="4" t="str" cm="1">
        <f t="array" ref="Q800">_xlfn.IFS(AND(H800&gt;=0,H800&lt;=3333),"Grupo 1",AND(H800&gt;3333,H800&lt;=6666),"Grupo 2",AND(H800&gt;6666,H800&lt;=10000),"Grupo 3")</f>
        <v>Grupo 2</v>
      </c>
    </row>
    <row r="801" spans="1:17" x14ac:dyDescent="0.25">
      <c r="A801" t="s">
        <v>211</v>
      </c>
      <c r="B801" s="2">
        <v>45089.396527777782</v>
      </c>
      <c r="C801" t="s">
        <v>268</v>
      </c>
      <c r="D801" t="s">
        <v>218</v>
      </c>
      <c r="E801">
        <v>2</v>
      </c>
      <c r="F801">
        <v>1243.3399999999999</v>
      </c>
      <c r="G801" t="s">
        <v>221</v>
      </c>
      <c r="H801">
        <v>2486.6799999999998</v>
      </c>
      <c r="I801">
        <v>2023</v>
      </c>
      <c r="J801">
        <v>6</v>
      </c>
      <c r="K801">
        <v>9</v>
      </c>
      <c r="L801" s="14">
        <v>1243.3399999999999</v>
      </c>
      <c r="M801" s="4" t="str">
        <f t="shared" si="48"/>
        <v>lunes</v>
      </c>
      <c r="N801" s="4" t="str">
        <f t="shared" si="49"/>
        <v>junio</v>
      </c>
      <c r="O801" s="4" t="str">
        <f t="shared" si="50"/>
        <v>NO</v>
      </c>
      <c r="P801" s="4" t="str">
        <f t="shared" si="51"/>
        <v>SI</v>
      </c>
      <c r="Q801" s="4" t="str" cm="1">
        <f t="array" ref="Q801">_xlfn.IFS(AND(H801&gt;=0,H801&lt;=3333),"Grupo 1",AND(H801&gt;3333,H801&lt;=6666),"Grupo 2",AND(H801&gt;6666,H801&lt;=10000),"Grupo 3")</f>
        <v>Grupo 1</v>
      </c>
    </row>
    <row r="802" spans="1:17" x14ac:dyDescent="0.25">
      <c r="A802" t="s">
        <v>12</v>
      </c>
      <c r="B802" s="2">
        <v>45280.478472222218</v>
      </c>
      <c r="C802" t="s">
        <v>269</v>
      </c>
      <c r="D802" t="s">
        <v>212</v>
      </c>
      <c r="E802">
        <v>5</v>
      </c>
      <c r="F802">
        <v>1497.24</v>
      </c>
      <c r="G802" t="s">
        <v>220</v>
      </c>
      <c r="H802">
        <v>7486.2</v>
      </c>
      <c r="I802">
        <v>2023</v>
      </c>
      <c r="J802">
        <v>12</v>
      </c>
      <c r="K802">
        <v>11</v>
      </c>
      <c r="L802" s="14">
        <v>1497.24</v>
      </c>
      <c r="M802" s="4" t="str">
        <f t="shared" si="48"/>
        <v>miércoles</v>
      </c>
      <c r="N802" s="4" t="str">
        <f t="shared" si="49"/>
        <v>diciembre</v>
      </c>
      <c r="O802" s="4" t="str">
        <f t="shared" si="50"/>
        <v>SI</v>
      </c>
      <c r="P802" s="4" t="str">
        <f t="shared" si="51"/>
        <v>SI</v>
      </c>
      <c r="Q802" s="4" t="str" cm="1">
        <f t="array" ref="Q802">_xlfn.IFS(AND(H802&gt;=0,H802&lt;=3333),"Grupo 1",AND(H802&gt;3333,H802&lt;=6666),"Grupo 2",AND(H802&gt;6666,H802&lt;=10000),"Grupo 3")</f>
        <v>Grupo 3</v>
      </c>
    </row>
    <row r="803" spans="1:17" x14ac:dyDescent="0.25">
      <c r="A803" t="s">
        <v>13</v>
      </c>
      <c r="B803" s="2">
        <v>45008.840277777781</v>
      </c>
      <c r="C803" t="s">
        <v>270</v>
      </c>
      <c r="D803" t="s">
        <v>212</v>
      </c>
      <c r="E803">
        <v>1</v>
      </c>
      <c r="F803">
        <v>1687.54</v>
      </c>
      <c r="G803" t="s">
        <v>220</v>
      </c>
      <c r="H803">
        <v>1687.54</v>
      </c>
      <c r="I803">
        <v>2023</v>
      </c>
      <c r="J803">
        <v>3</v>
      </c>
      <c r="K803">
        <v>20</v>
      </c>
      <c r="L803" s="14">
        <v>1687.54</v>
      </c>
      <c r="M803" s="4" t="str">
        <f t="shared" si="48"/>
        <v>jueves</v>
      </c>
      <c r="N803" s="4" t="str">
        <f t="shared" si="49"/>
        <v>marzo</v>
      </c>
      <c r="O803" s="4" t="str">
        <f t="shared" si="50"/>
        <v>NO</v>
      </c>
      <c r="P803" s="4" t="str">
        <f t="shared" si="51"/>
        <v>SI</v>
      </c>
      <c r="Q803" s="4" t="str" cm="1">
        <f t="array" ref="Q803">_xlfn.IFS(AND(H803&gt;=0,H803&lt;=3333),"Grupo 1",AND(H803&gt;3333,H803&lt;=6666),"Grupo 2",AND(H803&gt;6666,H803&lt;=10000),"Grupo 3")</f>
        <v>Grupo 1</v>
      </c>
    </row>
    <row r="804" spans="1:17" x14ac:dyDescent="0.25">
      <c r="A804" t="s">
        <v>14</v>
      </c>
      <c r="B804" s="2">
        <v>45355.443749999999</v>
      </c>
      <c r="C804" t="s">
        <v>271</v>
      </c>
      <c r="D804" t="s">
        <v>213</v>
      </c>
      <c r="E804">
        <v>3</v>
      </c>
      <c r="F804">
        <v>768.8</v>
      </c>
      <c r="G804" t="s">
        <v>221</v>
      </c>
      <c r="H804">
        <v>2306.4</v>
      </c>
      <c r="I804">
        <v>2024</v>
      </c>
      <c r="J804">
        <v>3</v>
      </c>
      <c r="K804">
        <v>10</v>
      </c>
      <c r="L804" s="14">
        <v>768.79999999999984</v>
      </c>
      <c r="M804" s="4" t="str">
        <f t="shared" si="48"/>
        <v>lunes</v>
      </c>
      <c r="N804" s="4" t="str">
        <f t="shared" si="49"/>
        <v>marzo</v>
      </c>
      <c r="O804" s="4" t="str">
        <f t="shared" si="50"/>
        <v>NO</v>
      </c>
      <c r="P804" s="4" t="str">
        <f t="shared" si="51"/>
        <v>NO</v>
      </c>
      <c r="Q804" s="4" t="str" cm="1">
        <f t="array" ref="Q804">_xlfn.IFS(AND(H804&gt;=0,H804&lt;=3333),"Grupo 1",AND(H804&gt;3333,H804&lt;=6666),"Grupo 2",AND(H804&gt;6666,H804&lt;=10000),"Grupo 3")</f>
        <v>Grupo 1</v>
      </c>
    </row>
    <row r="805" spans="1:17" x14ac:dyDescent="0.25">
      <c r="A805" t="s">
        <v>15</v>
      </c>
      <c r="B805" s="2">
        <v>45704.374305555553</v>
      </c>
      <c r="C805" t="s">
        <v>272</v>
      </c>
      <c r="D805" t="s">
        <v>214</v>
      </c>
      <c r="E805">
        <v>1</v>
      </c>
      <c r="F805">
        <v>1532.67</v>
      </c>
      <c r="G805" t="s">
        <v>222</v>
      </c>
      <c r="H805">
        <v>1532.67</v>
      </c>
      <c r="I805">
        <v>2025</v>
      </c>
      <c r="J805">
        <v>2</v>
      </c>
      <c r="K805">
        <v>8</v>
      </c>
      <c r="L805" s="14">
        <v>1532.67</v>
      </c>
      <c r="M805" s="4" t="str">
        <f t="shared" si="48"/>
        <v>domingo</v>
      </c>
      <c r="N805" s="4" t="str">
        <f t="shared" si="49"/>
        <v>febrero</v>
      </c>
      <c r="O805" s="4" t="str">
        <f t="shared" si="50"/>
        <v>NO</v>
      </c>
      <c r="P805" s="4" t="str">
        <f t="shared" si="51"/>
        <v>SI</v>
      </c>
      <c r="Q805" s="4" t="str" cm="1">
        <f t="array" ref="Q805">_xlfn.IFS(AND(H805&gt;=0,H805&lt;=3333),"Grupo 1",AND(H805&gt;3333,H805&lt;=6666),"Grupo 2",AND(H805&gt;6666,H805&lt;=10000),"Grupo 3")</f>
        <v>Grupo 1</v>
      </c>
    </row>
    <row r="806" spans="1:17" x14ac:dyDescent="0.25">
      <c r="A806" t="s">
        <v>16</v>
      </c>
      <c r="B806" s="2">
        <v>45772.848611111112</v>
      </c>
      <c r="C806" t="s">
        <v>273</v>
      </c>
      <c r="D806" t="s">
        <v>214</v>
      </c>
      <c r="E806">
        <v>3</v>
      </c>
      <c r="F806">
        <v>1709.47</v>
      </c>
      <c r="G806" t="s">
        <v>222</v>
      </c>
      <c r="H806">
        <v>5128.41</v>
      </c>
      <c r="I806">
        <v>2025</v>
      </c>
      <c r="J806">
        <v>4</v>
      </c>
      <c r="K806">
        <v>20</v>
      </c>
      <c r="L806" s="14">
        <v>1709.47</v>
      </c>
      <c r="M806" s="4" t="str">
        <f t="shared" si="48"/>
        <v>viernes</v>
      </c>
      <c r="N806" s="4" t="str">
        <f t="shared" si="49"/>
        <v>abril</v>
      </c>
      <c r="O806" s="4" t="str">
        <f t="shared" si="50"/>
        <v>SI</v>
      </c>
      <c r="P806" s="4" t="str">
        <f t="shared" si="51"/>
        <v>SI</v>
      </c>
      <c r="Q806" s="4" t="str" cm="1">
        <f t="array" ref="Q806">_xlfn.IFS(AND(H806&gt;=0,H806&lt;=3333),"Grupo 1",AND(H806&gt;3333,H806&lt;=6666),"Grupo 2",AND(H806&gt;6666,H806&lt;=10000),"Grupo 3")</f>
        <v>Grupo 2</v>
      </c>
    </row>
    <row r="807" spans="1:17" x14ac:dyDescent="0.25">
      <c r="A807" t="s">
        <v>17</v>
      </c>
      <c r="B807" s="2">
        <v>45101.225694444453</v>
      </c>
      <c r="C807" t="s">
        <v>274</v>
      </c>
      <c r="D807" t="s">
        <v>215</v>
      </c>
      <c r="E807">
        <v>3</v>
      </c>
      <c r="F807">
        <v>297.54000000000002</v>
      </c>
      <c r="G807" t="s">
        <v>220</v>
      </c>
      <c r="H807">
        <v>892.62000000000012</v>
      </c>
      <c r="I807">
        <v>2023</v>
      </c>
      <c r="J807">
        <v>6</v>
      </c>
      <c r="K807">
        <v>5</v>
      </c>
      <c r="L807" s="14">
        <v>297.54000000000002</v>
      </c>
      <c r="M807" s="4" t="str">
        <f t="shared" si="48"/>
        <v>sábado</v>
      </c>
      <c r="N807" s="4" t="str">
        <f t="shared" si="49"/>
        <v>junio</v>
      </c>
      <c r="O807" s="4" t="str">
        <f t="shared" si="50"/>
        <v>NO</v>
      </c>
      <c r="P807" s="4" t="str">
        <f t="shared" si="51"/>
        <v>NO</v>
      </c>
      <c r="Q807" s="4" t="str" cm="1">
        <f t="array" ref="Q807">_xlfn.IFS(AND(H807&gt;=0,H807&lt;=3333),"Grupo 1",AND(H807&gt;3333,H807&lt;=6666),"Grupo 2",AND(H807&gt;6666,H807&lt;=10000),"Grupo 3")</f>
        <v>Grupo 1</v>
      </c>
    </row>
    <row r="808" spans="1:17" x14ac:dyDescent="0.25">
      <c r="A808" t="s">
        <v>18</v>
      </c>
      <c r="B808" s="2">
        <v>45694.432638888888</v>
      </c>
      <c r="C808" t="s">
        <v>275</v>
      </c>
      <c r="D808" t="s">
        <v>216</v>
      </c>
      <c r="E808">
        <v>4</v>
      </c>
      <c r="F808">
        <v>1546.65</v>
      </c>
      <c r="G808" t="s">
        <v>221</v>
      </c>
      <c r="H808">
        <v>6186.6</v>
      </c>
      <c r="I808">
        <v>2025</v>
      </c>
      <c r="J808">
        <v>2</v>
      </c>
      <c r="K808">
        <v>10</v>
      </c>
      <c r="L808" s="14">
        <v>1546.65</v>
      </c>
      <c r="M808" s="4" t="str">
        <f t="shared" si="48"/>
        <v>jueves</v>
      </c>
      <c r="N808" s="4" t="str">
        <f t="shared" si="49"/>
        <v>febrero</v>
      </c>
      <c r="O808" s="4" t="str">
        <f t="shared" si="50"/>
        <v>SI</v>
      </c>
      <c r="P808" s="4" t="str">
        <f t="shared" si="51"/>
        <v>SI</v>
      </c>
      <c r="Q808" s="4" t="str" cm="1">
        <f t="array" ref="Q808">_xlfn.IFS(AND(H808&gt;=0,H808&lt;=3333),"Grupo 1",AND(H808&gt;3333,H808&lt;=6666),"Grupo 2",AND(H808&gt;6666,H808&lt;=10000),"Grupo 3")</f>
        <v>Grupo 2</v>
      </c>
    </row>
    <row r="809" spans="1:17" x14ac:dyDescent="0.25">
      <c r="A809" t="s">
        <v>19</v>
      </c>
      <c r="B809" s="2">
        <v>45798.69027777778</v>
      </c>
      <c r="C809" t="s">
        <v>276</v>
      </c>
      <c r="D809" t="s">
        <v>212</v>
      </c>
      <c r="E809">
        <v>1</v>
      </c>
      <c r="F809">
        <v>1575.18</v>
      </c>
      <c r="G809" t="s">
        <v>220</v>
      </c>
      <c r="H809">
        <v>1575.18</v>
      </c>
      <c r="I809">
        <v>2025</v>
      </c>
      <c r="J809">
        <v>5</v>
      </c>
      <c r="K809">
        <v>16</v>
      </c>
      <c r="L809" s="14">
        <v>1575.18</v>
      </c>
      <c r="M809" s="4" t="str">
        <f t="shared" si="48"/>
        <v>miércoles</v>
      </c>
      <c r="N809" s="4" t="str">
        <f t="shared" si="49"/>
        <v>mayo</v>
      </c>
      <c r="O809" s="4" t="str">
        <f t="shared" si="50"/>
        <v>NO</v>
      </c>
      <c r="P809" s="4" t="str">
        <f t="shared" si="51"/>
        <v>SI</v>
      </c>
      <c r="Q809" s="4" t="str" cm="1">
        <f t="array" ref="Q809">_xlfn.IFS(AND(H809&gt;=0,H809&lt;=3333),"Grupo 1",AND(H809&gt;3333,H809&lt;=6666),"Grupo 2",AND(H809&gt;6666,H809&lt;=10000),"Grupo 3")</f>
        <v>Grupo 1</v>
      </c>
    </row>
    <row r="810" spans="1:17" x14ac:dyDescent="0.25">
      <c r="A810" t="s">
        <v>20</v>
      </c>
      <c r="B810" s="2">
        <v>45425.797222222223</v>
      </c>
      <c r="C810" t="s">
        <v>277</v>
      </c>
      <c r="D810" t="s">
        <v>217</v>
      </c>
      <c r="E810">
        <v>5</v>
      </c>
      <c r="F810">
        <v>1815.86</v>
      </c>
      <c r="G810" t="s">
        <v>220</v>
      </c>
      <c r="H810">
        <v>9079.2999999999993</v>
      </c>
      <c r="I810">
        <v>2024</v>
      </c>
      <c r="J810">
        <v>5</v>
      </c>
      <c r="K810">
        <v>19</v>
      </c>
      <c r="L810" s="14">
        <v>1815.86</v>
      </c>
      <c r="M810" s="4" t="str">
        <f t="shared" si="48"/>
        <v>lunes</v>
      </c>
      <c r="N810" s="4" t="str">
        <f t="shared" si="49"/>
        <v>mayo</v>
      </c>
      <c r="O810" s="4" t="str">
        <f t="shared" si="50"/>
        <v>SI</v>
      </c>
      <c r="P810" s="4" t="str">
        <f t="shared" si="51"/>
        <v>SI</v>
      </c>
      <c r="Q810" s="4" t="str" cm="1">
        <f t="array" ref="Q810">_xlfn.IFS(AND(H810&gt;=0,H810&lt;=3333),"Grupo 1",AND(H810&gt;3333,H810&lt;=6666),"Grupo 2",AND(H810&gt;6666,H810&lt;=10000),"Grupo 3")</f>
        <v>Grupo 3</v>
      </c>
    </row>
    <row r="811" spans="1:17" x14ac:dyDescent="0.25">
      <c r="A811" t="s">
        <v>21</v>
      </c>
      <c r="B811" s="2">
        <v>45525.152083333327</v>
      </c>
      <c r="C811" t="s">
        <v>278</v>
      </c>
      <c r="D811" t="s">
        <v>212</v>
      </c>
      <c r="E811">
        <v>1</v>
      </c>
      <c r="F811">
        <v>564.11</v>
      </c>
      <c r="G811" t="s">
        <v>220</v>
      </c>
      <c r="H811">
        <v>564.11</v>
      </c>
      <c r="I811">
        <v>2024</v>
      </c>
      <c r="J811">
        <v>8</v>
      </c>
      <c r="K811">
        <v>3</v>
      </c>
      <c r="L811" s="14">
        <v>564.11</v>
      </c>
      <c r="M811" s="4" t="str">
        <f t="shared" si="48"/>
        <v>miércoles</v>
      </c>
      <c r="N811" s="4" t="str">
        <f t="shared" si="49"/>
        <v>agosto</v>
      </c>
      <c r="O811" s="4" t="str">
        <f t="shared" si="50"/>
        <v>NO</v>
      </c>
      <c r="P811" s="4" t="str">
        <f t="shared" si="51"/>
        <v>NO</v>
      </c>
      <c r="Q811" s="4" t="str" cm="1">
        <f t="array" ref="Q811">_xlfn.IFS(AND(H811&gt;=0,H811&lt;=3333),"Grupo 1",AND(H811&gt;3333,H811&lt;=6666),"Grupo 2",AND(H811&gt;6666,H811&lt;=10000),"Grupo 3")</f>
        <v>Grupo 1</v>
      </c>
    </row>
    <row r="812" spans="1:17" x14ac:dyDescent="0.25">
      <c r="A812" t="s">
        <v>22</v>
      </c>
      <c r="B812" s="2">
        <v>45580.043749999997</v>
      </c>
      <c r="C812" t="s">
        <v>279</v>
      </c>
      <c r="D812" t="s">
        <v>217</v>
      </c>
      <c r="E812">
        <v>1</v>
      </c>
      <c r="F812">
        <v>454.9</v>
      </c>
      <c r="G812" t="s">
        <v>220</v>
      </c>
      <c r="H812">
        <v>454.9</v>
      </c>
      <c r="I812">
        <v>2024</v>
      </c>
      <c r="J812">
        <v>10</v>
      </c>
      <c r="K812">
        <v>1</v>
      </c>
      <c r="L812" s="14">
        <v>454.9</v>
      </c>
      <c r="M812" s="4" t="str">
        <f t="shared" si="48"/>
        <v>martes</v>
      </c>
      <c r="N812" s="4" t="str">
        <f t="shared" si="49"/>
        <v>octubre</v>
      </c>
      <c r="O812" s="4" t="str">
        <f t="shared" si="50"/>
        <v>NO</v>
      </c>
      <c r="P812" s="4" t="str">
        <f t="shared" si="51"/>
        <v>NO</v>
      </c>
      <c r="Q812" s="4" t="str" cm="1">
        <f t="array" ref="Q812">_xlfn.IFS(AND(H812&gt;=0,H812&lt;=3333),"Grupo 1",AND(H812&gt;3333,H812&lt;=6666),"Grupo 2",AND(H812&gt;6666,H812&lt;=10000),"Grupo 3")</f>
        <v>Grupo 1</v>
      </c>
    </row>
    <row r="813" spans="1:17" x14ac:dyDescent="0.25">
      <c r="A813" t="s">
        <v>23</v>
      </c>
      <c r="B813" s="2">
        <v>45551.151388888888</v>
      </c>
      <c r="C813" t="s">
        <v>280</v>
      </c>
      <c r="D813" t="s">
        <v>218</v>
      </c>
      <c r="E813">
        <v>3</v>
      </c>
      <c r="F813">
        <v>1277.51</v>
      </c>
      <c r="G813" t="s">
        <v>221</v>
      </c>
      <c r="H813">
        <v>3832.53</v>
      </c>
      <c r="I813">
        <v>2024</v>
      </c>
      <c r="J813">
        <v>9</v>
      </c>
      <c r="K813">
        <v>3</v>
      </c>
      <c r="L813" s="14">
        <v>1277.51</v>
      </c>
      <c r="M813" s="4" t="str">
        <f t="shared" si="48"/>
        <v>lunes</v>
      </c>
      <c r="N813" s="4" t="str">
        <f t="shared" si="49"/>
        <v>septiembre</v>
      </c>
      <c r="O813" s="4" t="str">
        <f t="shared" si="50"/>
        <v>SI</v>
      </c>
      <c r="P813" s="4" t="str">
        <f t="shared" si="51"/>
        <v>SI</v>
      </c>
      <c r="Q813" s="4" t="str" cm="1">
        <f t="array" ref="Q813">_xlfn.IFS(AND(H813&gt;=0,H813&lt;=3333),"Grupo 1",AND(H813&gt;3333,H813&lt;=6666),"Grupo 2",AND(H813&gt;6666,H813&lt;=10000),"Grupo 3")</f>
        <v>Grupo 2</v>
      </c>
    </row>
    <row r="814" spans="1:17" x14ac:dyDescent="0.25">
      <c r="A814" t="s">
        <v>24</v>
      </c>
      <c r="B814" s="2">
        <v>45230.395833333343</v>
      </c>
      <c r="C814" t="s">
        <v>281</v>
      </c>
      <c r="D814" t="s">
        <v>214</v>
      </c>
      <c r="E814">
        <v>2</v>
      </c>
      <c r="F814">
        <v>1870.95</v>
      </c>
      <c r="G814" t="s">
        <v>222</v>
      </c>
      <c r="H814">
        <v>3741.9</v>
      </c>
      <c r="I814">
        <v>2023</v>
      </c>
      <c r="J814">
        <v>10</v>
      </c>
      <c r="K814">
        <v>9</v>
      </c>
      <c r="L814" s="14">
        <v>1870.95</v>
      </c>
      <c r="M814" s="4" t="str">
        <f t="shared" si="48"/>
        <v>martes</v>
      </c>
      <c r="N814" s="4" t="str">
        <f t="shared" si="49"/>
        <v>octubre</v>
      </c>
      <c r="O814" s="4" t="str">
        <f t="shared" si="50"/>
        <v>SI</v>
      </c>
      <c r="P814" s="4" t="str">
        <f t="shared" si="51"/>
        <v>SI</v>
      </c>
      <c r="Q814" s="4" t="str" cm="1">
        <f t="array" ref="Q814">_xlfn.IFS(AND(H814&gt;=0,H814&lt;=3333),"Grupo 1",AND(H814&gt;3333,H814&lt;=6666),"Grupo 2",AND(H814&gt;6666,H814&lt;=10000),"Grupo 3")</f>
        <v>Grupo 2</v>
      </c>
    </row>
    <row r="815" spans="1:17" x14ac:dyDescent="0.25">
      <c r="A815" t="s">
        <v>25</v>
      </c>
      <c r="B815" s="2">
        <v>45234.645833333343</v>
      </c>
      <c r="C815" t="s">
        <v>282</v>
      </c>
      <c r="D815" t="s">
        <v>212</v>
      </c>
      <c r="E815">
        <v>4</v>
      </c>
      <c r="F815">
        <v>1227.23</v>
      </c>
      <c r="G815" t="s">
        <v>220</v>
      </c>
      <c r="H815">
        <v>4908.92</v>
      </c>
      <c r="I815">
        <v>2023</v>
      </c>
      <c r="J815">
        <v>11</v>
      </c>
      <c r="K815">
        <v>15</v>
      </c>
      <c r="L815" s="14">
        <v>1227.23</v>
      </c>
      <c r="M815" s="4" t="str">
        <f t="shared" si="48"/>
        <v>sábado</v>
      </c>
      <c r="N815" s="4" t="str">
        <f t="shared" si="49"/>
        <v>noviembre</v>
      </c>
      <c r="O815" s="4" t="str">
        <f t="shared" si="50"/>
        <v>SI</v>
      </c>
      <c r="P815" s="4" t="str">
        <f t="shared" si="51"/>
        <v>SI</v>
      </c>
      <c r="Q815" s="4" t="str" cm="1">
        <f t="array" ref="Q815">_xlfn.IFS(AND(H815&gt;=0,H815&lt;=3333),"Grupo 1",AND(H815&gt;3333,H815&lt;=6666),"Grupo 2",AND(H815&gt;6666,H815&lt;=10000),"Grupo 3")</f>
        <v>Grupo 2</v>
      </c>
    </row>
    <row r="816" spans="1:17" x14ac:dyDescent="0.25">
      <c r="A816" t="s">
        <v>26</v>
      </c>
      <c r="B816" s="2">
        <v>45464.76666666667</v>
      </c>
      <c r="C816" t="s">
        <v>283</v>
      </c>
      <c r="D816" t="s">
        <v>215</v>
      </c>
      <c r="E816">
        <v>1</v>
      </c>
      <c r="F816">
        <v>1329.6</v>
      </c>
      <c r="G816" t="s">
        <v>220</v>
      </c>
      <c r="H816">
        <v>1329.6</v>
      </c>
      <c r="I816">
        <v>2024</v>
      </c>
      <c r="J816">
        <v>6</v>
      </c>
      <c r="K816">
        <v>18</v>
      </c>
      <c r="L816" s="14">
        <v>1329.6</v>
      </c>
      <c r="M816" s="4" t="str">
        <f t="shared" si="48"/>
        <v>viernes</v>
      </c>
      <c r="N816" s="4" t="str">
        <f t="shared" si="49"/>
        <v>junio</v>
      </c>
      <c r="O816" s="4" t="str">
        <f t="shared" si="50"/>
        <v>NO</v>
      </c>
      <c r="P816" s="4" t="str">
        <f t="shared" si="51"/>
        <v>SI</v>
      </c>
      <c r="Q816" s="4" t="str" cm="1">
        <f t="array" ref="Q816">_xlfn.IFS(AND(H816&gt;=0,H816&lt;=3333),"Grupo 1",AND(H816&gt;3333,H816&lt;=6666),"Grupo 2",AND(H816&gt;6666,H816&lt;=10000),"Grupo 3")</f>
        <v>Grupo 1</v>
      </c>
    </row>
    <row r="817" spans="1:17" x14ac:dyDescent="0.25">
      <c r="A817" t="s">
        <v>27</v>
      </c>
      <c r="B817" s="2">
        <v>45138.240277777782</v>
      </c>
      <c r="C817" t="s">
        <v>284</v>
      </c>
      <c r="D817" t="s">
        <v>212</v>
      </c>
      <c r="E817">
        <v>3</v>
      </c>
      <c r="F817">
        <v>1734.12</v>
      </c>
      <c r="G817" t="s">
        <v>220</v>
      </c>
      <c r="H817">
        <v>5202.3599999999997</v>
      </c>
      <c r="I817">
        <v>2023</v>
      </c>
      <c r="J817">
        <v>7</v>
      </c>
      <c r="K817">
        <v>5</v>
      </c>
      <c r="L817" s="14">
        <v>1734.12</v>
      </c>
      <c r="M817" s="4" t="str">
        <f t="shared" si="48"/>
        <v>lunes</v>
      </c>
      <c r="N817" s="4" t="str">
        <f t="shared" si="49"/>
        <v>julio</v>
      </c>
      <c r="O817" s="4" t="str">
        <f t="shared" si="50"/>
        <v>SI</v>
      </c>
      <c r="P817" s="4" t="str">
        <f t="shared" si="51"/>
        <v>SI</v>
      </c>
      <c r="Q817" s="4" t="str" cm="1">
        <f t="array" ref="Q817">_xlfn.IFS(AND(H817&gt;=0,H817&lt;=3333),"Grupo 1",AND(H817&gt;3333,H817&lt;=6666),"Grupo 2",AND(H817&gt;6666,H817&lt;=10000),"Grupo 3")</f>
        <v>Grupo 2</v>
      </c>
    </row>
    <row r="818" spans="1:17" x14ac:dyDescent="0.25">
      <c r="A818" t="s">
        <v>28</v>
      </c>
      <c r="B818" s="2">
        <v>45455.688888888893</v>
      </c>
      <c r="C818" t="s">
        <v>285</v>
      </c>
      <c r="D818" t="s">
        <v>212</v>
      </c>
      <c r="E818">
        <v>1</v>
      </c>
      <c r="F818">
        <v>1209.6199999999999</v>
      </c>
      <c r="G818" t="s">
        <v>220</v>
      </c>
      <c r="H818">
        <v>1209.6199999999999</v>
      </c>
      <c r="I818">
        <v>2024</v>
      </c>
      <c r="J818">
        <v>6</v>
      </c>
      <c r="K818">
        <v>16</v>
      </c>
      <c r="L818" s="14">
        <v>1209.6199999999999</v>
      </c>
      <c r="M818" s="4" t="str">
        <f t="shared" si="48"/>
        <v>miércoles</v>
      </c>
      <c r="N818" s="4" t="str">
        <f t="shared" si="49"/>
        <v>junio</v>
      </c>
      <c r="O818" s="4" t="str">
        <f t="shared" si="50"/>
        <v>NO</v>
      </c>
      <c r="P818" s="4" t="str">
        <f t="shared" si="51"/>
        <v>SI</v>
      </c>
      <c r="Q818" s="4" t="str" cm="1">
        <f t="array" ref="Q818">_xlfn.IFS(AND(H818&gt;=0,H818&lt;=3333),"Grupo 1",AND(H818&gt;3333,H818&lt;=6666),"Grupo 2",AND(H818&gt;6666,H818&lt;=10000),"Grupo 3")</f>
        <v>Grupo 1</v>
      </c>
    </row>
    <row r="819" spans="1:17" x14ac:dyDescent="0.25">
      <c r="A819" t="s">
        <v>29</v>
      </c>
      <c r="B819" s="2">
        <v>45301.151388888888</v>
      </c>
      <c r="C819" t="s">
        <v>286</v>
      </c>
      <c r="D819" t="s">
        <v>218</v>
      </c>
      <c r="E819">
        <v>3</v>
      </c>
      <c r="F819">
        <v>922.33</v>
      </c>
      <c r="G819" t="s">
        <v>221</v>
      </c>
      <c r="H819">
        <v>2766.99</v>
      </c>
      <c r="I819">
        <v>2024</v>
      </c>
      <c r="J819">
        <v>1</v>
      </c>
      <c r="K819">
        <v>3</v>
      </c>
      <c r="L819" s="14">
        <v>922.33</v>
      </c>
      <c r="M819" s="4" t="str">
        <f t="shared" si="48"/>
        <v>miércoles</v>
      </c>
      <c r="N819" s="4" t="str">
        <f t="shared" si="49"/>
        <v>enero</v>
      </c>
      <c r="O819" s="4" t="str">
        <f t="shared" si="50"/>
        <v>NO</v>
      </c>
      <c r="P819" s="4" t="str">
        <f t="shared" si="51"/>
        <v>NO</v>
      </c>
      <c r="Q819" s="4" t="str" cm="1">
        <f t="array" ref="Q819">_xlfn.IFS(AND(H819&gt;=0,H819&lt;=3333),"Grupo 1",AND(H819&gt;3333,H819&lt;=6666),"Grupo 2",AND(H819&gt;6666,H819&lt;=10000),"Grupo 3")</f>
        <v>Grupo 1</v>
      </c>
    </row>
    <row r="820" spans="1:17" x14ac:dyDescent="0.25">
      <c r="A820" t="s">
        <v>30</v>
      </c>
      <c r="B820" s="2">
        <v>45677.761111111111</v>
      </c>
      <c r="C820" t="s">
        <v>287</v>
      </c>
      <c r="D820" t="s">
        <v>216</v>
      </c>
      <c r="E820">
        <v>4</v>
      </c>
      <c r="F820">
        <v>54.42</v>
      </c>
      <c r="G820" t="s">
        <v>221</v>
      </c>
      <c r="H820">
        <v>217.68</v>
      </c>
      <c r="I820">
        <v>2025</v>
      </c>
      <c r="J820">
        <v>1</v>
      </c>
      <c r="K820">
        <v>18</v>
      </c>
      <c r="L820" s="14">
        <v>54.42</v>
      </c>
      <c r="M820" s="4" t="str">
        <f t="shared" si="48"/>
        <v>lunes</v>
      </c>
      <c r="N820" s="4" t="str">
        <f t="shared" si="49"/>
        <v>enero</v>
      </c>
      <c r="O820" s="4" t="str">
        <f t="shared" si="50"/>
        <v>NO</v>
      </c>
      <c r="P820" s="4" t="str">
        <f t="shared" si="51"/>
        <v>NO</v>
      </c>
      <c r="Q820" s="4" t="str" cm="1">
        <f t="array" ref="Q820">_xlfn.IFS(AND(H820&gt;=0,H820&lt;=3333),"Grupo 1",AND(H820&gt;3333,H820&lt;=6666),"Grupo 2",AND(H820&gt;6666,H820&lt;=10000),"Grupo 3")</f>
        <v>Grupo 1</v>
      </c>
    </row>
    <row r="821" spans="1:17" x14ac:dyDescent="0.25">
      <c r="A821" t="s">
        <v>31</v>
      </c>
      <c r="B821" s="2">
        <v>45238.713888888888</v>
      </c>
      <c r="C821" t="s">
        <v>288</v>
      </c>
      <c r="D821" t="s">
        <v>218</v>
      </c>
      <c r="E821">
        <v>2</v>
      </c>
      <c r="F821">
        <v>1567.18</v>
      </c>
      <c r="G821" t="s">
        <v>221</v>
      </c>
      <c r="H821">
        <v>3134.36</v>
      </c>
      <c r="I821">
        <v>2023</v>
      </c>
      <c r="J821">
        <v>11</v>
      </c>
      <c r="K821">
        <v>17</v>
      </c>
      <c r="L821" s="14">
        <v>1567.18</v>
      </c>
      <c r="M821" s="4" t="str">
        <f t="shared" si="48"/>
        <v>miércoles</v>
      </c>
      <c r="N821" s="4" t="str">
        <f t="shared" si="49"/>
        <v>noviembre</v>
      </c>
      <c r="O821" s="4" t="str">
        <f t="shared" si="50"/>
        <v>SI</v>
      </c>
      <c r="P821" s="4" t="str">
        <f t="shared" si="51"/>
        <v>SI</v>
      </c>
      <c r="Q821" s="4" t="str" cm="1">
        <f t="array" ref="Q821">_xlfn.IFS(AND(H821&gt;=0,H821&lt;=3333),"Grupo 1",AND(H821&gt;3333,H821&lt;=6666),"Grupo 2",AND(H821&gt;6666,H821&lt;=10000),"Grupo 3")</f>
        <v>Grupo 1</v>
      </c>
    </row>
    <row r="822" spans="1:17" x14ac:dyDescent="0.25">
      <c r="A822" t="s">
        <v>32</v>
      </c>
      <c r="B822" s="2">
        <v>45231.386111111111</v>
      </c>
      <c r="C822" t="s">
        <v>289</v>
      </c>
      <c r="D822" t="s">
        <v>213</v>
      </c>
      <c r="E822">
        <v>2</v>
      </c>
      <c r="F822">
        <v>519.79999999999995</v>
      </c>
      <c r="G822" t="s">
        <v>221</v>
      </c>
      <c r="H822">
        <v>1039.5999999999999</v>
      </c>
      <c r="I822">
        <v>2023</v>
      </c>
      <c r="J822">
        <v>11</v>
      </c>
      <c r="K822">
        <v>9</v>
      </c>
      <c r="L822" s="14">
        <v>519.79999999999995</v>
      </c>
      <c r="M822" s="4" t="str">
        <f t="shared" si="48"/>
        <v>miércoles</v>
      </c>
      <c r="N822" s="4" t="str">
        <f t="shared" si="49"/>
        <v>noviembre</v>
      </c>
      <c r="O822" s="4" t="str">
        <f t="shared" si="50"/>
        <v>NO</v>
      </c>
      <c r="P822" s="4" t="str">
        <f t="shared" si="51"/>
        <v>NO</v>
      </c>
      <c r="Q822" s="4" t="str" cm="1">
        <f t="array" ref="Q822">_xlfn.IFS(AND(H822&gt;=0,H822&lt;=3333),"Grupo 1",AND(H822&gt;3333,H822&lt;=6666),"Grupo 2",AND(H822&gt;6666,H822&lt;=10000),"Grupo 3")</f>
        <v>Grupo 1</v>
      </c>
    </row>
    <row r="823" spans="1:17" x14ac:dyDescent="0.25">
      <c r="A823" t="s">
        <v>33</v>
      </c>
      <c r="B823" s="2">
        <v>45421.563888888893</v>
      </c>
      <c r="C823" t="s">
        <v>290</v>
      </c>
      <c r="D823" t="s">
        <v>214</v>
      </c>
      <c r="E823">
        <v>1</v>
      </c>
      <c r="F823">
        <v>1267.01</v>
      </c>
      <c r="G823" t="s">
        <v>222</v>
      </c>
      <c r="H823">
        <v>1267.01</v>
      </c>
      <c r="I823">
        <v>2024</v>
      </c>
      <c r="J823">
        <v>5</v>
      </c>
      <c r="K823">
        <v>13</v>
      </c>
      <c r="L823" s="14">
        <v>1267.01</v>
      </c>
      <c r="M823" s="4" t="str">
        <f t="shared" si="48"/>
        <v>jueves</v>
      </c>
      <c r="N823" s="4" t="str">
        <f t="shared" si="49"/>
        <v>mayo</v>
      </c>
      <c r="O823" s="4" t="str">
        <f t="shared" si="50"/>
        <v>NO</v>
      </c>
      <c r="P823" s="4" t="str">
        <f t="shared" si="51"/>
        <v>SI</v>
      </c>
      <c r="Q823" s="4" t="str" cm="1">
        <f t="array" ref="Q823">_xlfn.IFS(AND(H823&gt;=0,H823&lt;=3333),"Grupo 1",AND(H823&gt;3333,H823&lt;=6666),"Grupo 2",AND(H823&gt;6666,H823&lt;=10000),"Grupo 3")</f>
        <v>Grupo 1</v>
      </c>
    </row>
    <row r="824" spans="1:17" x14ac:dyDescent="0.25">
      <c r="A824" t="s">
        <v>34</v>
      </c>
      <c r="B824" s="2">
        <v>45437.592361111107</v>
      </c>
      <c r="C824" t="s">
        <v>291</v>
      </c>
      <c r="D824" t="s">
        <v>212</v>
      </c>
      <c r="E824">
        <v>4</v>
      </c>
      <c r="F824">
        <v>1027.81</v>
      </c>
      <c r="G824" t="s">
        <v>220</v>
      </c>
      <c r="H824">
        <v>4111.24</v>
      </c>
      <c r="I824">
        <v>2024</v>
      </c>
      <c r="J824">
        <v>5</v>
      </c>
      <c r="K824">
        <v>14</v>
      </c>
      <c r="L824" s="14">
        <v>1027.81</v>
      </c>
      <c r="M824" s="4" t="str">
        <f t="shared" si="48"/>
        <v>sábado</v>
      </c>
      <c r="N824" s="4" t="str">
        <f t="shared" si="49"/>
        <v>mayo</v>
      </c>
      <c r="O824" s="4" t="str">
        <f t="shared" si="50"/>
        <v>SI</v>
      </c>
      <c r="P824" s="4" t="str">
        <f t="shared" si="51"/>
        <v>SI</v>
      </c>
      <c r="Q824" s="4" t="str" cm="1">
        <f t="array" ref="Q824">_xlfn.IFS(AND(H824&gt;=0,H824&lt;=3333),"Grupo 1",AND(H824&gt;3333,H824&lt;=6666),"Grupo 2",AND(H824&gt;6666,H824&lt;=10000),"Grupo 3")</f>
        <v>Grupo 2</v>
      </c>
    </row>
    <row r="825" spans="1:17" x14ac:dyDescent="0.25">
      <c r="A825" t="s">
        <v>35</v>
      </c>
      <c r="B825" s="2">
        <v>45355.487500000003</v>
      </c>
      <c r="C825" t="s">
        <v>292</v>
      </c>
      <c r="D825" t="s">
        <v>216</v>
      </c>
      <c r="E825">
        <v>3</v>
      </c>
      <c r="F825">
        <v>925.62</v>
      </c>
      <c r="G825" t="s">
        <v>221</v>
      </c>
      <c r="H825">
        <v>2776.86</v>
      </c>
      <c r="I825">
        <v>2024</v>
      </c>
      <c r="J825">
        <v>3</v>
      </c>
      <c r="K825">
        <v>11</v>
      </c>
      <c r="L825" s="14">
        <v>925.62</v>
      </c>
      <c r="M825" s="4" t="str">
        <f t="shared" si="48"/>
        <v>lunes</v>
      </c>
      <c r="N825" s="4" t="str">
        <f t="shared" si="49"/>
        <v>marzo</v>
      </c>
      <c r="O825" s="4" t="str">
        <f t="shared" si="50"/>
        <v>NO</v>
      </c>
      <c r="P825" s="4" t="str">
        <f t="shared" si="51"/>
        <v>NO</v>
      </c>
      <c r="Q825" s="4" t="str" cm="1">
        <f t="array" ref="Q825">_xlfn.IFS(AND(H825&gt;=0,H825&lt;=3333),"Grupo 1",AND(H825&gt;3333,H825&lt;=6666),"Grupo 2",AND(H825&gt;6666,H825&lt;=10000),"Grupo 3")</f>
        <v>Grupo 1</v>
      </c>
    </row>
    <row r="826" spans="1:17" x14ac:dyDescent="0.25">
      <c r="A826" t="s">
        <v>36</v>
      </c>
      <c r="B826" s="2">
        <v>45924.43472222222</v>
      </c>
      <c r="C826" t="s">
        <v>293</v>
      </c>
      <c r="D826" t="s">
        <v>212</v>
      </c>
      <c r="E826">
        <v>3</v>
      </c>
      <c r="F826">
        <v>213.71</v>
      </c>
      <c r="G826" t="s">
        <v>220</v>
      </c>
      <c r="H826">
        <v>641.13</v>
      </c>
      <c r="I826">
        <v>2025</v>
      </c>
      <c r="J826">
        <v>9</v>
      </c>
      <c r="K826">
        <v>10</v>
      </c>
      <c r="L826" s="14">
        <v>213.71</v>
      </c>
      <c r="M826" s="4" t="str">
        <f t="shared" si="48"/>
        <v>miércoles</v>
      </c>
      <c r="N826" s="4" t="str">
        <f t="shared" si="49"/>
        <v>septiembre</v>
      </c>
      <c r="O826" s="4" t="str">
        <f t="shared" si="50"/>
        <v>NO</v>
      </c>
      <c r="P826" s="4" t="str">
        <f t="shared" si="51"/>
        <v>NO</v>
      </c>
      <c r="Q826" s="4" t="str" cm="1">
        <f t="array" ref="Q826">_xlfn.IFS(AND(H826&gt;=0,H826&lt;=3333),"Grupo 1",AND(H826&gt;3333,H826&lt;=6666),"Grupo 2",AND(H826&gt;6666,H826&lt;=10000),"Grupo 3")</f>
        <v>Grupo 1</v>
      </c>
    </row>
    <row r="827" spans="1:17" x14ac:dyDescent="0.25">
      <c r="A827" t="s">
        <v>37</v>
      </c>
      <c r="B827" s="2">
        <v>45471.931250000001</v>
      </c>
      <c r="C827" t="s">
        <v>294</v>
      </c>
      <c r="D827" t="s">
        <v>217</v>
      </c>
      <c r="E827">
        <v>2</v>
      </c>
      <c r="F827">
        <v>1146.75</v>
      </c>
      <c r="G827" t="s">
        <v>220</v>
      </c>
      <c r="H827">
        <v>2293.5</v>
      </c>
      <c r="I827">
        <v>2024</v>
      </c>
      <c r="J827">
        <v>6</v>
      </c>
      <c r="K827">
        <v>22</v>
      </c>
      <c r="L827" s="14">
        <v>1146.75</v>
      </c>
      <c r="M827" s="4" t="str">
        <f t="shared" si="48"/>
        <v>viernes</v>
      </c>
      <c r="N827" s="4" t="str">
        <f t="shared" si="49"/>
        <v>junio</v>
      </c>
      <c r="O827" s="4" t="str">
        <f t="shared" si="50"/>
        <v>NO</v>
      </c>
      <c r="P827" s="4" t="str">
        <f t="shared" si="51"/>
        <v>SI</v>
      </c>
      <c r="Q827" s="4" t="str" cm="1">
        <f t="array" ref="Q827">_xlfn.IFS(AND(H827&gt;=0,H827&lt;=3333),"Grupo 1",AND(H827&gt;3333,H827&lt;=6666),"Grupo 2",AND(H827&gt;6666,H827&lt;=10000),"Grupo 3")</f>
        <v>Grupo 1</v>
      </c>
    </row>
    <row r="828" spans="1:17" x14ac:dyDescent="0.25">
      <c r="A828" t="s">
        <v>38</v>
      </c>
      <c r="B828" s="2">
        <v>45003.59097222222</v>
      </c>
      <c r="C828" t="s">
        <v>295</v>
      </c>
      <c r="D828" t="s">
        <v>217</v>
      </c>
      <c r="E828">
        <v>5</v>
      </c>
      <c r="F828">
        <v>907.28</v>
      </c>
      <c r="G828" t="s">
        <v>220</v>
      </c>
      <c r="H828">
        <v>4536.3999999999996</v>
      </c>
      <c r="I828">
        <v>2023</v>
      </c>
      <c r="J828">
        <v>3</v>
      </c>
      <c r="K828">
        <v>14</v>
      </c>
      <c r="L828" s="14">
        <v>907.28</v>
      </c>
      <c r="M828" s="4" t="str">
        <f t="shared" si="48"/>
        <v>sábado</v>
      </c>
      <c r="N828" s="4" t="str">
        <f t="shared" si="49"/>
        <v>marzo</v>
      </c>
      <c r="O828" s="4" t="str">
        <f t="shared" si="50"/>
        <v>SI</v>
      </c>
      <c r="P828" s="4" t="str">
        <f t="shared" si="51"/>
        <v>NO</v>
      </c>
      <c r="Q828" s="4" t="str" cm="1">
        <f t="array" ref="Q828">_xlfn.IFS(AND(H828&gt;=0,H828&lt;=3333),"Grupo 1",AND(H828&gt;3333,H828&lt;=6666),"Grupo 2",AND(H828&gt;6666,H828&lt;=10000),"Grupo 3")</f>
        <v>Grupo 2</v>
      </c>
    </row>
    <row r="829" spans="1:17" x14ac:dyDescent="0.25">
      <c r="A829" t="s">
        <v>39</v>
      </c>
      <c r="B829" s="2">
        <v>45206.394444444442</v>
      </c>
      <c r="C829" t="s">
        <v>296</v>
      </c>
      <c r="D829" t="s">
        <v>216</v>
      </c>
      <c r="E829">
        <v>2</v>
      </c>
      <c r="F829">
        <v>1734.44</v>
      </c>
      <c r="G829" t="s">
        <v>221</v>
      </c>
      <c r="H829">
        <v>3468.88</v>
      </c>
      <c r="I829">
        <v>2023</v>
      </c>
      <c r="J829">
        <v>10</v>
      </c>
      <c r="K829">
        <v>9</v>
      </c>
      <c r="L829" s="14">
        <v>1734.44</v>
      </c>
      <c r="M829" s="4" t="str">
        <f t="shared" si="48"/>
        <v>sábado</v>
      </c>
      <c r="N829" s="4" t="str">
        <f t="shared" si="49"/>
        <v>octubre</v>
      </c>
      <c r="O829" s="4" t="str">
        <f t="shared" si="50"/>
        <v>SI</v>
      </c>
      <c r="P829" s="4" t="str">
        <f t="shared" si="51"/>
        <v>SI</v>
      </c>
      <c r="Q829" s="4" t="str" cm="1">
        <f t="array" ref="Q829">_xlfn.IFS(AND(H829&gt;=0,H829&lt;=3333),"Grupo 1",AND(H829&gt;3333,H829&lt;=6666),"Grupo 2",AND(H829&gt;6666,H829&lt;=10000),"Grupo 3")</f>
        <v>Grupo 2</v>
      </c>
    </row>
    <row r="830" spans="1:17" x14ac:dyDescent="0.25">
      <c r="A830" t="s">
        <v>40</v>
      </c>
      <c r="B830" s="2">
        <v>45595.773611111108</v>
      </c>
      <c r="C830" t="s">
        <v>297</v>
      </c>
      <c r="D830" t="s">
        <v>213</v>
      </c>
      <c r="E830">
        <v>1</v>
      </c>
      <c r="F830">
        <v>424.35</v>
      </c>
      <c r="G830" t="s">
        <v>221</v>
      </c>
      <c r="H830">
        <v>424.35</v>
      </c>
      <c r="I830">
        <v>2024</v>
      </c>
      <c r="J830">
        <v>10</v>
      </c>
      <c r="K830">
        <v>18</v>
      </c>
      <c r="L830" s="14">
        <v>424.35</v>
      </c>
      <c r="M830" s="4" t="str">
        <f t="shared" si="48"/>
        <v>miércoles</v>
      </c>
      <c r="N830" s="4" t="str">
        <f t="shared" si="49"/>
        <v>octubre</v>
      </c>
      <c r="O830" s="4" t="str">
        <f t="shared" si="50"/>
        <v>NO</v>
      </c>
      <c r="P830" s="4" t="str">
        <f t="shared" si="51"/>
        <v>NO</v>
      </c>
      <c r="Q830" s="4" t="str" cm="1">
        <f t="array" ref="Q830">_xlfn.IFS(AND(H830&gt;=0,H830&lt;=3333),"Grupo 1",AND(H830&gt;3333,H830&lt;=6666),"Grupo 2",AND(H830&gt;6666,H830&lt;=10000),"Grupo 3")</f>
        <v>Grupo 1</v>
      </c>
    </row>
    <row r="831" spans="1:17" x14ac:dyDescent="0.25">
      <c r="A831" t="s">
        <v>41</v>
      </c>
      <c r="B831" s="2">
        <v>45888.736805555563</v>
      </c>
      <c r="C831" t="s">
        <v>298</v>
      </c>
      <c r="D831" t="s">
        <v>212</v>
      </c>
      <c r="E831">
        <v>1</v>
      </c>
      <c r="F831">
        <v>252.57</v>
      </c>
      <c r="G831" t="s">
        <v>220</v>
      </c>
      <c r="H831">
        <v>252.57</v>
      </c>
      <c r="I831">
        <v>2025</v>
      </c>
      <c r="J831">
        <v>8</v>
      </c>
      <c r="K831">
        <v>17</v>
      </c>
      <c r="L831" s="14">
        <v>252.57</v>
      </c>
      <c r="M831" s="4" t="str">
        <f t="shared" si="48"/>
        <v>martes</v>
      </c>
      <c r="N831" s="4" t="str">
        <f t="shared" si="49"/>
        <v>agosto</v>
      </c>
      <c r="O831" s="4" t="str">
        <f t="shared" si="50"/>
        <v>NO</v>
      </c>
      <c r="P831" s="4" t="str">
        <f t="shared" si="51"/>
        <v>NO</v>
      </c>
      <c r="Q831" s="4" t="str" cm="1">
        <f t="array" ref="Q831">_xlfn.IFS(AND(H831&gt;=0,H831&lt;=3333),"Grupo 1",AND(H831&gt;3333,H831&lt;=6666),"Grupo 2",AND(H831&gt;6666,H831&lt;=10000),"Grupo 3")</f>
        <v>Grupo 1</v>
      </c>
    </row>
    <row r="832" spans="1:17" x14ac:dyDescent="0.25">
      <c r="A832" t="s">
        <v>42</v>
      </c>
      <c r="B832" s="2">
        <v>45478.06527777778</v>
      </c>
      <c r="C832" t="s">
        <v>299</v>
      </c>
      <c r="D832" t="s">
        <v>218</v>
      </c>
      <c r="E832">
        <v>3</v>
      </c>
      <c r="F832">
        <v>21.56</v>
      </c>
      <c r="G832" t="s">
        <v>221</v>
      </c>
      <c r="H832">
        <v>64.679999999999993</v>
      </c>
      <c r="I832">
        <v>2024</v>
      </c>
      <c r="J832">
        <v>7</v>
      </c>
      <c r="K832">
        <v>1</v>
      </c>
      <c r="L832" s="14">
        <v>21.56</v>
      </c>
      <c r="M832" s="4" t="str">
        <f t="shared" si="48"/>
        <v>viernes</v>
      </c>
      <c r="N832" s="4" t="str">
        <f t="shared" si="49"/>
        <v>julio</v>
      </c>
      <c r="O832" s="4" t="str">
        <f t="shared" si="50"/>
        <v>NO</v>
      </c>
      <c r="P832" s="4" t="str">
        <f t="shared" si="51"/>
        <v>NO</v>
      </c>
      <c r="Q832" s="4" t="str" cm="1">
        <f t="array" ref="Q832">_xlfn.IFS(AND(H832&gt;=0,H832&lt;=3333),"Grupo 1",AND(H832&gt;3333,H832&lt;=6666),"Grupo 2",AND(H832&gt;6666,H832&lt;=10000),"Grupo 3")</f>
        <v>Grupo 1</v>
      </c>
    </row>
    <row r="833" spans="1:17" x14ac:dyDescent="0.25">
      <c r="A833" t="s">
        <v>43</v>
      </c>
      <c r="B833" s="2">
        <v>45402.668749999997</v>
      </c>
      <c r="C833" t="s">
        <v>300</v>
      </c>
      <c r="D833" t="s">
        <v>214</v>
      </c>
      <c r="E833">
        <v>1</v>
      </c>
      <c r="F833">
        <v>446.81</v>
      </c>
      <c r="G833" t="s">
        <v>222</v>
      </c>
      <c r="H833">
        <v>446.81</v>
      </c>
      <c r="I833">
        <v>2024</v>
      </c>
      <c r="J833">
        <v>4</v>
      </c>
      <c r="K833">
        <v>16</v>
      </c>
      <c r="L833" s="14">
        <v>446.81</v>
      </c>
      <c r="M833" s="4" t="str">
        <f t="shared" si="48"/>
        <v>sábado</v>
      </c>
      <c r="N833" s="4" t="str">
        <f t="shared" si="49"/>
        <v>abril</v>
      </c>
      <c r="O833" s="4" t="str">
        <f t="shared" si="50"/>
        <v>NO</v>
      </c>
      <c r="P833" s="4" t="str">
        <f t="shared" si="51"/>
        <v>NO</v>
      </c>
      <c r="Q833" s="4" t="str" cm="1">
        <f t="array" ref="Q833">_xlfn.IFS(AND(H833&gt;=0,H833&lt;=3333),"Grupo 1",AND(H833&gt;3333,H833&lt;=6666),"Grupo 2",AND(H833&gt;6666,H833&lt;=10000),"Grupo 3")</f>
        <v>Grupo 1</v>
      </c>
    </row>
    <row r="834" spans="1:17" x14ac:dyDescent="0.25">
      <c r="A834" t="s">
        <v>44</v>
      </c>
      <c r="B834" s="2">
        <v>45033.806944444441</v>
      </c>
      <c r="C834" t="s">
        <v>301</v>
      </c>
      <c r="D834" t="s">
        <v>218</v>
      </c>
      <c r="E834">
        <v>2</v>
      </c>
      <c r="F834">
        <v>64.67</v>
      </c>
      <c r="G834" t="s">
        <v>221</v>
      </c>
      <c r="H834">
        <v>129.34</v>
      </c>
      <c r="I834">
        <v>2023</v>
      </c>
      <c r="J834">
        <v>4</v>
      </c>
      <c r="K834">
        <v>19</v>
      </c>
      <c r="L834" s="14">
        <v>64.67</v>
      </c>
      <c r="M834" s="4" t="str">
        <f t="shared" ref="M834:M897" si="52">TEXT(B834,"dddd")</f>
        <v>lunes</v>
      </c>
      <c r="N834" s="4" t="str">
        <f t="shared" ref="N834:N897" si="53">TEXT(B834,"mmmm")</f>
        <v>abril</v>
      </c>
      <c r="O834" s="4" t="str">
        <f t="shared" si="50"/>
        <v>NO</v>
      </c>
      <c r="P834" s="4" t="str">
        <f t="shared" si="51"/>
        <v>NO</v>
      </c>
      <c r="Q834" s="4" t="str" cm="1">
        <f t="array" ref="Q834">_xlfn.IFS(AND(H834&gt;=0,H834&lt;=3333),"Grupo 1",AND(H834&gt;3333,H834&lt;=6666),"Grupo 2",AND(H834&gt;6666,H834&lt;=10000),"Grupo 3")</f>
        <v>Grupo 1</v>
      </c>
    </row>
    <row r="835" spans="1:17" x14ac:dyDescent="0.25">
      <c r="A835" t="s">
        <v>45</v>
      </c>
      <c r="B835" s="2">
        <v>45432.781944444447</v>
      </c>
      <c r="C835" t="s">
        <v>302</v>
      </c>
      <c r="D835" t="s">
        <v>216</v>
      </c>
      <c r="E835">
        <v>5</v>
      </c>
      <c r="F835">
        <v>1168.3499999999999</v>
      </c>
      <c r="G835" t="s">
        <v>221</v>
      </c>
      <c r="H835">
        <v>5841.75</v>
      </c>
      <c r="I835">
        <v>2024</v>
      </c>
      <c r="J835">
        <v>5</v>
      </c>
      <c r="K835">
        <v>18</v>
      </c>
      <c r="L835" s="14">
        <v>1168.3499999999999</v>
      </c>
      <c r="M835" s="4" t="str">
        <f t="shared" si="52"/>
        <v>lunes</v>
      </c>
      <c r="N835" s="4" t="str">
        <f t="shared" si="53"/>
        <v>mayo</v>
      </c>
      <c r="O835" s="4" t="str">
        <f t="shared" ref="O835:O898" si="54">IF(H835&gt;AVERAGE(H:H),"SI","NO")</f>
        <v>SI</v>
      </c>
      <c r="P835" s="4" t="str">
        <f t="shared" ref="P835:P898" si="55">IF(L835&gt;AVERAGE(L:L),"SI","NO")</f>
        <v>SI</v>
      </c>
      <c r="Q835" s="4" t="str" cm="1">
        <f t="array" ref="Q835">_xlfn.IFS(AND(H835&gt;=0,H835&lt;=3333),"Grupo 1",AND(H835&gt;3333,H835&lt;=6666),"Grupo 2",AND(H835&gt;6666,H835&lt;=10000),"Grupo 3")</f>
        <v>Grupo 2</v>
      </c>
    </row>
    <row r="836" spans="1:17" x14ac:dyDescent="0.25">
      <c r="A836" t="s">
        <v>46</v>
      </c>
      <c r="B836" s="2">
        <v>45746.083333333343</v>
      </c>
      <c r="C836" t="s">
        <v>303</v>
      </c>
      <c r="D836" t="s">
        <v>214</v>
      </c>
      <c r="E836">
        <v>2</v>
      </c>
      <c r="F836">
        <v>349.3</v>
      </c>
      <c r="G836" t="s">
        <v>222</v>
      </c>
      <c r="H836">
        <v>698.6</v>
      </c>
      <c r="I836">
        <v>2025</v>
      </c>
      <c r="J836">
        <v>3</v>
      </c>
      <c r="K836">
        <v>2</v>
      </c>
      <c r="L836" s="14">
        <v>349.3</v>
      </c>
      <c r="M836" s="4" t="str">
        <f t="shared" si="52"/>
        <v>domingo</v>
      </c>
      <c r="N836" s="4" t="str">
        <f t="shared" si="53"/>
        <v>marzo</v>
      </c>
      <c r="O836" s="4" t="str">
        <f t="shared" si="54"/>
        <v>NO</v>
      </c>
      <c r="P836" s="4" t="str">
        <f t="shared" si="55"/>
        <v>NO</v>
      </c>
      <c r="Q836" s="4" t="str" cm="1">
        <f t="array" ref="Q836">_xlfn.IFS(AND(H836&gt;=0,H836&lt;=3333),"Grupo 1",AND(H836&gt;3333,H836&lt;=6666),"Grupo 2",AND(H836&gt;6666,H836&lt;=10000),"Grupo 3")</f>
        <v>Grupo 1</v>
      </c>
    </row>
    <row r="837" spans="1:17" x14ac:dyDescent="0.25">
      <c r="A837" t="s">
        <v>47</v>
      </c>
      <c r="B837" s="2">
        <v>45515.355555555558</v>
      </c>
      <c r="C837" t="s">
        <v>304</v>
      </c>
      <c r="D837" t="s">
        <v>216</v>
      </c>
      <c r="E837">
        <v>3</v>
      </c>
      <c r="F837">
        <v>1154.06</v>
      </c>
      <c r="G837" t="s">
        <v>221</v>
      </c>
      <c r="H837">
        <v>3462.18</v>
      </c>
      <c r="I837">
        <v>2024</v>
      </c>
      <c r="J837">
        <v>8</v>
      </c>
      <c r="K837">
        <v>8</v>
      </c>
      <c r="L837" s="14">
        <v>1154.06</v>
      </c>
      <c r="M837" s="4" t="str">
        <f t="shared" si="52"/>
        <v>domingo</v>
      </c>
      <c r="N837" s="4" t="str">
        <f t="shared" si="53"/>
        <v>agosto</v>
      </c>
      <c r="O837" s="4" t="str">
        <f t="shared" si="54"/>
        <v>SI</v>
      </c>
      <c r="P837" s="4" t="str">
        <f t="shared" si="55"/>
        <v>SI</v>
      </c>
      <c r="Q837" s="4" t="str" cm="1">
        <f t="array" ref="Q837">_xlfn.IFS(AND(H837&gt;=0,H837&lt;=3333),"Grupo 1",AND(H837&gt;3333,H837&lt;=6666),"Grupo 2",AND(H837&gt;6666,H837&lt;=10000),"Grupo 3")</f>
        <v>Grupo 2</v>
      </c>
    </row>
    <row r="838" spans="1:17" x14ac:dyDescent="0.25">
      <c r="A838" t="s">
        <v>48</v>
      </c>
      <c r="B838" s="2">
        <v>45730.554861111108</v>
      </c>
      <c r="C838" t="s">
        <v>305</v>
      </c>
      <c r="D838" t="s">
        <v>215</v>
      </c>
      <c r="E838">
        <v>4</v>
      </c>
      <c r="F838">
        <v>1566.37</v>
      </c>
      <c r="G838" t="s">
        <v>220</v>
      </c>
      <c r="H838">
        <v>6265.48</v>
      </c>
      <c r="I838">
        <v>2025</v>
      </c>
      <c r="J838">
        <v>3</v>
      </c>
      <c r="K838">
        <v>13</v>
      </c>
      <c r="L838" s="14">
        <v>1566.37</v>
      </c>
      <c r="M838" s="4" t="str">
        <f t="shared" si="52"/>
        <v>viernes</v>
      </c>
      <c r="N838" s="4" t="str">
        <f t="shared" si="53"/>
        <v>marzo</v>
      </c>
      <c r="O838" s="4" t="str">
        <f t="shared" si="54"/>
        <v>SI</v>
      </c>
      <c r="P838" s="4" t="str">
        <f t="shared" si="55"/>
        <v>SI</v>
      </c>
      <c r="Q838" s="4" t="str" cm="1">
        <f t="array" ref="Q838">_xlfn.IFS(AND(H838&gt;=0,H838&lt;=3333),"Grupo 1",AND(H838&gt;3333,H838&lt;=6666),"Grupo 2",AND(H838&gt;6666,H838&lt;=10000),"Grupo 3")</f>
        <v>Grupo 2</v>
      </c>
    </row>
    <row r="839" spans="1:17" x14ac:dyDescent="0.25">
      <c r="A839" t="s">
        <v>49</v>
      </c>
      <c r="B839" s="2">
        <v>45603.252083333333</v>
      </c>
      <c r="C839" t="s">
        <v>306</v>
      </c>
      <c r="D839" t="s">
        <v>212</v>
      </c>
      <c r="E839">
        <v>2</v>
      </c>
      <c r="F839">
        <v>674.48</v>
      </c>
      <c r="G839" t="s">
        <v>220</v>
      </c>
      <c r="H839">
        <v>1348.96</v>
      </c>
      <c r="I839">
        <v>2024</v>
      </c>
      <c r="J839">
        <v>11</v>
      </c>
      <c r="K839">
        <v>6</v>
      </c>
      <c r="L839" s="14">
        <v>674.48</v>
      </c>
      <c r="M839" s="4" t="str">
        <f t="shared" si="52"/>
        <v>jueves</v>
      </c>
      <c r="N839" s="4" t="str">
        <f t="shared" si="53"/>
        <v>noviembre</v>
      </c>
      <c r="O839" s="4" t="str">
        <f t="shared" si="54"/>
        <v>NO</v>
      </c>
      <c r="P839" s="4" t="str">
        <f t="shared" si="55"/>
        <v>NO</v>
      </c>
      <c r="Q839" s="4" t="str" cm="1">
        <f t="array" ref="Q839">_xlfn.IFS(AND(H839&gt;=0,H839&lt;=3333),"Grupo 1",AND(H839&gt;3333,H839&lt;=6666),"Grupo 2",AND(H839&gt;6666,H839&lt;=10000),"Grupo 3")</f>
        <v>Grupo 1</v>
      </c>
    </row>
    <row r="840" spans="1:17" x14ac:dyDescent="0.25">
      <c r="A840" t="s">
        <v>50</v>
      </c>
      <c r="B840" s="2">
        <v>45420.054861111108</v>
      </c>
      <c r="C840" t="s">
        <v>307</v>
      </c>
      <c r="D840" t="s">
        <v>212</v>
      </c>
      <c r="E840">
        <v>2</v>
      </c>
      <c r="F840">
        <v>1543.98</v>
      </c>
      <c r="G840" t="s">
        <v>220</v>
      </c>
      <c r="H840">
        <v>3087.96</v>
      </c>
      <c r="I840">
        <v>2024</v>
      </c>
      <c r="J840">
        <v>5</v>
      </c>
      <c r="K840">
        <v>1</v>
      </c>
      <c r="L840" s="14">
        <v>1543.98</v>
      </c>
      <c r="M840" s="4" t="str">
        <f t="shared" si="52"/>
        <v>miércoles</v>
      </c>
      <c r="N840" s="4" t="str">
        <f t="shared" si="53"/>
        <v>mayo</v>
      </c>
      <c r="O840" s="4" t="str">
        <f t="shared" si="54"/>
        <v>SI</v>
      </c>
      <c r="P840" s="4" t="str">
        <f t="shared" si="55"/>
        <v>SI</v>
      </c>
      <c r="Q840" s="4" t="str" cm="1">
        <f t="array" ref="Q840">_xlfn.IFS(AND(H840&gt;=0,H840&lt;=3333),"Grupo 1",AND(H840&gt;3333,H840&lt;=6666),"Grupo 2",AND(H840&gt;6666,H840&lt;=10000),"Grupo 3")</f>
        <v>Grupo 1</v>
      </c>
    </row>
    <row r="841" spans="1:17" x14ac:dyDescent="0.25">
      <c r="A841" t="s">
        <v>51</v>
      </c>
      <c r="B841" s="2">
        <v>44931.743055555547</v>
      </c>
      <c r="C841" t="s">
        <v>308</v>
      </c>
      <c r="D841" t="s">
        <v>217</v>
      </c>
      <c r="E841">
        <v>5</v>
      </c>
      <c r="F841">
        <v>917.31</v>
      </c>
      <c r="G841" t="s">
        <v>220</v>
      </c>
      <c r="H841">
        <v>4586.5499999999993</v>
      </c>
      <c r="I841">
        <v>2023</v>
      </c>
      <c r="J841">
        <v>1</v>
      </c>
      <c r="K841">
        <v>17</v>
      </c>
      <c r="L841" s="14">
        <v>917.30999999999983</v>
      </c>
      <c r="M841" s="4" t="str">
        <f t="shared" si="52"/>
        <v>jueves</v>
      </c>
      <c r="N841" s="4" t="str">
        <f t="shared" si="53"/>
        <v>enero</v>
      </c>
      <c r="O841" s="4" t="str">
        <f t="shared" si="54"/>
        <v>SI</v>
      </c>
      <c r="P841" s="4" t="str">
        <f t="shared" si="55"/>
        <v>NO</v>
      </c>
      <c r="Q841" s="4" t="str" cm="1">
        <f t="array" ref="Q841">_xlfn.IFS(AND(H841&gt;=0,H841&lt;=3333),"Grupo 1",AND(H841&gt;3333,H841&lt;=6666),"Grupo 2",AND(H841&gt;6666,H841&lt;=10000),"Grupo 3")</f>
        <v>Grupo 2</v>
      </c>
    </row>
    <row r="842" spans="1:17" x14ac:dyDescent="0.25">
      <c r="A842" t="s">
        <v>52</v>
      </c>
      <c r="B842" s="2">
        <v>45326.684027777781</v>
      </c>
      <c r="C842" t="s">
        <v>309</v>
      </c>
      <c r="D842" t="s">
        <v>219</v>
      </c>
      <c r="E842">
        <v>4</v>
      </c>
      <c r="F842">
        <v>450.36</v>
      </c>
      <c r="G842" t="s">
        <v>221</v>
      </c>
      <c r="H842">
        <v>1801.44</v>
      </c>
      <c r="I842">
        <v>2024</v>
      </c>
      <c r="J842">
        <v>2</v>
      </c>
      <c r="K842">
        <v>16</v>
      </c>
      <c r="L842" s="14">
        <v>450.36</v>
      </c>
      <c r="M842" s="4" t="str">
        <f t="shared" si="52"/>
        <v>domingo</v>
      </c>
      <c r="N842" s="4" t="str">
        <f t="shared" si="53"/>
        <v>febrero</v>
      </c>
      <c r="O842" s="4" t="str">
        <f t="shared" si="54"/>
        <v>NO</v>
      </c>
      <c r="P842" s="4" t="str">
        <f t="shared" si="55"/>
        <v>NO</v>
      </c>
      <c r="Q842" s="4" t="str" cm="1">
        <f t="array" ref="Q842">_xlfn.IFS(AND(H842&gt;=0,H842&lt;=3333),"Grupo 1",AND(H842&gt;3333,H842&lt;=6666),"Grupo 2",AND(H842&gt;6666,H842&lt;=10000),"Grupo 3")</f>
        <v>Grupo 1</v>
      </c>
    </row>
    <row r="843" spans="1:17" x14ac:dyDescent="0.25">
      <c r="A843" t="s">
        <v>53</v>
      </c>
      <c r="B843" s="2">
        <v>45146.872916666667</v>
      </c>
      <c r="C843" t="s">
        <v>310</v>
      </c>
      <c r="D843" t="s">
        <v>215</v>
      </c>
      <c r="E843">
        <v>2</v>
      </c>
      <c r="F843">
        <v>755.48</v>
      </c>
      <c r="G843" t="s">
        <v>220</v>
      </c>
      <c r="H843">
        <v>1510.96</v>
      </c>
      <c r="I843">
        <v>2023</v>
      </c>
      <c r="J843">
        <v>8</v>
      </c>
      <c r="K843">
        <v>20</v>
      </c>
      <c r="L843" s="14">
        <v>755.48</v>
      </c>
      <c r="M843" s="4" t="str">
        <f t="shared" si="52"/>
        <v>martes</v>
      </c>
      <c r="N843" s="4" t="str">
        <f t="shared" si="53"/>
        <v>agosto</v>
      </c>
      <c r="O843" s="4" t="str">
        <f t="shared" si="54"/>
        <v>NO</v>
      </c>
      <c r="P843" s="4" t="str">
        <f t="shared" si="55"/>
        <v>NO</v>
      </c>
      <c r="Q843" s="4" t="str" cm="1">
        <f t="array" ref="Q843">_xlfn.IFS(AND(H843&gt;=0,H843&lt;=3333),"Grupo 1",AND(H843&gt;3333,H843&lt;=6666),"Grupo 2",AND(H843&gt;6666,H843&lt;=10000),"Grupo 3")</f>
        <v>Grupo 1</v>
      </c>
    </row>
    <row r="844" spans="1:17" x14ac:dyDescent="0.25">
      <c r="A844" t="s">
        <v>54</v>
      </c>
      <c r="B844" s="2">
        <v>45464.595833333333</v>
      </c>
      <c r="C844" t="s">
        <v>311</v>
      </c>
      <c r="D844" t="s">
        <v>213</v>
      </c>
      <c r="E844">
        <v>3</v>
      </c>
      <c r="F844">
        <v>1855.55</v>
      </c>
      <c r="G844" t="s">
        <v>221</v>
      </c>
      <c r="H844">
        <v>5566.65</v>
      </c>
      <c r="I844">
        <v>2024</v>
      </c>
      <c r="J844">
        <v>6</v>
      </c>
      <c r="K844">
        <v>14</v>
      </c>
      <c r="L844" s="14">
        <v>1855.55</v>
      </c>
      <c r="M844" s="4" t="str">
        <f t="shared" si="52"/>
        <v>viernes</v>
      </c>
      <c r="N844" s="4" t="str">
        <f t="shared" si="53"/>
        <v>junio</v>
      </c>
      <c r="O844" s="4" t="str">
        <f t="shared" si="54"/>
        <v>SI</v>
      </c>
      <c r="P844" s="4" t="str">
        <f t="shared" si="55"/>
        <v>SI</v>
      </c>
      <c r="Q844" s="4" t="str" cm="1">
        <f t="array" ref="Q844">_xlfn.IFS(AND(H844&gt;=0,H844&lt;=3333),"Grupo 1",AND(H844&gt;3333,H844&lt;=6666),"Grupo 2",AND(H844&gt;6666,H844&lt;=10000),"Grupo 3")</f>
        <v>Grupo 2</v>
      </c>
    </row>
    <row r="845" spans="1:17" x14ac:dyDescent="0.25">
      <c r="A845" t="s">
        <v>55</v>
      </c>
      <c r="B845" s="2">
        <v>45171.9</v>
      </c>
      <c r="C845" t="s">
        <v>312</v>
      </c>
      <c r="D845" t="s">
        <v>216</v>
      </c>
      <c r="E845">
        <v>5</v>
      </c>
      <c r="F845">
        <v>1011.75</v>
      </c>
      <c r="G845" t="s">
        <v>221</v>
      </c>
      <c r="H845">
        <v>5058.75</v>
      </c>
      <c r="I845">
        <v>2023</v>
      </c>
      <c r="J845">
        <v>9</v>
      </c>
      <c r="K845">
        <v>21</v>
      </c>
      <c r="L845" s="14">
        <v>1011.75</v>
      </c>
      <c r="M845" s="4" t="str">
        <f t="shared" si="52"/>
        <v>sábado</v>
      </c>
      <c r="N845" s="4" t="str">
        <f t="shared" si="53"/>
        <v>septiembre</v>
      </c>
      <c r="O845" s="4" t="str">
        <f t="shared" si="54"/>
        <v>SI</v>
      </c>
      <c r="P845" s="4" t="str">
        <f t="shared" si="55"/>
        <v>SI</v>
      </c>
      <c r="Q845" s="4" t="str" cm="1">
        <f t="array" ref="Q845">_xlfn.IFS(AND(H845&gt;=0,H845&lt;=3333),"Grupo 1",AND(H845&gt;3333,H845&lt;=6666),"Grupo 2",AND(H845&gt;6666,H845&lt;=10000),"Grupo 3")</f>
        <v>Grupo 2</v>
      </c>
    </row>
    <row r="846" spans="1:17" x14ac:dyDescent="0.25">
      <c r="A846" t="s">
        <v>56</v>
      </c>
      <c r="B846" s="2">
        <v>44992.136111111111</v>
      </c>
      <c r="C846" t="s">
        <v>313</v>
      </c>
      <c r="D846" t="s">
        <v>213</v>
      </c>
      <c r="E846">
        <v>5</v>
      </c>
      <c r="F846">
        <v>1218.3399999999999</v>
      </c>
      <c r="G846" t="s">
        <v>221</v>
      </c>
      <c r="H846">
        <v>6091.7</v>
      </c>
      <c r="I846">
        <v>2023</v>
      </c>
      <c r="J846">
        <v>3</v>
      </c>
      <c r="K846">
        <v>3</v>
      </c>
      <c r="L846" s="14">
        <v>1218.3399999999999</v>
      </c>
      <c r="M846" s="4" t="str">
        <f t="shared" si="52"/>
        <v>martes</v>
      </c>
      <c r="N846" s="4" t="str">
        <f t="shared" si="53"/>
        <v>marzo</v>
      </c>
      <c r="O846" s="4" t="str">
        <f t="shared" si="54"/>
        <v>SI</v>
      </c>
      <c r="P846" s="4" t="str">
        <f t="shared" si="55"/>
        <v>SI</v>
      </c>
      <c r="Q846" s="4" t="str" cm="1">
        <f t="array" ref="Q846">_xlfn.IFS(AND(H846&gt;=0,H846&lt;=3333),"Grupo 1",AND(H846&gt;3333,H846&lt;=6666),"Grupo 2",AND(H846&gt;6666,H846&lt;=10000),"Grupo 3")</f>
        <v>Grupo 2</v>
      </c>
    </row>
    <row r="847" spans="1:17" x14ac:dyDescent="0.25">
      <c r="A847" t="s">
        <v>57</v>
      </c>
      <c r="B847" s="2">
        <v>44927.061111111107</v>
      </c>
      <c r="C847" t="s">
        <v>314</v>
      </c>
      <c r="D847" t="s">
        <v>216</v>
      </c>
      <c r="E847">
        <v>2</v>
      </c>
      <c r="F847">
        <v>361.59</v>
      </c>
      <c r="G847" t="s">
        <v>221</v>
      </c>
      <c r="H847">
        <v>723.18</v>
      </c>
      <c r="I847">
        <v>2023</v>
      </c>
      <c r="J847">
        <v>1</v>
      </c>
      <c r="K847">
        <v>1</v>
      </c>
      <c r="L847" s="14">
        <v>361.59</v>
      </c>
      <c r="M847" s="4" t="str">
        <f t="shared" si="52"/>
        <v>domingo</v>
      </c>
      <c r="N847" s="4" t="str">
        <f t="shared" si="53"/>
        <v>enero</v>
      </c>
      <c r="O847" s="4" t="str">
        <f t="shared" si="54"/>
        <v>NO</v>
      </c>
      <c r="P847" s="4" t="str">
        <f t="shared" si="55"/>
        <v>NO</v>
      </c>
      <c r="Q847" s="4" t="str" cm="1">
        <f t="array" ref="Q847">_xlfn.IFS(AND(H847&gt;=0,H847&lt;=3333),"Grupo 1",AND(H847&gt;3333,H847&lt;=6666),"Grupo 2",AND(H847&gt;6666,H847&lt;=10000),"Grupo 3")</f>
        <v>Grupo 1</v>
      </c>
    </row>
    <row r="848" spans="1:17" x14ac:dyDescent="0.25">
      <c r="A848" t="s">
        <v>58</v>
      </c>
      <c r="B848" s="2">
        <v>45097.359027777777</v>
      </c>
      <c r="C848" t="s">
        <v>315</v>
      </c>
      <c r="D848" t="s">
        <v>213</v>
      </c>
      <c r="E848">
        <v>5</v>
      </c>
      <c r="F848">
        <v>958.8</v>
      </c>
      <c r="G848" t="s">
        <v>221</v>
      </c>
      <c r="H848">
        <v>4794</v>
      </c>
      <c r="I848">
        <v>2023</v>
      </c>
      <c r="J848">
        <v>6</v>
      </c>
      <c r="K848">
        <v>8</v>
      </c>
      <c r="L848" s="14">
        <v>958.8</v>
      </c>
      <c r="M848" s="4" t="str">
        <f t="shared" si="52"/>
        <v>martes</v>
      </c>
      <c r="N848" s="4" t="str">
        <f t="shared" si="53"/>
        <v>junio</v>
      </c>
      <c r="O848" s="4" t="str">
        <f t="shared" si="54"/>
        <v>SI</v>
      </c>
      <c r="P848" s="4" t="str">
        <f t="shared" si="55"/>
        <v>NO</v>
      </c>
      <c r="Q848" s="4" t="str" cm="1">
        <f t="array" ref="Q848">_xlfn.IFS(AND(H848&gt;=0,H848&lt;=3333),"Grupo 1",AND(H848&gt;3333,H848&lt;=6666),"Grupo 2",AND(H848&gt;6666,H848&lt;=10000),"Grupo 3")</f>
        <v>Grupo 2</v>
      </c>
    </row>
    <row r="849" spans="1:17" x14ac:dyDescent="0.25">
      <c r="A849" t="s">
        <v>59</v>
      </c>
      <c r="B849" s="2">
        <v>45755.288194444453</v>
      </c>
      <c r="C849" t="s">
        <v>316</v>
      </c>
      <c r="D849" t="s">
        <v>214</v>
      </c>
      <c r="E849">
        <v>5</v>
      </c>
      <c r="F849">
        <v>1776.87</v>
      </c>
      <c r="G849" t="s">
        <v>222</v>
      </c>
      <c r="H849">
        <v>8884.3499999999985</v>
      </c>
      <c r="I849">
        <v>2025</v>
      </c>
      <c r="J849">
        <v>4</v>
      </c>
      <c r="K849">
        <v>6</v>
      </c>
      <c r="L849" s="14">
        <v>1776.87</v>
      </c>
      <c r="M849" s="4" t="str">
        <f t="shared" si="52"/>
        <v>martes</v>
      </c>
      <c r="N849" s="4" t="str">
        <f t="shared" si="53"/>
        <v>abril</v>
      </c>
      <c r="O849" s="4" t="str">
        <f t="shared" si="54"/>
        <v>SI</v>
      </c>
      <c r="P849" s="4" t="str">
        <f t="shared" si="55"/>
        <v>SI</v>
      </c>
      <c r="Q849" s="4" t="str" cm="1">
        <f t="array" ref="Q849">_xlfn.IFS(AND(H849&gt;=0,H849&lt;=3333),"Grupo 1",AND(H849&gt;3333,H849&lt;=6666),"Grupo 2",AND(H849&gt;6666,H849&lt;=10000),"Grupo 3")</f>
        <v>Grupo 3</v>
      </c>
    </row>
    <row r="850" spans="1:17" x14ac:dyDescent="0.25">
      <c r="A850" t="s">
        <v>60</v>
      </c>
      <c r="B850" s="2">
        <v>45782.866666666669</v>
      </c>
      <c r="C850" t="s">
        <v>317</v>
      </c>
      <c r="D850" t="s">
        <v>219</v>
      </c>
      <c r="E850">
        <v>1</v>
      </c>
      <c r="F850">
        <v>1467.34</v>
      </c>
      <c r="G850" t="s">
        <v>221</v>
      </c>
      <c r="H850">
        <v>1467.34</v>
      </c>
      <c r="I850">
        <v>2025</v>
      </c>
      <c r="J850">
        <v>5</v>
      </c>
      <c r="K850">
        <v>20</v>
      </c>
      <c r="L850" s="14">
        <v>1467.34</v>
      </c>
      <c r="M850" s="4" t="str">
        <f t="shared" si="52"/>
        <v>lunes</v>
      </c>
      <c r="N850" s="4" t="str">
        <f t="shared" si="53"/>
        <v>mayo</v>
      </c>
      <c r="O850" s="4" t="str">
        <f t="shared" si="54"/>
        <v>NO</v>
      </c>
      <c r="P850" s="4" t="str">
        <f t="shared" si="55"/>
        <v>SI</v>
      </c>
      <c r="Q850" s="4" t="str" cm="1">
        <f t="array" ref="Q850">_xlfn.IFS(AND(H850&gt;=0,H850&lt;=3333),"Grupo 1",AND(H850&gt;3333,H850&lt;=6666),"Grupo 2",AND(H850&gt;6666,H850&lt;=10000),"Grupo 3")</f>
        <v>Grupo 1</v>
      </c>
    </row>
    <row r="851" spans="1:17" x14ac:dyDescent="0.25">
      <c r="A851" t="s">
        <v>61</v>
      </c>
      <c r="B851" s="2">
        <v>45819.341666666667</v>
      </c>
      <c r="C851" t="s">
        <v>318</v>
      </c>
      <c r="D851" t="s">
        <v>214</v>
      </c>
      <c r="E851">
        <v>3</v>
      </c>
      <c r="F851">
        <v>683.91</v>
      </c>
      <c r="G851" t="s">
        <v>222</v>
      </c>
      <c r="H851">
        <v>2051.73</v>
      </c>
      <c r="I851">
        <v>2025</v>
      </c>
      <c r="J851">
        <v>6</v>
      </c>
      <c r="K851">
        <v>8</v>
      </c>
      <c r="L851" s="14">
        <v>683.91</v>
      </c>
      <c r="M851" s="4" t="str">
        <f t="shared" si="52"/>
        <v>miércoles</v>
      </c>
      <c r="N851" s="4" t="str">
        <f t="shared" si="53"/>
        <v>junio</v>
      </c>
      <c r="O851" s="4" t="str">
        <f t="shared" si="54"/>
        <v>NO</v>
      </c>
      <c r="P851" s="4" t="str">
        <f t="shared" si="55"/>
        <v>NO</v>
      </c>
      <c r="Q851" s="4" t="str" cm="1">
        <f t="array" ref="Q851">_xlfn.IFS(AND(H851&gt;=0,H851&lt;=3333),"Grupo 1",AND(H851&gt;3333,H851&lt;=6666),"Grupo 2",AND(H851&gt;6666,H851&lt;=10000),"Grupo 3")</f>
        <v>Grupo 1</v>
      </c>
    </row>
    <row r="852" spans="1:17" x14ac:dyDescent="0.25">
      <c r="A852" t="s">
        <v>62</v>
      </c>
      <c r="B852" s="2">
        <v>45441.993055555547</v>
      </c>
      <c r="C852" t="s">
        <v>319</v>
      </c>
      <c r="D852" t="s">
        <v>214</v>
      </c>
      <c r="E852">
        <v>1</v>
      </c>
      <c r="F852">
        <v>1083.8599999999999</v>
      </c>
      <c r="G852" t="s">
        <v>222</v>
      </c>
      <c r="H852">
        <v>1083.8599999999999</v>
      </c>
      <c r="I852">
        <v>2024</v>
      </c>
      <c r="J852">
        <v>5</v>
      </c>
      <c r="K852">
        <v>23</v>
      </c>
      <c r="L852" s="14">
        <v>1083.8599999999999</v>
      </c>
      <c r="M852" s="4" t="str">
        <f t="shared" si="52"/>
        <v>miércoles</v>
      </c>
      <c r="N852" s="4" t="str">
        <f t="shared" si="53"/>
        <v>mayo</v>
      </c>
      <c r="O852" s="4" t="str">
        <f t="shared" si="54"/>
        <v>NO</v>
      </c>
      <c r="P852" s="4" t="str">
        <f t="shared" si="55"/>
        <v>SI</v>
      </c>
      <c r="Q852" s="4" t="str" cm="1">
        <f t="array" ref="Q852">_xlfn.IFS(AND(H852&gt;=0,H852&lt;=3333),"Grupo 1",AND(H852&gt;3333,H852&lt;=6666),"Grupo 2",AND(H852&gt;6666,H852&lt;=10000),"Grupo 3")</f>
        <v>Grupo 1</v>
      </c>
    </row>
    <row r="853" spans="1:17" x14ac:dyDescent="0.25">
      <c r="A853" t="s">
        <v>63</v>
      </c>
      <c r="B853" s="2">
        <v>45180.999305555553</v>
      </c>
      <c r="C853" t="s">
        <v>320</v>
      </c>
      <c r="D853" t="s">
        <v>212</v>
      </c>
      <c r="E853">
        <v>2</v>
      </c>
      <c r="F853">
        <v>1551.85</v>
      </c>
      <c r="G853" t="s">
        <v>220</v>
      </c>
      <c r="H853">
        <v>3103.7</v>
      </c>
      <c r="I853">
        <v>2023</v>
      </c>
      <c r="J853">
        <v>9</v>
      </c>
      <c r="K853">
        <v>23</v>
      </c>
      <c r="L853" s="14">
        <v>1551.85</v>
      </c>
      <c r="M853" s="4" t="str">
        <f t="shared" si="52"/>
        <v>lunes</v>
      </c>
      <c r="N853" s="4" t="str">
        <f t="shared" si="53"/>
        <v>septiembre</v>
      </c>
      <c r="O853" s="4" t="str">
        <f t="shared" si="54"/>
        <v>SI</v>
      </c>
      <c r="P853" s="4" t="str">
        <f t="shared" si="55"/>
        <v>SI</v>
      </c>
      <c r="Q853" s="4" t="str" cm="1">
        <f t="array" ref="Q853">_xlfn.IFS(AND(H853&gt;=0,H853&lt;=3333),"Grupo 1",AND(H853&gt;3333,H853&lt;=6666),"Grupo 2",AND(H853&gt;6666,H853&lt;=10000),"Grupo 3")</f>
        <v>Grupo 1</v>
      </c>
    </row>
    <row r="854" spans="1:17" x14ac:dyDescent="0.25">
      <c r="A854" t="s">
        <v>64</v>
      </c>
      <c r="B854" s="2">
        <v>45624.619444444441</v>
      </c>
      <c r="C854" t="s">
        <v>321</v>
      </c>
      <c r="D854" t="s">
        <v>217</v>
      </c>
      <c r="E854">
        <v>5</v>
      </c>
      <c r="F854">
        <v>1368.27</v>
      </c>
      <c r="G854" t="s">
        <v>220</v>
      </c>
      <c r="H854">
        <v>6841.35</v>
      </c>
      <c r="I854">
        <v>2024</v>
      </c>
      <c r="J854">
        <v>11</v>
      </c>
      <c r="K854">
        <v>14</v>
      </c>
      <c r="L854" s="14">
        <v>1368.27</v>
      </c>
      <c r="M854" s="4" t="str">
        <f t="shared" si="52"/>
        <v>jueves</v>
      </c>
      <c r="N854" s="4" t="str">
        <f t="shared" si="53"/>
        <v>noviembre</v>
      </c>
      <c r="O854" s="4" t="str">
        <f t="shared" si="54"/>
        <v>SI</v>
      </c>
      <c r="P854" s="4" t="str">
        <f t="shared" si="55"/>
        <v>SI</v>
      </c>
      <c r="Q854" s="4" t="str" cm="1">
        <f t="array" ref="Q854">_xlfn.IFS(AND(H854&gt;=0,H854&lt;=3333),"Grupo 1",AND(H854&gt;3333,H854&lt;=6666),"Grupo 2",AND(H854&gt;6666,H854&lt;=10000),"Grupo 3")</f>
        <v>Grupo 3</v>
      </c>
    </row>
    <row r="855" spans="1:17" x14ac:dyDescent="0.25">
      <c r="A855" t="s">
        <v>65</v>
      </c>
      <c r="B855" s="2">
        <v>45447.955555555563</v>
      </c>
      <c r="C855" t="s">
        <v>322</v>
      </c>
      <c r="D855" t="s">
        <v>217</v>
      </c>
      <c r="E855">
        <v>4</v>
      </c>
      <c r="F855">
        <v>1818.88</v>
      </c>
      <c r="G855" t="s">
        <v>220</v>
      </c>
      <c r="H855">
        <v>7275.52</v>
      </c>
      <c r="I855">
        <v>2024</v>
      </c>
      <c r="J855">
        <v>6</v>
      </c>
      <c r="K855">
        <v>22</v>
      </c>
      <c r="L855" s="14">
        <v>1818.88</v>
      </c>
      <c r="M855" s="4" t="str">
        <f t="shared" si="52"/>
        <v>martes</v>
      </c>
      <c r="N855" s="4" t="str">
        <f t="shared" si="53"/>
        <v>junio</v>
      </c>
      <c r="O855" s="4" t="str">
        <f t="shared" si="54"/>
        <v>SI</v>
      </c>
      <c r="P855" s="4" t="str">
        <f t="shared" si="55"/>
        <v>SI</v>
      </c>
      <c r="Q855" s="4" t="str" cm="1">
        <f t="array" ref="Q855">_xlfn.IFS(AND(H855&gt;=0,H855&lt;=3333),"Grupo 1",AND(H855&gt;3333,H855&lt;=6666),"Grupo 2",AND(H855&gt;6666,H855&lt;=10000),"Grupo 3")</f>
        <v>Grupo 3</v>
      </c>
    </row>
    <row r="856" spans="1:17" x14ac:dyDescent="0.25">
      <c r="A856" t="s">
        <v>66</v>
      </c>
      <c r="B856" s="2">
        <v>45051.74722222222</v>
      </c>
      <c r="C856" t="s">
        <v>323</v>
      </c>
      <c r="D856" t="s">
        <v>218</v>
      </c>
      <c r="E856">
        <v>4</v>
      </c>
      <c r="F856">
        <v>1601.32</v>
      </c>
      <c r="G856" t="s">
        <v>221</v>
      </c>
      <c r="H856">
        <v>6405.28</v>
      </c>
      <c r="I856">
        <v>2023</v>
      </c>
      <c r="J856">
        <v>5</v>
      </c>
      <c r="K856">
        <v>17</v>
      </c>
      <c r="L856" s="14">
        <v>1601.32</v>
      </c>
      <c r="M856" s="4" t="str">
        <f t="shared" si="52"/>
        <v>viernes</v>
      </c>
      <c r="N856" s="4" t="str">
        <f t="shared" si="53"/>
        <v>mayo</v>
      </c>
      <c r="O856" s="4" t="str">
        <f t="shared" si="54"/>
        <v>SI</v>
      </c>
      <c r="P856" s="4" t="str">
        <f t="shared" si="55"/>
        <v>SI</v>
      </c>
      <c r="Q856" s="4" t="str" cm="1">
        <f t="array" ref="Q856">_xlfn.IFS(AND(H856&gt;=0,H856&lt;=3333),"Grupo 1",AND(H856&gt;3333,H856&lt;=6666),"Grupo 2",AND(H856&gt;6666,H856&lt;=10000),"Grupo 3")</f>
        <v>Grupo 2</v>
      </c>
    </row>
    <row r="857" spans="1:17" x14ac:dyDescent="0.25">
      <c r="A857" t="s">
        <v>67</v>
      </c>
      <c r="B857" s="2">
        <v>45019.26666666667</v>
      </c>
      <c r="C857" t="s">
        <v>324</v>
      </c>
      <c r="D857" t="s">
        <v>213</v>
      </c>
      <c r="E857">
        <v>4</v>
      </c>
      <c r="F857">
        <v>177.79</v>
      </c>
      <c r="G857" t="s">
        <v>221</v>
      </c>
      <c r="H857">
        <v>711.16</v>
      </c>
      <c r="I857">
        <v>2023</v>
      </c>
      <c r="J857">
        <v>4</v>
      </c>
      <c r="K857">
        <v>6</v>
      </c>
      <c r="L857" s="14">
        <v>177.79</v>
      </c>
      <c r="M857" s="4" t="str">
        <f t="shared" si="52"/>
        <v>lunes</v>
      </c>
      <c r="N857" s="4" t="str">
        <f t="shared" si="53"/>
        <v>abril</v>
      </c>
      <c r="O857" s="4" t="str">
        <f t="shared" si="54"/>
        <v>NO</v>
      </c>
      <c r="P857" s="4" t="str">
        <f t="shared" si="55"/>
        <v>NO</v>
      </c>
      <c r="Q857" s="4" t="str" cm="1">
        <f t="array" ref="Q857">_xlfn.IFS(AND(H857&gt;=0,H857&lt;=3333),"Grupo 1",AND(H857&gt;3333,H857&lt;=6666),"Grupo 2",AND(H857&gt;6666,H857&lt;=10000),"Grupo 3")</f>
        <v>Grupo 1</v>
      </c>
    </row>
    <row r="858" spans="1:17" x14ac:dyDescent="0.25">
      <c r="A858" t="s">
        <v>68</v>
      </c>
      <c r="B858" s="2">
        <v>44969.094444444447</v>
      </c>
      <c r="C858" t="s">
        <v>325</v>
      </c>
      <c r="D858" t="s">
        <v>213</v>
      </c>
      <c r="E858">
        <v>1</v>
      </c>
      <c r="F858">
        <v>83.48</v>
      </c>
      <c r="G858" t="s">
        <v>221</v>
      </c>
      <c r="H858">
        <v>83.48</v>
      </c>
      <c r="I858">
        <v>2023</v>
      </c>
      <c r="J858">
        <v>2</v>
      </c>
      <c r="K858">
        <v>2</v>
      </c>
      <c r="L858" s="14">
        <v>83.48</v>
      </c>
      <c r="M858" s="4" t="str">
        <f t="shared" si="52"/>
        <v>domingo</v>
      </c>
      <c r="N858" s="4" t="str">
        <f t="shared" si="53"/>
        <v>febrero</v>
      </c>
      <c r="O858" s="4" t="str">
        <f t="shared" si="54"/>
        <v>NO</v>
      </c>
      <c r="P858" s="4" t="str">
        <f t="shared" si="55"/>
        <v>NO</v>
      </c>
      <c r="Q858" s="4" t="str" cm="1">
        <f t="array" ref="Q858">_xlfn.IFS(AND(H858&gt;=0,H858&lt;=3333),"Grupo 1",AND(H858&gt;3333,H858&lt;=6666),"Grupo 2",AND(H858&gt;6666,H858&lt;=10000),"Grupo 3")</f>
        <v>Grupo 1</v>
      </c>
    </row>
    <row r="859" spans="1:17" x14ac:dyDescent="0.25">
      <c r="A859" t="s">
        <v>69</v>
      </c>
      <c r="B859" s="2">
        <v>45091.519444444442</v>
      </c>
      <c r="C859" t="s">
        <v>326</v>
      </c>
      <c r="D859" t="s">
        <v>219</v>
      </c>
      <c r="E859">
        <v>1</v>
      </c>
      <c r="F859">
        <v>1372.72</v>
      </c>
      <c r="G859" t="s">
        <v>221</v>
      </c>
      <c r="H859">
        <v>1372.72</v>
      </c>
      <c r="I859">
        <v>2023</v>
      </c>
      <c r="J859">
        <v>6</v>
      </c>
      <c r="K859">
        <v>12</v>
      </c>
      <c r="L859" s="14">
        <v>1372.72</v>
      </c>
      <c r="M859" s="4" t="str">
        <f t="shared" si="52"/>
        <v>miércoles</v>
      </c>
      <c r="N859" s="4" t="str">
        <f t="shared" si="53"/>
        <v>junio</v>
      </c>
      <c r="O859" s="4" t="str">
        <f t="shared" si="54"/>
        <v>NO</v>
      </c>
      <c r="P859" s="4" t="str">
        <f t="shared" si="55"/>
        <v>SI</v>
      </c>
      <c r="Q859" s="4" t="str" cm="1">
        <f t="array" ref="Q859">_xlfn.IFS(AND(H859&gt;=0,H859&lt;=3333),"Grupo 1",AND(H859&gt;3333,H859&lt;=6666),"Grupo 2",AND(H859&gt;6666,H859&lt;=10000),"Grupo 3")</f>
        <v>Grupo 1</v>
      </c>
    </row>
    <row r="860" spans="1:17" x14ac:dyDescent="0.25">
      <c r="A860" t="s">
        <v>70</v>
      </c>
      <c r="B860" s="2">
        <v>45494</v>
      </c>
      <c r="C860" t="s">
        <v>327</v>
      </c>
      <c r="D860" t="s">
        <v>212</v>
      </c>
      <c r="E860">
        <v>1</v>
      </c>
      <c r="F860">
        <v>1618.91</v>
      </c>
      <c r="G860" t="s">
        <v>220</v>
      </c>
      <c r="H860">
        <v>1618.91</v>
      </c>
      <c r="I860">
        <v>2024</v>
      </c>
      <c r="J860">
        <v>7</v>
      </c>
      <c r="K860">
        <v>0</v>
      </c>
      <c r="L860" s="14">
        <v>1618.91</v>
      </c>
      <c r="M860" s="4" t="str">
        <f t="shared" si="52"/>
        <v>domingo</v>
      </c>
      <c r="N860" s="4" t="str">
        <f t="shared" si="53"/>
        <v>julio</v>
      </c>
      <c r="O860" s="4" t="str">
        <f t="shared" si="54"/>
        <v>NO</v>
      </c>
      <c r="P860" s="4" t="str">
        <f t="shared" si="55"/>
        <v>SI</v>
      </c>
      <c r="Q860" s="4" t="str" cm="1">
        <f t="array" ref="Q860">_xlfn.IFS(AND(H860&gt;=0,H860&lt;=3333),"Grupo 1",AND(H860&gt;3333,H860&lt;=6666),"Grupo 2",AND(H860&gt;6666,H860&lt;=10000),"Grupo 3")</f>
        <v>Grupo 1</v>
      </c>
    </row>
    <row r="861" spans="1:17" x14ac:dyDescent="0.25">
      <c r="A861" t="s">
        <v>71</v>
      </c>
      <c r="B861" s="2">
        <v>45364.463194444441</v>
      </c>
      <c r="C861" t="s">
        <v>328</v>
      </c>
      <c r="D861" t="s">
        <v>215</v>
      </c>
      <c r="E861">
        <v>4</v>
      </c>
      <c r="F861">
        <v>530.65</v>
      </c>
      <c r="G861" t="s">
        <v>220</v>
      </c>
      <c r="H861">
        <v>2122.6</v>
      </c>
      <c r="I861">
        <v>2024</v>
      </c>
      <c r="J861">
        <v>3</v>
      </c>
      <c r="K861">
        <v>11</v>
      </c>
      <c r="L861" s="14">
        <v>530.65</v>
      </c>
      <c r="M861" s="4" t="str">
        <f t="shared" si="52"/>
        <v>miércoles</v>
      </c>
      <c r="N861" s="4" t="str">
        <f t="shared" si="53"/>
        <v>marzo</v>
      </c>
      <c r="O861" s="4" t="str">
        <f t="shared" si="54"/>
        <v>NO</v>
      </c>
      <c r="P861" s="4" t="str">
        <f t="shared" si="55"/>
        <v>NO</v>
      </c>
      <c r="Q861" s="4" t="str" cm="1">
        <f t="array" ref="Q861">_xlfn.IFS(AND(H861&gt;=0,H861&lt;=3333),"Grupo 1",AND(H861&gt;3333,H861&lt;=6666),"Grupo 2",AND(H861&gt;6666,H861&lt;=10000),"Grupo 3")</f>
        <v>Grupo 1</v>
      </c>
    </row>
    <row r="862" spans="1:17" x14ac:dyDescent="0.25">
      <c r="A862" t="s">
        <v>72</v>
      </c>
      <c r="B862" s="2">
        <v>45583.023611111108</v>
      </c>
      <c r="C862" t="s">
        <v>329</v>
      </c>
      <c r="D862" t="s">
        <v>216</v>
      </c>
      <c r="E862">
        <v>5</v>
      </c>
      <c r="F862">
        <v>418.83</v>
      </c>
      <c r="G862" t="s">
        <v>221</v>
      </c>
      <c r="H862">
        <v>2094.15</v>
      </c>
      <c r="I862">
        <v>2024</v>
      </c>
      <c r="J862">
        <v>10</v>
      </c>
      <c r="K862">
        <v>0</v>
      </c>
      <c r="L862" s="14">
        <v>418.83</v>
      </c>
      <c r="M862" s="4" t="str">
        <f t="shared" si="52"/>
        <v>viernes</v>
      </c>
      <c r="N862" s="4" t="str">
        <f t="shared" si="53"/>
        <v>octubre</v>
      </c>
      <c r="O862" s="4" t="str">
        <f t="shared" si="54"/>
        <v>NO</v>
      </c>
      <c r="P862" s="4" t="str">
        <f t="shared" si="55"/>
        <v>NO</v>
      </c>
      <c r="Q862" s="4" t="str" cm="1">
        <f t="array" ref="Q862">_xlfn.IFS(AND(H862&gt;=0,H862&lt;=3333),"Grupo 1",AND(H862&gt;3333,H862&lt;=6666),"Grupo 2",AND(H862&gt;6666,H862&lt;=10000),"Grupo 3")</f>
        <v>Grupo 1</v>
      </c>
    </row>
    <row r="863" spans="1:17" x14ac:dyDescent="0.25">
      <c r="A863" t="s">
        <v>73</v>
      </c>
      <c r="B863" s="2">
        <v>45779.546527777777</v>
      </c>
      <c r="C863" t="s">
        <v>330</v>
      </c>
      <c r="D863" t="s">
        <v>214</v>
      </c>
      <c r="E863">
        <v>3</v>
      </c>
      <c r="F863">
        <v>664.98</v>
      </c>
      <c r="G863" t="s">
        <v>222</v>
      </c>
      <c r="H863">
        <v>1994.94</v>
      </c>
      <c r="I863">
        <v>2025</v>
      </c>
      <c r="J863">
        <v>5</v>
      </c>
      <c r="K863">
        <v>13</v>
      </c>
      <c r="L863" s="14">
        <v>664.98</v>
      </c>
      <c r="M863" s="4" t="str">
        <f t="shared" si="52"/>
        <v>viernes</v>
      </c>
      <c r="N863" s="4" t="str">
        <f t="shared" si="53"/>
        <v>mayo</v>
      </c>
      <c r="O863" s="4" t="str">
        <f t="shared" si="54"/>
        <v>NO</v>
      </c>
      <c r="P863" s="4" t="str">
        <f t="shared" si="55"/>
        <v>NO</v>
      </c>
      <c r="Q863" s="4" t="str" cm="1">
        <f t="array" ref="Q863">_xlfn.IFS(AND(H863&gt;=0,H863&lt;=3333),"Grupo 1",AND(H863&gt;3333,H863&lt;=6666),"Grupo 2",AND(H863&gt;6666,H863&lt;=10000),"Grupo 3")</f>
        <v>Grupo 1</v>
      </c>
    </row>
    <row r="864" spans="1:17" x14ac:dyDescent="0.25">
      <c r="A864" t="s">
        <v>74</v>
      </c>
      <c r="B864" s="2">
        <v>45516.480555555558</v>
      </c>
      <c r="C864" t="s">
        <v>331</v>
      </c>
      <c r="D864" t="s">
        <v>217</v>
      </c>
      <c r="E864">
        <v>1</v>
      </c>
      <c r="F864">
        <v>1322.41</v>
      </c>
      <c r="G864" t="s">
        <v>220</v>
      </c>
      <c r="H864">
        <v>1322.41</v>
      </c>
      <c r="I864">
        <v>2024</v>
      </c>
      <c r="J864">
        <v>8</v>
      </c>
      <c r="K864">
        <v>11</v>
      </c>
      <c r="L864" s="14">
        <v>1322.41</v>
      </c>
      <c r="M864" s="4" t="str">
        <f t="shared" si="52"/>
        <v>lunes</v>
      </c>
      <c r="N864" s="4" t="str">
        <f t="shared" si="53"/>
        <v>agosto</v>
      </c>
      <c r="O864" s="4" t="str">
        <f t="shared" si="54"/>
        <v>NO</v>
      </c>
      <c r="P864" s="4" t="str">
        <f t="shared" si="55"/>
        <v>SI</v>
      </c>
      <c r="Q864" s="4" t="str" cm="1">
        <f t="array" ref="Q864">_xlfn.IFS(AND(H864&gt;=0,H864&lt;=3333),"Grupo 1",AND(H864&gt;3333,H864&lt;=6666),"Grupo 2",AND(H864&gt;6666,H864&lt;=10000),"Grupo 3")</f>
        <v>Grupo 1</v>
      </c>
    </row>
    <row r="865" spans="1:17" x14ac:dyDescent="0.25">
      <c r="A865" t="s">
        <v>75</v>
      </c>
      <c r="B865" s="2">
        <v>45285.25277777778</v>
      </c>
      <c r="C865" t="s">
        <v>332</v>
      </c>
      <c r="D865" t="s">
        <v>212</v>
      </c>
      <c r="E865">
        <v>4</v>
      </c>
      <c r="F865">
        <v>1467.27</v>
      </c>
      <c r="G865" t="s">
        <v>220</v>
      </c>
      <c r="H865">
        <v>5869.08</v>
      </c>
      <c r="I865">
        <v>2023</v>
      </c>
      <c r="J865">
        <v>12</v>
      </c>
      <c r="K865">
        <v>6</v>
      </c>
      <c r="L865" s="14">
        <v>1467.27</v>
      </c>
      <c r="M865" s="4" t="str">
        <f t="shared" si="52"/>
        <v>lunes</v>
      </c>
      <c r="N865" s="4" t="str">
        <f t="shared" si="53"/>
        <v>diciembre</v>
      </c>
      <c r="O865" s="4" t="str">
        <f t="shared" si="54"/>
        <v>SI</v>
      </c>
      <c r="P865" s="4" t="str">
        <f t="shared" si="55"/>
        <v>SI</v>
      </c>
      <c r="Q865" s="4" t="str" cm="1">
        <f t="array" ref="Q865">_xlfn.IFS(AND(H865&gt;=0,H865&lt;=3333),"Grupo 1",AND(H865&gt;3333,H865&lt;=6666),"Grupo 2",AND(H865&gt;6666,H865&lt;=10000),"Grupo 3")</f>
        <v>Grupo 2</v>
      </c>
    </row>
    <row r="866" spans="1:17" x14ac:dyDescent="0.25">
      <c r="A866" t="s">
        <v>76</v>
      </c>
      <c r="B866" s="2">
        <v>45297.965277777781</v>
      </c>
      <c r="C866" t="s">
        <v>333</v>
      </c>
      <c r="D866" t="s">
        <v>215</v>
      </c>
      <c r="E866">
        <v>4</v>
      </c>
      <c r="F866">
        <v>1804.12</v>
      </c>
      <c r="G866" t="s">
        <v>220</v>
      </c>
      <c r="H866">
        <v>7216.48</v>
      </c>
      <c r="I866">
        <v>2024</v>
      </c>
      <c r="J866">
        <v>1</v>
      </c>
      <c r="K866">
        <v>23</v>
      </c>
      <c r="L866" s="14">
        <v>1804.12</v>
      </c>
      <c r="M866" s="4" t="str">
        <f t="shared" si="52"/>
        <v>sábado</v>
      </c>
      <c r="N866" s="4" t="str">
        <f t="shared" si="53"/>
        <v>enero</v>
      </c>
      <c r="O866" s="4" t="str">
        <f t="shared" si="54"/>
        <v>SI</v>
      </c>
      <c r="P866" s="4" t="str">
        <f t="shared" si="55"/>
        <v>SI</v>
      </c>
      <c r="Q866" s="4" t="str" cm="1">
        <f t="array" ref="Q866">_xlfn.IFS(AND(H866&gt;=0,H866&lt;=3333),"Grupo 1",AND(H866&gt;3333,H866&lt;=6666),"Grupo 2",AND(H866&gt;6666,H866&lt;=10000),"Grupo 3")</f>
        <v>Grupo 3</v>
      </c>
    </row>
    <row r="867" spans="1:17" x14ac:dyDescent="0.25">
      <c r="A867" t="s">
        <v>77</v>
      </c>
      <c r="B867" s="2">
        <v>45434.519444444442</v>
      </c>
      <c r="C867" t="s">
        <v>334</v>
      </c>
      <c r="D867" t="s">
        <v>219</v>
      </c>
      <c r="E867">
        <v>1</v>
      </c>
      <c r="F867">
        <v>1172.72</v>
      </c>
      <c r="G867" t="s">
        <v>221</v>
      </c>
      <c r="H867">
        <v>1172.72</v>
      </c>
      <c r="I867">
        <v>2024</v>
      </c>
      <c r="J867">
        <v>5</v>
      </c>
      <c r="K867">
        <v>12</v>
      </c>
      <c r="L867" s="14">
        <v>1172.72</v>
      </c>
      <c r="M867" s="4" t="str">
        <f t="shared" si="52"/>
        <v>miércoles</v>
      </c>
      <c r="N867" s="4" t="str">
        <f t="shared" si="53"/>
        <v>mayo</v>
      </c>
      <c r="O867" s="4" t="str">
        <f t="shared" si="54"/>
        <v>NO</v>
      </c>
      <c r="P867" s="4" t="str">
        <f t="shared" si="55"/>
        <v>SI</v>
      </c>
      <c r="Q867" s="4" t="str" cm="1">
        <f t="array" ref="Q867">_xlfn.IFS(AND(H867&gt;=0,H867&lt;=3333),"Grupo 1",AND(H867&gt;3333,H867&lt;=6666),"Grupo 2",AND(H867&gt;6666,H867&lt;=10000),"Grupo 3")</f>
        <v>Grupo 1</v>
      </c>
    </row>
    <row r="868" spans="1:17" x14ac:dyDescent="0.25">
      <c r="A868" t="s">
        <v>78</v>
      </c>
      <c r="B868" s="2">
        <v>45290.050694444442</v>
      </c>
      <c r="C868" t="s">
        <v>335</v>
      </c>
      <c r="D868" t="s">
        <v>218</v>
      </c>
      <c r="E868">
        <v>1</v>
      </c>
      <c r="F868">
        <v>725.07</v>
      </c>
      <c r="G868" t="s">
        <v>221</v>
      </c>
      <c r="H868">
        <v>725.07</v>
      </c>
      <c r="I868">
        <v>2023</v>
      </c>
      <c r="J868">
        <v>12</v>
      </c>
      <c r="K868">
        <v>1</v>
      </c>
      <c r="L868" s="14">
        <v>725.07</v>
      </c>
      <c r="M868" s="4" t="str">
        <f t="shared" si="52"/>
        <v>sábado</v>
      </c>
      <c r="N868" s="4" t="str">
        <f t="shared" si="53"/>
        <v>diciembre</v>
      </c>
      <c r="O868" s="4" t="str">
        <f t="shared" si="54"/>
        <v>NO</v>
      </c>
      <c r="P868" s="4" t="str">
        <f t="shared" si="55"/>
        <v>NO</v>
      </c>
      <c r="Q868" s="4" t="str" cm="1">
        <f t="array" ref="Q868">_xlfn.IFS(AND(H868&gt;=0,H868&lt;=3333),"Grupo 1",AND(H868&gt;3333,H868&lt;=6666),"Grupo 2",AND(H868&gt;6666,H868&lt;=10000),"Grupo 3")</f>
        <v>Grupo 1</v>
      </c>
    </row>
    <row r="869" spans="1:17" x14ac:dyDescent="0.25">
      <c r="A869" t="s">
        <v>79</v>
      </c>
      <c r="B869" s="2">
        <v>45684.334027777782</v>
      </c>
      <c r="C869" t="s">
        <v>336</v>
      </c>
      <c r="D869" t="s">
        <v>212</v>
      </c>
      <c r="E869">
        <v>5</v>
      </c>
      <c r="F869">
        <v>563.69000000000005</v>
      </c>
      <c r="G869" t="s">
        <v>220</v>
      </c>
      <c r="H869">
        <v>2818.45</v>
      </c>
      <c r="I869">
        <v>2025</v>
      </c>
      <c r="J869">
        <v>1</v>
      </c>
      <c r="K869">
        <v>8</v>
      </c>
      <c r="L869" s="14">
        <v>563.69000000000005</v>
      </c>
      <c r="M869" s="4" t="str">
        <f t="shared" si="52"/>
        <v>lunes</v>
      </c>
      <c r="N869" s="4" t="str">
        <f t="shared" si="53"/>
        <v>enero</v>
      </c>
      <c r="O869" s="4" t="str">
        <f t="shared" si="54"/>
        <v>NO</v>
      </c>
      <c r="P869" s="4" t="str">
        <f t="shared" si="55"/>
        <v>NO</v>
      </c>
      <c r="Q869" s="4" t="str" cm="1">
        <f t="array" ref="Q869">_xlfn.IFS(AND(H869&gt;=0,H869&lt;=3333),"Grupo 1",AND(H869&gt;3333,H869&lt;=6666),"Grupo 2",AND(H869&gt;6666,H869&lt;=10000),"Grupo 3")</f>
        <v>Grupo 1</v>
      </c>
    </row>
    <row r="870" spans="1:17" x14ac:dyDescent="0.25">
      <c r="A870" t="s">
        <v>80</v>
      </c>
      <c r="B870" s="2">
        <v>45222.202777777777</v>
      </c>
      <c r="C870" t="s">
        <v>337</v>
      </c>
      <c r="D870" t="s">
        <v>219</v>
      </c>
      <c r="E870">
        <v>5</v>
      </c>
      <c r="F870">
        <v>1547.41</v>
      </c>
      <c r="G870" t="s">
        <v>221</v>
      </c>
      <c r="H870">
        <v>7737.05</v>
      </c>
      <c r="I870">
        <v>2023</v>
      </c>
      <c r="J870">
        <v>10</v>
      </c>
      <c r="K870">
        <v>4</v>
      </c>
      <c r="L870" s="14">
        <v>1547.41</v>
      </c>
      <c r="M870" s="4" t="str">
        <f t="shared" si="52"/>
        <v>lunes</v>
      </c>
      <c r="N870" s="4" t="str">
        <f t="shared" si="53"/>
        <v>octubre</v>
      </c>
      <c r="O870" s="4" t="str">
        <f t="shared" si="54"/>
        <v>SI</v>
      </c>
      <c r="P870" s="4" t="str">
        <f t="shared" si="55"/>
        <v>SI</v>
      </c>
      <c r="Q870" s="4" t="str" cm="1">
        <f t="array" ref="Q870">_xlfn.IFS(AND(H870&gt;=0,H870&lt;=3333),"Grupo 1",AND(H870&gt;3333,H870&lt;=6666),"Grupo 2",AND(H870&gt;6666,H870&lt;=10000),"Grupo 3")</f>
        <v>Grupo 3</v>
      </c>
    </row>
    <row r="871" spans="1:17" x14ac:dyDescent="0.25">
      <c r="A871" t="s">
        <v>81</v>
      </c>
      <c r="B871" s="2">
        <v>45274.597916666673</v>
      </c>
      <c r="C871" t="s">
        <v>338</v>
      </c>
      <c r="D871" t="s">
        <v>216</v>
      </c>
      <c r="E871">
        <v>2</v>
      </c>
      <c r="F871">
        <v>1903.65</v>
      </c>
      <c r="G871" t="s">
        <v>221</v>
      </c>
      <c r="H871">
        <v>3807.3</v>
      </c>
      <c r="I871">
        <v>2023</v>
      </c>
      <c r="J871">
        <v>12</v>
      </c>
      <c r="K871">
        <v>14</v>
      </c>
      <c r="L871" s="14">
        <v>1903.65</v>
      </c>
      <c r="M871" s="4" t="str">
        <f t="shared" si="52"/>
        <v>jueves</v>
      </c>
      <c r="N871" s="4" t="str">
        <f t="shared" si="53"/>
        <v>diciembre</v>
      </c>
      <c r="O871" s="4" t="str">
        <f t="shared" si="54"/>
        <v>SI</v>
      </c>
      <c r="P871" s="4" t="str">
        <f t="shared" si="55"/>
        <v>SI</v>
      </c>
      <c r="Q871" s="4" t="str" cm="1">
        <f t="array" ref="Q871">_xlfn.IFS(AND(H871&gt;=0,H871&lt;=3333),"Grupo 1",AND(H871&gt;3333,H871&lt;=6666),"Grupo 2",AND(H871&gt;6666,H871&lt;=10000),"Grupo 3")</f>
        <v>Grupo 2</v>
      </c>
    </row>
    <row r="872" spans="1:17" x14ac:dyDescent="0.25">
      <c r="A872" t="s">
        <v>82</v>
      </c>
      <c r="B872" s="2">
        <v>45358.874305555553</v>
      </c>
      <c r="C872" t="s">
        <v>339</v>
      </c>
      <c r="D872" t="s">
        <v>215</v>
      </c>
      <c r="E872">
        <v>2</v>
      </c>
      <c r="F872">
        <v>1198.2</v>
      </c>
      <c r="G872" t="s">
        <v>220</v>
      </c>
      <c r="H872">
        <v>2396.4</v>
      </c>
      <c r="I872">
        <v>2024</v>
      </c>
      <c r="J872">
        <v>3</v>
      </c>
      <c r="K872">
        <v>20</v>
      </c>
      <c r="L872" s="14">
        <v>1198.2</v>
      </c>
      <c r="M872" s="4" t="str">
        <f t="shared" si="52"/>
        <v>jueves</v>
      </c>
      <c r="N872" s="4" t="str">
        <f t="shared" si="53"/>
        <v>marzo</v>
      </c>
      <c r="O872" s="4" t="str">
        <f t="shared" si="54"/>
        <v>NO</v>
      </c>
      <c r="P872" s="4" t="str">
        <f t="shared" si="55"/>
        <v>SI</v>
      </c>
      <c r="Q872" s="4" t="str" cm="1">
        <f t="array" ref="Q872">_xlfn.IFS(AND(H872&gt;=0,H872&lt;=3333),"Grupo 1",AND(H872&gt;3333,H872&lt;=6666),"Grupo 2",AND(H872&gt;6666,H872&lt;=10000),"Grupo 3")</f>
        <v>Grupo 1</v>
      </c>
    </row>
    <row r="873" spans="1:17" x14ac:dyDescent="0.25">
      <c r="A873" t="s">
        <v>83</v>
      </c>
      <c r="B873" s="2">
        <v>45850.171527777777</v>
      </c>
      <c r="C873" t="s">
        <v>340</v>
      </c>
      <c r="D873" t="s">
        <v>213</v>
      </c>
      <c r="E873">
        <v>3</v>
      </c>
      <c r="F873">
        <v>543.72</v>
      </c>
      <c r="G873" t="s">
        <v>221</v>
      </c>
      <c r="H873">
        <v>1631.16</v>
      </c>
      <c r="I873">
        <v>2025</v>
      </c>
      <c r="J873">
        <v>7</v>
      </c>
      <c r="K873">
        <v>4</v>
      </c>
      <c r="L873" s="14">
        <v>543.72</v>
      </c>
      <c r="M873" s="4" t="str">
        <f t="shared" si="52"/>
        <v>sábado</v>
      </c>
      <c r="N873" s="4" t="str">
        <f t="shared" si="53"/>
        <v>julio</v>
      </c>
      <c r="O873" s="4" t="str">
        <f t="shared" si="54"/>
        <v>NO</v>
      </c>
      <c r="P873" s="4" t="str">
        <f t="shared" si="55"/>
        <v>NO</v>
      </c>
      <c r="Q873" s="4" t="str" cm="1">
        <f t="array" ref="Q873">_xlfn.IFS(AND(H873&gt;=0,H873&lt;=3333),"Grupo 1",AND(H873&gt;3333,H873&lt;=6666),"Grupo 2",AND(H873&gt;6666,H873&lt;=10000),"Grupo 3")</f>
        <v>Grupo 1</v>
      </c>
    </row>
    <row r="874" spans="1:17" x14ac:dyDescent="0.25">
      <c r="A874" t="s">
        <v>84</v>
      </c>
      <c r="B874" s="2">
        <v>45041.884027777778</v>
      </c>
      <c r="C874" t="s">
        <v>341</v>
      </c>
      <c r="D874" t="s">
        <v>216</v>
      </c>
      <c r="E874">
        <v>2</v>
      </c>
      <c r="F874">
        <v>1449.53</v>
      </c>
      <c r="G874" t="s">
        <v>221</v>
      </c>
      <c r="H874">
        <v>2899.06</v>
      </c>
      <c r="I874">
        <v>2023</v>
      </c>
      <c r="J874">
        <v>4</v>
      </c>
      <c r="K874">
        <v>21</v>
      </c>
      <c r="L874" s="14">
        <v>1449.53</v>
      </c>
      <c r="M874" s="4" t="str">
        <f t="shared" si="52"/>
        <v>martes</v>
      </c>
      <c r="N874" s="4" t="str">
        <f t="shared" si="53"/>
        <v>abril</v>
      </c>
      <c r="O874" s="4" t="str">
        <f t="shared" si="54"/>
        <v>SI</v>
      </c>
      <c r="P874" s="4" t="str">
        <f t="shared" si="55"/>
        <v>SI</v>
      </c>
      <c r="Q874" s="4" t="str" cm="1">
        <f t="array" ref="Q874">_xlfn.IFS(AND(H874&gt;=0,H874&lt;=3333),"Grupo 1",AND(H874&gt;3333,H874&lt;=6666),"Grupo 2",AND(H874&gt;6666,H874&lt;=10000),"Grupo 3")</f>
        <v>Grupo 1</v>
      </c>
    </row>
    <row r="875" spans="1:17" x14ac:dyDescent="0.25">
      <c r="A875" t="s">
        <v>85</v>
      </c>
      <c r="B875" s="2">
        <v>45564.772916666669</v>
      </c>
      <c r="C875" t="s">
        <v>342</v>
      </c>
      <c r="D875" t="s">
        <v>214</v>
      </c>
      <c r="E875">
        <v>5</v>
      </c>
      <c r="F875">
        <v>472.42</v>
      </c>
      <c r="G875" t="s">
        <v>222</v>
      </c>
      <c r="H875">
        <v>2362.1</v>
      </c>
      <c r="I875">
        <v>2024</v>
      </c>
      <c r="J875">
        <v>9</v>
      </c>
      <c r="K875">
        <v>18</v>
      </c>
      <c r="L875" s="14">
        <v>472.42</v>
      </c>
      <c r="M875" s="4" t="str">
        <f t="shared" si="52"/>
        <v>domingo</v>
      </c>
      <c r="N875" s="4" t="str">
        <f t="shared" si="53"/>
        <v>septiembre</v>
      </c>
      <c r="O875" s="4" t="str">
        <f t="shared" si="54"/>
        <v>NO</v>
      </c>
      <c r="P875" s="4" t="str">
        <f t="shared" si="55"/>
        <v>NO</v>
      </c>
      <c r="Q875" s="4" t="str" cm="1">
        <f t="array" ref="Q875">_xlfn.IFS(AND(H875&gt;=0,H875&lt;=3333),"Grupo 1",AND(H875&gt;3333,H875&lt;=6666),"Grupo 2",AND(H875&gt;6666,H875&lt;=10000),"Grupo 3")</f>
        <v>Grupo 1</v>
      </c>
    </row>
    <row r="876" spans="1:17" x14ac:dyDescent="0.25">
      <c r="A876" t="s">
        <v>86</v>
      </c>
      <c r="B876" s="2">
        <v>45118.247916666667</v>
      </c>
      <c r="C876" t="s">
        <v>343</v>
      </c>
      <c r="D876" t="s">
        <v>219</v>
      </c>
      <c r="E876">
        <v>3</v>
      </c>
      <c r="F876">
        <v>367.9</v>
      </c>
      <c r="G876" t="s">
        <v>221</v>
      </c>
      <c r="H876">
        <v>1103.7</v>
      </c>
      <c r="I876">
        <v>2023</v>
      </c>
      <c r="J876">
        <v>7</v>
      </c>
      <c r="K876">
        <v>5</v>
      </c>
      <c r="L876" s="14">
        <v>367.89999999999992</v>
      </c>
      <c r="M876" s="4" t="str">
        <f t="shared" si="52"/>
        <v>martes</v>
      </c>
      <c r="N876" s="4" t="str">
        <f t="shared" si="53"/>
        <v>julio</v>
      </c>
      <c r="O876" s="4" t="str">
        <f t="shared" si="54"/>
        <v>NO</v>
      </c>
      <c r="P876" s="4" t="str">
        <f t="shared" si="55"/>
        <v>NO</v>
      </c>
      <c r="Q876" s="4" t="str" cm="1">
        <f t="array" ref="Q876">_xlfn.IFS(AND(H876&gt;=0,H876&lt;=3333),"Grupo 1",AND(H876&gt;3333,H876&lt;=6666),"Grupo 2",AND(H876&gt;6666,H876&lt;=10000),"Grupo 3")</f>
        <v>Grupo 1</v>
      </c>
    </row>
    <row r="877" spans="1:17" x14ac:dyDescent="0.25">
      <c r="A877" t="s">
        <v>87</v>
      </c>
      <c r="B877" s="2">
        <v>45717.986111111109</v>
      </c>
      <c r="C877" t="s">
        <v>344</v>
      </c>
      <c r="D877" t="s">
        <v>219</v>
      </c>
      <c r="E877">
        <v>5</v>
      </c>
      <c r="F877">
        <v>739.51</v>
      </c>
      <c r="G877" t="s">
        <v>221</v>
      </c>
      <c r="H877">
        <v>3697.55</v>
      </c>
      <c r="I877">
        <v>2025</v>
      </c>
      <c r="J877">
        <v>3</v>
      </c>
      <c r="K877">
        <v>23</v>
      </c>
      <c r="L877" s="14">
        <v>739.51</v>
      </c>
      <c r="M877" s="4" t="str">
        <f t="shared" si="52"/>
        <v>sábado</v>
      </c>
      <c r="N877" s="4" t="str">
        <f t="shared" si="53"/>
        <v>marzo</v>
      </c>
      <c r="O877" s="4" t="str">
        <f t="shared" si="54"/>
        <v>SI</v>
      </c>
      <c r="P877" s="4" t="str">
        <f t="shared" si="55"/>
        <v>NO</v>
      </c>
      <c r="Q877" s="4" t="str" cm="1">
        <f t="array" ref="Q877">_xlfn.IFS(AND(H877&gt;=0,H877&lt;=3333),"Grupo 1",AND(H877&gt;3333,H877&lt;=6666),"Grupo 2",AND(H877&gt;6666,H877&lt;=10000),"Grupo 3")</f>
        <v>Grupo 2</v>
      </c>
    </row>
    <row r="878" spans="1:17" x14ac:dyDescent="0.25">
      <c r="A878" t="s">
        <v>88</v>
      </c>
      <c r="B878" s="2">
        <v>45162.795138888891</v>
      </c>
      <c r="C878" t="s">
        <v>345</v>
      </c>
      <c r="D878" t="s">
        <v>217</v>
      </c>
      <c r="E878">
        <v>2</v>
      </c>
      <c r="F878">
        <v>1089.1300000000001</v>
      </c>
      <c r="G878" t="s">
        <v>220</v>
      </c>
      <c r="H878">
        <v>2178.2600000000002</v>
      </c>
      <c r="I878">
        <v>2023</v>
      </c>
      <c r="J878">
        <v>8</v>
      </c>
      <c r="K878">
        <v>19</v>
      </c>
      <c r="L878" s="14">
        <v>1089.1300000000001</v>
      </c>
      <c r="M878" s="4" t="str">
        <f t="shared" si="52"/>
        <v>jueves</v>
      </c>
      <c r="N878" s="4" t="str">
        <f t="shared" si="53"/>
        <v>agosto</v>
      </c>
      <c r="O878" s="4" t="str">
        <f t="shared" si="54"/>
        <v>NO</v>
      </c>
      <c r="P878" s="4" t="str">
        <f t="shared" si="55"/>
        <v>SI</v>
      </c>
      <c r="Q878" s="4" t="str" cm="1">
        <f t="array" ref="Q878">_xlfn.IFS(AND(H878&gt;=0,H878&lt;=3333),"Grupo 1",AND(H878&gt;3333,H878&lt;=6666),"Grupo 2",AND(H878&gt;6666,H878&lt;=10000),"Grupo 3")</f>
        <v>Grupo 1</v>
      </c>
    </row>
    <row r="879" spans="1:17" x14ac:dyDescent="0.25">
      <c r="A879" t="s">
        <v>89</v>
      </c>
      <c r="B879" s="2">
        <v>45517.353472222218</v>
      </c>
      <c r="C879" t="s">
        <v>346</v>
      </c>
      <c r="D879" t="s">
        <v>216</v>
      </c>
      <c r="E879">
        <v>5</v>
      </c>
      <c r="F879">
        <v>1632.75</v>
      </c>
      <c r="G879" t="s">
        <v>221</v>
      </c>
      <c r="H879">
        <v>8163.75</v>
      </c>
      <c r="I879">
        <v>2024</v>
      </c>
      <c r="J879">
        <v>8</v>
      </c>
      <c r="K879">
        <v>8</v>
      </c>
      <c r="L879" s="14">
        <v>1632.75</v>
      </c>
      <c r="M879" s="4" t="str">
        <f t="shared" si="52"/>
        <v>martes</v>
      </c>
      <c r="N879" s="4" t="str">
        <f t="shared" si="53"/>
        <v>agosto</v>
      </c>
      <c r="O879" s="4" t="str">
        <f t="shared" si="54"/>
        <v>SI</v>
      </c>
      <c r="P879" s="4" t="str">
        <f t="shared" si="55"/>
        <v>SI</v>
      </c>
      <c r="Q879" s="4" t="str" cm="1">
        <f t="array" ref="Q879">_xlfn.IFS(AND(H879&gt;=0,H879&lt;=3333),"Grupo 1",AND(H879&gt;3333,H879&lt;=6666),"Grupo 2",AND(H879&gt;6666,H879&lt;=10000),"Grupo 3")</f>
        <v>Grupo 3</v>
      </c>
    </row>
    <row r="880" spans="1:17" x14ac:dyDescent="0.25">
      <c r="A880" t="s">
        <v>90</v>
      </c>
      <c r="B880" s="2">
        <v>45245.664583333331</v>
      </c>
      <c r="C880" t="s">
        <v>347</v>
      </c>
      <c r="D880" t="s">
        <v>212</v>
      </c>
      <c r="E880">
        <v>3</v>
      </c>
      <c r="F880">
        <v>817.35</v>
      </c>
      <c r="G880" t="s">
        <v>220</v>
      </c>
      <c r="H880">
        <v>2452.0500000000002</v>
      </c>
      <c r="I880">
        <v>2023</v>
      </c>
      <c r="J880">
        <v>11</v>
      </c>
      <c r="K880">
        <v>15</v>
      </c>
      <c r="L880" s="14">
        <v>817.35</v>
      </c>
      <c r="M880" s="4" t="str">
        <f t="shared" si="52"/>
        <v>miércoles</v>
      </c>
      <c r="N880" s="4" t="str">
        <f t="shared" si="53"/>
        <v>noviembre</v>
      </c>
      <c r="O880" s="4" t="str">
        <f t="shared" si="54"/>
        <v>NO</v>
      </c>
      <c r="P880" s="4" t="str">
        <f t="shared" si="55"/>
        <v>NO</v>
      </c>
      <c r="Q880" s="4" t="str" cm="1">
        <f t="array" ref="Q880">_xlfn.IFS(AND(H880&gt;=0,H880&lt;=3333),"Grupo 1",AND(H880&gt;3333,H880&lt;=6666),"Grupo 2",AND(H880&gt;6666,H880&lt;=10000),"Grupo 3")</f>
        <v>Grupo 1</v>
      </c>
    </row>
    <row r="881" spans="1:17" x14ac:dyDescent="0.25">
      <c r="A881" t="s">
        <v>91</v>
      </c>
      <c r="B881" s="2">
        <v>45603.368055555547</v>
      </c>
      <c r="C881" t="s">
        <v>348</v>
      </c>
      <c r="D881" t="s">
        <v>213</v>
      </c>
      <c r="E881">
        <v>2</v>
      </c>
      <c r="F881">
        <v>1186.58</v>
      </c>
      <c r="G881" t="s">
        <v>221</v>
      </c>
      <c r="H881">
        <v>2373.16</v>
      </c>
      <c r="I881">
        <v>2024</v>
      </c>
      <c r="J881">
        <v>11</v>
      </c>
      <c r="K881">
        <v>8</v>
      </c>
      <c r="L881" s="14">
        <v>1186.58</v>
      </c>
      <c r="M881" s="4" t="str">
        <f t="shared" si="52"/>
        <v>jueves</v>
      </c>
      <c r="N881" s="4" t="str">
        <f t="shared" si="53"/>
        <v>noviembre</v>
      </c>
      <c r="O881" s="4" t="str">
        <f t="shared" si="54"/>
        <v>NO</v>
      </c>
      <c r="P881" s="4" t="str">
        <f t="shared" si="55"/>
        <v>SI</v>
      </c>
      <c r="Q881" s="4" t="str" cm="1">
        <f t="array" ref="Q881">_xlfn.IFS(AND(H881&gt;=0,H881&lt;=3333),"Grupo 1",AND(H881&gt;3333,H881&lt;=6666),"Grupo 2",AND(H881&gt;6666,H881&lt;=10000),"Grupo 3")</f>
        <v>Grupo 1</v>
      </c>
    </row>
    <row r="882" spans="1:17" x14ac:dyDescent="0.25">
      <c r="A882" t="s">
        <v>92</v>
      </c>
      <c r="B882" s="2">
        <v>44990.597916666673</v>
      </c>
      <c r="C882" t="s">
        <v>349</v>
      </c>
      <c r="D882" t="s">
        <v>215</v>
      </c>
      <c r="E882">
        <v>2</v>
      </c>
      <c r="F882">
        <v>1872.8</v>
      </c>
      <c r="G882" t="s">
        <v>220</v>
      </c>
      <c r="H882">
        <v>3745.6</v>
      </c>
      <c r="I882">
        <v>2023</v>
      </c>
      <c r="J882">
        <v>3</v>
      </c>
      <c r="K882">
        <v>14</v>
      </c>
      <c r="L882" s="14">
        <v>1872.8</v>
      </c>
      <c r="M882" s="4" t="str">
        <f t="shared" si="52"/>
        <v>domingo</v>
      </c>
      <c r="N882" s="4" t="str">
        <f t="shared" si="53"/>
        <v>marzo</v>
      </c>
      <c r="O882" s="4" t="str">
        <f t="shared" si="54"/>
        <v>SI</v>
      </c>
      <c r="P882" s="4" t="str">
        <f t="shared" si="55"/>
        <v>SI</v>
      </c>
      <c r="Q882" s="4" t="str" cm="1">
        <f t="array" ref="Q882">_xlfn.IFS(AND(H882&gt;=0,H882&lt;=3333),"Grupo 1",AND(H882&gt;3333,H882&lt;=6666),"Grupo 2",AND(H882&gt;6666,H882&lt;=10000),"Grupo 3")</f>
        <v>Grupo 2</v>
      </c>
    </row>
    <row r="883" spans="1:17" x14ac:dyDescent="0.25">
      <c r="A883" t="s">
        <v>93</v>
      </c>
      <c r="B883" s="2">
        <v>45273.106249999997</v>
      </c>
      <c r="C883" t="s">
        <v>350</v>
      </c>
      <c r="D883" t="s">
        <v>214</v>
      </c>
      <c r="E883">
        <v>3</v>
      </c>
      <c r="F883">
        <v>680.19</v>
      </c>
      <c r="G883" t="s">
        <v>222</v>
      </c>
      <c r="H883">
        <v>2040.57</v>
      </c>
      <c r="I883">
        <v>2023</v>
      </c>
      <c r="J883">
        <v>12</v>
      </c>
      <c r="K883">
        <v>2</v>
      </c>
      <c r="L883" s="14">
        <v>680.19</v>
      </c>
      <c r="M883" s="4" t="str">
        <f t="shared" si="52"/>
        <v>miércoles</v>
      </c>
      <c r="N883" s="4" t="str">
        <f t="shared" si="53"/>
        <v>diciembre</v>
      </c>
      <c r="O883" s="4" t="str">
        <f t="shared" si="54"/>
        <v>NO</v>
      </c>
      <c r="P883" s="4" t="str">
        <f t="shared" si="55"/>
        <v>NO</v>
      </c>
      <c r="Q883" s="4" t="str" cm="1">
        <f t="array" ref="Q883">_xlfn.IFS(AND(H883&gt;=0,H883&lt;=3333),"Grupo 1",AND(H883&gt;3333,H883&lt;=6666),"Grupo 2",AND(H883&gt;6666,H883&lt;=10000),"Grupo 3")</f>
        <v>Grupo 1</v>
      </c>
    </row>
    <row r="884" spans="1:17" x14ac:dyDescent="0.25">
      <c r="A884" t="s">
        <v>94</v>
      </c>
      <c r="B884" s="2">
        <v>45022.271527777782</v>
      </c>
      <c r="C884" t="s">
        <v>351</v>
      </c>
      <c r="D884" t="s">
        <v>216</v>
      </c>
      <c r="E884">
        <v>4</v>
      </c>
      <c r="F884">
        <v>262.82</v>
      </c>
      <c r="G884" t="s">
        <v>221</v>
      </c>
      <c r="H884">
        <v>1051.28</v>
      </c>
      <c r="I884">
        <v>2023</v>
      </c>
      <c r="J884">
        <v>4</v>
      </c>
      <c r="K884">
        <v>6</v>
      </c>
      <c r="L884" s="14">
        <v>262.82</v>
      </c>
      <c r="M884" s="4" t="str">
        <f t="shared" si="52"/>
        <v>jueves</v>
      </c>
      <c r="N884" s="4" t="str">
        <f t="shared" si="53"/>
        <v>abril</v>
      </c>
      <c r="O884" s="4" t="str">
        <f t="shared" si="54"/>
        <v>NO</v>
      </c>
      <c r="P884" s="4" t="str">
        <f t="shared" si="55"/>
        <v>NO</v>
      </c>
      <c r="Q884" s="4" t="str" cm="1">
        <f t="array" ref="Q884">_xlfn.IFS(AND(H884&gt;=0,H884&lt;=3333),"Grupo 1",AND(H884&gt;3333,H884&lt;=6666),"Grupo 2",AND(H884&gt;6666,H884&lt;=10000),"Grupo 3")</f>
        <v>Grupo 1</v>
      </c>
    </row>
    <row r="885" spans="1:17" x14ac:dyDescent="0.25">
      <c r="A885" t="s">
        <v>95</v>
      </c>
      <c r="B885" s="2">
        <v>45682.68472222222</v>
      </c>
      <c r="C885" t="s">
        <v>352</v>
      </c>
      <c r="D885" t="s">
        <v>215</v>
      </c>
      <c r="E885">
        <v>4</v>
      </c>
      <c r="F885">
        <v>1531.75</v>
      </c>
      <c r="G885" t="s">
        <v>220</v>
      </c>
      <c r="H885">
        <v>6127</v>
      </c>
      <c r="I885">
        <v>2025</v>
      </c>
      <c r="J885">
        <v>1</v>
      </c>
      <c r="K885">
        <v>16</v>
      </c>
      <c r="L885" s="14">
        <v>1531.75</v>
      </c>
      <c r="M885" s="4" t="str">
        <f t="shared" si="52"/>
        <v>sábado</v>
      </c>
      <c r="N885" s="4" t="str">
        <f t="shared" si="53"/>
        <v>enero</v>
      </c>
      <c r="O885" s="4" t="str">
        <f t="shared" si="54"/>
        <v>SI</v>
      </c>
      <c r="P885" s="4" t="str">
        <f t="shared" si="55"/>
        <v>SI</v>
      </c>
      <c r="Q885" s="4" t="str" cm="1">
        <f t="array" ref="Q885">_xlfn.IFS(AND(H885&gt;=0,H885&lt;=3333),"Grupo 1",AND(H885&gt;3333,H885&lt;=6666),"Grupo 2",AND(H885&gt;6666,H885&lt;=10000),"Grupo 3")</f>
        <v>Grupo 2</v>
      </c>
    </row>
    <row r="886" spans="1:17" x14ac:dyDescent="0.25">
      <c r="A886" t="s">
        <v>96</v>
      </c>
      <c r="B886" s="2">
        <v>45099.143750000003</v>
      </c>
      <c r="C886" t="s">
        <v>353</v>
      </c>
      <c r="D886" t="s">
        <v>215</v>
      </c>
      <c r="E886">
        <v>1</v>
      </c>
      <c r="F886">
        <v>503.84</v>
      </c>
      <c r="G886" t="s">
        <v>220</v>
      </c>
      <c r="H886">
        <v>503.84</v>
      </c>
      <c r="I886">
        <v>2023</v>
      </c>
      <c r="J886">
        <v>6</v>
      </c>
      <c r="K886">
        <v>3</v>
      </c>
      <c r="L886" s="14">
        <v>503.84</v>
      </c>
      <c r="M886" s="4" t="str">
        <f t="shared" si="52"/>
        <v>jueves</v>
      </c>
      <c r="N886" s="4" t="str">
        <f t="shared" si="53"/>
        <v>junio</v>
      </c>
      <c r="O886" s="4" t="str">
        <f t="shared" si="54"/>
        <v>NO</v>
      </c>
      <c r="P886" s="4" t="str">
        <f t="shared" si="55"/>
        <v>NO</v>
      </c>
      <c r="Q886" s="4" t="str" cm="1">
        <f t="array" ref="Q886">_xlfn.IFS(AND(H886&gt;=0,H886&lt;=3333),"Grupo 1",AND(H886&gt;3333,H886&lt;=6666),"Grupo 2",AND(H886&gt;6666,H886&lt;=10000),"Grupo 3")</f>
        <v>Grupo 1</v>
      </c>
    </row>
    <row r="887" spans="1:17" x14ac:dyDescent="0.25">
      <c r="A887" t="s">
        <v>97</v>
      </c>
      <c r="B887" s="2">
        <v>45546.810416666667</v>
      </c>
      <c r="C887" t="s">
        <v>354</v>
      </c>
      <c r="D887" t="s">
        <v>217</v>
      </c>
      <c r="E887">
        <v>4</v>
      </c>
      <c r="F887">
        <v>1908.41</v>
      </c>
      <c r="G887" t="s">
        <v>220</v>
      </c>
      <c r="H887">
        <v>7633.64</v>
      </c>
      <c r="I887">
        <v>2024</v>
      </c>
      <c r="J887">
        <v>9</v>
      </c>
      <c r="K887">
        <v>19</v>
      </c>
      <c r="L887" s="14">
        <v>1908.41</v>
      </c>
      <c r="M887" s="4" t="str">
        <f t="shared" si="52"/>
        <v>miércoles</v>
      </c>
      <c r="N887" s="4" t="str">
        <f t="shared" si="53"/>
        <v>septiembre</v>
      </c>
      <c r="O887" s="4" t="str">
        <f t="shared" si="54"/>
        <v>SI</v>
      </c>
      <c r="P887" s="4" t="str">
        <f t="shared" si="55"/>
        <v>SI</v>
      </c>
      <c r="Q887" s="4" t="str" cm="1">
        <f t="array" ref="Q887">_xlfn.IFS(AND(H887&gt;=0,H887&lt;=3333),"Grupo 1",AND(H887&gt;3333,H887&lt;=6666),"Grupo 2",AND(H887&gt;6666,H887&lt;=10000),"Grupo 3")</f>
        <v>Grupo 3</v>
      </c>
    </row>
    <row r="888" spans="1:17" x14ac:dyDescent="0.25">
      <c r="A888" t="s">
        <v>98</v>
      </c>
      <c r="B888" s="2">
        <v>45451.106249999997</v>
      </c>
      <c r="C888" t="s">
        <v>355</v>
      </c>
      <c r="D888" t="s">
        <v>215</v>
      </c>
      <c r="E888">
        <v>2</v>
      </c>
      <c r="F888">
        <v>114.6</v>
      </c>
      <c r="G888" t="s">
        <v>220</v>
      </c>
      <c r="H888">
        <v>229.2</v>
      </c>
      <c r="I888">
        <v>2024</v>
      </c>
      <c r="J888">
        <v>6</v>
      </c>
      <c r="K888">
        <v>2</v>
      </c>
      <c r="L888" s="14">
        <v>114.6</v>
      </c>
      <c r="M888" s="4" t="str">
        <f t="shared" si="52"/>
        <v>sábado</v>
      </c>
      <c r="N888" s="4" t="str">
        <f t="shared" si="53"/>
        <v>junio</v>
      </c>
      <c r="O888" s="4" t="str">
        <f t="shared" si="54"/>
        <v>NO</v>
      </c>
      <c r="P888" s="4" t="str">
        <f t="shared" si="55"/>
        <v>NO</v>
      </c>
      <c r="Q888" s="4" t="str" cm="1">
        <f t="array" ref="Q888">_xlfn.IFS(AND(H888&gt;=0,H888&lt;=3333),"Grupo 1",AND(H888&gt;3333,H888&lt;=6666),"Grupo 2",AND(H888&gt;6666,H888&lt;=10000),"Grupo 3")</f>
        <v>Grupo 1</v>
      </c>
    </row>
    <row r="889" spans="1:17" x14ac:dyDescent="0.25">
      <c r="A889" t="s">
        <v>99</v>
      </c>
      <c r="B889" s="2">
        <v>45101.551388888889</v>
      </c>
      <c r="C889" t="s">
        <v>356</v>
      </c>
      <c r="D889" t="s">
        <v>215</v>
      </c>
      <c r="E889">
        <v>2</v>
      </c>
      <c r="F889">
        <v>595.78</v>
      </c>
      <c r="G889" t="s">
        <v>220</v>
      </c>
      <c r="H889">
        <v>1191.56</v>
      </c>
      <c r="I889">
        <v>2023</v>
      </c>
      <c r="J889">
        <v>6</v>
      </c>
      <c r="K889">
        <v>13</v>
      </c>
      <c r="L889" s="14">
        <v>595.78</v>
      </c>
      <c r="M889" s="4" t="str">
        <f t="shared" si="52"/>
        <v>sábado</v>
      </c>
      <c r="N889" s="4" t="str">
        <f t="shared" si="53"/>
        <v>junio</v>
      </c>
      <c r="O889" s="4" t="str">
        <f t="shared" si="54"/>
        <v>NO</v>
      </c>
      <c r="P889" s="4" t="str">
        <f t="shared" si="55"/>
        <v>NO</v>
      </c>
      <c r="Q889" s="4" t="str" cm="1">
        <f t="array" ref="Q889">_xlfn.IFS(AND(H889&gt;=0,H889&lt;=3333),"Grupo 1",AND(H889&gt;3333,H889&lt;=6666),"Grupo 2",AND(H889&gt;6666,H889&lt;=10000),"Grupo 3")</f>
        <v>Grupo 1</v>
      </c>
    </row>
    <row r="890" spans="1:17" x14ac:dyDescent="0.25">
      <c r="A890" t="s">
        <v>100</v>
      </c>
      <c r="B890" s="2">
        <v>45405.413194444453</v>
      </c>
      <c r="C890" t="s">
        <v>357</v>
      </c>
      <c r="D890" t="s">
        <v>217</v>
      </c>
      <c r="E890">
        <v>2</v>
      </c>
      <c r="F890">
        <v>75.02</v>
      </c>
      <c r="G890" t="s">
        <v>220</v>
      </c>
      <c r="H890">
        <v>150.04</v>
      </c>
      <c r="I890">
        <v>2024</v>
      </c>
      <c r="J890">
        <v>4</v>
      </c>
      <c r="K890">
        <v>9</v>
      </c>
      <c r="L890" s="14">
        <v>75.02</v>
      </c>
      <c r="M890" s="4" t="str">
        <f t="shared" si="52"/>
        <v>martes</v>
      </c>
      <c r="N890" s="4" t="str">
        <f t="shared" si="53"/>
        <v>abril</v>
      </c>
      <c r="O890" s="4" t="str">
        <f t="shared" si="54"/>
        <v>NO</v>
      </c>
      <c r="P890" s="4" t="str">
        <f t="shared" si="55"/>
        <v>NO</v>
      </c>
      <c r="Q890" s="4" t="str" cm="1">
        <f t="array" ref="Q890">_xlfn.IFS(AND(H890&gt;=0,H890&lt;=3333),"Grupo 1",AND(H890&gt;3333,H890&lt;=6666),"Grupo 2",AND(H890&gt;6666,H890&lt;=10000),"Grupo 3")</f>
        <v>Grupo 1</v>
      </c>
    </row>
    <row r="891" spans="1:17" x14ac:dyDescent="0.25">
      <c r="A891" t="s">
        <v>101</v>
      </c>
      <c r="B891" s="2">
        <v>45465.332638888889</v>
      </c>
      <c r="C891" t="s">
        <v>358</v>
      </c>
      <c r="D891" t="s">
        <v>216</v>
      </c>
      <c r="E891">
        <v>5</v>
      </c>
      <c r="F891">
        <v>540.91999999999996</v>
      </c>
      <c r="G891" t="s">
        <v>221</v>
      </c>
      <c r="H891">
        <v>2704.6</v>
      </c>
      <c r="I891">
        <v>2024</v>
      </c>
      <c r="J891">
        <v>6</v>
      </c>
      <c r="K891">
        <v>7</v>
      </c>
      <c r="L891" s="14">
        <v>540.91999999999996</v>
      </c>
      <c r="M891" s="4" t="str">
        <f t="shared" si="52"/>
        <v>sábado</v>
      </c>
      <c r="N891" s="4" t="str">
        <f t="shared" si="53"/>
        <v>junio</v>
      </c>
      <c r="O891" s="4" t="str">
        <f t="shared" si="54"/>
        <v>NO</v>
      </c>
      <c r="P891" s="4" t="str">
        <f t="shared" si="55"/>
        <v>NO</v>
      </c>
      <c r="Q891" s="4" t="str" cm="1">
        <f t="array" ref="Q891">_xlfn.IFS(AND(H891&gt;=0,H891&lt;=3333),"Grupo 1",AND(H891&gt;3333,H891&lt;=6666),"Grupo 2",AND(H891&gt;6666,H891&lt;=10000),"Grupo 3")</f>
        <v>Grupo 1</v>
      </c>
    </row>
    <row r="892" spans="1:17" x14ac:dyDescent="0.25">
      <c r="A892" t="s">
        <v>102</v>
      </c>
      <c r="B892" s="2">
        <v>45863.330555555563</v>
      </c>
      <c r="C892" t="s">
        <v>359</v>
      </c>
      <c r="D892" t="s">
        <v>212</v>
      </c>
      <c r="E892">
        <v>2</v>
      </c>
      <c r="F892">
        <v>356.91</v>
      </c>
      <c r="G892" t="s">
        <v>220</v>
      </c>
      <c r="H892">
        <v>713.82</v>
      </c>
      <c r="I892">
        <v>2025</v>
      </c>
      <c r="J892">
        <v>7</v>
      </c>
      <c r="K892">
        <v>7</v>
      </c>
      <c r="L892" s="14">
        <v>356.91</v>
      </c>
      <c r="M892" s="4" t="str">
        <f t="shared" si="52"/>
        <v>viernes</v>
      </c>
      <c r="N892" s="4" t="str">
        <f t="shared" si="53"/>
        <v>julio</v>
      </c>
      <c r="O892" s="4" t="str">
        <f t="shared" si="54"/>
        <v>NO</v>
      </c>
      <c r="P892" s="4" t="str">
        <f t="shared" si="55"/>
        <v>NO</v>
      </c>
      <c r="Q892" s="4" t="str" cm="1">
        <f t="array" ref="Q892">_xlfn.IFS(AND(H892&gt;=0,H892&lt;=3333),"Grupo 1",AND(H892&gt;3333,H892&lt;=6666),"Grupo 2",AND(H892&gt;6666,H892&lt;=10000),"Grupo 3")</f>
        <v>Grupo 1</v>
      </c>
    </row>
    <row r="893" spans="1:17" x14ac:dyDescent="0.25">
      <c r="A893" t="s">
        <v>103</v>
      </c>
      <c r="B893" s="2">
        <v>45727.712500000001</v>
      </c>
      <c r="C893" t="s">
        <v>261</v>
      </c>
      <c r="D893" t="s">
        <v>219</v>
      </c>
      <c r="E893">
        <v>3</v>
      </c>
      <c r="F893">
        <v>1135.67</v>
      </c>
      <c r="G893" t="s">
        <v>221</v>
      </c>
      <c r="H893">
        <v>3407.01</v>
      </c>
      <c r="I893">
        <v>2025</v>
      </c>
      <c r="J893">
        <v>3</v>
      </c>
      <c r="K893">
        <v>17</v>
      </c>
      <c r="L893" s="14">
        <v>1135.67</v>
      </c>
      <c r="M893" s="4" t="str">
        <f t="shared" si="52"/>
        <v>martes</v>
      </c>
      <c r="N893" s="4" t="str">
        <f t="shared" si="53"/>
        <v>marzo</v>
      </c>
      <c r="O893" s="4" t="str">
        <f t="shared" si="54"/>
        <v>SI</v>
      </c>
      <c r="P893" s="4" t="str">
        <f t="shared" si="55"/>
        <v>SI</v>
      </c>
      <c r="Q893" s="4" t="str" cm="1">
        <f t="array" ref="Q893">_xlfn.IFS(AND(H893&gt;=0,H893&lt;=3333),"Grupo 1",AND(H893&gt;3333,H893&lt;=6666),"Grupo 2",AND(H893&gt;6666,H893&lt;=10000),"Grupo 3")</f>
        <v>Grupo 2</v>
      </c>
    </row>
    <row r="894" spans="1:17" x14ac:dyDescent="0.25">
      <c r="A894" t="s">
        <v>104</v>
      </c>
      <c r="B894" s="2">
        <v>45676.398611111108</v>
      </c>
      <c r="C894" t="s">
        <v>262</v>
      </c>
      <c r="D894" t="s">
        <v>215</v>
      </c>
      <c r="E894">
        <v>3</v>
      </c>
      <c r="F894">
        <v>805.69</v>
      </c>
      <c r="G894" t="s">
        <v>220</v>
      </c>
      <c r="H894">
        <v>2417.0700000000002</v>
      </c>
      <c r="I894">
        <v>2025</v>
      </c>
      <c r="J894">
        <v>1</v>
      </c>
      <c r="K894">
        <v>9</v>
      </c>
      <c r="L894" s="14">
        <v>805.69</v>
      </c>
      <c r="M894" s="4" t="str">
        <f t="shared" si="52"/>
        <v>domingo</v>
      </c>
      <c r="N894" s="4" t="str">
        <f t="shared" si="53"/>
        <v>enero</v>
      </c>
      <c r="O894" s="4" t="str">
        <f t="shared" si="54"/>
        <v>NO</v>
      </c>
      <c r="P894" s="4" t="str">
        <f t="shared" si="55"/>
        <v>NO</v>
      </c>
      <c r="Q894" s="4" t="str" cm="1">
        <f t="array" ref="Q894">_xlfn.IFS(AND(H894&gt;=0,H894&lt;=3333),"Grupo 1",AND(H894&gt;3333,H894&lt;=6666),"Grupo 2",AND(H894&gt;6666,H894&lt;=10000),"Grupo 3")</f>
        <v>Grupo 1</v>
      </c>
    </row>
    <row r="895" spans="1:17" x14ac:dyDescent="0.25">
      <c r="A895" t="s">
        <v>105</v>
      </c>
      <c r="B895" s="2">
        <v>45289.026388888888</v>
      </c>
      <c r="C895" t="s">
        <v>263</v>
      </c>
      <c r="D895" t="s">
        <v>217</v>
      </c>
      <c r="E895">
        <v>2</v>
      </c>
      <c r="F895">
        <v>1259.07</v>
      </c>
      <c r="G895" t="s">
        <v>220</v>
      </c>
      <c r="H895">
        <v>2518.14</v>
      </c>
      <c r="I895">
        <v>2023</v>
      </c>
      <c r="J895">
        <v>12</v>
      </c>
      <c r="K895">
        <v>0</v>
      </c>
      <c r="L895" s="14">
        <v>1259.07</v>
      </c>
      <c r="M895" s="4" t="str">
        <f t="shared" si="52"/>
        <v>viernes</v>
      </c>
      <c r="N895" s="4" t="str">
        <f t="shared" si="53"/>
        <v>diciembre</v>
      </c>
      <c r="O895" s="4" t="str">
        <f t="shared" si="54"/>
        <v>NO</v>
      </c>
      <c r="P895" s="4" t="str">
        <f t="shared" si="55"/>
        <v>SI</v>
      </c>
      <c r="Q895" s="4" t="str" cm="1">
        <f t="array" ref="Q895">_xlfn.IFS(AND(H895&gt;=0,H895&lt;=3333),"Grupo 1",AND(H895&gt;3333,H895&lt;=6666),"Grupo 2",AND(H895&gt;6666,H895&lt;=10000),"Grupo 3")</f>
        <v>Grupo 1</v>
      </c>
    </row>
    <row r="896" spans="1:17" x14ac:dyDescent="0.25">
      <c r="A896" t="s">
        <v>106</v>
      </c>
      <c r="B896" s="2">
        <v>45473.418749999997</v>
      </c>
      <c r="C896" t="s">
        <v>264</v>
      </c>
      <c r="D896" t="s">
        <v>218</v>
      </c>
      <c r="E896">
        <v>3</v>
      </c>
      <c r="F896">
        <v>600.4</v>
      </c>
      <c r="G896" t="s">
        <v>221</v>
      </c>
      <c r="H896">
        <v>1801.2</v>
      </c>
      <c r="I896">
        <v>2024</v>
      </c>
      <c r="J896">
        <v>6</v>
      </c>
      <c r="K896">
        <v>10</v>
      </c>
      <c r="L896" s="14">
        <v>600.4</v>
      </c>
      <c r="M896" s="4" t="str">
        <f t="shared" si="52"/>
        <v>domingo</v>
      </c>
      <c r="N896" s="4" t="str">
        <f t="shared" si="53"/>
        <v>junio</v>
      </c>
      <c r="O896" s="4" t="str">
        <f t="shared" si="54"/>
        <v>NO</v>
      </c>
      <c r="P896" s="4" t="str">
        <f t="shared" si="55"/>
        <v>NO</v>
      </c>
      <c r="Q896" s="4" t="str" cm="1">
        <f t="array" ref="Q896">_xlfn.IFS(AND(H896&gt;=0,H896&lt;=3333),"Grupo 1",AND(H896&gt;3333,H896&lt;=6666),"Grupo 2",AND(H896&gt;6666,H896&lt;=10000),"Grupo 3")</f>
        <v>Grupo 1</v>
      </c>
    </row>
    <row r="897" spans="1:17" x14ac:dyDescent="0.25">
      <c r="A897" t="s">
        <v>107</v>
      </c>
      <c r="B897" s="2">
        <v>45499.757638888892</v>
      </c>
      <c r="C897" t="s">
        <v>265</v>
      </c>
      <c r="D897" t="s">
        <v>214</v>
      </c>
      <c r="E897">
        <v>2</v>
      </c>
      <c r="F897">
        <v>479.81</v>
      </c>
      <c r="G897" t="s">
        <v>222</v>
      </c>
      <c r="H897">
        <v>959.62</v>
      </c>
      <c r="I897">
        <v>2024</v>
      </c>
      <c r="J897">
        <v>7</v>
      </c>
      <c r="K897">
        <v>18</v>
      </c>
      <c r="L897" s="14">
        <v>479.81</v>
      </c>
      <c r="M897" s="4" t="str">
        <f t="shared" si="52"/>
        <v>viernes</v>
      </c>
      <c r="N897" s="4" t="str">
        <f t="shared" si="53"/>
        <v>julio</v>
      </c>
      <c r="O897" s="4" t="str">
        <f t="shared" si="54"/>
        <v>NO</v>
      </c>
      <c r="P897" s="4" t="str">
        <f t="shared" si="55"/>
        <v>NO</v>
      </c>
      <c r="Q897" s="4" t="str" cm="1">
        <f t="array" ref="Q897">_xlfn.IFS(AND(H897&gt;=0,H897&lt;=3333),"Grupo 1",AND(H897&gt;3333,H897&lt;=6666),"Grupo 2",AND(H897&gt;6666,H897&lt;=10000),"Grupo 3")</f>
        <v>Grupo 1</v>
      </c>
    </row>
    <row r="898" spans="1:17" x14ac:dyDescent="0.25">
      <c r="A898" t="s">
        <v>108</v>
      </c>
      <c r="B898" s="2">
        <v>45541.331250000003</v>
      </c>
      <c r="C898" t="s">
        <v>266</v>
      </c>
      <c r="D898" t="s">
        <v>216</v>
      </c>
      <c r="E898">
        <v>1</v>
      </c>
      <c r="F898">
        <v>1888.86</v>
      </c>
      <c r="G898" t="s">
        <v>221</v>
      </c>
      <c r="H898">
        <v>1888.86</v>
      </c>
      <c r="I898">
        <v>2024</v>
      </c>
      <c r="J898">
        <v>9</v>
      </c>
      <c r="K898">
        <v>7</v>
      </c>
      <c r="L898" s="14">
        <v>1888.86</v>
      </c>
      <c r="M898" s="4" t="str">
        <f t="shared" ref="M898:M961" si="56">TEXT(B898,"dddd")</f>
        <v>viernes</v>
      </c>
      <c r="N898" s="4" t="str">
        <f t="shared" ref="N898:N961" si="57">TEXT(B898,"mmmm")</f>
        <v>septiembre</v>
      </c>
      <c r="O898" s="4" t="str">
        <f t="shared" si="54"/>
        <v>NO</v>
      </c>
      <c r="P898" s="4" t="str">
        <f t="shared" si="55"/>
        <v>SI</v>
      </c>
      <c r="Q898" s="4" t="str" cm="1">
        <f t="array" ref="Q898">_xlfn.IFS(AND(H898&gt;=0,H898&lt;=3333),"Grupo 1",AND(H898&gt;3333,H898&lt;=6666),"Grupo 2",AND(H898&gt;6666,H898&lt;=10000),"Grupo 3")</f>
        <v>Grupo 1</v>
      </c>
    </row>
    <row r="899" spans="1:17" x14ac:dyDescent="0.25">
      <c r="A899" t="s">
        <v>109</v>
      </c>
      <c r="B899" s="2">
        <v>45542.574305555558</v>
      </c>
      <c r="C899" t="s">
        <v>267</v>
      </c>
      <c r="D899" t="s">
        <v>217</v>
      </c>
      <c r="E899">
        <v>4</v>
      </c>
      <c r="F899">
        <v>1821.05</v>
      </c>
      <c r="G899" t="s">
        <v>220</v>
      </c>
      <c r="H899">
        <v>7284.2</v>
      </c>
      <c r="I899">
        <v>2024</v>
      </c>
      <c r="J899">
        <v>9</v>
      </c>
      <c r="K899">
        <v>13</v>
      </c>
      <c r="L899" s="14">
        <v>1821.05</v>
      </c>
      <c r="M899" s="4" t="str">
        <f t="shared" si="56"/>
        <v>sábado</v>
      </c>
      <c r="N899" s="4" t="str">
        <f t="shared" si="57"/>
        <v>septiembre</v>
      </c>
      <c r="O899" s="4" t="str">
        <f t="shared" ref="O899:O962" si="58">IF(H899&gt;AVERAGE(H:H),"SI","NO")</f>
        <v>SI</v>
      </c>
      <c r="P899" s="4" t="str">
        <f t="shared" ref="P899:P962" si="59">IF(L899&gt;AVERAGE(L:L),"SI","NO")</f>
        <v>SI</v>
      </c>
      <c r="Q899" s="4" t="str" cm="1">
        <f t="array" ref="Q899">_xlfn.IFS(AND(H899&gt;=0,H899&lt;=3333),"Grupo 1",AND(H899&gt;3333,H899&lt;=6666),"Grupo 2",AND(H899&gt;6666,H899&lt;=10000),"Grupo 3")</f>
        <v>Grupo 3</v>
      </c>
    </row>
    <row r="900" spans="1:17" x14ac:dyDescent="0.25">
      <c r="A900" t="s">
        <v>110</v>
      </c>
      <c r="B900" s="2">
        <v>45846.336805555547</v>
      </c>
      <c r="C900" t="s">
        <v>268</v>
      </c>
      <c r="D900" t="s">
        <v>218</v>
      </c>
      <c r="E900">
        <v>3</v>
      </c>
      <c r="F900">
        <v>1537.23</v>
      </c>
      <c r="G900" t="s">
        <v>221</v>
      </c>
      <c r="H900">
        <v>4611.6900000000014</v>
      </c>
      <c r="I900">
        <v>2025</v>
      </c>
      <c r="J900">
        <v>7</v>
      </c>
      <c r="K900">
        <v>8</v>
      </c>
      <c r="L900" s="14">
        <v>1537.23</v>
      </c>
      <c r="M900" s="4" t="str">
        <f t="shared" si="56"/>
        <v>martes</v>
      </c>
      <c r="N900" s="4" t="str">
        <f t="shared" si="57"/>
        <v>julio</v>
      </c>
      <c r="O900" s="4" t="str">
        <f t="shared" si="58"/>
        <v>SI</v>
      </c>
      <c r="P900" s="4" t="str">
        <f t="shared" si="59"/>
        <v>SI</v>
      </c>
      <c r="Q900" s="4" t="str" cm="1">
        <f t="array" ref="Q900">_xlfn.IFS(AND(H900&gt;=0,H900&lt;=3333),"Grupo 1",AND(H900&gt;3333,H900&lt;=6666),"Grupo 2",AND(H900&gt;6666,H900&lt;=10000),"Grupo 3")</f>
        <v>Grupo 2</v>
      </c>
    </row>
    <row r="901" spans="1:17" x14ac:dyDescent="0.25">
      <c r="A901" t="s">
        <v>111</v>
      </c>
      <c r="B901" s="2">
        <v>45318.705555555563</v>
      </c>
      <c r="C901" t="s">
        <v>269</v>
      </c>
      <c r="D901" t="s">
        <v>214</v>
      </c>
      <c r="E901">
        <v>3</v>
      </c>
      <c r="F901">
        <v>311.66000000000003</v>
      </c>
      <c r="G901" t="s">
        <v>222</v>
      </c>
      <c r="H901">
        <v>934.98</v>
      </c>
      <c r="I901">
        <v>2024</v>
      </c>
      <c r="J901">
        <v>1</v>
      </c>
      <c r="K901">
        <v>16</v>
      </c>
      <c r="L901" s="14">
        <v>311.66000000000003</v>
      </c>
      <c r="M901" s="4" t="str">
        <f t="shared" si="56"/>
        <v>sábado</v>
      </c>
      <c r="N901" s="4" t="str">
        <f t="shared" si="57"/>
        <v>enero</v>
      </c>
      <c r="O901" s="4" t="str">
        <f t="shared" si="58"/>
        <v>NO</v>
      </c>
      <c r="P901" s="4" t="str">
        <f t="shared" si="59"/>
        <v>NO</v>
      </c>
      <c r="Q901" s="4" t="str" cm="1">
        <f t="array" ref="Q901">_xlfn.IFS(AND(H901&gt;=0,H901&lt;=3333),"Grupo 1",AND(H901&gt;3333,H901&lt;=6666),"Grupo 2",AND(H901&gt;6666,H901&lt;=10000),"Grupo 3")</f>
        <v>Grupo 1</v>
      </c>
    </row>
    <row r="902" spans="1:17" x14ac:dyDescent="0.25">
      <c r="A902" t="s">
        <v>112</v>
      </c>
      <c r="B902" s="2">
        <v>45595.668055555558</v>
      </c>
      <c r="C902" t="s">
        <v>270</v>
      </c>
      <c r="D902" t="s">
        <v>213</v>
      </c>
      <c r="E902">
        <v>5</v>
      </c>
      <c r="F902">
        <v>149.09</v>
      </c>
      <c r="G902" t="s">
        <v>221</v>
      </c>
      <c r="H902">
        <v>745.45</v>
      </c>
      <c r="I902">
        <v>2024</v>
      </c>
      <c r="J902">
        <v>10</v>
      </c>
      <c r="K902">
        <v>16</v>
      </c>
      <c r="L902" s="14">
        <v>149.09</v>
      </c>
      <c r="M902" s="4" t="str">
        <f t="shared" si="56"/>
        <v>miércoles</v>
      </c>
      <c r="N902" s="4" t="str">
        <f t="shared" si="57"/>
        <v>octubre</v>
      </c>
      <c r="O902" s="4" t="str">
        <f t="shared" si="58"/>
        <v>NO</v>
      </c>
      <c r="P902" s="4" t="str">
        <f t="shared" si="59"/>
        <v>NO</v>
      </c>
      <c r="Q902" s="4" t="str" cm="1">
        <f t="array" ref="Q902">_xlfn.IFS(AND(H902&gt;=0,H902&lt;=3333),"Grupo 1",AND(H902&gt;3333,H902&lt;=6666),"Grupo 2",AND(H902&gt;6666,H902&lt;=10000),"Grupo 3")</f>
        <v>Grupo 1</v>
      </c>
    </row>
    <row r="903" spans="1:17" x14ac:dyDescent="0.25">
      <c r="A903" t="s">
        <v>113</v>
      </c>
      <c r="B903" s="2">
        <v>44984.418055555558</v>
      </c>
      <c r="C903" t="s">
        <v>271</v>
      </c>
      <c r="D903" t="s">
        <v>217</v>
      </c>
      <c r="E903">
        <v>5</v>
      </c>
      <c r="F903">
        <v>1885.48</v>
      </c>
      <c r="G903" t="s">
        <v>220</v>
      </c>
      <c r="H903">
        <v>9427.4</v>
      </c>
      <c r="I903">
        <v>2023</v>
      </c>
      <c r="J903">
        <v>2</v>
      </c>
      <c r="K903">
        <v>10</v>
      </c>
      <c r="L903" s="14">
        <v>1885.48</v>
      </c>
      <c r="M903" s="4" t="str">
        <f t="shared" si="56"/>
        <v>lunes</v>
      </c>
      <c r="N903" s="4" t="str">
        <f t="shared" si="57"/>
        <v>febrero</v>
      </c>
      <c r="O903" s="4" t="str">
        <f t="shared" si="58"/>
        <v>SI</v>
      </c>
      <c r="P903" s="4" t="str">
        <f t="shared" si="59"/>
        <v>SI</v>
      </c>
      <c r="Q903" s="4" t="str" cm="1">
        <f t="array" ref="Q903">_xlfn.IFS(AND(H903&gt;=0,H903&lt;=3333),"Grupo 1",AND(H903&gt;3333,H903&lt;=6666),"Grupo 2",AND(H903&gt;6666,H903&lt;=10000),"Grupo 3")</f>
        <v>Grupo 3</v>
      </c>
    </row>
    <row r="904" spans="1:17" x14ac:dyDescent="0.25">
      <c r="A904" t="s">
        <v>114</v>
      </c>
      <c r="B904" s="2">
        <v>45153.455555555563</v>
      </c>
      <c r="C904" t="s">
        <v>272</v>
      </c>
      <c r="D904" t="s">
        <v>216</v>
      </c>
      <c r="E904">
        <v>3</v>
      </c>
      <c r="F904">
        <v>1591.92</v>
      </c>
      <c r="G904" t="s">
        <v>221</v>
      </c>
      <c r="H904">
        <v>4775.76</v>
      </c>
      <c r="I904">
        <v>2023</v>
      </c>
      <c r="J904">
        <v>8</v>
      </c>
      <c r="K904">
        <v>10</v>
      </c>
      <c r="L904" s="14">
        <v>1591.92</v>
      </c>
      <c r="M904" s="4" t="str">
        <f t="shared" si="56"/>
        <v>martes</v>
      </c>
      <c r="N904" s="4" t="str">
        <f t="shared" si="57"/>
        <v>agosto</v>
      </c>
      <c r="O904" s="4" t="str">
        <f t="shared" si="58"/>
        <v>SI</v>
      </c>
      <c r="P904" s="4" t="str">
        <f t="shared" si="59"/>
        <v>SI</v>
      </c>
      <c r="Q904" s="4" t="str" cm="1">
        <f t="array" ref="Q904">_xlfn.IFS(AND(H904&gt;=0,H904&lt;=3333),"Grupo 1",AND(H904&gt;3333,H904&lt;=6666),"Grupo 2",AND(H904&gt;6666,H904&lt;=10000),"Grupo 3")</f>
        <v>Grupo 2</v>
      </c>
    </row>
    <row r="905" spans="1:17" x14ac:dyDescent="0.25">
      <c r="A905" t="s">
        <v>115</v>
      </c>
      <c r="B905" s="2">
        <v>45919.24722222222</v>
      </c>
      <c r="C905" t="s">
        <v>273</v>
      </c>
      <c r="D905" t="s">
        <v>216</v>
      </c>
      <c r="E905">
        <v>5</v>
      </c>
      <c r="F905">
        <v>1383.33</v>
      </c>
      <c r="G905" t="s">
        <v>221</v>
      </c>
      <c r="H905">
        <v>6916.65</v>
      </c>
      <c r="I905">
        <v>2025</v>
      </c>
      <c r="J905">
        <v>9</v>
      </c>
      <c r="K905">
        <v>5</v>
      </c>
      <c r="L905" s="14">
        <v>1383.33</v>
      </c>
      <c r="M905" s="4" t="str">
        <f t="shared" si="56"/>
        <v>viernes</v>
      </c>
      <c r="N905" s="4" t="str">
        <f t="shared" si="57"/>
        <v>septiembre</v>
      </c>
      <c r="O905" s="4" t="str">
        <f t="shared" si="58"/>
        <v>SI</v>
      </c>
      <c r="P905" s="4" t="str">
        <f t="shared" si="59"/>
        <v>SI</v>
      </c>
      <c r="Q905" s="4" t="str" cm="1">
        <f t="array" ref="Q905">_xlfn.IFS(AND(H905&gt;=0,H905&lt;=3333),"Grupo 1",AND(H905&gt;3333,H905&lt;=6666),"Grupo 2",AND(H905&gt;6666,H905&lt;=10000),"Grupo 3")</f>
        <v>Grupo 3</v>
      </c>
    </row>
    <row r="906" spans="1:17" x14ac:dyDescent="0.25">
      <c r="A906" t="s">
        <v>116</v>
      </c>
      <c r="B906" s="2">
        <v>45815.543055555558</v>
      </c>
      <c r="C906" t="s">
        <v>274</v>
      </c>
      <c r="D906" t="s">
        <v>214</v>
      </c>
      <c r="E906">
        <v>2</v>
      </c>
      <c r="F906">
        <v>1051.23</v>
      </c>
      <c r="G906" t="s">
        <v>222</v>
      </c>
      <c r="H906">
        <v>2102.46</v>
      </c>
      <c r="I906">
        <v>2025</v>
      </c>
      <c r="J906">
        <v>6</v>
      </c>
      <c r="K906">
        <v>13</v>
      </c>
      <c r="L906" s="14">
        <v>1051.23</v>
      </c>
      <c r="M906" s="4" t="str">
        <f t="shared" si="56"/>
        <v>sábado</v>
      </c>
      <c r="N906" s="4" t="str">
        <f t="shared" si="57"/>
        <v>junio</v>
      </c>
      <c r="O906" s="4" t="str">
        <f t="shared" si="58"/>
        <v>NO</v>
      </c>
      <c r="P906" s="4" t="str">
        <f t="shared" si="59"/>
        <v>SI</v>
      </c>
      <c r="Q906" s="4" t="str" cm="1">
        <f t="array" ref="Q906">_xlfn.IFS(AND(H906&gt;=0,H906&lt;=3333),"Grupo 1",AND(H906&gt;3333,H906&lt;=6666),"Grupo 2",AND(H906&gt;6666,H906&lt;=10000),"Grupo 3")</f>
        <v>Grupo 1</v>
      </c>
    </row>
    <row r="907" spans="1:17" x14ac:dyDescent="0.25">
      <c r="A907" t="s">
        <v>117</v>
      </c>
      <c r="B907" s="2">
        <v>45255.4</v>
      </c>
      <c r="C907" t="s">
        <v>275</v>
      </c>
      <c r="D907" t="s">
        <v>219</v>
      </c>
      <c r="E907">
        <v>4</v>
      </c>
      <c r="F907">
        <v>1274.46</v>
      </c>
      <c r="G907" t="s">
        <v>221</v>
      </c>
      <c r="H907">
        <v>5097.84</v>
      </c>
      <c r="I907">
        <v>2023</v>
      </c>
      <c r="J907">
        <v>11</v>
      </c>
      <c r="K907">
        <v>9</v>
      </c>
      <c r="L907" s="14">
        <v>1274.46</v>
      </c>
      <c r="M907" s="4" t="str">
        <f t="shared" si="56"/>
        <v>sábado</v>
      </c>
      <c r="N907" s="4" t="str">
        <f t="shared" si="57"/>
        <v>noviembre</v>
      </c>
      <c r="O907" s="4" t="str">
        <f t="shared" si="58"/>
        <v>SI</v>
      </c>
      <c r="P907" s="4" t="str">
        <f t="shared" si="59"/>
        <v>SI</v>
      </c>
      <c r="Q907" s="4" t="str" cm="1">
        <f t="array" ref="Q907">_xlfn.IFS(AND(H907&gt;=0,H907&lt;=3333),"Grupo 1",AND(H907&gt;3333,H907&lt;=6666),"Grupo 2",AND(H907&gt;6666,H907&lt;=10000),"Grupo 3")</f>
        <v>Grupo 2</v>
      </c>
    </row>
    <row r="908" spans="1:17" x14ac:dyDescent="0.25">
      <c r="A908" t="s">
        <v>118</v>
      </c>
      <c r="B908" s="2">
        <v>45754.797222222223</v>
      </c>
      <c r="C908" t="s">
        <v>276</v>
      </c>
      <c r="D908" t="s">
        <v>212</v>
      </c>
      <c r="E908">
        <v>1</v>
      </c>
      <c r="F908">
        <v>1251.08</v>
      </c>
      <c r="G908" t="s">
        <v>220</v>
      </c>
      <c r="H908">
        <v>1251.08</v>
      </c>
      <c r="I908">
        <v>2025</v>
      </c>
      <c r="J908">
        <v>4</v>
      </c>
      <c r="K908">
        <v>19</v>
      </c>
      <c r="L908" s="14">
        <v>1251.08</v>
      </c>
      <c r="M908" s="4" t="str">
        <f t="shared" si="56"/>
        <v>lunes</v>
      </c>
      <c r="N908" s="4" t="str">
        <f t="shared" si="57"/>
        <v>abril</v>
      </c>
      <c r="O908" s="4" t="str">
        <f t="shared" si="58"/>
        <v>NO</v>
      </c>
      <c r="P908" s="4" t="str">
        <f t="shared" si="59"/>
        <v>SI</v>
      </c>
      <c r="Q908" s="4" t="str" cm="1">
        <f t="array" ref="Q908">_xlfn.IFS(AND(H908&gt;=0,H908&lt;=3333),"Grupo 1",AND(H908&gt;3333,H908&lt;=6666),"Grupo 2",AND(H908&gt;6666,H908&lt;=10000),"Grupo 3")</f>
        <v>Grupo 1</v>
      </c>
    </row>
    <row r="909" spans="1:17" x14ac:dyDescent="0.25">
      <c r="A909" t="s">
        <v>119</v>
      </c>
      <c r="B909" s="2">
        <v>45764.185416666667</v>
      </c>
      <c r="C909" t="s">
        <v>277</v>
      </c>
      <c r="D909" t="s">
        <v>219</v>
      </c>
      <c r="E909">
        <v>5</v>
      </c>
      <c r="F909">
        <v>1582.2</v>
      </c>
      <c r="G909" t="s">
        <v>221</v>
      </c>
      <c r="H909">
        <v>7911</v>
      </c>
      <c r="I909">
        <v>2025</v>
      </c>
      <c r="J909">
        <v>4</v>
      </c>
      <c r="K909">
        <v>4</v>
      </c>
      <c r="L909" s="14">
        <v>1582.2</v>
      </c>
      <c r="M909" s="4" t="str">
        <f t="shared" si="56"/>
        <v>jueves</v>
      </c>
      <c r="N909" s="4" t="str">
        <f t="shared" si="57"/>
        <v>abril</v>
      </c>
      <c r="O909" s="4" t="str">
        <f t="shared" si="58"/>
        <v>SI</v>
      </c>
      <c r="P909" s="4" t="str">
        <f t="shared" si="59"/>
        <v>SI</v>
      </c>
      <c r="Q909" s="4" t="str" cm="1">
        <f t="array" ref="Q909">_xlfn.IFS(AND(H909&gt;=0,H909&lt;=3333),"Grupo 1",AND(H909&gt;3333,H909&lt;=6666),"Grupo 2",AND(H909&gt;6666,H909&lt;=10000),"Grupo 3")</f>
        <v>Grupo 3</v>
      </c>
    </row>
    <row r="910" spans="1:17" x14ac:dyDescent="0.25">
      <c r="A910" t="s">
        <v>120</v>
      </c>
      <c r="B910" s="2">
        <v>45240.82916666667</v>
      </c>
      <c r="C910" t="s">
        <v>278</v>
      </c>
      <c r="D910" t="s">
        <v>214</v>
      </c>
      <c r="E910">
        <v>1</v>
      </c>
      <c r="F910">
        <v>81.92</v>
      </c>
      <c r="G910" t="s">
        <v>222</v>
      </c>
      <c r="H910">
        <v>81.92</v>
      </c>
      <c r="I910">
        <v>2023</v>
      </c>
      <c r="J910">
        <v>11</v>
      </c>
      <c r="K910">
        <v>19</v>
      </c>
      <c r="L910" s="14">
        <v>81.92</v>
      </c>
      <c r="M910" s="4" t="str">
        <f t="shared" si="56"/>
        <v>viernes</v>
      </c>
      <c r="N910" s="4" t="str">
        <f t="shared" si="57"/>
        <v>noviembre</v>
      </c>
      <c r="O910" s="4" t="str">
        <f t="shared" si="58"/>
        <v>NO</v>
      </c>
      <c r="P910" s="4" t="str">
        <f t="shared" si="59"/>
        <v>NO</v>
      </c>
      <c r="Q910" s="4" t="str" cm="1">
        <f t="array" ref="Q910">_xlfn.IFS(AND(H910&gt;=0,H910&lt;=3333),"Grupo 1",AND(H910&gt;3333,H910&lt;=6666),"Grupo 2",AND(H910&gt;6666,H910&lt;=10000),"Grupo 3")</f>
        <v>Grupo 1</v>
      </c>
    </row>
    <row r="911" spans="1:17" x14ac:dyDescent="0.25">
      <c r="A911" t="s">
        <v>121</v>
      </c>
      <c r="B911" s="2">
        <v>45634.470138888893</v>
      </c>
      <c r="C911" t="s">
        <v>279</v>
      </c>
      <c r="D911" t="s">
        <v>218</v>
      </c>
      <c r="E911">
        <v>1</v>
      </c>
      <c r="F911">
        <v>1153.31</v>
      </c>
      <c r="G911" t="s">
        <v>221</v>
      </c>
      <c r="H911">
        <v>1153.31</v>
      </c>
      <c r="I911">
        <v>2024</v>
      </c>
      <c r="J911">
        <v>12</v>
      </c>
      <c r="K911">
        <v>11</v>
      </c>
      <c r="L911" s="14">
        <v>1153.31</v>
      </c>
      <c r="M911" s="4" t="str">
        <f t="shared" si="56"/>
        <v>domingo</v>
      </c>
      <c r="N911" s="4" t="str">
        <f t="shared" si="57"/>
        <v>diciembre</v>
      </c>
      <c r="O911" s="4" t="str">
        <f t="shared" si="58"/>
        <v>NO</v>
      </c>
      <c r="P911" s="4" t="str">
        <f t="shared" si="59"/>
        <v>SI</v>
      </c>
      <c r="Q911" s="4" t="str" cm="1">
        <f t="array" ref="Q911">_xlfn.IFS(AND(H911&gt;=0,H911&lt;=3333),"Grupo 1",AND(H911&gt;3333,H911&lt;=6666),"Grupo 2",AND(H911&gt;6666,H911&lt;=10000),"Grupo 3")</f>
        <v>Grupo 1</v>
      </c>
    </row>
    <row r="912" spans="1:17" x14ac:dyDescent="0.25">
      <c r="A912" t="s">
        <v>122</v>
      </c>
      <c r="B912" s="2">
        <v>45913.939583333333</v>
      </c>
      <c r="C912" t="s">
        <v>280</v>
      </c>
      <c r="D912" t="s">
        <v>218</v>
      </c>
      <c r="E912">
        <v>3</v>
      </c>
      <c r="F912">
        <v>1078.08</v>
      </c>
      <c r="G912" t="s">
        <v>221</v>
      </c>
      <c r="H912">
        <v>3234.24</v>
      </c>
      <c r="I912">
        <v>2025</v>
      </c>
      <c r="J912">
        <v>9</v>
      </c>
      <c r="K912">
        <v>22</v>
      </c>
      <c r="L912" s="14">
        <v>1078.08</v>
      </c>
      <c r="M912" s="4" t="str">
        <f t="shared" si="56"/>
        <v>sábado</v>
      </c>
      <c r="N912" s="4" t="str">
        <f t="shared" si="57"/>
        <v>septiembre</v>
      </c>
      <c r="O912" s="4" t="str">
        <f t="shared" si="58"/>
        <v>SI</v>
      </c>
      <c r="P912" s="4" t="str">
        <f t="shared" si="59"/>
        <v>SI</v>
      </c>
      <c r="Q912" s="4" t="str" cm="1">
        <f t="array" ref="Q912">_xlfn.IFS(AND(H912&gt;=0,H912&lt;=3333),"Grupo 1",AND(H912&gt;3333,H912&lt;=6666),"Grupo 2",AND(H912&gt;6666,H912&lt;=10000),"Grupo 3")</f>
        <v>Grupo 1</v>
      </c>
    </row>
    <row r="913" spans="1:17" x14ac:dyDescent="0.25">
      <c r="A913" t="s">
        <v>123</v>
      </c>
      <c r="B913" s="2">
        <v>45526.149305555547</v>
      </c>
      <c r="C913" t="s">
        <v>281</v>
      </c>
      <c r="D913" t="s">
        <v>215</v>
      </c>
      <c r="E913">
        <v>1</v>
      </c>
      <c r="F913">
        <v>201.91</v>
      </c>
      <c r="G913" t="s">
        <v>220</v>
      </c>
      <c r="H913">
        <v>201.91</v>
      </c>
      <c r="I913">
        <v>2024</v>
      </c>
      <c r="J913">
        <v>8</v>
      </c>
      <c r="K913">
        <v>3</v>
      </c>
      <c r="L913" s="14">
        <v>201.91</v>
      </c>
      <c r="M913" s="4" t="str">
        <f t="shared" si="56"/>
        <v>jueves</v>
      </c>
      <c r="N913" s="4" t="str">
        <f t="shared" si="57"/>
        <v>agosto</v>
      </c>
      <c r="O913" s="4" t="str">
        <f t="shared" si="58"/>
        <v>NO</v>
      </c>
      <c r="P913" s="4" t="str">
        <f t="shared" si="59"/>
        <v>NO</v>
      </c>
      <c r="Q913" s="4" t="str" cm="1">
        <f t="array" ref="Q913">_xlfn.IFS(AND(H913&gt;=0,H913&lt;=3333),"Grupo 1",AND(H913&gt;3333,H913&lt;=6666),"Grupo 2",AND(H913&gt;6666,H913&lt;=10000),"Grupo 3")</f>
        <v>Grupo 1</v>
      </c>
    </row>
    <row r="914" spans="1:17" x14ac:dyDescent="0.25">
      <c r="A914" t="s">
        <v>124</v>
      </c>
      <c r="B914" s="2">
        <v>45487.067361111112</v>
      </c>
      <c r="C914" t="s">
        <v>282</v>
      </c>
      <c r="D914" t="s">
        <v>216</v>
      </c>
      <c r="E914">
        <v>3</v>
      </c>
      <c r="F914">
        <v>727.36</v>
      </c>
      <c r="G914" t="s">
        <v>221</v>
      </c>
      <c r="H914">
        <v>2182.08</v>
      </c>
      <c r="I914">
        <v>2024</v>
      </c>
      <c r="J914">
        <v>7</v>
      </c>
      <c r="K914">
        <v>1</v>
      </c>
      <c r="L914" s="14">
        <v>727.36</v>
      </c>
      <c r="M914" s="4" t="str">
        <f t="shared" si="56"/>
        <v>domingo</v>
      </c>
      <c r="N914" s="4" t="str">
        <f t="shared" si="57"/>
        <v>julio</v>
      </c>
      <c r="O914" s="4" t="str">
        <f t="shared" si="58"/>
        <v>NO</v>
      </c>
      <c r="P914" s="4" t="str">
        <f t="shared" si="59"/>
        <v>NO</v>
      </c>
      <c r="Q914" s="4" t="str" cm="1">
        <f t="array" ref="Q914">_xlfn.IFS(AND(H914&gt;=0,H914&lt;=3333),"Grupo 1",AND(H914&gt;3333,H914&lt;=6666),"Grupo 2",AND(H914&gt;6666,H914&lt;=10000),"Grupo 3")</f>
        <v>Grupo 1</v>
      </c>
    </row>
    <row r="915" spans="1:17" x14ac:dyDescent="0.25">
      <c r="A915" t="s">
        <v>125</v>
      </c>
      <c r="B915" s="2">
        <v>45281.986805555563</v>
      </c>
      <c r="C915" t="s">
        <v>283</v>
      </c>
      <c r="D915" t="s">
        <v>219</v>
      </c>
      <c r="E915">
        <v>3</v>
      </c>
      <c r="F915">
        <v>1645.43</v>
      </c>
      <c r="G915" t="s">
        <v>221</v>
      </c>
      <c r="H915">
        <v>4936.29</v>
      </c>
      <c r="I915">
        <v>2023</v>
      </c>
      <c r="J915">
        <v>12</v>
      </c>
      <c r="K915">
        <v>23</v>
      </c>
      <c r="L915" s="14">
        <v>1645.43</v>
      </c>
      <c r="M915" s="4" t="str">
        <f t="shared" si="56"/>
        <v>jueves</v>
      </c>
      <c r="N915" s="4" t="str">
        <f t="shared" si="57"/>
        <v>diciembre</v>
      </c>
      <c r="O915" s="4" t="str">
        <f t="shared" si="58"/>
        <v>SI</v>
      </c>
      <c r="P915" s="4" t="str">
        <f t="shared" si="59"/>
        <v>SI</v>
      </c>
      <c r="Q915" s="4" t="str" cm="1">
        <f t="array" ref="Q915">_xlfn.IFS(AND(H915&gt;=0,H915&lt;=3333),"Grupo 1",AND(H915&gt;3333,H915&lt;=6666),"Grupo 2",AND(H915&gt;6666,H915&lt;=10000),"Grupo 3")</f>
        <v>Grupo 2</v>
      </c>
    </row>
    <row r="916" spans="1:17" x14ac:dyDescent="0.25">
      <c r="A916" t="s">
        <v>126</v>
      </c>
      <c r="B916" s="2">
        <v>45468.378472222219</v>
      </c>
      <c r="C916" t="s">
        <v>284</v>
      </c>
      <c r="D916" t="s">
        <v>217</v>
      </c>
      <c r="E916">
        <v>3</v>
      </c>
      <c r="F916">
        <v>420.05</v>
      </c>
      <c r="G916" t="s">
        <v>220</v>
      </c>
      <c r="H916">
        <v>1260.1500000000001</v>
      </c>
      <c r="I916">
        <v>2024</v>
      </c>
      <c r="J916">
        <v>6</v>
      </c>
      <c r="K916">
        <v>9</v>
      </c>
      <c r="L916" s="14">
        <v>420.05</v>
      </c>
      <c r="M916" s="4" t="str">
        <f t="shared" si="56"/>
        <v>martes</v>
      </c>
      <c r="N916" s="4" t="str">
        <f t="shared" si="57"/>
        <v>junio</v>
      </c>
      <c r="O916" s="4" t="str">
        <f t="shared" si="58"/>
        <v>NO</v>
      </c>
      <c r="P916" s="4" t="str">
        <f t="shared" si="59"/>
        <v>NO</v>
      </c>
      <c r="Q916" s="4" t="str" cm="1">
        <f t="array" ref="Q916">_xlfn.IFS(AND(H916&gt;=0,H916&lt;=3333),"Grupo 1",AND(H916&gt;3333,H916&lt;=6666),"Grupo 2",AND(H916&gt;6666,H916&lt;=10000),"Grupo 3")</f>
        <v>Grupo 1</v>
      </c>
    </row>
    <row r="917" spans="1:17" x14ac:dyDescent="0.25">
      <c r="A917" t="s">
        <v>127</v>
      </c>
      <c r="B917" s="2">
        <v>45529.436805555553</v>
      </c>
      <c r="C917" t="s">
        <v>285</v>
      </c>
      <c r="D917" t="s">
        <v>214</v>
      </c>
      <c r="E917">
        <v>4</v>
      </c>
      <c r="F917">
        <v>496.9</v>
      </c>
      <c r="G917" t="s">
        <v>222</v>
      </c>
      <c r="H917">
        <v>1987.6</v>
      </c>
      <c r="I917">
        <v>2024</v>
      </c>
      <c r="J917">
        <v>8</v>
      </c>
      <c r="K917">
        <v>10</v>
      </c>
      <c r="L917" s="14">
        <v>496.9</v>
      </c>
      <c r="M917" s="4" t="str">
        <f t="shared" si="56"/>
        <v>domingo</v>
      </c>
      <c r="N917" s="4" t="str">
        <f t="shared" si="57"/>
        <v>agosto</v>
      </c>
      <c r="O917" s="4" t="str">
        <f t="shared" si="58"/>
        <v>NO</v>
      </c>
      <c r="P917" s="4" t="str">
        <f t="shared" si="59"/>
        <v>NO</v>
      </c>
      <c r="Q917" s="4" t="str" cm="1">
        <f t="array" ref="Q917">_xlfn.IFS(AND(H917&gt;=0,H917&lt;=3333),"Grupo 1",AND(H917&gt;3333,H917&lt;=6666),"Grupo 2",AND(H917&gt;6666,H917&lt;=10000),"Grupo 3")</f>
        <v>Grupo 1</v>
      </c>
    </row>
    <row r="918" spans="1:17" x14ac:dyDescent="0.25">
      <c r="A918" t="s">
        <v>128</v>
      </c>
      <c r="B918" s="2">
        <v>44961.01666666667</v>
      </c>
      <c r="C918" t="s">
        <v>286</v>
      </c>
      <c r="D918" t="s">
        <v>213</v>
      </c>
      <c r="E918">
        <v>2</v>
      </c>
      <c r="F918">
        <v>721.56</v>
      </c>
      <c r="G918" t="s">
        <v>221</v>
      </c>
      <c r="H918">
        <v>1443.12</v>
      </c>
      <c r="I918">
        <v>2023</v>
      </c>
      <c r="J918">
        <v>2</v>
      </c>
      <c r="K918">
        <v>0</v>
      </c>
      <c r="L918" s="14">
        <v>721.56</v>
      </c>
      <c r="M918" s="4" t="str">
        <f t="shared" si="56"/>
        <v>sábado</v>
      </c>
      <c r="N918" s="4" t="str">
        <f t="shared" si="57"/>
        <v>febrero</v>
      </c>
      <c r="O918" s="4" t="str">
        <f t="shared" si="58"/>
        <v>NO</v>
      </c>
      <c r="P918" s="4" t="str">
        <f t="shared" si="59"/>
        <v>NO</v>
      </c>
      <c r="Q918" s="4" t="str" cm="1">
        <f t="array" ref="Q918">_xlfn.IFS(AND(H918&gt;=0,H918&lt;=3333),"Grupo 1",AND(H918&gt;3333,H918&lt;=6666),"Grupo 2",AND(H918&gt;6666,H918&lt;=10000),"Grupo 3")</f>
        <v>Grupo 1</v>
      </c>
    </row>
    <row r="919" spans="1:17" x14ac:dyDescent="0.25">
      <c r="A919" t="s">
        <v>129</v>
      </c>
      <c r="B919" s="2">
        <v>45041.746527777781</v>
      </c>
      <c r="C919" t="s">
        <v>287</v>
      </c>
      <c r="D919" t="s">
        <v>219</v>
      </c>
      <c r="E919">
        <v>4</v>
      </c>
      <c r="F919">
        <v>1353.9</v>
      </c>
      <c r="G919" t="s">
        <v>221</v>
      </c>
      <c r="H919">
        <v>5415.6</v>
      </c>
      <c r="I919">
        <v>2023</v>
      </c>
      <c r="J919">
        <v>4</v>
      </c>
      <c r="K919">
        <v>17</v>
      </c>
      <c r="L919" s="14">
        <v>1353.9</v>
      </c>
      <c r="M919" s="4" t="str">
        <f t="shared" si="56"/>
        <v>martes</v>
      </c>
      <c r="N919" s="4" t="str">
        <f t="shared" si="57"/>
        <v>abril</v>
      </c>
      <c r="O919" s="4" t="str">
        <f t="shared" si="58"/>
        <v>SI</v>
      </c>
      <c r="P919" s="4" t="str">
        <f t="shared" si="59"/>
        <v>SI</v>
      </c>
      <c r="Q919" s="4" t="str" cm="1">
        <f t="array" ref="Q919">_xlfn.IFS(AND(H919&gt;=0,H919&lt;=3333),"Grupo 1",AND(H919&gt;3333,H919&lt;=6666),"Grupo 2",AND(H919&gt;6666,H919&lt;=10000),"Grupo 3")</f>
        <v>Grupo 2</v>
      </c>
    </row>
    <row r="920" spans="1:17" x14ac:dyDescent="0.25">
      <c r="A920" t="s">
        <v>130</v>
      </c>
      <c r="B920" s="2">
        <v>45400.756249999999</v>
      </c>
      <c r="C920" t="s">
        <v>288</v>
      </c>
      <c r="D920" t="s">
        <v>215</v>
      </c>
      <c r="E920">
        <v>2</v>
      </c>
      <c r="F920">
        <v>429.52</v>
      </c>
      <c r="G920" t="s">
        <v>220</v>
      </c>
      <c r="H920">
        <v>859.04</v>
      </c>
      <c r="I920">
        <v>2024</v>
      </c>
      <c r="J920">
        <v>4</v>
      </c>
      <c r="K920">
        <v>18</v>
      </c>
      <c r="L920" s="14">
        <v>429.52</v>
      </c>
      <c r="M920" s="4" t="str">
        <f t="shared" si="56"/>
        <v>jueves</v>
      </c>
      <c r="N920" s="4" t="str">
        <f t="shared" si="57"/>
        <v>abril</v>
      </c>
      <c r="O920" s="4" t="str">
        <f t="shared" si="58"/>
        <v>NO</v>
      </c>
      <c r="P920" s="4" t="str">
        <f t="shared" si="59"/>
        <v>NO</v>
      </c>
      <c r="Q920" s="4" t="str" cm="1">
        <f t="array" ref="Q920">_xlfn.IFS(AND(H920&gt;=0,H920&lt;=3333),"Grupo 1",AND(H920&gt;3333,H920&lt;=6666),"Grupo 2",AND(H920&gt;6666,H920&lt;=10000),"Grupo 3")</f>
        <v>Grupo 1</v>
      </c>
    </row>
    <row r="921" spans="1:17" x14ac:dyDescent="0.25">
      <c r="A921" t="s">
        <v>131</v>
      </c>
      <c r="B921" s="2">
        <v>45465.772916666669</v>
      </c>
      <c r="C921" t="s">
        <v>289</v>
      </c>
      <c r="D921" t="s">
        <v>214</v>
      </c>
      <c r="E921">
        <v>2</v>
      </c>
      <c r="F921">
        <v>1824.96</v>
      </c>
      <c r="G921" t="s">
        <v>222</v>
      </c>
      <c r="H921">
        <v>3649.92</v>
      </c>
      <c r="I921">
        <v>2024</v>
      </c>
      <c r="J921">
        <v>6</v>
      </c>
      <c r="K921">
        <v>18</v>
      </c>
      <c r="L921" s="14">
        <v>1824.96</v>
      </c>
      <c r="M921" s="4" t="str">
        <f t="shared" si="56"/>
        <v>sábado</v>
      </c>
      <c r="N921" s="4" t="str">
        <f t="shared" si="57"/>
        <v>junio</v>
      </c>
      <c r="O921" s="4" t="str">
        <f t="shared" si="58"/>
        <v>SI</v>
      </c>
      <c r="P921" s="4" t="str">
        <f t="shared" si="59"/>
        <v>SI</v>
      </c>
      <c r="Q921" s="4" t="str" cm="1">
        <f t="array" ref="Q921">_xlfn.IFS(AND(H921&gt;=0,H921&lt;=3333),"Grupo 1",AND(H921&gt;3333,H921&lt;=6666),"Grupo 2",AND(H921&gt;6666,H921&lt;=10000),"Grupo 3")</f>
        <v>Grupo 2</v>
      </c>
    </row>
    <row r="922" spans="1:17" x14ac:dyDescent="0.25">
      <c r="A922" t="s">
        <v>132</v>
      </c>
      <c r="B922" s="2">
        <v>45316.202777777777</v>
      </c>
      <c r="C922" t="s">
        <v>290</v>
      </c>
      <c r="D922" t="s">
        <v>218</v>
      </c>
      <c r="E922">
        <v>5</v>
      </c>
      <c r="F922">
        <v>1059.81</v>
      </c>
      <c r="G922" t="s">
        <v>221</v>
      </c>
      <c r="H922">
        <v>5299.0499999999993</v>
      </c>
      <c r="I922">
        <v>2024</v>
      </c>
      <c r="J922">
        <v>1</v>
      </c>
      <c r="K922">
        <v>4</v>
      </c>
      <c r="L922" s="14">
        <v>1059.81</v>
      </c>
      <c r="M922" s="4" t="str">
        <f t="shared" si="56"/>
        <v>jueves</v>
      </c>
      <c r="N922" s="4" t="str">
        <f t="shared" si="57"/>
        <v>enero</v>
      </c>
      <c r="O922" s="4" t="str">
        <f t="shared" si="58"/>
        <v>SI</v>
      </c>
      <c r="P922" s="4" t="str">
        <f t="shared" si="59"/>
        <v>SI</v>
      </c>
      <c r="Q922" s="4" t="str" cm="1">
        <f t="array" ref="Q922">_xlfn.IFS(AND(H922&gt;=0,H922&lt;=3333),"Grupo 1",AND(H922&gt;3333,H922&lt;=6666),"Grupo 2",AND(H922&gt;6666,H922&lt;=10000),"Grupo 3")</f>
        <v>Grupo 2</v>
      </c>
    </row>
    <row r="923" spans="1:17" x14ac:dyDescent="0.25">
      <c r="A923" t="s">
        <v>133</v>
      </c>
      <c r="B923" s="2">
        <v>45118.634722222218</v>
      </c>
      <c r="C923" t="s">
        <v>291</v>
      </c>
      <c r="D923" t="s">
        <v>214</v>
      </c>
      <c r="E923">
        <v>4</v>
      </c>
      <c r="F923">
        <v>46.39</v>
      </c>
      <c r="G923" t="s">
        <v>222</v>
      </c>
      <c r="H923">
        <v>185.56</v>
      </c>
      <c r="I923">
        <v>2023</v>
      </c>
      <c r="J923">
        <v>7</v>
      </c>
      <c r="K923">
        <v>15</v>
      </c>
      <c r="L923" s="14">
        <v>46.39</v>
      </c>
      <c r="M923" s="4" t="str">
        <f t="shared" si="56"/>
        <v>martes</v>
      </c>
      <c r="N923" s="4" t="str">
        <f t="shared" si="57"/>
        <v>julio</v>
      </c>
      <c r="O923" s="4" t="str">
        <f t="shared" si="58"/>
        <v>NO</v>
      </c>
      <c r="P923" s="4" t="str">
        <f t="shared" si="59"/>
        <v>NO</v>
      </c>
      <c r="Q923" s="4" t="str" cm="1">
        <f t="array" ref="Q923">_xlfn.IFS(AND(H923&gt;=0,H923&lt;=3333),"Grupo 1",AND(H923&gt;3333,H923&lt;=6666),"Grupo 2",AND(H923&gt;6666,H923&lt;=10000),"Grupo 3")</f>
        <v>Grupo 1</v>
      </c>
    </row>
    <row r="924" spans="1:17" x14ac:dyDescent="0.25">
      <c r="A924" t="s">
        <v>134</v>
      </c>
      <c r="B924" s="2">
        <v>45232.75</v>
      </c>
      <c r="C924" t="s">
        <v>292</v>
      </c>
      <c r="D924" t="s">
        <v>217</v>
      </c>
      <c r="E924">
        <v>1</v>
      </c>
      <c r="F924">
        <v>754.07</v>
      </c>
      <c r="G924" t="s">
        <v>220</v>
      </c>
      <c r="H924">
        <v>754.07</v>
      </c>
      <c r="I924">
        <v>2023</v>
      </c>
      <c r="J924">
        <v>11</v>
      </c>
      <c r="K924">
        <v>18</v>
      </c>
      <c r="L924" s="14">
        <v>754.07</v>
      </c>
      <c r="M924" s="4" t="str">
        <f t="shared" si="56"/>
        <v>jueves</v>
      </c>
      <c r="N924" s="4" t="str">
        <f t="shared" si="57"/>
        <v>noviembre</v>
      </c>
      <c r="O924" s="4" t="str">
        <f t="shared" si="58"/>
        <v>NO</v>
      </c>
      <c r="P924" s="4" t="str">
        <f t="shared" si="59"/>
        <v>NO</v>
      </c>
      <c r="Q924" s="4" t="str" cm="1">
        <f t="array" ref="Q924">_xlfn.IFS(AND(H924&gt;=0,H924&lt;=3333),"Grupo 1",AND(H924&gt;3333,H924&lt;=6666),"Grupo 2",AND(H924&gt;6666,H924&lt;=10000),"Grupo 3")</f>
        <v>Grupo 1</v>
      </c>
    </row>
    <row r="925" spans="1:17" x14ac:dyDescent="0.25">
      <c r="A925" t="s">
        <v>135</v>
      </c>
      <c r="B925" s="2">
        <v>45745.421527777777</v>
      </c>
      <c r="C925" t="s">
        <v>293</v>
      </c>
      <c r="D925" t="s">
        <v>219</v>
      </c>
      <c r="E925">
        <v>1</v>
      </c>
      <c r="F925">
        <v>1681.02</v>
      </c>
      <c r="G925" t="s">
        <v>221</v>
      </c>
      <c r="H925">
        <v>1681.02</v>
      </c>
      <c r="I925">
        <v>2025</v>
      </c>
      <c r="J925">
        <v>3</v>
      </c>
      <c r="K925">
        <v>10</v>
      </c>
      <c r="L925" s="14">
        <v>1681.02</v>
      </c>
      <c r="M925" s="4" t="str">
        <f t="shared" si="56"/>
        <v>sábado</v>
      </c>
      <c r="N925" s="4" t="str">
        <f t="shared" si="57"/>
        <v>marzo</v>
      </c>
      <c r="O925" s="4" t="str">
        <f t="shared" si="58"/>
        <v>NO</v>
      </c>
      <c r="P925" s="4" t="str">
        <f t="shared" si="59"/>
        <v>SI</v>
      </c>
      <c r="Q925" s="4" t="str" cm="1">
        <f t="array" ref="Q925">_xlfn.IFS(AND(H925&gt;=0,H925&lt;=3333),"Grupo 1",AND(H925&gt;3333,H925&lt;=6666),"Grupo 2",AND(H925&gt;6666,H925&lt;=10000),"Grupo 3")</f>
        <v>Grupo 1</v>
      </c>
    </row>
    <row r="926" spans="1:17" x14ac:dyDescent="0.25">
      <c r="A926" t="s">
        <v>136</v>
      </c>
      <c r="B926" s="2">
        <v>45802.370833333327</v>
      </c>
      <c r="C926" t="s">
        <v>294</v>
      </c>
      <c r="D926" t="s">
        <v>212</v>
      </c>
      <c r="E926">
        <v>2</v>
      </c>
      <c r="F926">
        <v>1198.72</v>
      </c>
      <c r="G926" t="s">
        <v>220</v>
      </c>
      <c r="H926">
        <v>2397.44</v>
      </c>
      <c r="I926">
        <v>2025</v>
      </c>
      <c r="J926">
        <v>5</v>
      </c>
      <c r="K926">
        <v>8</v>
      </c>
      <c r="L926" s="14">
        <v>1198.72</v>
      </c>
      <c r="M926" s="4" t="str">
        <f t="shared" si="56"/>
        <v>domingo</v>
      </c>
      <c r="N926" s="4" t="str">
        <f t="shared" si="57"/>
        <v>mayo</v>
      </c>
      <c r="O926" s="4" t="str">
        <f t="shared" si="58"/>
        <v>NO</v>
      </c>
      <c r="P926" s="4" t="str">
        <f t="shared" si="59"/>
        <v>SI</v>
      </c>
      <c r="Q926" s="4" t="str" cm="1">
        <f t="array" ref="Q926">_xlfn.IFS(AND(H926&gt;=0,H926&lt;=3333),"Grupo 1",AND(H926&gt;3333,H926&lt;=6666),"Grupo 2",AND(H926&gt;6666,H926&lt;=10000),"Grupo 3")</f>
        <v>Grupo 1</v>
      </c>
    </row>
    <row r="927" spans="1:17" x14ac:dyDescent="0.25">
      <c r="A927" t="s">
        <v>137</v>
      </c>
      <c r="B927" s="2">
        <v>45249.604861111111</v>
      </c>
      <c r="C927" t="s">
        <v>295</v>
      </c>
      <c r="D927" t="s">
        <v>219</v>
      </c>
      <c r="E927">
        <v>2</v>
      </c>
      <c r="F927">
        <v>1040.2</v>
      </c>
      <c r="G927" t="s">
        <v>221</v>
      </c>
      <c r="H927">
        <v>2080.4</v>
      </c>
      <c r="I927">
        <v>2023</v>
      </c>
      <c r="J927">
        <v>11</v>
      </c>
      <c r="K927">
        <v>14</v>
      </c>
      <c r="L927" s="14">
        <v>1040.2</v>
      </c>
      <c r="M927" s="4" t="str">
        <f t="shared" si="56"/>
        <v>domingo</v>
      </c>
      <c r="N927" s="4" t="str">
        <f t="shared" si="57"/>
        <v>noviembre</v>
      </c>
      <c r="O927" s="4" t="str">
        <f t="shared" si="58"/>
        <v>NO</v>
      </c>
      <c r="P927" s="4" t="str">
        <f t="shared" si="59"/>
        <v>SI</v>
      </c>
      <c r="Q927" s="4" t="str" cm="1">
        <f t="array" ref="Q927">_xlfn.IFS(AND(H927&gt;=0,H927&lt;=3333),"Grupo 1",AND(H927&gt;3333,H927&lt;=6666),"Grupo 2",AND(H927&gt;6666,H927&lt;=10000),"Grupo 3")</f>
        <v>Grupo 1</v>
      </c>
    </row>
    <row r="928" spans="1:17" x14ac:dyDescent="0.25">
      <c r="A928" t="s">
        <v>138</v>
      </c>
      <c r="B928" s="2">
        <v>45854.013194444437</v>
      </c>
      <c r="C928" t="s">
        <v>296</v>
      </c>
      <c r="D928" t="s">
        <v>213</v>
      </c>
      <c r="E928">
        <v>3</v>
      </c>
      <c r="F928">
        <v>107.53</v>
      </c>
      <c r="G928" t="s">
        <v>221</v>
      </c>
      <c r="H928">
        <v>322.58999999999997</v>
      </c>
      <c r="I928">
        <v>2025</v>
      </c>
      <c r="J928">
        <v>7</v>
      </c>
      <c r="K928">
        <v>0</v>
      </c>
      <c r="L928" s="14">
        <v>107.53</v>
      </c>
      <c r="M928" s="4" t="str">
        <f t="shared" si="56"/>
        <v>miércoles</v>
      </c>
      <c r="N928" s="4" t="str">
        <f t="shared" si="57"/>
        <v>julio</v>
      </c>
      <c r="O928" s="4" t="str">
        <f t="shared" si="58"/>
        <v>NO</v>
      </c>
      <c r="P928" s="4" t="str">
        <f t="shared" si="59"/>
        <v>NO</v>
      </c>
      <c r="Q928" s="4" t="str" cm="1">
        <f t="array" ref="Q928">_xlfn.IFS(AND(H928&gt;=0,H928&lt;=3333),"Grupo 1",AND(H928&gt;3333,H928&lt;=6666),"Grupo 2",AND(H928&gt;6666,H928&lt;=10000),"Grupo 3")</f>
        <v>Grupo 1</v>
      </c>
    </row>
    <row r="929" spans="1:17" x14ac:dyDescent="0.25">
      <c r="A929" t="s">
        <v>139</v>
      </c>
      <c r="B929" s="2">
        <v>45828.018055555563</v>
      </c>
      <c r="C929" t="s">
        <v>297</v>
      </c>
      <c r="D929" t="s">
        <v>215</v>
      </c>
      <c r="E929">
        <v>4</v>
      </c>
      <c r="F929">
        <v>380.66</v>
      </c>
      <c r="G929" t="s">
        <v>220</v>
      </c>
      <c r="H929">
        <v>1522.64</v>
      </c>
      <c r="I929">
        <v>2025</v>
      </c>
      <c r="J929">
        <v>6</v>
      </c>
      <c r="K929">
        <v>0</v>
      </c>
      <c r="L929" s="14">
        <v>380.66</v>
      </c>
      <c r="M929" s="4" t="str">
        <f t="shared" si="56"/>
        <v>viernes</v>
      </c>
      <c r="N929" s="4" t="str">
        <f t="shared" si="57"/>
        <v>junio</v>
      </c>
      <c r="O929" s="4" t="str">
        <f t="shared" si="58"/>
        <v>NO</v>
      </c>
      <c r="P929" s="4" t="str">
        <f t="shared" si="59"/>
        <v>NO</v>
      </c>
      <c r="Q929" s="4" t="str" cm="1">
        <f t="array" ref="Q929">_xlfn.IFS(AND(H929&gt;=0,H929&lt;=3333),"Grupo 1",AND(H929&gt;3333,H929&lt;=6666),"Grupo 2",AND(H929&gt;6666,H929&lt;=10000),"Grupo 3")</f>
        <v>Grupo 1</v>
      </c>
    </row>
    <row r="930" spans="1:17" x14ac:dyDescent="0.25">
      <c r="A930" t="s">
        <v>140</v>
      </c>
      <c r="B930" s="2">
        <v>45673.40902777778</v>
      </c>
      <c r="C930" t="s">
        <v>298</v>
      </c>
      <c r="D930" t="s">
        <v>212</v>
      </c>
      <c r="E930">
        <v>2</v>
      </c>
      <c r="F930">
        <v>700.11</v>
      </c>
      <c r="G930" t="s">
        <v>220</v>
      </c>
      <c r="H930">
        <v>1400.22</v>
      </c>
      <c r="I930">
        <v>2025</v>
      </c>
      <c r="J930">
        <v>1</v>
      </c>
      <c r="K930">
        <v>9</v>
      </c>
      <c r="L930" s="14">
        <v>700.11</v>
      </c>
      <c r="M930" s="4" t="str">
        <f t="shared" si="56"/>
        <v>jueves</v>
      </c>
      <c r="N930" s="4" t="str">
        <f t="shared" si="57"/>
        <v>enero</v>
      </c>
      <c r="O930" s="4" t="str">
        <f t="shared" si="58"/>
        <v>NO</v>
      </c>
      <c r="P930" s="4" t="str">
        <f t="shared" si="59"/>
        <v>NO</v>
      </c>
      <c r="Q930" s="4" t="str" cm="1">
        <f t="array" ref="Q930">_xlfn.IFS(AND(H930&gt;=0,H930&lt;=3333),"Grupo 1",AND(H930&gt;3333,H930&lt;=6666),"Grupo 2",AND(H930&gt;6666,H930&lt;=10000),"Grupo 3")</f>
        <v>Grupo 1</v>
      </c>
    </row>
    <row r="931" spans="1:17" x14ac:dyDescent="0.25">
      <c r="A931" t="s">
        <v>141</v>
      </c>
      <c r="B931" s="2">
        <v>44932.951388888891</v>
      </c>
      <c r="C931" t="s">
        <v>299</v>
      </c>
      <c r="D931" t="s">
        <v>215</v>
      </c>
      <c r="E931">
        <v>5</v>
      </c>
      <c r="F931">
        <v>358.48</v>
      </c>
      <c r="G931" t="s">
        <v>220</v>
      </c>
      <c r="H931">
        <v>1792.4</v>
      </c>
      <c r="I931">
        <v>2023</v>
      </c>
      <c r="J931">
        <v>1</v>
      </c>
      <c r="K931">
        <v>22</v>
      </c>
      <c r="L931" s="14">
        <v>358.48</v>
      </c>
      <c r="M931" s="4" t="str">
        <f t="shared" si="56"/>
        <v>viernes</v>
      </c>
      <c r="N931" s="4" t="str">
        <f t="shared" si="57"/>
        <v>enero</v>
      </c>
      <c r="O931" s="4" t="str">
        <f t="shared" si="58"/>
        <v>NO</v>
      </c>
      <c r="P931" s="4" t="str">
        <f t="shared" si="59"/>
        <v>NO</v>
      </c>
      <c r="Q931" s="4" t="str" cm="1">
        <f t="array" ref="Q931">_xlfn.IFS(AND(H931&gt;=0,H931&lt;=3333),"Grupo 1",AND(H931&gt;3333,H931&lt;=6666),"Grupo 2",AND(H931&gt;6666,H931&lt;=10000),"Grupo 3")</f>
        <v>Grupo 1</v>
      </c>
    </row>
    <row r="932" spans="1:17" x14ac:dyDescent="0.25">
      <c r="A932" t="s">
        <v>142</v>
      </c>
      <c r="B932" s="2">
        <v>45381.871527777781</v>
      </c>
      <c r="C932" t="s">
        <v>300</v>
      </c>
      <c r="D932" t="s">
        <v>214</v>
      </c>
      <c r="E932">
        <v>4</v>
      </c>
      <c r="F932">
        <v>746.6</v>
      </c>
      <c r="G932" t="s">
        <v>222</v>
      </c>
      <c r="H932">
        <v>2986.4</v>
      </c>
      <c r="I932">
        <v>2024</v>
      </c>
      <c r="J932">
        <v>3</v>
      </c>
      <c r="K932">
        <v>20</v>
      </c>
      <c r="L932" s="14">
        <v>746.6</v>
      </c>
      <c r="M932" s="4" t="str">
        <f t="shared" si="56"/>
        <v>sábado</v>
      </c>
      <c r="N932" s="4" t="str">
        <f t="shared" si="57"/>
        <v>marzo</v>
      </c>
      <c r="O932" s="4" t="str">
        <f t="shared" si="58"/>
        <v>SI</v>
      </c>
      <c r="P932" s="4" t="str">
        <f t="shared" si="59"/>
        <v>NO</v>
      </c>
      <c r="Q932" s="4" t="str" cm="1">
        <f t="array" ref="Q932">_xlfn.IFS(AND(H932&gt;=0,H932&lt;=3333),"Grupo 1",AND(H932&gt;3333,H932&lt;=6666),"Grupo 2",AND(H932&gt;6666,H932&lt;=10000),"Grupo 3")</f>
        <v>Grupo 1</v>
      </c>
    </row>
    <row r="933" spans="1:17" x14ac:dyDescent="0.25">
      <c r="A933" t="s">
        <v>143</v>
      </c>
      <c r="B933" s="2">
        <v>45450.97152777778</v>
      </c>
      <c r="C933" t="s">
        <v>301</v>
      </c>
      <c r="D933" t="s">
        <v>217</v>
      </c>
      <c r="E933">
        <v>1</v>
      </c>
      <c r="F933">
        <v>751.43</v>
      </c>
      <c r="G933" t="s">
        <v>220</v>
      </c>
      <c r="H933">
        <v>751.43</v>
      </c>
      <c r="I933">
        <v>2024</v>
      </c>
      <c r="J933">
        <v>6</v>
      </c>
      <c r="K933">
        <v>23</v>
      </c>
      <c r="L933" s="14">
        <v>751.43</v>
      </c>
      <c r="M933" s="4" t="str">
        <f t="shared" si="56"/>
        <v>viernes</v>
      </c>
      <c r="N933" s="4" t="str">
        <f t="shared" si="57"/>
        <v>junio</v>
      </c>
      <c r="O933" s="4" t="str">
        <f t="shared" si="58"/>
        <v>NO</v>
      </c>
      <c r="P933" s="4" t="str">
        <f t="shared" si="59"/>
        <v>NO</v>
      </c>
      <c r="Q933" s="4" t="str" cm="1">
        <f t="array" ref="Q933">_xlfn.IFS(AND(H933&gt;=0,H933&lt;=3333),"Grupo 1",AND(H933&gt;3333,H933&lt;=6666),"Grupo 2",AND(H933&gt;6666,H933&lt;=10000),"Grupo 3")</f>
        <v>Grupo 1</v>
      </c>
    </row>
    <row r="934" spans="1:17" x14ac:dyDescent="0.25">
      <c r="A934" t="s">
        <v>144</v>
      </c>
      <c r="B934" s="2">
        <v>45122.813888888893</v>
      </c>
      <c r="C934" t="s">
        <v>302</v>
      </c>
      <c r="D934" t="s">
        <v>218</v>
      </c>
      <c r="E934">
        <v>5</v>
      </c>
      <c r="F934">
        <v>1109.08</v>
      </c>
      <c r="G934" t="s">
        <v>221</v>
      </c>
      <c r="H934">
        <v>5545.4</v>
      </c>
      <c r="I934">
        <v>2023</v>
      </c>
      <c r="J934">
        <v>7</v>
      </c>
      <c r="K934">
        <v>19</v>
      </c>
      <c r="L934" s="14">
        <v>1109.08</v>
      </c>
      <c r="M934" s="4" t="str">
        <f t="shared" si="56"/>
        <v>sábado</v>
      </c>
      <c r="N934" s="4" t="str">
        <f t="shared" si="57"/>
        <v>julio</v>
      </c>
      <c r="O934" s="4" t="str">
        <f t="shared" si="58"/>
        <v>SI</v>
      </c>
      <c r="P934" s="4" t="str">
        <f t="shared" si="59"/>
        <v>SI</v>
      </c>
      <c r="Q934" s="4" t="str" cm="1">
        <f t="array" ref="Q934">_xlfn.IFS(AND(H934&gt;=0,H934&lt;=3333),"Grupo 1",AND(H934&gt;3333,H934&lt;=6666),"Grupo 2",AND(H934&gt;6666,H934&lt;=10000),"Grupo 3")</f>
        <v>Grupo 2</v>
      </c>
    </row>
    <row r="935" spans="1:17" x14ac:dyDescent="0.25">
      <c r="A935" t="s">
        <v>145</v>
      </c>
      <c r="B935" s="2">
        <v>45329.842361111107</v>
      </c>
      <c r="C935" t="s">
        <v>303</v>
      </c>
      <c r="D935" t="s">
        <v>212</v>
      </c>
      <c r="E935">
        <v>5</v>
      </c>
      <c r="F935">
        <v>642.74</v>
      </c>
      <c r="G935" t="s">
        <v>220</v>
      </c>
      <c r="H935">
        <v>3213.7</v>
      </c>
      <c r="I935">
        <v>2024</v>
      </c>
      <c r="J935">
        <v>2</v>
      </c>
      <c r="K935">
        <v>20</v>
      </c>
      <c r="L935" s="14">
        <v>642.74</v>
      </c>
      <c r="M935" s="4" t="str">
        <f t="shared" si="56"/>
        <v>miércoles</v>
      </c>
      <c r="N935" s="4" t="str">
        <f t="shared" si="57"/>
        <v>febrero</v>
      </c>
      <c r="O935" s="4" t="str">
        <f t="shared" si="58"/>
        <v>SI</v>
      </c>
      <c r="P935" s="4" t="str">
        <f t="shared" si="59"/>
        <v>NO</v>
      </c>
      <c r="Q935" s="4" t="str" cm="1">
        <f t="array" ref="Q935">_xlfn.IFS(AND(H935&gt;=0,H935&lt;=3333),"Grupo 1",AND(H935&gt;3333,H935&lt;=6666),"Grupo 2",AND(H935&gt;6666,H935&lt;=10000),"Grupo 3")</f>
        <v>Grupo 1</v>
      </c>
    </row>
    <row r="936" spans="1:17" x14ac:dyDescent="0.25">
      <c r="A936" t="s">
        <v>146</v>
      </c>
      <c r="B936" s="2">
        <v>45615.539583333331</v>
      </c>
      <c r="C936" t="s">
        <v>304</v>
      </c>
      <c r="D936" t="s">
        <v>219</v>
      </c>
      <c r="E936">
        <v>5</v>
      </c>
      <c r="F936">
        <v>245.73</v>
      </c>
      <c r="G936" t="s">
        <v>221</v>
      </c>
      <c r="H936">
        <v>1228.6500000000001</v>
      </c>
      <c r="I936">
        <v>2024</v>
      </c>
      <c r="J936">
        <v>11</v>
      </c>
      <c r="K936">
        <v>12</v>
      </c>
      <c r="L936" s="14">
        <v>245.73</v>
      </c>
      <c r="M936" s="4" t="str">
        <f t="shared" si="56"/>
        <v>martes</v>
      </c>
      <c r="N936" s="4" t="str">
        <f t="shared" si="57"/>
        <v>noviembre</v>
      </c>
      <c r="O936" s="4" t="str">
        <f t="shared" si="58"/>
        <v>NO</v>
      </c>
      <c r="P936" s="4" t="str">
        <f t="shared" si="59"/>
        <v>NO</v>
      </c>
      <c r="Q936" s="4" t="str" cm="1">
        <f t="array" ref="Q936">_xlfn.IFS(AND(H936&gt;=0,H936&lt;=3333),"Grupo 1",AND(H936&gt;3333,H936&lt;=6666),"Grupo 2",AND(H936&gt;6666,H936&lt;=10000),"Grupo 3")</f>
        <v>Grupo 1</v>
      </c>
    </row>
    <row r="937" spans="1:17" x14ac:dyDescent="0.25">
      <c r="A937" t="s">
        <v>147</v>
      </c>
      <c r="B937" s="2">
        <v>45222.775694444441</v>
      </c>
      <c r="C937" t="s">
        <v>305</v>
      </c>
      <c r="D937" t="s">
        <v>216</v>
      </c>
      <c r="E937">
        <v>3</v>
      </c>
      <c r="F937">
        <v>1782.13</v>
      </c>
      <c r="G937" t="s">
        <v>221</v>
      </c>
      <c r="H937">
        <v>5346.39</v>
      </c>
      <c r="I937">
        <v>2023</v>
      </c>
      <c r="J937">
        <v>10</v>
      </c>
      <c r="K937">
        <v>18</v>
      </c>
      <c r="L937" s="14">
        <v>1782.13</v>
      </c>
      <c r="M937" s="4" t="str">
        <f t="shared" si="56"/>
        <v>lunes</v>
      </c>
      <c r="N937" s="4" t="str">
        <f t="shared" si="57"/>
        <v>octubre</v>
      </c>
      <c r="O937" s="4" t="str">
        <f t="shared" si="58"/>
        <v>SI</v>
      </c>
      <c r="P937" s="4" t="str">
        <f t="shared" si="59"/>
        <v>SI</v>
      </c>
      <c r="Q937" s="4" t="str" cm="1">
        <f t="array" ref="Q937">_xlfn.IFS(AND(H937&gt;=0,H937&lt;=3333),"Grupo 1",AND(H937&gt;3333,H937&lt;=6666),"Grupo 2",AND(H937&gt;6666,H937&lt;=10000),"Grupo 3")</f>
        <v>Grupo 2</v>
      </c>
    </row>
    <row r="938" spans="1:17" x14ac:dyDescent="0.25">
      <c r="A938" t="s">
        <v>148</v>
      </c>
      <c r="B938" s="2">
        <v>45525.048611111109</v>
      </c>
      <c r="C938" t="s">
        <v>306</v>
      </c>
      <c r="D938" t="s">
        <v>215</v>
      </c>
      <c r="E938">
        <v>5</v>
      </c>
      <c r="F938">
        <v>1137.1400000000001</v>
      </c>
      <c r="G938" t="s">
        <v>220</v>
      </c>
      <c r="H938">
        <v>5685.7000000000007</v>
      </c>
      <c r="I938">
        <v>2024</v>
      </c>
      <c r="J938">
        <v>8</v>
      </c>
      <c r="K938">
        <v>1</v>
      </c>
      <c r="L938" s="14">
        <v>1137.1400000000001</v>
      </c>
      <c r="M938" s="4" t="str">
        <f t="shared" si="56"/>
        <v>miércoles</v>
      </c>
      <c r="N938" s="4" t="str">
        <f t="shared" si="57"/>
        <v>agosto</v>
      </c>
      <c r="O938" s="4" t="str">
        <f t="shared" si="58"/>
        <v>SI</v>
      </c>
      <c r="P938" s="4" t="str">
        <f t="shared" si="59"/>
        <v>SI</v>
      </c>
      <c r="Q938" s="4" t="str" cm="1">
        <f t="array" ref="Q938">_xlfn.IFS(AND(H938&gt;=0,H938&lt;=3333),"Grupo 1",AND(H938&gt;3333,H938&lt;=6666),"Grupo 2",AND(H938&gt;6666,H938&lt;=10000),"Grupo 3")</f>
        <v>Grupo 2</v>
      </c>
    </row>
    <row r="939" spans="1:17" x14ac:dyDescent="0.25">
      <c r="A939" t="s">
        <v>149</v>
      </c>
      <c r="B939" s="2">
        <v>45520.686111111107</v>
      </c>
      <c r="C939" t="s">
        <v>307</v>
      </c>
      <c r="D939" t="s">
        <v>213</v>
      </c>
      <c r="E939">
        <v>4</v>
      </c>
      <c r="F939">
        <v>966.72</v>
      </c>
      <c r="G939" t="s">
        <v>221</v>
      </c>
      <c r="H939">
        <v>3866.88</v>
      </c>
      <c r="I939">
        <v>2024</v>
      </c>
      <c r="J939">
        <v>8</v>
      </c>
      <c r="K939">
        <v>16</v>
      </c>
      <c r="L939" s="14">
        <v>966.72</v>
      </c>
      <c r="M939" s="4" t="str">
        <f t="shared" si="56"/>
        <v>viernes</v>
      </c>
      <c r="N939" s="4" t="str">
        <f t="shared" si="57"/>
        <v>agosto</v>
      </c>
      <c r="O939" s="4" t="str">
        <f t="shared" si="58"/>
        <v>SI</v>
      </c>
      <c r="P939" s="4" t="str">
        <f t="shared" si="59"/>
        <v>NO</v>
      </c>
      <c r="Q939" s="4" t="str" cm="1">
        <f t="array" ref="Q939">_xlfn.IFS(AND(H939&gt;=0,H939&lt;=3333),"Grupo 1",AND(H939&gt;3333,H939&lt;=6666),"Grupo 2",AND(H939&gt;6666,H939&lt;=10000),"Grupo 3")</f>
        <v>Grupo 2</v>
      </c>
    </row>
    <row r="940" spans="1:17" x14ac:dyDescent="0.25">
      <c r="A940" t="s">
        <v>150</v>
      </c>
      <c r="B940" s="2">
        <v>45484.331944444442</v>
      </c>
      <c r="C940" t="s">
        <v>308</v>
      </c>
      <c r="D940" t="s">
        <v>215</v>
      </c>
      <c r="E940">
        <v>5</v>
      </c>
      <c r="F940">
        <v>754.88</v>
      </c>
      <c r="G940" t="s">
        <v>220</v>
      </c>
      <c r="H940">
        <v>3774.4</v>
      </c>
      <c r="I940">
        <v>2024</v>
      </c>
      <c r="J940">
        <v>7</v>
      </c>
      <c r="K940">
        <v>7</v>
      </c>
      <c r="L940" s="14">
        <v>754.88</v>
      </c>
      <c r="M940" s="4" t="str">
        <f t="shared" si="56"/>
        <v>jueves</v>
      </c>
      <c r="N940" s="4" t="str">
        <f t="shared" si="57"/>
        <v>julio</v>
      </c>
      <c r="O940" s="4" t="str">
        <f t="shared" si="58"/>
        <v>SI</v>
      </c>
      <c r="P940" s="4" t="str">
        <f t="shared" si="59"/>
        <v>NO</v>
      </c>
      <c r="Q940" s="4" t="str" cm="1">
        <f t="array" ref="Q940">_xlfn.IFS(AND(H940&gt;=0,H940&lt;=3333),"Grupo 1",AND(H940&gt;3333,H940&lt;=6666),"Grupo 2",AND(H940&gt;6666,H940&lt;=10000),"Grupo 3")</f>
        <v>Grupo 2</v>
      </c>
    </row>
    <row r="941" spans="1:17" x14ac:dyDescent="0.25">
      <c r="A941" t="s">
        <v>151</v>
      </c>
      <c r="B941" s="2">
        <v>45842.433333333327</v>
      </c>
      <c r="C941" t="s">
        <v>309</v>
      </c>
      <c r="D941" t="s">
        <v>216</v>
      </c>
      <c r="E941">
        <v>4</v>
      </c>
      <c r="F941">
        <v>902.5</v>
      </c>
      <c r="G941" t="s">
        <v>221</v>
      </c>
      <c r="H941">
        <v>3610</v>
      </c>
      <c r="I941">
        <v>2025</v>
      </c>
      <c r="J941">
        <v>7</v>
      </c>
      <c r="K941">
        <v>10</v>
      </c>
      <c r="L941" s="14">
        <v>902.5</v>
      </c>
      <c r="M941" s="4" t="str">
        <f t="shared" si="56"/>
        <v>viernes</v>
      </c>
      <c r="N941" s="4" t="str">
        <f t="shared" si="57"/>
        <v>julio</v>
      </c>
      <c r="O941" s="4" t="str">
        <f t="shared" si="58"/>
        <v>SI</v>
      </c>
      <c r="P941" s="4" t="str">
        <f t="shared" si="59"/>
        <v>NO</v>
      </c>
      <c r="Q941" s="4" t="str" cm="1">
        <f t="array" ref="Q941">_xlfn.IFS(AND(H941&gt;=0,H941&lt;=3333),"Grupo 1",AND(H941&gt;3333,H941&lt;=6666),"Grupo 2",AND(H941&gt;6666,H941&lt;=10000),"Grupo 3")</f>
        <v>Grupo 2</v>
      </c>
    </row>
    <row r="942" spans="1:17" x14ac:dyDescent="0.25">
      <c r="A942" t="s">
        <v>152</v>
      </c>
      <c r="B942" s="2">
        <v>45697.842361111107</v>
      </c>
      <c r="C942" t="s">
        <v>310</v>
      </c>
      <c r="D942" t="s">
        <v>218</v>
      </c>
      <c r="E942">
        <v>2</v>
      </c>
      <c r="F942">
        <v>78.180000000000007</v>
      </c>
      <c r="G942" t="s">
        <v>221</v>
      </c>
      <c r="H942">
        <v>156.36000000000001</v>
      </c>
      <c r="I942">
        <v>2025</v>
      </c>
      <c r="J942">
        <v>2</v>
      </c>
      <c r="K942">
        <v>20</v>
      </c>
      <c r="L942" s="14">
        <v>78.180000000000007</v>
      </c>
      <c r="M942" s="4" t="str">
        <f t="shared" si="56"/>
        <v>domingo</v>
      </c>
      <c r="N942" s="4" t="str">
        <f t="shared" si="57"/>
        <v>febrero</v>
      </c>
      <c r="O942" s="4" t="str">
        <f t="shared" si="58"/>
        <v>NO</v>
      </c>
      <c r="P942" s="4" t="str">
        <f t="shared" si="59"/>
        <v>NO</v>
      </c>
      <c r="Q942" s="4" t="str" cm="1">
        <f t="array" ref="Q942">_xlfn.IFS(AND(H942&gt;=0,H942&lt;=3333),"Grupo 1",AND(H942&gt;3333,H942&lt;=6666),"Grupo 2",AND(H942&gt;6666,H942&lt;=10000),"Grupo 3")</f>
        <v>Grupo 1</v>
      </c>
    </row>
    <row r="943" spans="1:17" x14ac:dyDescent="0.25">
      <c r="A943" t="s">
        <v>153</v>
      </c>
      <c r="B943" s="2">
        <v>45927.180555555547</v>
      </c>
      <c r="C943" t="s">
        <v>311</v>
      </c>
      <c r="D943" t="s">
        <v>212</v>
      </c>
      <c r="E943">
        <v>2</v>
      </c>
      <c r="F943">
        <v>1615.41</v>
      </c>
      <c r="G943" t="s">
        <v>220</v>
      </c>
      <c r="H943">
        <v>3230.82</v>
      </c>
      <c r="I943">
        <v>2025</v>
      </c>
      <c r="J943">
        <v>9</v>
      </c>
      <c r="K943">
        <v>4</v>
      </c>
      <c r="L943" s="14">
        <v>1615.41</v>
      </c>
      <c r="M943" s="4" t="str">
        <f t="shared" si="56"/>
        <v>sábado</v>
      </c>
      <c r="N943" s="4" t="str">
        <f t="shared" si="57"/>
        <v>septiembre</v>
      </c>
      <c r="O943" s="4" t="str">
        <f t="shared" si="58"/>
        <v>SI</v>
      </c>
      <c r="P943" s="4" t="str">
        <f t="shared" si="59"/>
        <v>SI</v>
      </c>
      <c r="Q943" s="4" t="str" cm="1">
        <f t="array" ref="Q943">_xlfn.IFS(AND(H943&gt;=0,H943&lt;=3333),"Grupo 1",AND(H943&gt;3333,H943&lt;=6666),"Grupo 2",AND(H943&gt;6666,H943&lt;=10000),"Grupo 3")</f>
        <v>Grupo 1</v>
      </c>
    </row>
    <row r="944" spans="1:17" x14ac:dyDescent="0.25">
      <c r="A944" t="s">
        <v>154</v>
      </c>
      <c r="B944" s="2">
        <v>45511.748611111107</v>
      </c>
      <c r="C944" t="s">
        <v>312</v>
      </c>
      <c r="D944" t="s">
        <v>212</v>
      </c>
      <c r="E944">
        <v>5</v>
      </c>
      <c r="F944">
        <v>149.54</v>
      </c>
      <c r="G944" t="s">
        <v>220</v>
      </c>
      <c r="H944">
        <v>747.69999999999993</v>
      </c>
      <c r="I944">
        <v>2024</v>
      </c>
      <c r="J944">
        <v>8</v>
      </c>
      <c r="K944">
        <v>17</v>
      </c>
      <c r="L944" s="14">
        <v>149.54</v>
      </c>
      <c r="M944" s="4" t="str">
        <f t="shared" si="56"/>
        <v>miércoles</v>
      </c>
      <c r="N944" s="4" t="str">
        <f t="shared" si="57"/>
        <v>agosto</v>
      </c>
      <c r="O944" s="4" t="str">
        <f t="shared" si="58"/>
        <v>NO</v>
      </c>
      <c r="P944" s="4" t="str">
        <f t="shared" si="59"/>
        <v>NO</v>
      </c>
      <c r="Q944" s="4" t="str" cm="1">
        <f t="array" ref="Q944">_xlfn.IFS(AND(H944&gt;=0,H944&lt;=3333),"Grupo 1",AND(H944&gt;3333,H944&lt;=6666),"Grupo 2",AND(H944&gt;6666,H944&lt;=10000),"Grupo 3")</f>
        <v>Grupo 1</v>
      </c>
    </row>
    <row r="945" spans="1:17" x14ac:dyDescent="0.25">
      <c r="A945" t="s">
        <v>155</v>
      </c>
      <c r="B945" s="2">
        <v>45867.710416666669</v>
      </c>
      <c r="C945" t="s">
        <v>313</v>
      </c>
      <c r="D945" t="s">
        <v>213</v>
      </c>
      <c r="E945">
        <v>5</v>
      </c>
      <c r="F945">
        <v>955.39</v>
      </c>
      <c r="G945" t="s">
        <v>221</v>
      </c>
      <c r="H945">
        <v>4776.95</v>
      </c>
      <c r="I945">
        <v>2025</v>
      </c>
      <c r="J945">
        <v>7</v>
      </c>
      <c r="K945">
        <v>17</v>
      </c>
      <c r="L945" s="14">
        <v>955.39</v>
      </c>
      <c r="M945" s="4" t="str">
        <f t="shared" si="56"/>
        <v>martes</v>
      </c>
      <c r="N945" s="4" t="str">
        <f t="shared" si="57"/>
        <v>julio</v>
      </c>
      <c r="O945" s="4" t="str">
        <f t="shared" si="58"/>
        <v>SI</v>
      </c>
      <c r="P945" s="4" t="str">
        <f t="shared" si="59"/>
        <v>NO</v>
      </c>
      <c r="Q945" s="4" t="str" cm="1">
        <f t="array" ref="Q945">_xlfn.IFS(AND(H945&gt;=0,H945&lt;=3333),"Grupo 1",AND(H945&gt;3333,H945&lt;=6666),"Grupo 2",AND(H945&gt;6666,H945&lt;=10000),"Grupo 3")</f>
        <v>Grupo 2</v>
      </c>
    </row>
    <row r="946" spans="1:17" x14ac:dyDescent="0.25">
      <c r="A946" t="s">
        <v>156</v>
      </c>
      <c r="B946" s="2">
        <v>45339.555555555547</v>
      </c>
      <c r="C946" t="s">
        <v>314</v>
      </c>
      <c r="D946" t="s">
        <v>214</v>
      </c>
      <c r="E946">
        <v>2</v>
      </c>
      <c r="F946">
        <v>1963.63</v>
      </c>
      <c r="G946" t="s">
        <v>222</v>
      </c>
      <c r="H946">
        <v>3927.26</v>
      </c>
      <c r="I946">
        <v>2024</v>
      </c>
      <c r="J946">
        <v>2</v>
      </c>
      <c r="K946">
        <v>13</v>
      </c>
      <c r="L946" s="14">
        <v>1963.63</v>
      </c>
      <c r="M946" s="4" t="str">
        <f t="shared" si="56"/>
        <v>sábado</v>
      </c>
      <c r="N946" s="4" t="str">
        <f t="shared" si="57"/>
        <v>febrero</v>
      </c>
      <c r="O946" s="4" t="str">
        <f t="shared" si="58"/>
        <v>SI</v>
      </c>
      <c r="P946" s="4" t="str">
        <f t="shared" si="59"/>
        <v>SI</v>
      </c>
      <c r="Q946" s="4" t="str" cm="1">
        <f t="array" ref="Q946">_xlfn.IFS(AND(H946&gt;=0,H946&lt;=3333),"Grupo 1",AND(H946&gt;3333,H946&lt;=6666),"Grupo 2",AND(H946&gt;6666,H946&lt;=10000),"Grupo 3")</f>
        <v>Grupo 2</v>
      </c>
    </row>
    <row r="947" spans="1:17" x14ac:dyDescent="0.25">
      <c r="A947" t="s">
        <v>157</v>
      </c>
      <c r="B947" s="2">
        <v>45538.998611111107</v>
      </c>
      <c r="C947" t="s">
        <v>315</v>
      </c>
      <c r="D947" t="s">
        <v>216</v>
      </c>
      <c r="E947">
        <v>5</v>
      </c>
      <c r="F947">
        <v>1440.14</v>
      </c>
      <c r="G947" t="s">
        <v>221</v>
      </c>
      <c r="H947">
        <v>7200.7000000000007</v>
      </c>
      <c r="I947">
        <v>2024</v>
      </c>
      <c r="J947">
        <v>9</v>
      </c>
      <c r="K947">
        <v>23</v>
      </c>
      <c r="L947" s="14">
        <v>1440.14</v>
      </c>
      <c r="M947" s="4" t="str">
        <f t="shared" si="56"/>
        <v>martes</v>
      </c>
      <c r="N947" s="4" t="str">
        <f t="shared" si="57"/>
        <v>septiembre</v>
      </c>
      <c r="O947" s="4" t="str">
        <f t="shared" si="58"/>
        <v>SI</v>
      </c>
      <c r="P947" s="4" t="str">
        <f t="shared" si="59"/>
        <v>SI</v>
      </c>
      <c r="Q947" s="4" t="str" cm="1">
        <f t="array" ref="Q947">_xlfn.IFS(AND(H947&gt;=0,H947&lt;=3333),"Grupo 1",AND(H947&gt;3333,H947&lt;=6666),"Grupo 2",AND(H947&gt;6666,H947&lt;=10000),"Grupo 3")</f>
        <v>Grupo 3</v>
      </c>
    </row>
    <row r="948" spans="1:17" x14ac:dyDescent="0.25">
      <c r="A948" t="s">
        <v>158</v>
      </c>
      <c r="B948" s="2">
        <v>45105.837500000001</v>
      </c>
      <c r="C948" t="s">
        <v>316</v>
      </c>
      <c r="D948" t="s">
        <v>212</v>
      </c>
      <c r="E948">
        <v>4</v>
      </c>
      <c r="F948">
        <v>283.7</v>
      </c>
      <c r="G948" t="s">
        <v>220</v>
      </c>
      <c r="H948">
        <v>1134.8</v>
      </c>
      <c r="I948">
        <v>2023</v>
      </c>
      <c r="J948">
        <v>6</v>
      </c>
      <c r="K948">
        <v>20</v>
      </c>
      <c r="L948" s="14">
        <v>283.7</v>
      </c>
      <c r="M948" s="4" t="str">
        <f t="shared" si="56"/>
        <v>miércoles</v>
      </c>
      <c r="N948" s="4" t="str">
        <f t="shared" si="57"/>
        <v>junio</v>
      </c>
      <c r="O948" s="4" t="str">
        <f t="shared" si="58"/>
        <v>NO</v>
      </c>
      <c r="P948" s="4" t="str">
        <f t="shared" si="59"/>
        <v>NO</v>
      </c>
      <c r="Q948" s="4" t="str" cm="1">
        <f t="array" ref="Q948">_xlfn.IFS(AND(H948&gt;=0,H948&lt;=3333),"Grupo 1",AND(H948&gt;3333,H948&lt;=6666),"Grupo 2",AND(H948&gt;6666,H948&lt;=10000),"Grupo 3")</f>
        <v>Grupo 1</v>
      </c>
    </row>
    <row r="949" spans="1:17" x14ac:dyDescent="0.25">
      <c r="A949" t="s">
        <v>159</v>
      </c>
      <c r="B949" s="2">
        <v>45470.283333333333</v>
      </c>
      <c r="C949" t="s">
        <v>317</v>
      </c>
      <c r="D949" t="s">
        <v>215</v>
      </c>
      <c r="E949">
        <v>3</v>
      </c>
      <c r="F949">
        <v>687.51</v>
      </c>
      <c r="G949" t="s">
        <v>220</v>
      </c>
      <c r="H949">
        <v>2062.5300000000002</v>
      </c>
      <c r="I949">
        <v>2024</v>
      </c>
      <c r="J949">
        <v>6</v>
      </c>
      <c r="K949">
        <v>6</v>
      </c>
      <c r="L949" s="14">
        <v>687.50999999999988</v>
      </c>
      <c r="M949" s="4" t="str">
        <f t="shared" si="56"/>
        <v>jueves</v>
      </c>
      <c r="N949" s="4" t="str">
        <f t="shared" si="57"/>
        <v>junio</v>
      </c>
      <c r="O949" s="4" t="str">
        <f t="shared" si="58"/>
        <v>NO</v>
      </c>
      <c r="P949" s="4" t="str">
        <f t="shared" si="59"/>
        <v>NO</v>
      </c>
      <c r="Q949" s="4" t="str" cm="1">
        <f t="array" ref="Q949">_xlfn.IFS(AND(H949&gt;=0,H949&lt;=3333),"Grupo 1",AND(H949&gt;3333,H949&lt;=6666),"Grupo 2",AND(H949&gt;6666,H949&lt;=10000),"Grupo 3")</f>
        <v>Grupo 1</v>
      </c>
    </row>
    <row r="950" spans="1:17" x14ac:dyDescent="0.25">
      <c r="A950" t="s">
        <v>160</v>
      </c>
      <c r="B950" s="2">
        <v>45122.511805555558</v>
      </c>
      <c r="C950" t="s">
        <v>318</v>
      </c>
      <c r="D950" t="s">
        <v>216</v>
      </c>
      <c r="E950">
        <v>2</v>
      </c>
      <c r="F950">
        <v>282</v>
      </c>
      <c r="G950" t="s">
        <v>221</v>
      </c>
      <c r="H950">
        <v>564</v>
      </c>
      <c r="I950">
        <v>2023</v>
      </c>
      <c r="J950">
        <v>7</v>
      </c>
      <c r="K950">
        <v>12</v>
      </c>
      <c r="L950" s="14">
        <v>282</v>
      </c>
      <c r="M950" s="4" t="str">
        <f t="shared" si="56"/>
        <v>sábado</v>
      </c>
      <c r="N950" s="4" t="str">
        <f t="shared" si="57"/>
        <v>julio</v>
      </c>
      <c r="O950" s="4" t="str">
        <f t="shared" si="58"/>
        <v>NO</v>
      </c>
      <c r="P950" s="4" t="str">
        <f t="shared" si="59"/>
        <v>NO</v>
      </c>
      <c r="Q950" s="4" t="str" cm="1">
        <f t="array" ref="Q950">_xlfn.IFS(AND(H950&gt;=0,H950&lt;=3333),"Grupo 1",AND(H950&gt;3333,H950&lt;=6666),"Grupo 2",AND(H950&gt;6666,H950&lt;=10000),"Grupo 3")</f>
        <v>Grupo 1</v>
      </c>
    </row>
    <row r="951" spans="1:17" x14ac:dyDescent="0.25">
      <c r="A951" t="s">
        <v>161</v>
      </c>
      <c r="B951" s="2">
        <v>45878.351388888892</v>
      </c>
      <c r="C951" t="s">
        <v>319</v>
      </c>
      <c r="D951" t="s">
        <v>215</v>
      </c>
      <c r="E951">
        <v>4</v>
      </c>
      <c r="F951">
        <v>1471.38</v>
      </c>
      <c r="G951" t="s">
        <v>220</v>
      </c>
      <c r="H951">
        <v>5885.52</v>
      </c>
      <c r="I951">
        <v>2025</v>
      </c>
      <c r="J951">
        <v>8</v>
      </c>
      <c r="K951">
        <v>8</v>
      </c>
      <c r="L951" s="14">
        <v>1471.38</v>
      </c>
      <c r="M951" s="4" t="str">
        <f t="shared" si="56"/>
        <v>sábado</v>
      </c>
      <c r="N951" s="4" t="str">
        <f t="shared" si="57"/>
        <v>agosto</v>
      </c>
      <c r="O951" s="4" t="str">
        <f t="shared" si="58"/>
        <v>SI</v>
      </c>
      <c r="P951" s="4" t="str">
        <f t="shared" si="59"/>
        <v>SI</v>
      </c>
      <c r="Q951" s="4" t="str" cm="1">
        <f t="array" ref="Q951">_xlfn.IFS(AND(H951&gt;=0,H951&lt;=3333),"Grupo 1",AND(H951&gt;3333,H951&lt;=6666),"Grupo 2",AND(H951&gt;6666,H951&lt;=10000),"Grupo 3")</f>
        <v>Grupo 2</v>
      </c>
    </row>
    <row r="952" spans="1:17" x14ac:dyDescent="0.25">
      <c r="A952" t="s">
        <v>162</v>
      </c>
      <c r="B952" s="2">
        <v>45894.257638888892</v>
      </c>
      <c r="C952" t="s">
        <v>320</v>
      </c>
      <c r="D952" t="s">
        <v>216</v>
      </c>
      <c r="E952">
        <v>1</v>
      </c>
      <c r="F952">
        <v>1463.91</v>
      </c>
      <c r="G952" t="s">
        <v>221</v>
      </c>
      <c r="H952">
        <v>1463.91</v>
      </c>
      <c r="I952">
        <v>2025</v>
      </c>
      <c r="J952">
        <v>8</v>
      </c>
      <c r="K952">
        <v>6</v>
      </c>
      <c r="L952" s="14">
        <v>1463.91</v>
      </c>
      <c r="M952" s="4" t="str">
        <f t="shared" si="56"/>
        <v>lunes</v>
      </c>
      <c r="N952" s="4" t="str">
        <f t="shared" si="57"/>
        <v>agosto</v>
      </c>
      <c r="O952" s="4" t="str">
        <f t="shared" si="58"/>
        <v>NO</v>
      </c>
      <c r="P952" s="4" t="str">
        <f t="shared" si="59"/>
        <v>SI</v>
      </c>
      <c r="Q952" s="4" t="str" cm="1">
        <f t="array" ref="Q952">_xlfn.IFS(AND(H952&gt;=0,H952&lt;=3333),"Grupo 1",AND(H952&gt;3333,H952&lt;=6666),"Grupo 2",AND(H952&gt;6666,H952&lt;=10000),"Grupo 3")</f>
        <v>Grupo 1</v>
      </c>
    </row>
    <row r="953" spans="1:17" x14ac:dyDescent="0.25">
      <c r="A953" t="s">
        <v>163</v>
      </c>
      <c r="B953" s="2">
        <v>45321.105555555558</v>
      </c>
      <c r="C953" t="s">
        <v>321</v>
      </c>
      <c r="D953" t="s">
        <v>213</v>
      </c>
      <c r="E953">
        <v>4</v>
      </c>
      <c r="F953">
        <v>1585.49</v>
      </c>
      <c r="G953" t="s">
        <v>221</v>
      </c>
      <c r="H953">
        <v>6341.96</v>
      </c>
      <c r="I953">
        <v>2024</v>
      </c>
      <c r="J953">
        <v>1</v>
      </c>
      <c r="K953">
        <v>2</v>
      </c>
      <c r="L953" s="14">
        <v>1585.49</v>
      </c>
      <c r="M953" s="4" t="str">
        <f t="shared" si="56"/>
        <v>martes</v>
      </c>
      <c r="N953" s="4" t="str">
        <f t="shared" si="57"/>
        <v>enero</v>
      </c>
      <c r="O953" s="4" t="str">
        <f t="shared" si="58"/>
        <v>SI</v>
      </c>
      <c r="P953" s="4" t="str">
        <f t="shared" si="59"/>
        <v>SI</v>
      </c>
      <c r="Q953" s="4" t="str" cm="1">
        <f t="array" ref="Q953">_xlfn.IFS(AND(H953&gt;=0,H953&lt;=3333),"Grupo 1",AND(H953&gt;3333,H953&lt;=6666),"Grupo 2",AND(H953&gt;6666,H953&lt;=10000),"Grupo 3")</f>
        <v>Grupo 2</v>
      </c>
    </row>
    <row r="954" spans="1:17" x14ac:dyDescent="0.25">
      <c r="A954" t="s">
        <v>164</v>
      </c>
      <c r="B954" s="2">
        <v>45571.035416666673</v>
      </c>
      <c r="C954" t="s">
        <v>322</v>
      </c>
      <c r="D954" t="s">
        <v>213</v>
      </c>
      <c r="E954">
        <v>1</v>
      </c>
      <c r="F954">
        <v>662.17</v>
      </c>
      <c r="G954" t="s">
        <v>221</v>
      </c>
      <c r="H954">
        <v>662.17</v>
      </c>
      <c r="I954">
        <v>2024</v>
      </c>
      <c r="J954">
        <v>10</v>
      </c>
      <c r="K954">
        <v>0</v>
      </c>
      <c r="L954" s="14">
        <v>662.17</v>
      </c>
      <c r="M954" s="4" t="str">
        <f t="shared" si="56"/>
        <v>domingo</v>
      </c>
      <c r="N954" s="4" t="str">
        <f t="shared" si="57"/>
        <v>octubre</v>
      </c>
      <c r="O954" s="4" t="str">
        <f t="shared" si="58"/>
        <v>NO</v>
      </c>
      <c r="P954" s="4" t="str">
        <f t="shared" si="59"/>
        <v>NO</v>
      </c>
      <c r="Q954" s="4" t="str" cm="1">
        <f t="array" ref="Q954">_xlfn.IFS(AND(H954&gt;=0,H954&lt;=3333),"Grupo 1",AND(H954&gt;3333,H954&lt;=6666),"Grupo 2",AND(H954&gt;6666,H954&lt;=10000),"Grupo 3")</f>
        <v>Grupo 1</v>
      </c>
    </row>
    <row r="955" spans="1:17" x14ac:dyDescent="0.25">
      <c r="A955" t="s">
        <v>165</v>
      </c>
      <c r="B955" s="2">
        <v>45442.757638888892</v>
      </c>
      <c r="C955" t="s">
        <v>323</v>
      </c>
      <c r="D955" t="s">
        <v>216</v>
      </c>
      <c r="E955">
        <v>2</v>
      </c>
      <c r="F955">
        <v>136.68</v>
      </c>
      <c r="G955" t="s">
        <v>221</v>
      </c>
      <c r="H955">
        <v>273.36</v>
      </c>
      <c r="I955">
        <v>2024</v>
      </c>
      <c r="J955">
        <v>5</v>
      </c>
      <c r="K955">
        <v>18</v>
      </c>
      <c r="L955" s="14">
        <v>136.68</v>
      </c>
      <c r="M955" s="4" t="str">
        <f t="shared" si="56"/>
        <v>jueves</v>
      </c>
      <c r="N955" s="4" t="str">
        <f t="shared" si="57"/>
        <v>mayo</v>
      </c>
      <c r="O955" s="4" t="str">
        <f t="shared" si="58"/>
        <v>NO</v>
      </c>
      <c r="P955" s="4" t="str">
        <f t="shared" si="59"/>
        <v>NO</v>
      </c>
      <c r="Q955" s="4" t="str" cm="1">
        <f t="array" ref="Q955">_xlfn.IFS(AND(H955&gt;=0,H955&lt;=3333),"Grupo 1",AND(H955&gt;3333,H955&lt;=6666),"Grupo 2",AND(H955&gt;6666,H955&lt;=10000),"Grupo 3")</f>
        <v>Grupo 1</v>
      </c>
    </row>
    <row r="956" spans="1:17" x14ac:dyDescent="0.25">
      <c r="A956" t="s">
        <v>166</v>
      </c>
      <c r="B956" s="2">
        <v>45889.054166666669</v>
      </c>
      <c r="C956" t="s">
        <v>324</v>
      </c>
      <c r="D956" t="s">
        <v>215</v>
      </c>
      <c r="E956">
        <v>4</v>
      </c>
      <c r="F956">
        <v>118.64</v>
      </c>
      <c r="G956" t="s">
        <v>220</v>
      </c>
      <c r="H956">
        <v>474.56</v>
      </c>
      <c r="I956">
        <v>2025</v>
      </c>
      <c r="J956">
        <v>8</v>
      </c>
      <c r="K956">
        <v>1</v>
      </c>
      <c r="L956" s="14">
        <v>118.64</v>
      </c>
      <c r="M956" s="4" t="str">
        <f t="shared" si="56"/>
        <v>miércoles</v>
      </c>
      <c r="N956" s="4" t="str">
        <f t="shared" si="57"/>
        <v>agosto</v>
      </c>
      <c r="O956" s="4" t="str">
        <f t="shared" si="58"/>
        <v>NO</v>
      </c>
      <c r="P956" s="4" t="str">
        <f t="shared" si="59"/>
        <v>NO</v>
      </c>
      <c r="Q956" s="4" t="str" cm="1">
        <f t="array" ref="Q956">_xlfn.IFS(AND(H956&gt;=0,H956&lt;=3333),"Grupo 1",AND(H956&gt;3333,H956&lt;=6666),"Grupo 2",AND(H956&gt;6666,H956&lt;=10000),"Grupo 3")</f>
        <v>Grupo 1</v>
      </c>
    </row>
    <row r="957" spans="1:17" x14ac:dyDescent="0.25">
      <c r="A957" t="s">
        <v>167</v>
      </c>
      <c r="B957" s="2">
        <v>45468.727083333331</v>
      </c>
      <c r="C957" t="s">
        <v>325</v>
      </c>
      <c r="D957" t="s">
        <v>217</v>
      </c>
      <c r="E957">
        <v>3</v>
      </c>
      <c r="F957">
        <v>933.49</v>
      </c>
      <c r="G957" t="s">
        <v>220</v>
      </c>
      <c r="H957">
        <v>2800.47</v>
      </c>
      <c r="I957">
        <v>2024</v>
      </c>
      <c r="J957">
        <v>6</v>
      </c>
      <c r="K957">
        <v>17</v>
      </c>
      <c r="L957" s="14">
        <v>933.49000000000012</v>
      </c>
      <c r="M957" s="4" t="str">
        <f t="shared" si="56"/>
        <v>martes</v>
      </c>
      <c r="N957" s="4" t="str">
        <f t="shared" si="57"/>
        <v>junio</v>
      </c>
      <c r="O957" s="4" t="str">
        <f t="shared" si="58"/>
        <v>NO</v>
      </c>
      <c r="P957" s="4" t="str">
        <f t="shared" si="59"/>
        <v>NO</v>
      </c>
      <c r="Q957" s="4" t="str" cm="1">
        <f t="array" ref="Q957">_xlfn.IFS(AND(H957&gt;=0,H957&lt;=3333),"Grupo 1",AND(H957&gt;3333,H957&lt;=6666),"Grupo 2",AND(H957&gt;6666,H957&lt;=10000),"Grupo 3")</f>
        <v>Grupo 1</v>
      </c>
    </row>
    <row r="958" spans="1:17" x14ac:dyDescent="0.25">
      <c r="A958" t="s">
        <v>168</v>
      </c>
      <c r="B958" s="2">
        <v>45202.955555555563</v>
      </c>
      <c r="C958" t="s">
        <v>326</v>
      </c>
      <c r="D958" t="s">
        <v>219</v>
      </c>
      <c r="E958">
        <v>2</v>
      </c>
      <c r="F958">
        <v>1035.0899999999999</v>
      </c>
      <c r="G958" t="s">
        <v>221</v>
      </c>
      <c r="H958">
        <v>2070.1799999999998</v>
      </c>
      <c r="I958">
        <v>2023</v>
      </c>
      <c r="J958">
        <v>10</v>
      </c>
      <c r="K958">
        <v>22</v>
      </c>
      <c r="L958" s="14">
        <v>1035.0899999999999</v>
      </c>
      <c r="M958" s="4" t="str">
        <f t="shared" si="56"/>
        <v>martes</v>
      </c>
      <c r="N958" s="4" t="str">
        <f t="shared" si="57"/>
        <v>octubre</v>
      </c>
      <c r="O958" s="4" t="str">
        <f t="shared" si="58"/>
        <v>NO</v>
      </c>
      <c r="P958" s="4" t="str">
        <f t="shared" si="59"/>
        <v>SI</v>
      </c>
      <c r="Q958" s="4" t="str" cm="1">
        <f t="array" ref="Q958">_xlfn.IFS(AND(H958&gt;=0,H958&lt;=3333),"Grupo 1",AND(H958&gt;3333,H958&lt;=6666),"Grupo 2",AND(H958&gt;6666,H958&lt;=10000),"Grupo 3")</f>
        <v>Grupo 1</v>
      </c>
    </row>
    <row r="959" spans="1:17" x14ac:dyDescent="0.25">
      <c r="A959" t="s">
        <v>169</v>
      </c>
      <c r="B959" s="2">
        <v>45323.202777777777</v>
      </c>
      <c r="C959" t="s">
        <v>327</v>
      </c>
      <c r="D959" t="s">
        <v>215</v>
      </c>
      <c r="E959">
        <v>2</v>
      </c>
      <c r="F959">
        <v>1325.01</v>
      </c>
      <c r="G959" t="s">
        <v>220</v>
      </c>
      <c r="H959">
        <v>2650.02</v>
      </c>
      <c r="I959">
        <v>2024</v>
      </c>
      <c r="J959">
        <v>2</v>
      </c>
      <c r="K959">
        <v>4</v>
      </c>
      <c r="L959" s="14">
        <v>1325.01</v>
      </c>
      <c r="M959" s="4" t="str">
        <f t="shared" si="56"/>
        <v>jueves</v>
      </c>
      <c r="N959" s="4" t="str">
        <f t="shared" si="57"/>
        <v>febrero</v>
      </c>
      <c r="O959" s="4" t="str">
        <f t="shared" si="58"/>
        <v>NO</v>
      </c>
      <c r="P959" s="4" t="str">
        <f t="shared" si="59"/>
        <v>SI</v>
      </c>
      <c r="Q959" s="4" t="str" cm="1">
        <f t="array" ref="Q959">_xlfn.IFS(AND(H959&gt;=0,H959&lt;=3333),"Grupo 1",AND(H959&gt;3333,H959&lt;=6666),"Grupo 2",AND(H959&gt;6666,H959&lt;=10000),"Grupo 3")</f>
        <v>Grupo 1</v>
      </c>
    </row>
    <row r="960" spans="1:17" x14ac:dyDescent="0.25">
      <c r="A960" t="s">
        <v>170</v>
      </c>
      <c r="B960" s="2">
        <v>45288.395833333343</v>
      </c>
      <c r="C960" t="s">
        <v>328</v>
      </c>
      <c r="D960" t="s">
        <v>213</v>
      </c>
      <c r="E960">
        <v>4</v>
      </c>
      <c r="F960">
        <v>710.84</v>
      </c>
      <c r="G960" t="s">
        <v>221</v>
      </c>
      <c r="H960">
        <v>2843.36</v>
      </c>
      <c r="I960">
        <v>2023</v>
      </c>
      <c r="J960">
        <v>12</v>
      </c>
      <c r="K960">
        <v>9</v>
      </c>
      <c r="L960" s="14">
        <v>710.84</v>
      </c>
      <c r="M960" s="4" t="str">
        <f t="shared" si="56"/>
        <v>jueves</v>
      </c>
      <c r="N960" s="4" t="str">
        <f t="shared" si="57"/>
        <v>diciembre</v>
      </c>
      <c r="O960" s="4" t="str">
        <f t="shared" si="58"/>
        <v>NO</v>
      </c>
      <c r="P960" s="4" t="str">
        <f t="shared" si="59"/>
        <v>NO</v>
      </c>
      <c r="Q960" s="4" t="str" cm="1">
        <f t="array" ref="Q960">_xlfn.IFS(AND(H960&gt;=0,H960&lt;=3333),"Grupo 1",AND(H960&gt;3333,H960&lt;=6666),"Grupo 2",AND(H960&gt;6666,H960&lt;=10000),"Grupo 3")</f>
        <v>Grupo 1</v>
      </c>
    </row>
    <row r="961" spans="1:17" x14ac:dyDescent="0.25">
      <c r="A961" t="s">
        <v>171</v>
      </c>
      <c r="B961" s="2">
        <v>45900.337500000001</v>
      </c>
      <c r="C961" t="s">
        <v>329</v>
      </c>
      <c r="D961" t="s">
        <v>214</v>
      </c>
      <c r="E961">
        <v>3</v>
      </c>
      <c r="F961">
        <v>97.27</v>
      </c>
      <c r="G961" t="s">
        <v>222</v>
      </c>
      <c r="H961">
        <v>291.81</v>
      </c>
      <c r="I961">
        <v>2025</v>
      </c>
      <c r="J961">
        <v>8</v>
      </c>
      <c r="K961">
        <v>8</v>
      </c>
      <c r="L961" s="14">
        <v>97.27</v>
      </c>
      <c r="M961" s="4" t="str">
        <f t="shared" si="56"/>
        <v>domingo</v>
      </c>
      <c r="N961" s="4" t="str">
        <f t="shared" si="57"/>
        <v>agosto</v>
      </c>
      <c r="O961" s="4" t="str">
        <f t="shared" si="58"/>
        <v>NO</v>
      </c>
      <c r="P961" s="4" t="str">
        <f t="shared" si="59"/>
        <v>NO</v>
      </c>
      <c r="Q961" s="4" t="str" cm="1">
        <f t="array" ref="Q961">_xlfn.IFS(AND(H961&gt;=0,H961&lt;=3333),"Grupo 1",AND(H961&gt;3333,H961&lt;=6666),"Grupo 2",AND(H961&gt;6666,H961&lt;=10000),"Grupo 3")</f>
        <v>Grupo 1</v>
      </c>
    </row>
    <row r="962" spans="1:17" x14ac:dyDescent="0.25">
      <c r="A962" t="s">
        <v>172</v>
      </c>
      <c r="B962" s="2">
        <v>45576.732638888891</v>
      </c>
      <c r="C962" t="s">
        <v>330</v>
      </c>
      <c r="D962" t="s">
        <v>215</v>
      </c>
      <c r="E962">
        <v>5</v>
      </c>
      <c r="F962">
        <v>498.36</v>
      </c>
      <c r="G962" t="s">
        <v>220</v>
      </c>
      <c r="H962">
        <v>2491.8000000000002</v>
      </c>
      <c r="I962">
        <v>2024</v>
      </c>
      <c r="J962">
        <v>10</v>
      </c>
      <c r="K962">
        <v>17</v>
      </c>
      <c r="L962" s="14">
        <v>498.36</v>
      </c>
      <c r="M962" s="4" t="str">
        <f t="shared" ref="M962:M1025" si="60">TEXT(B962,"dddd")</f>
        <v>viernes</v>
      </c>
      <c r="N962" s="4" t="str">
        <f t="shared" ref="N962:N1025" si="61">TEXT(B962,"mmmm")</f>
        <v>octubre</v>
      </c>
      <c r="O962" s="4" t="str">
        <f t="shared" si="58"/>
        <v>NO</v>
      </c>
      <c r="P962" s="4" t="str">
        <f t="shared" si="59"/>
        <v>NO</v>
      </c>
      <c r="Q962" s="4" t="str" cm="1">
        <f t="array" ref="Q962">_xlfn.IFS(AND(H962&gt;=0,H962&lt;=3333),"Grupo 1",AND(H962&gt;3333,H962&lt;=6666),"Grupo 2",AND(H962&gt;6666,H962&lt;=10000),"Grupo 3")</f>
        <v>Grupo 1</v>
      </c>
    </row>
    <row r="963" spans="1:17" x14ac:dyDescent="0.25">
      <c r="A963" t="s">
        <v>173</v>
      </c>
      <c r="B963" s="2">
        <v>45392.97152777778</v>
      </c>
      <c r="C963" t="s">
        <v>331</v>
      </c>
      <c r="D963" t="s">
        <v>214</v>
      </c>
      <c r="E963">
        <v>5</v>
      </c>
      <c r="F963">
        <v>980.89</v>
      </c>
      <c r="G963" t="s">
        <v>222</v>
      </c>
      <c r="H963">
        <v>4904.45</v>
      </c>
      <c r="I963">
        <v>2024</v>
      </c>
      <c r="J963">
        <v>4</v>
      </c>
      <c r="K963">
        <v>23</v>
      </c>
      <c r="L963" s="14">
        <v>980.89</v>
      </c>
      <c r="M963" s="4" t="str">
        <f t="shared" si="60"/>
        <v>miércoles</v>
      </c>
      <c r="N963" s="4" t="str">
        <f t="shared" si="61"/>
        <v>abril</v>
      </c>
      <c r="O963" s="4" t="str">
        <f t="shared" ref="O963:O1026" si="62">IF(H963&gt;AVERAGE(H:H),"SI","NO")</f>
        <v>SI</v>
      </c>
      <c r="P963" s="4" t="str">
        <f t="shared" ref="P963:P1026" si="63">IF(L963&gt;AVERAGE(L:L),"SI","NO")</f>
        <v>NO</v>
      </c>
      <c r="Q963" s="4" t="str" cm="1">
        <f t="array" ref="Q963">_xlfn.IFS(AND(H963&gt;=0,H963&lt;=3333),"Grupo 1",AND(H963&gt;3333,H963&lt;=6666),"Grupo 2",AND(H963&gt;6666,H963&lt;=10000),"Grupo 3")</f>
        <v>Grupo 2</v>
      </c>
    </row>
    <row r="964" spans="1:17" x14ac:dyDescent="0.25">
      <c r="A964" t="s">
        <v>174</v>
      </c>
      <c r="B964" s="2">
        <v>45584.049305555563</v>
      </c>
      <c r="C964" t="s">
        <v>332</v>
      </c>
      <c r="D964" t="s">
        <v>213</v>
      </c>
      <c r="E964">
        <v>1</v>
      </c>
      <c r="F964">
        <v>1390.33</v>
      </c>
      <c r="G964" t="s">
        <v>221</v>
      </c>
      <c r="H964">
        <v>1390.33</v>
      </c>
      <c r="I964">
        <v>2024</v>
      </c>
      <c r="J964">
        <v>10</v>
      </c>
      <c r="K964">
        <v>1</v>
      </c>
      <c r="L964" s="14">
        <v>1390.33</v>
      </c>
      <c r="M964" s="4" t="str">
        <f t="shared" si="60"/>
        <v>sábado</v>
      </c>
      <c r="N964" s="4" t="str">
        <f t="shared" si="61"/>
        <v>octubre</v>
      </c>
      <c r="O964" s="4" t="str">
        <f t="shared" si="62"/>
        <v>NO</v>
      </c>
      <c r="P964" s="4" t="str">
        <f t="shared" si="63"/>
        <v>SI</v>
      </c>
      <c r="Q964" s="4" t="str" cm="1">
        <f t="array" ref="Q964">_xlfn.IFS(AND(H964&gt;=0,H964&lt;=3333),"Grupo 1",AND(H964&gt;3333,H964&lt;=6666),"Grupo 2",AND(H964&gt;6666,H964&lt;=10000),"Grupo 3")</f>
        <v>Grupo 1</v>
      </c>
    </row>
    <row r="965" spans="1:17" x14ac:dyDescent="0.25">
      <c r="A965" t="s">
        <v>175</v>
      </c>
      <c r="B965" s="2">
        <v>44941.657638888893</v>
      </c>
      <c r="C965" t="s">
        <v>333</v>
      </c>
      <c r="D965" t="s">
        <v>217</v>
      </c>
      <c r="E965">
        <v>5</v>
      </c>
      <c r="F965">
        <v>1708.09</v>
      </c>
      <c r="G965" t="s">
        <v>220</v>
      </c>
      <c r="H965">
        <v>8540.4499999999989</v>
      </c>
      <c r="I965">
        <v>2023</v>
      </c>
      <c r="J965">
        <v>1</v>
      </c>
      <c r="K965">
        <v>15</v>
      </c>
      <c r="L965" s="14">
        <v>1708.09</v>
      </c>
      <c r="M965" s="4" t="str">
        <f t="shared" si="60"/>
        <v>domingo</v>
      </c>
      <c r="N965" s="4" t="str">
        <f t="shared" si="61"/>
        <v>enero</v>
      </c>
      <c r="O965" s="4" t="str">
        <f t="shared" si="62"/>
        <v>SI</v>
      </c>
      <c r="P965" s="4" t="str">
        <f t="shared" si="63"/>
        <v>SI</v>
      </c>
      <c r="Q965" s="4" t="str" cm="1">
        <f t="array" ref="Q965">_xlfn.IFS(AND(H965&gt;=0,H965&lt;=3333),"Grupo 1",AND(H965&gt;3333,H965&lt;=6666),"Grupo 2",AND(H965&gt;6666,H965&lt;=10000),"Grupo 3")</f>
        <v>Grupo 3</v>
      </c>
    </row>
    <row r="966" spans="1:17" x14ac:dyDescent="0.25">
      <c r="A966" t="s">
        <v>176</v>
      </c>
      <c r="B966" s="2">
        <v>45238.718055555553</v>
      </c>
      <c r="C966" t="s">
        <v>334</v>
      </c>
      <c r="D966" t="s">
        <v>219</v>
      </c>
      <c r="E966">
        <v>3</v>
      </c>
      <c r="F966">
        <v>459.4</v>
      </c>
      <c r="G966" t="s">
        <v>221</v>
      </c>
      <c r="H966">
        <v>1378.2</v>
      </c>
      <c r="I966">
        <v>2023</v>
      </c>
      <c r="J966">
        <v>11</v>
      </c>
      <c r="K966">
        <v>17</v>
      </c>
      <c r="L966" s="14">
        <v>459.39999999999992</v>
      </c>
      <c r="M966" s="4" t="str">
        <f t="shared" si="60"/>
        <v>miércoles</v>
      </c>
      <c r="N966" s="4" t="str">
        <f t="shared" si="61"/>
        <v>noviembre</v>
      </c>
      <c r="O966" s="4" t="str">
        <f t="shared" si="62"/>
        <v>NO</v>
      </c>
      <c r="P966" s="4" t="str">
        <f t="shared" si="63"/>
        <v>NO</v>
      </c>
      <c r="Q966" s="4" t="str" cm="1">
        <f t="array" ref="Q966">_xlfn.IFS(AND(H966&gt;=0,H966&lt;=3333),"Grupo 1",AND(H966&gt;3333,H966&lt;=6666),"Grupo 2",AND(H966&gt;6666,H966&lt;=10000),"Grupo 3")</f>
        <v>Grupo 1</v>
      </c>
    </row>
    <row r="967" spans="1:17" x14ac:dyDescent="0.25">
      <c r="A967" t="s">
        <v>177</v>
      </c>
      <c r="B967" s="2">
        <v>44973.59652777778</v>
      </c>
      <c r="C967" t="s">
        <v>335</v>
      </c>
      <c r="D967" t="s">
        <v>215</v>
      </c>
      <c r="E967">
        <v>1</v>
      </c>
      <c r="F967">
        <v>1578.33</v>
      </c>
      <c r="G967" t="s">
        <v>220</v>
      </c>
      <c r="H967">
        <v>1578.33</v>
      </c>
      <c r="I967">
        <v>2023</v>
      </c>
      <c r="J967">
        <v>2</v>
      </c>
      <c r="K967">
        <v>14</v>
      </c>
      <c r="L967" s="14">
        <v>1578.33</v>
      </c>
      <c r="M967" s="4" t="str">
        <f t="shared" si="60"/>
        <v>jueves</v>
      </c>
      <c r="N967" s="4" t="str">
        <f t="shared" si="61"/>
        <v>febrero</v>
      </c>
      <c r="O967" s="4" t="str">
        <f t="shared" si="62"/>
        <v>NO</v>
      </c>
      <c r="P967" s="4" t="str">
        <f t="shared" si="63"/>
        <v>SI</v>
      </c>
      <c r="Q967" s="4" t="str" cm="1">
        <f t="array" ref="Q967">_xlfn.IFS(AND(H967&gt;=0,H967&lt;=3333),"Grupo 1",AND(H967&gt;3333,H967&lt;=6666),"Grupo 2",AND(H967&gt;6666,H967&lt;=10000),"Grupo 3")</f>
        <v>Grupo 1</v>
      </c>
    </row>
    <row r="968" spans="1:17" x14ac:dyDescent="0.25">
      <c r="A968" t="s">
        <v>178</v>
      </c>
      <c r="B968" s="2">
        <v>45445.690972222219</v>
      </c>
      <c r="C968" t="s">
        <v>336</v>
      </c>
      <c r="D968" t="s">
        <v>213</v>
      </c>
      <c r="E968">
        <v>5</v>
      </c>
      <c r="F968">
        <v>1602.39</v>
      </c>
      <c r="G968" t="s">
        <v>221</v>
      </c>
      <c r="H968">
        <v>8011.9500000000007</v>
      </c>
      <c r="I968">
        <v>2024</v>
      </c>
      <c r="J968">
        <v>6</v>
      </c>
      <c r="K968">
        <v>16</v>
      </c>
      <c r="L968" s="14">
        <v>1602.39</v>
      </c>
      <c r="M968" s="4" t="str">
        <f t="shared" si="60"/>
        <v>domingo</v>
      </c>
      <c r="N968" s="4" t="str">
        <f t="shared" si="61"/>
        <v>junio</v>
      </c>
      <c r="O968" s="4" t="str">
        <f t="shared" si="62"/>
        <v>SI</v>
      </c>
      <c r="P968" s="4" t="str">
        <f t="shared" si="63"/>
        <v>SI</v>
      </c>
      <c r="Q968" s="4" t="str" cm="1">
        <f t="array" ref="Q968">_xlfn.IFS(AND(H968&gt;=0,H968&lt;=3333),"Grupo 1",AND(H968&gt;3333,H968&lt;=6666),"Grupo 2",AND(H968&gt;6666,H968&lt;=10000),"Grupo 3")</f>
        <v>Grupo 3</v>
      </c>
    </row>
    <row r="969" spans="1:17" x14ac:dyDescent="0.25">
      <c r="A969" t="s">
        <v>179</v>
      </c>
      <c r="B969" s="2">
        <v>45035.472916666673</v>
      </c>
      <c r="C969" t="s">
        <v>337</v>
      </c>
      <c r="D969" t="s">
        <v>213</v>
      </c>
      <c r="E969">
        <v>2</v>
      </c>
      <c r="F969">
        <v>714.55</v>
      </c>
      <c r="G969" t="s">
        <v>221</v>
      </c>
      <c r="H969">
        <v>1429.1</v>
      </c>
      <c r="I969">
        <v>2023</v>
      </c>
      <c r="J969">
        <v>4</v>
      </c>
      <c r="K969">
        <v>11</v>
      </c>
      <c r="L969" s="14">
        <v>714.55</v>
      </c>
      <c r="M969" s="4" t="str">
        <f t="shared" si="60"/>
        <v>miércoles</v>
      </c>
      <c r="N969" s="4" t="str">
        <f t="shared" si="61"/>
        <v>abril</v>
      </c>
      <c r="O969" s="4" t="str">
        <f t="shared" si="62"/>
        <v>NO</v>
      </c>
      <c r="P969" s="4" t="str">
        <f t="shared" si="63"/>
        <v>NO</v>
      </c>
      <c r="Q969" s="4" t="str" cm="1">
        <f t="array" ref="Q969">_xlfn.IFS(AND(H969&gt;=0,H969&lt;=3333),"Grupo 1",AND(H969&gt;3333,H969&lt;=6666),"Grupo 2",AND(H969&gt;6666,H969&lt;=10000),"Grupo 3")</f>
        <v>Grupo 1</v>
      </c>
    </row>
    <row r="970" spans="1:17" x14ac:dyDescent="0.25">
      <c r="A970" t="s">
        <v>180</v>
      </c>
      <c r="B970" s="2">
        <v>45836.104166666657</v>
      </c>
      <c r="C970" t="s">
        <v>338</v>
      </c>
      <c r="D970" t="s">
        <v>214</v>
      </c>
      <c r="E970">
        <v>2</v>
      </c>
      <c r="F970">
        <v>140.54</v>
      </c>
      <c r="G970" t="s">
        <v>222</v>
      </c>
      <c r="H970">
        <v>281.08</v>
      </c>
      <c r="I970">
        <v>2025</v>
      </c>
      <c r="J970">
        <v>6</v>
      </c>
      <c r="K970">
        <v>2</v>
      </c>
      <c r="L970" s="14">
        <v>140.54</v>
      </c>
      <c r="M970" s="4" t="str">
        <f t="shared" si="60"/>
        <v>sábado</v>
      </c>
      <c r="N970" s="4" t="str">
        <f t="shared" si="61"/>
        <v>junio</v>
      </c>
      <c r="O970" s="4" t="str">
        <f t="shared" si="62"/>
        <v>NO</v>
      </c>
      <c r="P970" s="4" t="str">
        <f t="shared" si="63"/>
        <v>NO</v>
      </c>
      <c r="Q970" s="4" t="str" cm="1">
        <f t="array" ref="Q970">_xlfn.IFS(AND(H970&gt;=0,H970&lt;=3333),"Grupo 1",AND(H970&gt;3333,H970&lt;=6666),"Grupo 2",AND(H970&gt;6666,H970&lt;=10000),"Grupo 3")</f>
        <v>Grupo 1</v>
      </c>
    </row>
    <row r="971" spans="1:17" x14ac:dyDescent="0.25">
      <c r="A971" t="s">
        <v>181</v>
      </c>
      <c r="B971" s="2">
        <v>45584.553472222222</v>
      </c>
      <c r="C971" t="s">
        <v>339</v>
      </c>
      <c r="D971" t="s">
        <v>218</v>
      </c>
      <c r="E971">
        <v>5</v>
      </c>
      <c r="F971">
        <v>286.87</v>
      </c>
      <c r="G971" t="s">
        <v>221</v>
      </c>
      <c r="H971">
        <v>1434.35</v>
      </c>
      <c r="I971">
        <v>2024</v>
      </c>
      <c r="J971">
        <v>10</v>
      </c>
      <c r="K971">
        <v>13</v>
      </c>
      <c r="L971" s="14">
        <v>286.87</v>
      </c>
      <c r="M971" s="4" t="str">
        <f t="shared" si="60"/>
        <v>sábado</v>
      </c>
      <c r="N971" s="4" t="str">
        <f t="shared" si="61"/>
        <v>octubre</v>
      </c>
      <c r="O971" s="4" t="str">
        <f t="shared" si="62"/>
        <v>NO</v>
      </c>
      <c r="P971" s="4" t="str">
        <f t="shared" si="63"/>
        <v>NO</v>
      </c>
      <c r="Q971" s="4" t="str" cm="1">
        <f t="array" ref="Q971">_xlfn.IFS(AND(H971&gt;=0,H971&lt;=3333),"Grupo 1",AND(H971&gt;3333,H971&lt;=6666),"Grupo 2",AND(H971&gt;6666,H971&lt;=10000),"Grupo 3")</f>
        <v>Grupo 1</v>
      </c>
    </row>
    <row r="972" spans="1:17" x14ac:dyDescent="0.25">
      <c r="A972" t="s">
        <v>182</v>
      </c>
      <c r="B972" s="2">
        <v>45338.585416666669</v>
      </c>
      <c r="C972" t="s">
        <v>340</v>
      </c>
      <c r="D972" t="s">
        <v>216</v>
      </c>
      <c r="E972">
        <v>5</v>
      </c>
      <c r="F972">
        <v>1897.97</v>
      </c>
      <c r="G972" t="s">
        <v>221</v>
      </c>
      <c r="H972">
        <v>9489.85</v>
      </c>
      <c r="I972">
        <v>2024</v>
      </c>
      <c r="J972">
        <v>2</v>
      </c>
      <c r="K972">
        <v>14</v>
      </c>
      <c r="L972" s="14">
        <v>1897.97</v>
      </c>
      <c r="M972" s="4" t="str">
        <f t="shared" si="60"/>
        <v>viernes</v>
      </c>
      <c r="N972" s="4" t="str">
        <f t="shared" si="61"/>
        <v>febrero</v>
      </c>
      <c r="O972" s="4" t="str">
        <f t="shared" si="62"/>
        <v>SI</v>
      </c>
      <c r="P972" s="4" t="str">
        <f t="shared" si="63"/>
        <v>SI</v>
      </c>
      <c r="Q972" s="4" t="str" cm="1">
        <f t="array" ref="Q972">_xlfn.IFS(AND(H972&gt;=0,H972&lt;=3333),"Grupo 1",AND(H972&gt;3333,H972&lt;=6666),"Grupo 2",AND(H972&gt;6666,H972&lt;=10000),"Grupo 3")</f>
        <v>Grupo 3</v>
      </c>
    </row>
    <row r="973" spans="1:17" x14ac:dyDescent="0.25">
      <c r="A973" t="s">
        <v>183</v>
      </c>
      <c r="B973" s="2">
        <v>45625.480555555558</v>
      </c>
      <c r="C973" t="s">
        <v>341</v>
      </c>
      <c r="D973" t="s">
        <v>213</v>
      </c>
      <c r="E973">
        <v>2</v>
      </c>
      <c r="F973">
        <v>587.71</v>
      </c>
      <c r="G973" t="s">
        <v>221</v>
      </c>
      <c r="H973">
        <v>1175.42</v>
      </c>
      <c r="I973">
        <v>2024</v>
      </c>
      <c r="J973">
        <v>11</v>
      </c>
      <c r="K973">
        <v>11</v>
      </c>
      <c r="L973" s="14">
        <v>587.71</v>
      </c>
      <c r="M973" s="4" t="str">
        <f t="shared" si="60"/>
        <v>viernes</v>
      </c>
      <c r="N973" s="4" t="str">
        <f t="shared" si="61"/>
        <v>noviembre</v>
      </c>
      <c r="O973" s="4" t="str">
        <f t="shared" si="62"/>
        <v>NO</v>
      </c>
      <c r="P973" s="4" t="str">
        <f t="shared" si="63"/>
        <v>NO</v>
      </c>
      <c r="Q973" s="4" t="str" cm="1">
        <f t="array" ref="Q973">_xlfn.IFS(AND(H973&gt;=0,H973&lt;=3333),"Grupo 1",AND(H973&gt;3333,H973&lt;=6666),"Grupo 2",AND(H973&gt;6666,H973&lt;=10000),"Grupo 3")</f>
        <v>Grupo 1</v>
      </c>
    </row>
    <row r="974" spans="1:17" x14ac:dyDescent="0.25">
      <c r="A974" t="s">
        <v>184</v>
      </c>
      <c r="B974" s="2">
        <v>45291</v>
      </c>
      <c r="C974" t="s">
        <v>342</v>
      </c>
      <c r="D974" t="s">
        <v>216</v>
      </c>
      <c r="E974">
        <v>4</v>
      </c>
      <c r="F974">
        <v>895.13</v>
      </c>
      <c r="G974" t="s">
        <v>221</v>
      </c>
      <c r="H974">
        <v>3580.52</v>
      </c>
      <c r="I974">
        <v>2023</v>
      </c>
      <c r="J974">
        <v>12</v>
      </c>
      <c r="K974">
        <v>0</v>
      </c>
      <c r="L974" s="14">
        <v>895.13</v>
      </c>
      <c r="M974" s="4" t="str">
        <f t="shared" si="60"/>
        <v>domingo</v>
      </c>
      <c r="N974" s="4" t="str">
        <f t="shared" si="61"/>
        <v>diciembre</v>
      </c>
      <c r="O974" s="4" t="str">
        <f t="shared" si="62"/>
        <v>SI</v>
      </c>
      <c r="P974" s="4" t="str">
        <f t="shared" si="63"/>
        <v>NO</v>
      </c>
      <c r="Q974" s="4" t="str" cm="1">
        <f t="array" ref="Q974">_xlfn.IFS(AND(H974&gt;=0,H974&lt;=3333),"Grupo 1",AND(H974&gt;3333,H974&lt;=6666),"Grupo 2",AND(H974&gt;6666,H974&lt;=10000),"Grupo 3")</f>
        <v>Grupo 2</v>
      </c>
    </row>
    <row r="975" spans="1:17" x14ac:dyDescent="0.25">
      <c r="A975" t="s">
        <v>185</v>
      </c>
      <c r="B975" s="2">
        <v>45548.488194444442</v>
      </c>
      <c r="C975" t="s">
        <v>343</v>
      </c>
      <c r="D975" t="s">
        <v>215</v>
      </c>
      <c r="E975">
        <v>3</v>
      </c>
      <c r="F975">
        <v>1457.35</v>
      </c>
      <c r="G975" t="s">
        <v>220</v>
      </c>
      <c r="H975">
        <v>4372.0499999999993</v>
      </c>
      <c r="I975">
        <v>2024</v>
      </c>
      <c r="J975">
        <v>9</v>
      </c>
      <c r="K975">
        <v>11</v>
      </c>
      <c r="L975" s="14">
        <v>1457.35</v>
      </c>
      <c r="M975" s="4" t="str">
        <f t="shared" si="60"/>
        <v>viernes</v>
      </c>
      <c r="N975" s="4" t="str">
        <f t="shared" si="61"/>
        <v>septiembre</v>
      </c>
      <c r="O975" s="4" t="str">
        <f t="shared" si="62"/>
        <v>SI</v>
      </c>
      <c r="P975" s="4" t="str">
        <f t="shared" si="63"/>
        <v>SI</v>
      </c>
      <c r="Q975" s="4" t="str" cm="1">
        <f t="array" ref="Q975">_xlfn.IFS(AND(H975&gt;=0,H975&lt;=3333),"Grupo 1",AND(H975&gt;3333,H975&lt;=6666),"Grupo 2",AND(H975&gt;6666,H975&lt;=10000),"Grupo 3")</f>
        <v>Grupo 2</v>
      </c>
    </row>
    <row r="976" spans="1:17" x14ac:dyDescent="0.25">
      <c r="A976" t="s">
        <v>186</v>
      </c>
      <c r="B976" s="2">
        <v>45540.261805555558</v>
      </c>
      <c r="C976" t="s">
        <v>344</v>
      </c>
      <c r="D976" t="s">
        <v>214</v>
      </c>
      <c r="E976">
        <v>3</v>
      </c>
      <c r="F976">
        <v>1083.32</v>
      </c>
      <c r="G976" t="s">
        <v>222</v>
      </c>
      <c r="H976">
        <v>3249.96</v>
      </c>
      <c r="I976">
        <v>2024</v>
      </c>
      <c r="J976">
        <v>9</v>
      </c>
      <c r="K976">
        <v>6</v>
      </c>
      <c r="L976" s="14">
        <v>1083.32</v>
      </c>
      <c r="M976" s="4" t="str">
        <f t="shared" si="60"/>
        <v>jueves</v>
      </c>
      <c r="N976" s="4" t="str">
        <f t="shared" si="61"/>
        <v>septiembre</v>
      </c>
      <c r="O976" s="4" t="str">
        <f t="shared" si="62"/>
        <v>SI</v>
      </c>
      <c r="P976" s="4" t="str">
        <f t="shared" si="63"/>
        <v>SI</v>
      </c>
      <c r="Q976" s="4" t="str" cm="1">
        <f t="array" ref="Q976">_xlfn.IFS(AND(H976&gt;=0,H976&lt;=3333),"Grupo 1",AND(H976&gt;3333,H976&lt;=6666),"Grupo 2",AND(H976&gt;6666,H976&lt;=10000),"Grupo 3")</f>
        <v>Grupo 1</v>
      </c>
    </row>
    <row r="977" spans="1:17" x14ac:dyDescent="0.25">
      <c r="A977" t="s">
        <v>187</v>
      </c>
      <c r="B977" s="2">
        <v>45783.684027777781</v>
      </c>
      <c r="C977" t="s">
        <v>345</v>
      </c>
      <c r="D977" t="s">
        <v>217</v>
      </c>
      <c r="E977">
        <v>3</v>
      </c>
      <c r="F977">
        <v>1542.71</v>
      </c>
      <c r="G977" t="s">
        <v>220</v>
      </c>
      <c r="H977">
        <v>4628.13</v>
      </c>
      <c r="I977">
        <v>2025</v>
      </c>
      <c r="J977">
        <v>5</v>
      </c>
      <c r="K977">
        <v>16</v>
      </c>
      <c r="L977" s="14">
        <v>1542.71</v>
      </c>
      <c r="M977" s="4" t="str">
        <f t="shared" si="60"/>
        <v>martes</v>
      </c>
      <c r="N977" s="4" t="str">
        <f t="shared" si="61"/>
        <v>mayo</v>
      </c>
      <c r="O977" s="4" t="str">
        <f t="shared" si="62"/>
        <v>SI</v>
      </c>
      <c r="P977" s="4" t="str">
        <f t="shared" si="63"/>
        <v>SI</v>
      </c>
      <c r="Q977" s="4" t="str" cm="1">
        <f t="array" ref="Q977">_xlfn.IFS(AND(H977&gt;=0,H977&lt;=3333),"Grupo 1",AND(H977&gt;3333,H977&lt;=6666),"Grupo 2",AND(H977&gt;6666,H977&lt;=10000),"Grupo 3")</f>
        <v>Grupo 2</v>
      </c>
    </row>
    <row r="978" spans="1:17" x14ac:dyDescent="0.25">
      <c r="A978" t="s">
        <v>188</v>
      </c>
      <c r="B978" s="2">
        <v>45692.470138888893</v>
      </c>
      <c r="C978" t="s">
        <v>346</v>
      </c>
      <c r="D978" t="s">
        <v>215</v>
      </c>
      <c r="E978">
        <v>5</v>
      </c>
      <c r="F978">
        <v>723.8</v>
      </c>
      <c r="G978" t="s">
        <v>220</v>
      </c>
      <c r="H978">
        <v>3619</v>
      </c>
      <c r="I978">
        <v>2025</v>
      </c>
      <c r="J978">
        <v>2</v>
      </c>
      <c r="K978">
        <v>11</v>
      </c>
      <c r="L978" s="14">
        <v>723.8</v>
      </c>
      <c r="M978" s="4" t="str">
        <f t="shared" si="60"/>
        <v>martes</v>
      </c>
      <c r="N978" s="4" t="str">
        <f t="shared" si="61"/>
        <v>febrero</v>
      </c>
      <c r="O978" s="4" t="str">
        <f t="shared" si="62"/>
        <v>SI</v>
      </c>
      <c r="P978" s="4" t="str">
        <f t="shared" si="63"/>
        <v>NO</v>
      </c>
      <c r="Q978" s="4" t="str" cm="1">
        <f t="array" ref="Q978">_xlfn.IFS(AND(H978&gt;=0,H978&lt;=3333),"Grupo 1",AND(H978&gt;3333,H978&lt;=6666),"Grupo 2",AND(H978&gt;6666,H978&lt;=10000),"Grupo 3")</f>
        <v>Grupo 2</v>
      </c>
    </row>
    <row r="979" spans="1:17" x14ac:dyDescent="0.25">
      <c r="A979" t="s">
        <v>189</v>
      </c>
      <c r="B979" s="2">
        <v>45186.410416666673</v>
      </c>
      <c r="C979" t="s">
        <v>347</v>
      </c>
      <c r="D979" t="s">
        <v>213</v>
      </c>
      <c r="E979">
        <v>5</v>
      </c>
      <c r="F979">
        <v>179.97</v>
      </c>
      <c r="G979" t="s">
        <v>221</v>
      </c>
      <c r="H979">
        <v>899.85</v>
      </c>
      <c r="I979">
        <v>2023</v>
      </c>
      <c r="J979">
        <v>9</v>
      </c>
      <c r="K979">
        <v>9</v>
      </c>
      <c r="L979" s="14">
        <v>179.97</v>
      </c>
      <c r="M979" s="4" t="str">
        <f t="shared" si="60"/>
        <v>domingo</v>
      </c>
      <c r="N979" s="4" t="str">
        <f t="shared" si="61"/>
        <v>septiembre</v>
      </c>
      <c r="O979" s="4" t="str">
        <f t="shared" si="62"/>
        <v>NO</v>
      </c>
      <c r="P979" s="4" t="str">
        <f t="shared" si="63"/>
        <v>NO</v>
      </c>
      <c r="Q979" s="4" t="str" cm="1">
        <f t="array" ref="Q979">_xlfn.IFS(AND(H979&gt;=0,H979&lt;=3333),"Grupo 1",AND(H979&gt;3333,H979&lt;=6666),"Grupo 2",AND(H979&gt;6666,H979&lt;=10000),"Grupo 3")</f>
        <v>Grupo 1</v>
      </c>
    </row>
    <row r="980" spans="1:17" x14ac:dyDescent="0.25">
      <c r="A980" t="s">
        <v>190</v>
      </c>
      <c r="B980" s="2">
        <v>45539.616666666669</v>
      </c>
      <c r="C980" t="s">
        <v>348</v>
      </c>
      <c r="D980" t="s">
        <v>217</v>
      </c>
      <c r="E980">
        <v>1</v>
      </c>
      <c r="F980">
        <v>1318.43</v>
      </c>
      <c r="G980" t="s">
        <v>220</v>
      </c>
      <c r="H980">
        <v>1318.43</v>
      </c>
      <c r="I980">
        <v>2024</v>
      </c>
      <c r="J980">
        <v>9</v>
      </c>
      <c r="K980">
        <v>14</v>
      </c>
      <c r="L980" s="14">
        <v>1318.43</v>
      </c>
      <c r="M980" s="4" t="str">
        <f t="shared" si="60"/>
        <v>miércoles</v>
      </c>
      <c r="N980" s="4" t="str">
        <f t="shared" si="61"/>
        <v>septiembre</v>
      </c>
      <c r="O980" s="4" t="str">
        <f t="shared" si="62"/>
        <v>NO</v>
      </c>
      <c r="P980" s="4" t="str">
        <f t="shared" si="63"/>
        <v>SI</v>
      </c>
      <c r="Q980" s="4" t="str" cm="1">
        <f t="array" ref="Q980">_xlfn.IFS(AND(H980&gt;=0,H980&lt;=3333),"Grupo 1",AND(H980&gt;3333,H980&lt;=6666),"Grupo 2",AND(H980&gt;6666,H980&lt;=10000),"Grupo 3")</f>
        <v>Grupo 1</v>
      </c>
    </row>
    <row r="981" spans="1:17" x14ac:dyDescent="0.25">
      <c r="A981" t="s">
        <v>191</v>
      </c>
      <c r="B981" s="2">
        <v>45073.392361111109</v>
      </c>
      <c r="C981" t="s">
        <v>349</v>
      </c>
      <c r="D981" t="s">
        <v>215</v>
      </c>
      <c r="E981">
        <v>2</v>
      </c>
      <c r="F981">
        <v>307.37</v>
      </c>
      <c r="G981" t="s">
        <v>220</v>
      </c>
      <c r="H981">
        <v>614.74</v>
      </c>
      <c r="I981">
        <v>2023</v>
      </c>
      <c r="J981">
        <v>5</v>
      </c>
      <c r="K981">
        <v>9</v>
      </c>
      <c r="L981" s="14">
        <v>307.37</v>
      </c>
      <c r="M981" s="4" t="str">
        <f t="shared" si="60"/>
        <v>sábado</v>
      </c>
      <c r="N981" s="4" t="str">
        <f t="shared" si="61"/>
        <v>mayo</v>
      </c>
      <c r="O981" s="4" t="str">
        <f t="shared" si="62"/>
        <v>NO</v>
      </c>
      <c r="P981" s="4" t="str">
        <f t="shared" si="63"/>
        <v>NO</v>
      </c>
      <c r="Q981" s="4" t="str" cm="1">
        <f t="array" ref="Q981">_xlfn.IFS(AND(H981&gt;=0,H981&lt;=3333),"Grupo 1",AND(H981&gt;3333,H981&lt;=6666),"Grupo 2",AND(H981&gt;6666,H981&lt;=10000),"Grupo 3")</f>
        <v>Grupo 1</v>
      </c>
    </row>
    <row r="982" spans="1:17" x14ac:dyDescent="0.25">
      <c r="A982" t="s">
        <v>192</v>
      </c>
      <c r="B982" s="2">
        <v>45287.277777777781</v>
      </c>
      <c r="C982" t="s">
        <v>350</v>
      </c>
      <c r="D982" t="s">
        <v>214</v>
      </c>
      <c r="E982">
        <v>1</v>
      </c>
      <c r="F982">
        <v>1364.97</v>
      </c>
      <c r="G982" t="s">
        <v>222</v>
      </c>
      <c r="H982">
        <v>1364.97</v>
      </c>
      <c r="I982">
        <v>2023</v>
      </c>
      <c r="J982">
        <v>12</v>
      </c>
      <c r="K982">
        <v>6</v>
      </c>
      <c r="L982" s="14">
        <v>1364.97</v>
      </c>
      <c r="M982" s="4" t="str">
        <f t="shared" si="60"/>
        <v>miércoles</v>
      </c>
      <c r="N982" s="4" t="str">
        <f t="shared" si="61"/>
        <v>diciembre</v>
      </c>
      <c r="O982" s="4" t="str">
        <f t="shared" si="62"/>
        <v>NO</v>
      </c>
      <c r="P982" s="4" t="str">
        <f t="shared" si="63"/>
        <v>SI</v>
      </c>
      <c r="Q982" s="4" t="str" cm="1">
        <f t="array" ref="Q982">_xlfn.IFS(AND(H982&gt;=0,H982&lt;=3333),"Grupo 1",AND(H982&gt;3333,H982&lt;=6666),"Grupo 2",AND(H982&gt;6666,H982&lt;=10000),"Grupo 3")</f>
        <v>Grupo 1</v>
      </c>
    </row>
    <row r="983" spans="1:17" x14ac:dyDescent="0.25">
      <c r="A983" t="s">
        <v>193</v>
      </c>
      <c r="B983" s="2">
        <v>45398.678472222222</v>
      </c>
      <c r="C983" t="s">
        <v>351</v>
      </c>
      <c r="D983" t="s">
        <v>219</v>
      </c>
      <c r="E983">
        <v>3</v>
      </c>
      <c r="F983">
        <v>244.23</v>
      </c>
      <c r="G983" t="s">
        <v>221</v>
      </c>
      <c r="H983">
        <v>732.68999999999994</v>
      </c>
      <c r="I983">
        <v>2024</v>
      </c>
      <c r="J983">
        <v>4</v>
      </c>
      <c r="K983">
        <v>16</v>
      </c>
      <c r="L983" s="14">
        <v>244.23</v>
      </c>
      <c r="M983" s="4" t="str">
        <f t="shared" si="60"/>
        <v>martes</v>
      </c>
      <c r="N983" s="4" t="str">
        <f t="shared" si="61"/>
        <v>abril</v>
      </c>
      <c r="O983" s="4" t="str">
        <f t="shared" si="62"/>
        <v>NO</v>
      </c>
      <c r="P983" s="4" t="str">
        <f t="shared" si="63"/>
        <v>NO</v>
      </c>
      <c r="Q983" s="4" t="str" cm="1">
        <f t="array" ref="Q983">_xlfn.IFS(AND(H983&gt;=0,H983&lt;=3333),"Grupo 1",AND(H983&gt;3333,H983&lt;=6666),"Grupo 2",AND(H983&gt;6666,H983&lt;=10000),"Grupo 3")</f>
        <v>Grupo 1</v>
      </c>
    </row>
    <row r="984" spans="1:17" x14ac:dyDescent="0.25">
      <c r="A984" t="s">
        <v>194</v>
      </c>
      <c r="B984" s="2">
        <v>44949.395833333343</v>
      </c>
      <c r="C984" t="s">
        <v>352</v>
      </c>
      <c r="D984" t="s">
        <v>216</v>
      </c>
      <c r="E984">
        <v>3</v>
      </c>
      <c r="F984">
        <v>245.64</v>
      </c>
      <c r="G984" t="s">
        <v>221</v>
      </c>
      <c r="H984">
        <v>736.92</v>
      </c>
      <c r="I984">
        <v>2023</v>
      </c>
      <c r="J984">
        <v>1</v>
      </c>
      <c r="K984">
        <v>9</v>
      </c>
      <c r="L984" s="14">
        <v>245.64</v>
      </c>
      <c r="M984" s="4" t="str">
        <f t="shared" si="60"/>
        <v>lunes</v>
      </c>
      <c r="N984" s="4" t="str">
        <f t="shared" si="61"/>
        <v>enero</v>
      </c>
      <c r="O984" s="4" t="str">
        <f t="shared" si="62"/>
        <v>NO</v>
      </c>
      <c r="P984" s="4" t="str">
        <f t="shared" si="63"/>
        <v>NO</v>
      </c>
      <c r="Q984" s="4" t="str" cm="1">
        <f t="array" ref="Q984">_xlfn.IFS(AND(H984&gt;=0,H984&lt;=3333),"Grupo 1",AND(H984&gt;3333,H984&lt;=6666),"Grupo 2",AND(H984&gt;6666,H984&lt;=10000),"Grupo 3")</f>
        <v>Grupo 1</v>
      </c>
    </row>
    <row r="985" spans="1:17" x14ac:dyDescent="0.25">
      <c r="A985" t="s">
        <v>195</v>
      </c>
      <c r="B985" s="2">
        <v>45560.538194444453</v>
      </c>
      <c r="C985" t="s">
        <v>353</v>
      </c>
      <c r="D985" t="s">
        <v>216</v>
      </c>
      <c r="E985">
        <v>1</v>
      </c>
      <c r="F985">
        <v>1501.34</v>
      </c>
      <c r="G985" t="s">
        <v>221</v>
      </c>
      <c r="H985">
        <v>1501.34</v>
      </c>
      <c r="I985">
        <v>2024</v>
      </c>
      <c r="J985">
        <v>9</v>
      </c>
      <c r="K985">
        <v>12</v>
      </c>
      <c r="L985" s="14">
        <v>1501.34</v>
      </c>
      <c r="M985" s="4" t="str">
        <f t="shared" si="60"/>
        <v>miércoles</v>
      </c>
      <c r="N985" s="4" t="str">
        <f t="shared" si="61"/>
        <v>septiembre</v>
      </c>
      <c r="O985" s="4" t="str">
        <f t="shared" si="62"/>
        <v>NO</v>
      </c>
      <c r="P985" s="4" t="str">
        <f t="shared" si="63"/>
        <v>SI</v>
      </c>
      <c r="Q985" s="4" t="str" cm="1">
        <f t="array" ref="Q985">_xlfn.IFS(AND(H985&gt;=0,H985&lt;=3333),"Grupo 1",AND(H985&gt;3333,H985&lt;=6666),"Grupo 2",AND(H985&gt;6666,H985&lt;=10000),"Grupo 3")</f>
        <v>Grupo 1</v>
      </c>
    </row>
    <row r="986" spans="1:17" x14ac:dyDescent="0.25">
      <c r="A986" t="s">
        <v>196</v>
      </c>
      <c r="B986" s="2">
        <v>45636.231249999997</v>
      </c>
      <c r="C986" t="s">
        <v>354</v>
      </c>
      <c r="D986" t="s">
        <v>213</v>
      </c>
      <c r="E986">
        <v>4</v>
      </c>
      <c r="F986">
        <v>995.18</v>
      </c>
      <c r="G986" t="s">
        <v>221</v>
      </c>
      <c r="H986">
        <v>3980.72</v>
      </c>
      <c r="I986">
        <v>2024</v>
      </c>
      <c r="J986">
        <v>12</v>
      </c>
      <c r="K986">
        <v>5</v>
      </c>
      <c r="L986" s="14">
        <v>995.18</v>
      </c>
      <c r="M986" s="4" t="str">
        <f t="shared" si="60"/>
        <v>martes</v>
      </c>
      <c r="N986" s="4" t="str">
        <f t="shared" si="61"/>
        <v>diciembre</v>
      </c>
      <c r="O986" s="4" t="str">
        <f t="shared" si="62"/>
        <v>SI</v>
      </c>
      <c r="P986" s="4" t="str">
        <f t="shared" si="63"/>
        <v>SI</v>
      </c>
      <c r="Q986" s="4" t="str" cm="1">
        <f t="array" ref="Q986">_xlfn.IFS(AND(H986&gt;=0,H986&lt;=3333),"Grupo 1",AND(H986&gt;3333,H986&lt;=6666),"Grupo 2",AND(H986&gt;6666,H986&lt;=10000),"Grupo 3")</f>
        <v>Grupo 2</v>
      </c>
    </row>
    <row r="987" spans="1:17" x14ac:dyDescent="0.25">
      <c r="A987" t="s">
        <v>197</v>
      </c>
      <c r="B987" s="2">
        <v>45218.252083333333</v>
      </c>
      <c r="C987" t="s">
        <v>355</v>
      </c>
      <c r="D987" t="s">
        <v>213</v>
      </c>
      <c r="E987">
        <v>2</v>
      </c>
      <c r="F987">
        <v>1834.72</v>
      </c>
      <c r="G987" t="s">
        <v>221</v>
      </c>
      <c r="H987">
        <v>3669.44</v>
      </c>
      <c r="I987">
        <v>2023</v>
      </c>
      <c r="J987">
        <v>10</v>
      </c>
      <c r="K987">
        <v>6</v>
      </c>
      <c r="L987" s="14">
        <v>1834.72</v>
      </c>
      <c r="M987" s="4" t="str">
        <f t="shared" si="60"/>
        <v>jueves</v>
      </c>
      <c r="N987" s="4" t="str">
        <f t="shared" si="61"/>
        <v>octubre</v>
      </c>
      <c r="O987" s="4" t="str">
        <f t="shared" si="62"/>
        <v>SI</v>
      </c>
      <c r="P987" s="4" t="str">
        <f t="shared" si="63"/>
        <v>SI</v>
      </c>
      <c r="Q987" s="4" t="str" cm="1">
        <f t="array" ref="Q987">_xlfn.IFS(AND(H987&gt;=0,H987&lt;=3333),"Grupo 1",AND(H987&gt;3333,H987&lt;=6666),"Grupo 2",AND(H987&gt;6666,H987&lt;=10000),"Grupo 3")</f>
        <v>Grupo 2</v>
      </c>
    </row>
    <row r="988" spans="1:17" x14ac:dyDescent="0.25">
      <c r="A988" t="s">
        <v>198</v>
      </c>
      <c r="B988" s="2">
        <v>45615.827777777777</v>
      </c>
      <c r="C988" t="s">
        <v>356</v>
      </c>
      <c r="D988" t="s">
        <v>219</v>
      </c>
      <c r="E988">
        <v>2</v>
      </c>
      <c r="F988">
        <v>1942.31</v>
      </c>
      <c r="G988" t="s">
        <v>221</v>
      </c>
      <c r="H988">
        <v>3884.62</v>
      </c>
      <c r="I988">
        <v>2024</v>
      </c>
      <c r="J988">
        <v>11</v>
      </c>
      <c r="K988">
        <v>19</v>
      </c>
      <c r="L988" s="14">
        <v>1942.31</v>
      </c>
      <c r="M988" s="4" t="str">
        <f t="shared" si="60"/>
        <v>martes</v>
      </c>
      <c r="N988" s="4" t="str">
        <f t="shared" si="61"/>
        <v>noviembre</v>
      </c>
      <c r="O988" s="4" t="str">
        <f t="shared" si="62"/>
        <v>SI</v>
      </c>
      <c r="P988" s="4" t="str">
        <f t="shared" si="63"/>
        <v>SI</v>
      </c>
      <c r="Q988" s="4" t="str" cm="1">
        <f t="array" ref="Q988">_xlfn.IFS(AND(H988&gt;=0,H988&lt;=3333),"Grupo 1",AND(H988&gt;3333,H988&lt;=6666),"Grupo 2",AND(H988&gt;6666,H988&lt;=10000),"Grupo 3")</f>
        <v>Grupo 2</v>
      </c>
    </row>
    <row r="989" spans="1:17" x14ac:dyDescent="0.25">
      <c r="A989" t="s">
        <v>199</v>
      </c>
      <c r="B989" s="2">
        <v>45755.705555555563</v>
      </c>
      <c r="C989" t="s">
        <v>357</v>
      </c>
      <c r="D989" t="s">
        <v>219</v>
      </c>
      <c r="E989">
        <v>3</v>
      </c>
      <c r="F989">
        <v>1025.57</v>
      </c>
      <c r="G989" t="s">
        <v>221</v>
      </c>
      <c r="H989">
        <v>3076.71</v>
      </c>
      <c r="I989">
        <v>2025</v>
      </c>
      <c r="J989">
        <v>4</v>
      </c>
      <c r="K989">
        <v>16</v>
      </c>
      <c r="L989" s="14">
        <v>1025.57</v>
      </c>
      <c r="M989" s="4" t="str">
        <f t="shared" si="60"/>
        <v>martes</v>
      </c>
      <c r="N989" s="4" t="str">
        <f t="shared" si="61"/>
        <v>abril</v>
      </c>
      <c r="O989" s="4" t="str">
        <f t="shared" si="62"/>
        <v>SI</v>
      </c>
      <c r="P989" s="4" t="str">
        <f t="shared" si="63"/>
        <v>SI</v>
      </c>
      <c r="Q989" s="4" t="str" cm="1">
        <f t="array" ref="Q989">_xlfn.IFS(AND(H989&gt;=0,H989&lt;=3333),"Grupo 1",AND(H989&gt;3333,H989&lt;=6666),"Grupo 2",AND(H989&gt;6666,H989&lt;=10000),"Grupo 3")</f>
        <v>Grupo 1</v>
      </c>
    </row>
    <row r="990" spans="1:17" x14ac:dyDescent="0.25">
      <c r="A990" t="s">
        <v>200</v>
      </c>
      <c r="B990" s="2">
        <v>44962.009722222218</v>
      </c>
      <c r="C990" t="s">
        <v>358</v>
      </c>
      <c r="D990" t="s">
        <v>215</v>
      </c>
      <c r="E990">
        <v>4</v>
      </c>
      <c r="F990">
        <v>555.19000000000005</v>
      </c>
      <c r="G990" t="s">
        <v>220</v>
      </c>
      <c r="H990">
        <v>2220.7600000000002</v>
      </c>
      <c r="I990">
        <v>2023</v>
      </c>
      <c r="J990">
        <v>2</v>
      </c>
      <c r="K990">
        <v>0</v>
      </c>
      <c r="L990" s="14">
        <v>555.19000000000005</v>
      </c>
      <c r="M990" s="4" t="str">
        <f t="shared" si="60"/>
        <v>domingo</v>
      </c>
      <c r="N990" s="4" t="str">
        <f t="shared" si="61"/>
        <v>febrero</v>
      </c>
      <c r="O990" s="4" t="str">
        <f t="shared" si="62"/>
        <v>NO</v>
      </c>
      <c r="P990" s="4" t="str">
        <f t="shared" si="63"/>
        <v>NO</v>
      </c>
      <c r="Q990" s="4" t="str" cm="1">
        <f t="array" ref="Q990">_xlfn.IFS(AND(H990&gt;=0,H990&lt;=3333),"Grupo 1",AND(H990&gt;3333,H990&lt;=6666),"Grupo 2",AND(H990&gt;6666,H990&lt;=10000),"Grupo 3")</f>
        <v>Grupo 1</v>
      </c>
    </row>
    <row r="991" spans="1:17" x14ac:dyDescent="0.25">
      <c r="A991" t="s">
        <v>201</v>
      </c>
      <c r="B991" s="2">
        <v>45194.675000000003</v>
      </c>
      <c r="C991" t="s">
        <v>359</v>
      </c>
      <c r="D991" t="s">
        <v>214</v>
      </c>
      <c r="E991">
        <v>5</v>
      </c>
      <c r="F991">
        <v>750.82</v>
      </c>
      <c r="G991" t="s">
        <v>222</v>
      </c>
      <c r="H991">
        <v>3754.1</v>
      </c>
      <c r="I991">
        <v>2023</v>
      </c>
      <c r="J991">
        <v>9</v>
      </c>
      <c r="K991">
        <v>16</v>
      </c>
      <c r="L991" s="14">
        <v>750.82</v>
      </c>
      <c r="M991" s="4" t="str">
        <f t="shared" si="60"/>
        <v>lunes</v>
      </c>
      <c r="N991" s="4" t="str">
        <f t="shared" si="61"/>
        <v>septiembre</v>
      </c>
      <c r="O991" s="4" t="str">
        <f t="shared" si="62"/>
        <v>SI</v>
      </c>
      <c r="P991" s="4" t="str">
        <f t="shared" si="63"/>
        <v>NO</v>
      </c>
      <c r="Q991" s="4" t="str" cm="1">
        <f t="array" ref="Q991">_xlfn.IFS(AND(H991&gt;=0,H991&lt;=3333),"Grupo 1",AND(H991&gt;3333,H991&lt;=6666),"Grupo 2",AND(H991&gt;6666,H991&lt;=10000),"Grupo 3")</f>
        <v>Grupo 2</v>
      </c>
    </row>
    <row r="992" spans="1:17" x14ac:dyDescent="0.25">
      <c r="A992" t="s">
        <v>202</v>
      </c>
      <c r="B992" s="2">
        <v>45818.179861111108</v>
      </c>
      <c r="C992" t="s">
        <v>261</v>
      </c>
      <c r="D992" t="s">
        <v>215</v>
      </c>
      <c r="E992">
        <v>2</v>
      </c>
      <c r="F992">
        <v>1609.9</v>
      </c>
      <c r="G992" t="s">
        <v>220</v>
      </c>
      <c r="H992">
        <v>3219.8</v>
      </c>
      <c r="I992">
        <v>2025</v>
      </c>
      <c r="J992">
        <v>6</v>
      </c>
      <c r="K992">
        <v>4</v>
      </c>
      <c r="L992" s="14">
        <v>1609.9</v>
      </c>
      <c r="M992" s="4" t="str">
        <f t="shared" si="60"/>
        <v>martes</v>
      </c>
      <c r="N992" s="4" t="str">
        <f t="shared" si="61"/>
        <v>junio</v>
      </c>
      <c r="O992" s="4" t="str">
        <f t="shared" si="62"/>
        <v>SI</v>
      </c>
      <c r="P992" s="4" t="str">
        <f t="shared" si="63"/>
        <v>SI</v>
      </c>
      <c r="Q992" s="4" t="str" cm="1">
        <f t="array" ref="Q992">_xlfn.IFS(AND(H992&gt;=0,H992&lt;=3333),"Grupo 1",AND(H992&gt;3333,H992&lt;=6666),"Grupo 2",AND(H992&gt;6666,H992&lt;=10000),"Grupo 3")</f>
        <v>Grupo 1</v>
      </c>
    </row>
    <row r="993" spans="1:17" x14ac:dyDescent="0.25">
      <c r="A993" t="s">
        <v>203</v>
      </c>
      <c r="B993" s="2">
        <v>45755.011111111111</v>
      </c>
      <c r="C993" t="s">
        <v>262</v>
      </c>
      <c r="D993" t="s">
        <v>214</v>
      </c>
      <c r="E993">
        <v>3</v>
      </c>
      <c r="F993">
        <v>27.89</v>
      </c>
      <c r="G993" t="s">
        <v>222</v>
      </c>
      <c r="H993">
        <v>83.67</v>
      </c>
      <c r="I993">
        <v>2025</v>
      </c>
      <c r="J993">
        <v>4</v>
      </c>
      <c r="K993">
        <v>0</v>
      </c>
      <c r="L993" s="14">
        <v>27.89</v>
      </c>
      <c r="M993" s="4" t="str">
        <f t="shared" si="60"/>
        <v>martes</v>
      </c>
      <c r="N993" s="4" t="str">
        <f t="shared" si="61"/>
        <v>abril</v>
      </c>
      <c r="O993" s="4" t="str">
        <f t="shared" si="62"/>
        <v>NO</v>
      </c>
      <c r="P993" s="4" t="str">
        <f t="shared" si="63"/>
        <v>NO</v>
      </c>
      <c r="Q993" s="4" t="str" cm="1">
        <f t="array" ref="Q993">_xlfn.IFS(AND(H993&gt;=0,H993&lt;=3333),"Grupo 1",AND(H993&gt;3333,H993&lt;=6666),"Grupo 2",AND(H993&gt;6666,H993&lt;=10000),"Grupo 3")</f>
        <v>Grupo 1</v>
      </c>
    </row>
    <row r="994" spans="1:17" x14ac:dyDescent="0.25">
      <c r="A994" t="s">
        <v>204</v>
      </c>
      <c r="B994" s="2">
        <v>45862.584722222222</v>
      </c>
      <c r="C994" t="s">
        <v>263</v>
      </c>
      <c r="D994" t="s">
        <v>219</v>
      </c>
      <c r="E994">
        <v>1</v>
      </c>
      <c r="F994">
        <v>1700.54</v>
      </c>
      <c r="G994" t="s">
        <v>221</v>
      </c>
      <c r="H994">
        <v>1700.54</v>
      </c>
      <c r="I994">
        <v>2025</v>
      </c>
      <c r="J994">
        <v>7</v>
      </c>
      <c r="K994">
        <v>14</v>
      </c>
      <c r="L994" s="14">
        <v>1700.54</v>
      </c>
      <c r="M994" s="4" t="str">
        <f t="shared" si="60"/>
        <v>jueves</v>
      </c>
      <c r="N994" s="4" t="str">
        <f t="shared" si="61"/>
        <v>julio</v>
      </c>
      <c r="O994" s="4" t="str">
        <f t="shared" si="62"/>
        <v>NO</v>
      </c>
      <c r="P994" s="4" t="str">
        <f t="shared" si="63"/>
        <v>SI</v>
      </c>
      <c r="Q994" s="4" t="str" cm="1">
        <f t="array" ref="Q994">_xlfn.IFS(AND(H994&gt;=0,H994&lt;=3333),"Grupo 1",AND(H994&gt;3333,H994&lt;=6666),"Grupo 2",AND(H994&gt;6666,H994&lt;=10000),"Grupo 3")</f>
        <v>Grupo 1</v>
      </c>
    </row>
    <row r="995" spans="1:17" x14ac:dyDescent="0.25">
      <c r="A995" t="s">
        <v>205</v>
      </c>
      <c r="B995" s="2">
        <v>45802.370833333327</v>
      </c>
      <c r="C995" t="s">
        <v>264</v>
      </c>
      <c r="D995" t="s">
        <v>219</v>
      </c>
      <c r="E995">
        <v>3</v>
      </c>
      <c r="F995">
        <v>473.4</v>
      </c>
      <c r="G995" t="s">
        <v>221</v>
      </c>
      <c r="H995">
        <v>1420.2</v>
      </c>
      <c r="I995">
        <v>2025</v>
      </c>
      <c r="J995">
        <v>5</v>
      </c>
      <c r="K995">
        <v>8</v>
      </c>
      <c r="L995" s="14">
        <v>473.39999999999992</v>
      </c>
      <c r="M995" s="4" t="str">
        <f t="shared" si="60"/>
        <v>domingo</v>
      </c>
      <c r="N995" s="4" t="str">
        <f t="shared" si="61"/>
        <v>mayo</v>
      </c>
      <c r="O995" s="4" t="str">
        <f t="shared" si="62"/>
        <v>NO</v>
      </c>
      <c r="P995" s="4" t="str">
        <f t="shared" si="63"/>
        <v>NO</v>
      </c>
      <c r="Q995" s="4" t="str" cm="1">
        <f t="array" ref="Q995">_xlfn.IFS(AND(H995&gt;=0,H995&lt;=3333),"Grupo 1",AND(H995&gt;3333,H995&lt;=6666),"Grupo 2",AND(H995&gt;6666,H995&lt;=10000),"Grupo 3")</f>
        <v>Grupo 1</v>
      </c>
    </row>
    <row r="996" spans="1:17" x14ac:dyDescent="0.25">
      <c r="A996" t="s">
        <v>206</v>
      </c>
      <c r="B996" s="2">
        <v>45178.038888888892</v>
      </c>
      <c r="C996" t="s">
        <v>265</v>
      </c>
      <c r="D996" t="s">
        <v>215</v>
      </c>
      <c r="E996">
        <v>1</v>
      </c>
      <c r="F996">
        <v>521.32000000000005</v>
      </c>
      <c r="G996" t="s">
        <v>220</v>
      </c>
      <c r="H996">
        <v>521.32000000000005</v>
      </c>
      <c r="I996">
        <v>2023</v>
      </c>
      <c r="J996">
        <v>9</v>
      </c>
      <c r="K996">
        <v>0</v>
      </c>
      <c r="L996" s="14">
        <v>521.32000000000005</v>
      </c>
      <c r="M996" s="4" t="str">
        <f t="shared" si="60"/>
        <v>sábado</v>
      </c>
      <c r="N996" s="4" t="str">
        <f t="shared" si="61"/>
        <v>septiembre</v>
      </c>
      <c r="O996" s="4" t="str">
        <f t="shared" si="62"/>
        <v>NO</v>
      </c>
      <c r="P996" s="4" t="str">
        <f t="shared" si="63"/>
        <v>NO</v>
      </c>
      <c r="Q996" s="4" t="str" cm="1">
        <f t="array" ref="Q996">_xlfn.IFS(AND(H996&gt;=0,H996&lt;=3333),"Grupo 1",AND(H996&gt;3333,H996&lt;=6666),"Grupo 2",AND(H996&gt;6666,H996&lt;=10000),"Grupo 3")</f>
        <v>Grupo 1</v>
      </c>
    </row>
    <row r="997" spans="1:17" x14ac:dyDescent="0.25">
      <c r="A997" t="s">
        <v>207</v>
      </c>
      <c r="B997" s="2">
        <v>45748.34097222222</v>
      </c>
      <c r="C997" t="s">
        <v>266</v>
      </c>
      <c r="D997" t="s">
        <v>213</v>
      </c>
      <c r="E997">
        <v>1</v>
      </c>
      <c r="F997">
        <v>1067.6400000000001</v>
      </c>
      <c r="G997" t="s">
        <v>221</v>
      </c>
      <c r="H997">
        <v>1067.6400000000001</v>
      </c>
      <c r="I997">
        <v>2025</v>
      </c>
      <c r="J997">
        <v>4</v>
      </c>
      <c r="K997">
        <v>8</v>
      </c>
      <c r="L997" s="14">
        <v>1067.6400000000001</v>
      </c>
      <c r="M997" s="4" t="str">
        <f t="shared" si="60"/>
        <v>martes</v>
      </c>
      <c r="N997" s="4" t="str">
        <f t="shared" si="61"/>
        <v>abril</v>
      </c>
      <c r="O997" s="4" t="str">
        <f t="shared" si="62"/>
        <v>NO</v>
      </c>
      <c r="P997" s="4" t="str">
        <f t="shared" si="63"/>
        <v>SI</v>
      </c>
      <c r="Q997" s="4" t="str" cm="1">
        <f t="array" ref="Q997">_xlfn.IFS(AND(H997&gt;=0,H997&lt;=3333),"Grupo 1",AND(H997&gt;3333,H997&lt;=6666),"Grupo 2",AND(H997&gt;6666,H997&lt;=10000),"Grupo 3")</f>
        <v>Grupo 1</v>
      </c>
    </row>
    <row r="998" spans="1:17" x14ac:dyDescent="0.25">
      <c r="A998" t="s">
        <v>208</v>
      </c>
      <c r="B998" s="2">
        <v>45055.556250000001</v>
      </c>
      <c r="C998" t="s">
        <v>267</v>
      </c>
      <c r="D998" t="s">
        <v>218</v>
      </c>
      <c r="E998">
        <v>1</v>
      </c>
      <c r="F998">
        <v>1903.64</v>
      </c>
      <c r="G998" t="s">
        <v>221</v>
      </c>
      <c r="H998">
        <v>1903.64</v>
      </c>
      <c r="I998">
        <v>2023</v>
      </c>
      <c r="J998">
        <v>5</v>
      </c>
      <c r="K998">
        <v>13</v>
      </c>
      <c r="L998" s="14">
        <v>1903.64</v>
      </c>
      <c r="M998" s="4" t="str">
        <f t="shared" si="60"/>
        <v>martes</v>
      </c>
      <c r="N998" s="4" t="str">
        <f t="shared" si="61"/>
        <v>mayo</v>
      </c>
      <c r="O998" s="4" t="str">
        <f t="shared" si="62"/>
        <v>NO</v>
      </c>
      <c r="P998" s="4" t="str">
        <f t="shared" si="63"/>
        <v>SI</v>
      </c>
      <c r="Q998" s="4" t="str" cm="1">
        <f t="array" ref="Q998">_xlfn.IFS(AND(H998&gt;=0,H998&lt;=3333),"Grupo 1",AND(H998&gt;3333,H998&lt;=6666),"Grupo 2",AND(H998&gt;6666,H998&lt;=10000),"Grupo 3")</f>
        <v>Grupo 1</v>
      </c>
    </row>
    <row r="999" spans="1:17" x14ac:dyDescent="0.25">
      <c r="A999" t="s">
        <v>209</v>
      </c>
      <c r="B999" s="2">
        <v>44958.773611111108</v>
      </c>
      <c r="C999" t="s">
        <v>268</v>
      </c>
      <c r="D999" t="s">
        <v>214</v>
      </c>
      <c r="E999">
        <v>2</v>
      </c>
      <c r="F999">
        <v>1460.16</v>
      </c>
      <c r="G999" t="s">
        <v>222</v>
      </c>
      <c r="H999">
        <v>2920.32</v>
      </c>
      <c r="I999">
        <v>2023</v>
      </c>
      <c r="J999">
        <v>2</v>
      </c>
      <c r="K999">
        <v>18</v>
      </c>
      <c r="L999" s="14">
        <v>1460.16</v>
      </c>
      <c r="M999" s="4" t="str">
        <f t="shared" si="60"/>
        <v>miércoles</v>
      </c>
      <c r="N999" s="4" t="str">
        <f t="shared" si="61"/>
        <v>febrero</v>
      </c>
      <c r="O999" s="4" t="str">
        <f t="shared" si="62"/>
        <v>SI</v>
      </c>
      <c r="P999" s="4" t="str">
        <f t="shared" si="63"/>
        <v>SI</v>
      </c>
      <c r="Q999" s="4" t="str" cm="1">
        <f t="array" ref="Q999">_xlfn.IFS(AND(H999&gt;=0,H999&lt;=3333),"Grupo 1",AND(H999&gt;3333,H999&lt;=6666),"Grupo 2",AND(H999&gt;6666,H999&lt;=10000),"Grupo 3")</f>
        <v>Grupo 1</v>
      </c>
    </row>
    <row r="1000" spans="1:17" x14ac:dyDescent="0.25">
      <c r="A1000" t="s">
        <v>210</v>
      </c>
      <c r="B1000" s="2">
        <v>45816.563888888893</v>
      </c>
      <c r="C1000" t="s">
        <v>269</v>
      </c>
      <c r="D1000" t="s">
        <v>212</v>
      </c>
      <c r="E1000">
        <v>4</v>
      </c>
      <c r="F1000">
        <v>847</v>
      </c>
      <c r="G1000" t="s">
        <v>220</v>
      </c>
      <c r="H1000">
        <v>3388</v>
      </c>
      <c r="I1000">
        <v>2025</v>
      </c>
      <c r="J1000">
        <v>6</v>
      </c>
      <c r="K1000">
        <v>13</v>
      </c>
      <c r="L1000" s="14">
        <v>847</v>
      </c>
      <c r="M1000" s="4" t="str">
        <f t="shared" si="60"/>
        <v>domingo</v>
      </c>
      <c r="N1000" s="4" t="str">
        <f t="shared" si="61"/>
        <v>junio</v>
      </c>
      <c r="O1000" s="4" t="str">
        <f t="shared" si="62"/>
        <v>SI</v>
      </c>
      <c r="P1000" s="4" t="str">
        <f t="shared" si="63"/>
        <v>NO</v>
      </c>
      <c r="Q1000" s="4" t="str" cm="1">
        <f t="array" ref="Q1000">_xlfn.IFS(AND(H1000&gt;=0,H1000&lt;=3333),"Grupo 1",AND(H1000&gt;3333,H1000&lt;=6666),"Grupo 2",AND(H1000&gt;6666,H1000&lt;=10000),"Grupo 3")</f>
        <v>Grupo 2</v>
      </c>
    </row>
    <row r="1001" spans="1:17" x14ac:dyDescent="0.25">
      <c r="A1001" t="s">
        <v>211</v>
      </c>
      <c r="B1001" s="2">
        <v>45089.396527777782</v>
      </c>
      <c r="C1001" t="s">
        <v>270</v>
      </c>
      <c r="D1001" t="s">
        <v>218</v>
      </c>
      <c r="E1001">
        <v>2</v>
      </c>
      <c r="F1001">
        <v>1243.3399999999999</v>
      </c>
      <c r="G1001" t="s">
        <v>221</v>
      </c>
      <c r="H1001">
        <v>2486.6799999999998</v>
      </c>
      <c r="I1001">
        <v>2023</v>
      </c>
      <c r="J1001">
        <v>6</v>
      </c>
      <c r="K1001">
        <v>9</v>
      </c>
      <c r="L1001" s="14">
        <v>1243.3399999999999</v>
      </c>
      <c r="M1001" s="4" t="str">
        <f t="shared" si="60"/>
        <v>lunes</v>
      </c>
      <c r="N1001" s="4" t="str">
        <f t="shared" si="61"/>
        <v>junio</v>
      </c>
      <c r="O1001" s="4" t="str">
        <f t="shared" si="62"/>
        <v>NO</v>
      </c>
      <c r="P1001" s="4" t="str">
        <f t="shared" si="63"/>
        <v>SI</v>
      </c>
      <c r="Q1001" s="4" t="str" cm="1">
        <f t="array" ref="Q1001">_xlfn.IFS(AND(H1001&gt;=0,H1001&lt;=3333),"Grupo 1",AND(H1001&gt;3333,H1001&lt;=6666),"Grupo 2",AND(H1001&gt;6666,H1001&lt;=10000),"Grupo 3")</f>
        <v>Grupo 1</v>
      </c>
    </row>
    <row r="1002" spans="1:17" x14ac:dyDescent="0.25">
      <c r="A1002" t="s">
        <v>12</v>
      </c>
      <c r="B1002" s="2">
        <v>45280.478472222218</v>
      </c>
      <c r="C1002" t="s">
        <v>271</v>
      </c>
      <c r="D1002" t="s">
        <v>212</v>
      </c>
      <c r="E1002">
        <v>5</v>
      </c>
      <c r="F1002">
        <v>1497.24</v>
      </c>
      <c r="G1002" t="s">
        <v>220</v>
      </c>
      <c r="H1002">
        <v>7486.2</v>
      </c>
      <c r="I1002">
        <v>2023</v>
      </c>
      <c r="J1002">
        <v>12</v>
      </c>
      <c r="K1002">
        <v>11</v>
      </c>
      <c r="L1002" s="14">
        <v>1497.24</v>
      </c>
      <c r="M1002" s="4" t="str">
        <f t="shared" si="60"/>
        <v>miércoles</v>
      </c>
      <c r="N1002" s="4" t="str">
        <f t="shared" si="61"/>
        <v>diciembre</v>
      </c>
      <c r="O1002" s="4" t="str">
        <f t="shared" si="62"/>
        <v>SI</v>
      </c>
      <c r="P1002" s="4" t="str">
        <f t="shared" si="63"/>
        <v>SI</v>
      </c>
      <c r="Q1002" s="4" t="str" cm="1">
        <f t="array" ref="Q1002">_xlfn.IFS(AND(H1002&gt;=0,H1002&lt;=3333),"Grupo 1",AND(H1002&gt;3333,H1002&lt;=6666),"Grupo 2",AND(H1002&gt;6666,H1002&lt;=10000),"Grupo 3")</f>
        <v>Grupo 3</v>
      </c>
    </row>
    <row r="1003" spans="1:17" x14ac:dyDescent="0.25">
      <c r="A1003" t="s">
        <v>13</v>
      </c>
      <c r="B1003" s="2">
        <v>45008.840277777781</v>
      </c>
      <c r="C1003" t="s">
        <v>272</v>
      </c>
      <c r="D1003" t="s">
        <v>212</v>
      </c>
      <c r="E1003">
        <v>1</v>
      </c>
      <c r="F1003">
        <v>1687.54</v>
      </c>
      <c r="G1003" t="s">
        <v>220</v>
      </c>
      <c r="H1003">
        <v>1687.54</v>
      </c>
      <c r="I1003">
        <v>2023</v>
      </c>
      <c r="J1003">
        <v>3</v>
      </c>
      <c r="K1003">
        <v>20</v>
      </c>
      <c r="L1003" s="14">
        <v>1687.54</v>
      </c>
      <c r="M1003" s="4" t="str">
        <f t="shared" si="60"/>
        <v>jueves</v>
      </c>
      <c r="N1003" s="4" t="str">
        <f t="shared" si="61"/>
        <v>marzo</v>
      </c>
      <c r="O1003" s="4" t="str">
        <f t="shared" si="62"/>
        <v>NO</v>
      </c>
      <c r="P1003" s="4" t="str">
        <f t="shared" si="63"/>
        <v>SI</v>
      </c>
      <c r="Q1003" s="4" t="str" cm="1">
        <f t="array" ref="Q1003">_xlfn.IFS(AND(H1003&gt;=0,H1003&lt;=3333),"Grupo 1",AND(H1003&gt;3333,H1003&lt;=6666),"Grupo 2",AND(H1003&gt;6666,H1003&lt;=10000),"Grupo 3")</f>
        <v>Grupo 1</v>
      </c>
    </row>
    <row r="1004" spans="1:17" x14ac:dyDescent="0.25">
      <c r="A1004" t="s">
        <v>14</v>
      </c>
      <c r="B1004" s="2">
        <v>45355.443749999999</v>
      </c>
      <c r="C1004" t="s">
        <v>273</v>
      </c>
      <c r="D1004" t="s">
        <v>213</v>
      </c>
      <c r="E1004">
        <v>3</v>
      </c>
      <c r="F1004">
        <v>768.8</v>
      </c>
      <c r="G1004" t="s">
        <v>221</v>
      </c>
      <c r="H1004">
        <v>2306.4</v>
      </c>
      <c r="I1004">
        <v>2024</v>
      </c>
      <c r="J1004">
        <v>3</v>
      </c>
      <c r="K1004">
        <v>10</v>
      </c>
      <c r="L1004" s="14">
        <v>768.79999999999984</v>
      </c>
      <c r="M1004" s="4" t="str">
        <f t="shared" si="60"/>
        <v>lunes</v>
      </c>
      <c r="N1004" s="4" t="str">
        <f t="shared" si="61"/>
        <v>marzo</v>
      </c>
      <c r="O1004" s="4" t="str">
        <f t="shared" si="62"/>
        <v>NO</v>
      </c>
      <c r="P1004" s="4" t="str">
        <f t="shared" si="63"/>
        <v>NO</v>
      </c>
      <c r="Q1004" s="4" t="str" cm="1">
        <f t="array" ref="Q1004">_xlfn.IFS(AND(H1004&gt;=0,H1004&lt;=3333),"Grupo 1",AND(H1004&gt;3333,H1004&lt;=6666),"Grupo 2",AND(H1004&gt;6666,H1004&lt;=10000),"Grupo 3")</f>
        <v>Grupo 1</v>
      </c>
    </row>
    <row r="1005" spans="1:17" x14ac:dyDescent="0.25">
      <c r="A1005" t="s">
        <v>15</v>
      </c>
      <c r="B1005" s="2">
        <v>45704.374305555553</v>
      </c>
      <c r="C1005" t="s">
        <v>274</v>
      </c>
      <c r="D1005" t="s">
        <v>214</v>
      </c>
      <c r="E1005">
        <v>1</v>
      </c>
      <c r="F1005">
        <v>1532.67</v>
      </c>
      <c r="G1005" t="s">
        <v>222</v>
      </c>
      <c r="H1005">
        <v>1532.67</v>
      </c>
      <c r="I1005">
        <v>2025</v>
      </c>
      <c r="J1005">
        <v>2</v>
      </c>
      <c r="K1005">
        <v>8</v>
      </c>
      <c r="L1005" s="14">
        <v>1532.67</v>
      </c>
      <c r="M1005" s="4" t="str">
        <f t="shared" si="60"/>
        <v>domingo</v>
      </c>
      <c r="N1005" s="4" t="str">
        <f t="shared" si="61"/>
        <v>febrero</v>
      </c>
      <c r="O1005" s="4" t="str">
        <f t="shared" si="62"/>
        <v>NO</v>
      </c>
      <c r="P1005" s="4" t="str">
        <f t="shared" si="63"/>
        <v>SI</v>
      </c>
      <c r="Q1005" s="4" t="str" cm="1">
        <f t="array" ref="Q1005">_xlfn.IFS(AND(H1005&gt;=0,H1005&lt;=3333),"Grupo 1",AND(H1005&gt;3333,H1005&lt;=6666),"Grupo 2",AND(H1005&gt;6666,H1005&lt;=10000),"Grupo 3")</f>
        <v>Grupo 1</v>
      </c>
    </row>
    <row r="1006" spans="1:17" x14ac:dyDescent="0.25">
      <c r="A1006" t="s">
        <v>16</v>
      </c>
      <c r="B1006" s="2">
        <v>45772.848611111112</v>
      </c>
      <c r="C1006" t="s">
        <v>275</v>
      </c>
      <c r="D1006" t="s">
        <v>214</v>
      </c>
      <c r="E1006">
        <v>3</v>
      </c>
      <c r="F1006">
        <v>1709.47</v>
      </c>
      <c r="G1006" t="s">
        <v>222</v>
      </c>
      <c r="H1006">
        <v>5128.41</v>
      </c>
      <c r="I1006">
        <v>2025</v>
      </c>
      <c r="J1006">
        <v>4</v>
      </c>
      <c r="K1006">
        <v>20</v>
      </c>
      <c r="L1006" s="14">
        <v>1709.47</v>
      </c>
      <c r="M1006" s="4" t="str">
        <f t="shared" si="60"/>
        <v>viernes</v>
      </c>
      <c r="N1006" s="4" t="str">
        <f t="shared" si="61"/>
        <v>abril</v>
      </c>
      <c r="O1006" s="4" t="str">
        <f t="shared" si="62"/>
        <v>SI</v>
      </c>
      <c r="P1006" s="4" t="str">
        <f t="shared" si="63"/>
        <v>SI</v>
      </c>
      <c r="Q1006" s="4" t="str" cm="1">
        <f t="array" ref="Q1006">_xlfn.IFS(AND(H1006&gt;=0,H1006&lt;=3333),"Grupo 1",AND(H1006&gt;3333,H1006&lt;=6666),"Grupo 2",AND(H1006&gt;6666,H1006&lt;=10000),"Grupo 3")</f>
        <v>Grupo 2</v>
      </c>
    </row>
    <row r="1007" spans="1:17" x14ac:dyDescent="0.25">
      <c r="A1007" t="s">
        <v>17</v>
      </c>
      <c r="B1007" s="2">
        <v>45101.225694444453</v>
      </c>
      <c r="C1007" t="s">
        <v>276</v>
      </c>
      <c r="D1007" t="s">
        <v>215</v>
      </c>
      <c r="E1007">
        <v>3</v>
      </c>
      <c r="F1007">
        <v>297.54000000000002</v>
      </c>
      <c r="G1007" t="s">
        <v>220</v>
      </c>
      <c r="H1007">
        <v>892.62000000000012</v>
      </c>
      <c r="I1007">
        <v>2023</v>
      </c>
      <c r="J1007">
        <v>6</v>
      </c>
      <c r="K1007">
        <v>5</v>
      </c>
      <c r="L1007" s="14">
        <v>297.54000000000002</v>
      </c>
      <c r="M1007" s="4" t="str">
        <f t="shared" si="60"/>
        <v>sábado</v>
      </c>
      <c r="N1007" s="4" t="str">
        <f t="shared" si="61"/>
        <v>junio</v>
      </c>
      <c r="O1007" s="4" t="str">
        <f t="shared" si="62"/>
        <v>NO</v>
      </c>
      <c r="P1007" s="4" t="str">
        <f t="shared" si="63"/>
        <v>NO</v>
      </c>
      <c r="Q1007" s="4" t="str" cm="1">
        <f t="array" ref="Q1007">_xlfn.IFS(AND(H1007&gt;=0,H1007&lt;=3333),"Grupo 1",AND(H1007&gt;3333,H1007&lt;=6666),"Grupo 2",AND(H1007&gt;6666,H1007&lt;=10000),"Grupo 3")</f>
        <v>Grupo 1</v>
      </c>
    </row>
    <row r="1008" spans="1:17" x14ac:dyDescent="0.25">
      <c r="A1008" t="s">
        <v>18</v>
      </c>
      <c r="B1008" s="2">
        <v>45694.432638888888</v>
      </c>
      <c r="C1008" t="s">
        <v>277</v>
      </c>
      <c r="D1008" t="s">
        <v>216</v>
      </c>
      <c r="E1008">
        <v>4</v>
      </c>
      <c r="F1008">
        <v>1546.65</v>
      </c>
      <c r="G1008" t="s">
        <v>221</v>
      </c>
      <c r="H1008">
        <v>6186.6</v>
      </c>
      <c r="I1008">
        <v>2025</v>
      </c>
      <c r="J1008">
        <v>2</v>
      </c>
      <c r="K1008">
        <v>10</v>
      </c>
      <c r="L1008" s="14">
        <v>1546.65</v>
      </c>
      <c r="M1008" s="4" t="str">
        <f t="shared" si="60"/>
        <v>jueves</v>
      </c>
      <c r="N1008" s="4" t="str">
        <f t="shared" si="61"/>
        <v>febrero</v>
      </c>
      <c r="O1008" s="4" t="str">
        <f t="shared" si="62"/>
        <v>SI</v>
      </c>
      <c r="P1008" s="4" t="str">
        <f t="shared" si="63"/>
        <v>SI</v>
      </c>
      <c r="Q1008" s="4" t="str" cm="1">
        <f t="array" ref="Q1008">_xlfn.IFS(AND(H1008&gt;=0,H1008&lt;=3333),"Grupo 1",AND(H1008&gt;3333,H1008&lt;=6666),"Grupo 2",AND(H1008&gt;6666,H1008&lt;=10000),"Grupo 3")</f>
        <v>Grupo 2</v>
      </c>
    </row>
    <row r="1009" spans="1:17" x14ac:dyDescent="0.25">
      <c r="A1009" t="s">
        <v>19</v>
      </c>
      <c r="B1009" s="2">
        <v>45798.69027777778</v>
      </c>
      <c r="C1009" t="s">
        <v>278</v>
      </c>
      <c r="D1009" t="s">
        <v>212</v>
      </c>
      <c r="E1009">
        <v>1</v>
      </c>
      <c r="F1009">
        <v>1575.18</v>
      </c>
      <c r="G1009" t="s">
        <v>220</v>
      </c>
      <c r="H1009">
        <v>1575.18</v>
      </c>
      <c r="I1009">
        <v>2025</v>
      </c>
      <c r="J1009">
        <v>5</v>
      </c>
      <c r="K1009">
        <v>16</v>
      </c>
      <c r="L1009" s="14">
        <v>1575.18</v>
      </c>
      <c r="M1009" s="4" t="str">
        <f t="shared" si="60"/>
        <v>miércoles</v>
      </c>
      <c r="N1009" s="4" t="str">
        <f t="shared" si="61"/>
        <v>mayo</v>
      </c>
      <c r="O1009" s="4" t="str">
        <f t="shared" si="62"/>
        <v>NO</v>
      </c>
      <c r="P1009" s="4" t="str">
        <f t="shared" si="63"/>
        <v>SI</v>
      </c>
      <c r="Q1009" s="4" t="str" cm="1">
        <f t="array" ref="Q1009">_xlfn.IFS(AND(H1009&gt;=0,H1009&lt;=3333),"Grupo 1",AND(H1009&gt;3333,H1009&lt;=6666),"Grupo 2",AND(H1009&gt;6666,H1009&lt;=10000),"Grupo 3")</f>
        <v>Grupo 1</v>
      </c>
    </row>
    <row r="1010" spans="1:17" x14ac:dyDescent="0.25">
      <c r="A1010" t="s">
        <v>20</v>
      </c>
      <c r="B1010" s="2">
        <v>45425.797222222223</v>
      </c>
      <c r="C1010" t="s">
        <v>279</v>
      </c>
      <c r="D1010" t="s">
        <v>217</v>
      </c>
      <c r="E1010">
        <v>5</v>
      </c>
      <c r="F1010">
        <v>1815.86</v>
      </c>
      <c r="G1010" t="s">
        <v>220</v>
      </c>
      <c r="H1010">
        <v>9079.2999999999993</v>
      </c>
      <c r="I1010">
        <v>2024</v>
      </c>
      <c r="J1010">
        <v>5</v>
      </c>
      <c r="K1010">
        <v>19</v>
      </c>
      <c r="L1010" s="14">
        <v>1815.86</v>
      </c>
      <c r="M1010" s="4" t="str">
        <f t="shared" si="60"/>
        <v>lunes</v>
      </c>
      <c r="N1010" s="4" t="str">
        <f t="shared" si="61"/>
        <v>mayo</v>
      </c>
      <c r="O1010" s="4" t="str">
        <f t="shared" si="62"/>
        <v>SI</v>
      </c>
      <c r="P1010" s="4" t="str">
        <f t="shared" si="63"/>
        <v>SI</v>
      </c>
      <c r="Q1010" s="4" t="str" cm="1">
        <f t="array" ref="Q1010">_xlfn.IFS(AND(H1010&gt;=0,H1010&lt;=3333),"Grupo 1",AND(H1010&gt;3333,H1010&lt;=6666),"Grupo 2",AND(H1010&gt;6666,H1010&lt;=10000),"Grupo 3")</f>
        <v>Grupo 3</v>
      </c>
    </row>
    <row r="1011" spans="1:17" x14ac:dyDescent="0.25">
      <c r="A1011" t="s">
        <v>21</v>
      </c>
      <c r="B1011" s="2">
        <v>45525.152083333327</v>
      </c>
      <c r="C1011" t="s">
        <v>280</v>
      </c>
      <c r="D1011" t="s">
        <v>212</v>
      </c>
      <c r="E1011">
        <v>1</v>
      </c>
      <c r="F1011">
        <v>564.11</v>
      </c>
      <c r="G1011" t="s">
        <v>220</v>
      </c>
      <c r="H1011">
        <v>564.11</v>
      </c>
      <c r="I1011">
        <v>2024</v>
      </c>
      <c r="J1011">
        <v>8</v>
      </c>
      <c r="K1011">
        <v>3</v>
      </c>
      <c r="L1011" s="14">
        <v>564.11</v>
      </c>
      <c r="M1011" s="4" t="str">
        <f t="shared" si="60"/>
        <v>miércoles</v>
      </c>
      <c r="N1011" s="4" t="str">
        <f t="shared" si="61"/>
        <v>agosto</v>
      </c>
      <c r="O1011" s="4" t="str">
        <f t="shared" si="62"/>
        <v>NO</v>
      </c>
      <c r="P1011" s="4" t="str">
        <f t="shared" si="63"/>
        <v>NO</v>
      </c>
      <c r="Q1011" s="4" t="str" cm="1">
        <f t="array" ref="Q1011">_xlfn.IFS(AND(H1011&gt;=0,H1011&lt;=3333),"Grupo 1",AND(H1011&gt;3333,H1011&lt;=6666),"Grupo 2",AND(H1011&gt;6666,H1011&lt;=10000),"Grupo 3")</f>
        <v>Grupo 1</v>
      </c>
    </row>
    <row r="1012" spans="1:17" x14ac:dyDescent="0.25">
      <c r="A1012" t="s">
        <v>22</v>
      </c>
      <c r="B1012" s="2">
        <v>45580.043749999997</v>
      </c>
      <c r="C1012" t="s">
        <v>281</v>
      </c>
      <c r="D1012" t="s">
        <v>217</v>
      </c>
      <c r="E1012">
        <v>1</v>
      </c>
      <c r="F1012">
        <v>454.9</v>
      </c>
      <c r="G1012" t="s">
        <v>220</v>
      </c>
      <c r="H1012">
        <v>454.9</v>
      </c>
      <c r="I1012">
        <v>2024</v>
      </c>
      <c r="J1012">
        <v>10</v>
      </c>
      <c r="K1012">
        <v>1</v>
      </c>
      <c r="L1012" s="14">
        <v>454.9</v>
      </c>
      <c r="M1012" s="4" t="str">
        <f t="shared" si="60"/>
        <v>martes</v>
      </c>
      <c r="N1012" s="4" t="str">
        <f t="shared" si="61"/>
        <v>octubre</v>
      </c>
      <c r="O1012" s="4" t="str">
        <f t="shared" si="62"/>
        <v>NO</v>
      </c>
      <c r="P1012" s="4" t="str">
        <f t="shared" si="63"/>
        <v>NO</v>
      </c>
      <c r="Q1012" s="4" t="str" cm="1">
        <f t="array" ref="Q1012">_xlfn.IFS(AND(H1012&gt;=0,H1012&lt;=3333),"Grupo 1",AND(H1012&gt;3333,H1012&lt;=6666),"Grupo 2",AND(H1012&gt;6666,H1012&lt;=10000),"Grupo 3")</f>
        <v>Grupo 1</v>
      </c>
    </row>
    <row r="1013" spans="1:17" x14ac:dyDescent="0.25">
      <c r="A1013" t="s">
        <v>23</v>
      </c>
      <c r="B1013" s="2">
        <v>45551.151388888888</v>
      </c>
      <c r="C1013" t="s">
        <v>282</v>
      </c>
      <c r="D1013" t="s">
        <v>218</v>
      </c>
      <c r="E1013">
        <v>3</v>
      </c>
      <c r="F1013">
        <v>1277.51</v>
      </c>
      <c r="G1013" t="s">
        <v>221</v>
      </c>
      <c r="H1013">
        <v>3832.53</v>
      </c>
      <c r="I1013">
        <v>2024</v>
      </c>
      <c r="J1013">
        <v>9</v>
      </c>
      <c r="K1013">
        <v>3</v>
      </c>
      <c r="L1013" s="14">
        <v>1277.51</v>
      </c>
      <c r="M1013" s="4" t="str">
        <f t="shared" si="60"/>
        <v>lunes</v>
      </c>
      <c r="N1013" s="4" t="str">
        <f t="shared" si="61"/>
        <v>septiembre</v>
      </c>
      <c r="O1013" s="4" t="str">
        <f t="shared" si="62"/>
        <v>SI</v>
      </c>
      <c r="P1013" s="4" t="str">
        <f t="shared" si="63"/>
        <v>SI</v>
      </c>
      <c r="Q1013" s="4" t="str" cm="1">
        <f t="array" ref="Q1013">_xlfn.IFS(AND(H1013&gt;=0,H1013&lt;=3333),"Grupo 1",AND(H1013&gt;3333,H1013&lt;=6666),"Grupo 2",AND(H1013&gt;6666,H1013&lt;=10000),"Grupo 3")</f>
        <v>Grupo 2</v>
      </c>
    </row>
    <row r="1014" spans="1:17" x14ac:dyDescent="0.25">
      <c r="A1014" t="s">
        <v>24</v>
      </c>
      <c r="B1014" s="2">
        <v>45230.395833333343</v>
      </c>
      <c r="C1014" t="s">
        <v>283</v>
      </c>
      <c r="D1014" t="s">
        <v>214</v>
      </c>
      <c r="E1014">
        <v>2</v>
      </c>
      <c r="F1014">
        <v>1870.95</v>
      </c>
      <c r="G1014" t="s">
        <v>222</v>
      </c>
      <c r="H1014">
        <v>3741.9</v>
      </c>
      <c r="I1014">
        <v>2023</v>
      </c>
      <c r="J1014">
        <v>10</v>
      </c>
      <c r="K1014">
        <v>9</v>
      </c>
      <c r="L1014" s="14">
        <v>1870.95</v>
      </c>
      <c r="M1014" s="4" t="str">
        <f t="shared" si="60"/>
        <v>martes</v>
      </c>
      <c r="N1014" s="4" t="str">
        <f t="shared" si="61"/>
        <v>octubre</v>
      </c>
      <c r="O1014" s="4" t="str">
        <f t="shared" si="62"/>
        <v>SI</v>
      </c>
      <c r="P1014" s="4" t="str">
        <f t="shared" si="63"/>
        <v>SI</v>
      </c>
      <c r="Q1014" s="4" t="str" cm="1">
        <f t="array" ref="Q1014">_xlfn.IFS(AND(H1014&gt;=0,H1014&lt;=3333),"Grupo 1",AND(H1014&gt;3333,H1014&lt;=6666),"Grupo 2",AND(H1014&gt;6666,H1014&lt;=10000),"Grupo 3")</f>
        <v>Grupo 2</v>
      </c>
    </row>
    <row r="1015" spans="1:17" x14ac:dyDescent="0.25">
      <c r="A1015" t="s">
        <v>25</v>
      </c>
      <c r="B1015" s="2">
        <v>45234.645833333343</v>
      </c>
      <c r="C1015" t="s">
        <v>284</v>
      </c>
      <c r="D1015" t="s">
        <v>212</v>
      </c>
      <c r="E1015">
        <v>4</v>
      </c>
      <c r="F1015">
        <v>1227.23</v>
      </c>
      <c r="G1015" t="s">
        <v>220</v>
      </c>
      <c r="H1015">
        <v>4908.92</v>
      </c>
      <c r="I1015">
        <v>2023</v>
      </c>
      <c r="J1015">
        <v>11</v>
      </c>
      <c r="K1015">
        <v>15</v>
      </c>
      <c r="L1015" s="14">
        <v>1227.23</v>
      </c>
      <c r="M1015" s="4" t="str">
        <f t="shared" si="60"/>
        <v>sábado</v>
      </c>
      <c r="N1015" s="4" t="str">
        <f t="shared" si="61"/>
        <v>noviembre</v>
      </c>
      <c r="O1015" s="4" t="str">
        <f t="shared" si="62"/>
        <v>SI</v>
      </c>
      <c r="P1015" s="4" t="str">
        <f t="shared" si="63"/>
        <v>SI</v>
      </c>
      <c r="Q1015" s="4" t="str" cm="1">
        <f t="array" ref="Q1015">_xlfn.IFS(AND(H1015&gt;=0,H1015&lt;=3333),"Grupo 1",AND(H1015&gt;3333,H1015&lt;=6666),"Grupo 2",AND(H1015&gt;6666,H1015&lt;=10000),"Grupo 3")</f>
        <v>Grupo 2</v>
      </c>
    </row>
    <row r="1016" spans="1:17" x14ac:dyDescent="0.25">
      <c r="A1016" t="s">
        <v>26</v>
      </c>
      <c r="B1016" s="2">
        <v>45464.76666666667</v>
      </c>
      <c r="C1016" t="s">
        <v>285</v>
      </c>
      <c r="D1016" t="s">
        <v>215</v>
      </c>
      <c r="E1016">
        <v>1</v>
      </c>
      <c r="F1016">
        <v>1329.6</v>
      </c>
      <c r="G1016" t="s">
        <v>220</v>
      </c>
      <c r="H1016">
        <v>1329.6</v>
      </c>
      <c r="I1016">
        <v>2024</v>
      </c>
      <c r="J1016">
        <v>6</v>
      </c>
      <c r="K1016">
        <v>18</v>
      </c>
      <c r="L1016" s="14">
        <v>1329.6</v>
      </c>
      <c r="M1016" s="4" t="str">
        <f t="shared" si="60"/>
        <v>viernes</v>
      </c>
      <c r="N1016" s="4" t="str">
        <f t="shared" si="61"/>
        <v>junio</v>
      </c>
      <c r="O1016" s="4" t="str">
        <f t="shared" si="62"/>
        <v>NO</v>
      </c>
      <c r="P1016" s="4" t="str">
        <f t="shared" si="63"/>
        <v>SI</v>
      </c>
      <c r="Q1016" s="4" t="str" cm="1">
        <f t="array" ref="Q1016">_xlfn.IFS(AND(H1016&gt;=0,H1016&lt;=3333),"Grupo 1",AND(H1016&gt;3333,H1016&lt;=6666),"Grupo 2",AND(H1016&gt;6666,H1016&lt;=10000),"Grupo 3")</f>
        <v>Grupo 1</v>
      </c>
    </row>
    <row r="1017" spans="1:17" x14ac:dyDescent="0.25">
      <c r="A1017" t="s">
        <v>27</v>
      </c>
      <c r="B1017" s="2">
        <v>45138.240277777782</v>
      </c>
      <c r="C1017" t="s">
        <v>286</v>
      </c>
      <c r="D1017" t="s">
        <v>212</v>
      </c>
      <c r="E1017">
        <v>3</v>
      </c>
      <c r="F1017">
        <v>1734.12</v>
      </c>
      <c r="G1017" t="s">
        <v>220</v>
      </c>
      <c r="H1017">
        <v>5202.3599999999997</v>
      </c>
      <c r="I1017">
        <v>2023</v>
      </c>
      <c r="J1017">
        <v>7</v>
      </c>
      <c r="K1017">
        <v>5</v>
      </c>
      <c r="L1017" s="14">
        <v>1734.12</v>
      </c>
      <c r="M1017" s="4" t="str">
        <f t="shared" si="60"/>
        <v>lunes</v>
      </c>
      <c r="N1017" s="4" t="str">
        <f t="shared" si="61"/>
        <v>julio</v>
      </c>
      <c r="O1017" s="4" t="str">
        <f t="shared" si="62"/>
        <v>SI</v>
      </c>
      <c r="P1017" s="4" t="str">
        <f t="shared" si="63"/>
        <v>SI</v>
      </c>
      <c r="Q1017" s="4" t="str" cm="1">
        <f t="array" ref="Q1017">_xlfn.IFS(AND(H1017&gt;=0,H1017&lt;=3333),"Grupo 1",AND(H1017&gt;3333,H1017&lt;=6666),"Grupo 2",AND(H1017&gt;6666,H1017&lt;=10000),"Grupo 3")</f>
        <v>Grupo 2</v>
      </c>
    </row>
    <row r="1018" spans="1:17" x14ac:dyDescent="0.25">
      <c r="A1018" t="s">
        <v>28</v>
      </c>
      <c r="B1018" s="2">
        <v>45455.688888888893</v>
      </c>
      <c r="C1018" t="s">
        <v>287</v>
      </c>
      <c r="D1018" t="s">
        <v>212</v>
      </c>
      <c r="E1018">
        <v>1</v>
      </c>
      <c r="F1018">
        <v>1209.6199999999999</v>
      </c>
      <c r="G1018" t="s">
        <v>220</v>
      </c>
      <c r="H1018">
        <v>1209.6199999999999</v>
      </c>
      <c r="I1018">
        <v>2024</v>
      </c>
      <c r="J1018">
        <v>6</v>
      </c>
      <c r="K1018">
        <v>16</v>
      </c>
      <c r="L1018" s="14">
        <v>1209.6199999999999</v>
      </c>
      <c r="M1018" s="4" t="str">
        <f t="shared" si="60"/>
        <v>miércoles</v>
      </c>
      <c r="N1018" s="4" t="str">
        <f t="shared" si="61"/>
        <v>junio</v>
      </c>
      <c r="O1018" s="4" t="str">
        <f t="shared" si="62"/>
        <v>NO</v>
      </c>
      <c r="P1018" s="4" t="str">
        <f t="shared" si="63"/>
        <v>SI</v>
      </c>
      <c r="Q1018" s="4" t="str" cm="1">
        <f t="array" ref="Q1018">_xlfn.IFS(AND(H1018&gt;=0,H1018&lt;=3333),"Grupo 1",AND(H1018&gt;3333,H1018&lt;=6666),"Grupo 2",AND(H1018&gt;6666,H1018&lt;=10000),"Grupo 3")</f>
        <v>Grupo 1</v>
      </c>
    </row>
    <row r="1019" spans="1:17" x14ac:dyDescent="0.25">
      <c r="A1019" t="s">
        <v>29</v>
      </c>
      <c r="B1019" s="2">
        <v>45301.151388888888</v>
      </c>
      <c r="C1019" t="s">
        <v>288</v>
      </c>
      <c r="D1019" t="s">
        <v>218</v>
      </c>
      <c r="E1019">
        <v>3</v>
      </c>
      <c r="F1019">
        <v>922.33</v>
      </c>
      <c r="G1019" t="s">
        <v>221</v>
      </c>
      <c r="H1019">
        <v>2766.99</v>
      </c>
      <c r="I1019">
        <v>2024</v>
      </c>
      <c r="J1019">
        <v>1</v>
      </c>
      <c r="K1019">
        <v>3</v>
      </c>
      <c r="L1019" s="14">
        <v>922.33</v>
      </c>
      <c r="M1019" s="4" t="str">
        <f t="shared" si="60"/>
        <v>miércoles</v>
      </c>
      <c r="N1019" s="4" t="str">
        <f t="shared" si="61"/>
        <v>enero</v>
      </c>
      <c r="O1019" s="4" t="str">
        <f t="shared" si="62"/>
        <v>NO</v>
      </c>
      <c r="P1019" s="4" t="str">
        <f t="shared" si="63"/>
        <v>NO</v>
      </c>
      <c r="Q1019" s="4" t="str" cm="1">
        <f t="array" ref="Q1019">_xlfn.IFS(AND(H1019&gt;=0,H1019&lt;=3333),"Grupo 1",AND(H1019&gt;3333,H1019&lt;=6666),"Grupo 2",AND(H1019&gt;6666,H1019&lt;=10000),"Grupo 3")</f>
        <v>Grupo 1</v>
      </c>
    </row>
    <row r="1020" spans="1:17" x14ac:dyDescent="0.25">
      <c r="A1020" t="s">
        <v>30</v>
      </c>
      <c r="B1020" s="2">
        <v>45677.761111111111</v>
      </c>
      <c r="C1020" t="s">
        <v>289</v>
      </c>
      <c r="D1020" t="s">
        <v>216</v>
      </c>
      <c r="E1020">
        <v>4</v>
      </c>
      <c r="F1020">
        <v>54.42</v>
      </c>
      <c r="G1020" t="s">
        <v>221</v>
      </c>
      <c r="H1020">
        <v>217.68</v>
      </c>
      <c r="I1020">
        <v>2025</v>
      </c>
      <c r="J1020">
        <v>1</v>
      </c>
      <c r="K1020">
        <v>18</v>
      </c>
      <c r="L1020" s="14">
        <v>54.42</v>
      </c>
      <c r="M1020" s="4" t="str">
        <f t="shared" si="60"/>
        <v>lunes</v>
      </c>
      <c r="N1020" s="4" t="str">
        <f t="shared" si="61"/>
        <v>enero</v>
      </c>
      <c r="O1020" s="4" t="str">
        <f t="shared" si="62"/>
        <v>NO</v>
      </c>
      <c r="P1020" s="4" t="str">
        <f t="shared" si="63"/>
        <v>NO</v>
      </c>
      <c r="Q1020" s="4" t="str" cm="1">
        <f t="array" ref="Q1020">_xlfn.IFS(AND(H1020&gt;=0,H1020&lt;=3333),"Grupo 1",AND(H1020&gt;3333,H1020&lt;=6666),"Grupo 2",AND(H1020&gt;6666,H1020&lt;=10000),"Grupo 3")</f>
        <v>Grupo 1</v>
      </c>
    </row>
    <row r="1021" spans="1:17" x14ac:dyDescent="0.25">
      <c r="A1021" t="s">
        <v>31</v>
      </c>
      <c r="B1021" s="2">
        <v>45238.713888888888</v>
      </c>
      <c r="C1021" t="s">
        <v>290</v>
      </c>
      <c r="D1021" t="s">
        <v>218</v>
      </c>
      <c r="E1021">
        <v>2</v>
      </c>
      <c r="F1021">
        <v>1567.18</v>
      </c>
      <c r="G1021" t="s">
        <v>221</v>
      </c>
      <c r="H1021">
        <v>3134.36</v>
      </c>
      <c r="I1021">
        <v>2023</v>
      </c>
      <c r="J1021">
        <v>11</v>
      </c>
      <c r="K1021">
        <v>17</v>
      </c>
      <c r="L1021" s="14">
        <v>1567.18</v>
      </c>
      <c r="M1021" s="4" t="str">
        <f t="shared" si="60"/>
        <v>miércoles</v>
      </c>
      <c r="N1021" s="4" t="str">
        <f t="shared" si="61"/>
        <v>noviembre</v>
      </c>
      <c r="O1021" s="4" t="str">
        <f t="shared" si="62"/>
        <v>SI</v>
      </c>
      <c r="P1021" s="4" t="str">
        <f t="shared" si="63"/>
        <v>SI</v>
      </c>
      <c r="Q1021" s="4" t="str" cm="1">
        <f t="array" ref="Q1021">_xlfn.IFS(AND(H1021&gt;=0,H1021&lt;=3333),"Grupo 1",AND(H1021&gt;3333,H1021&lt;=6666),"Grupo 2",AND(H1021&gt;6666,H1021&lt;=10000),"Grupo 3")</f>
        <v>Grupo 1</v>
      </c>
    </row>
    <row r="1022" spans="1:17" x14ac:dyDescent="0.25">
      <c r="A1022" t="s">
        <v>32</v>
      </c>
      <c r="B1022" s="2">
        <v>45231.386111111111</v>
      </c>
      <c r="C1022" t="s">
        <v>291</v>
      </c>
      <c r="D1022" t="s">
        <v>213</v>
      </c>
      <c r="E1022">
        <v>2</v>
      </c>
      <c r="F1022">
        <v>519.79999999999995</v>
      </c>
      <c r="G1022" t="s">
        <v>221</v>
      </c>
      <c r="H1022">
        <v>1039.5999999999999</v>
      </c>
      <c r="I1022">
        <v>2023</v>
      </c>
      <c r="J1022">
        <v>11</v>
      </c>
      <c r="K1022">
        <v>9</v>
      </c>
      <c r="L1022" s="14">
        <v>519.79999999999995</v>
      </c>
      <c r="M1022" s="4" t="str">
        <f t="shared" si="60"/>
        <v>miércoles</v>
      </c>
      <c r="N1022" s="4" t="str">
        <f t="shared" si="61"/>
        <v>noviembre</v>
      </c>
      <c r="O1022" s="4" t="str">
        <f t="shared" si="62"/>
        <v>NO</v>
      </c>
      <c r="P1022" s="4" t="str">
        <f t="shared" si="63"/>
        <v>NO</v>
      </c>
      <c r="Q1022" s="4" t="str" cm="1">
        <f t="array" ref="Q1022">_xlfn.IFS(AND(H1022&gt;=0,H1022&lt;=3333),"Grupo 1",AND(H1022&gt;3333,H1022&lt;=6666),"Grupo 2",AND(H1022&gt;6666,H1022&lt;=10000),"Grupo 3")</f>
        <v>Grupo 1</v>
      </c>
    </row>
    <row r="1023" spans="1:17" x14ac:dyDescent="0.25">
      <c r="A1023" t="s">
        <v>33</v>
      </c>
      <c r="B1023" s="2">
        <v>45421.563888888893</v>
      </c>
      <c r="C1023" t="s">
        <v>292</v>
      </c>
      <c r="D1023" t="s">
        <v>214</v>
      </c>
      <c r="E1023">
        <v>1</v>
      </c>
      <c r="F1023">
        <v>1267.01</v>
      </c>
      <c r="G1023" t="s">
        <v>222</v>
      </c>
      <c r="H1023">
        <v>1267.01</v>
      </c>
      <c r="I1023">
        <v>2024</v>
      </c>
      <c r="J1023">
        <v>5</v>
      </c>
      <c r="K1023">
        <v>13</v>
      </c>
      <c r="L1023" s="14">
        <v>1267.01</v>
      </c>
      <c r="M1023" s="4" t="str">
        <f t="shared" si="60"/>
        <v>jueves</v>
      </c>
      <c r="N1023" s="4" t="str">
        <f t="shared" si="61"/>
        <v>mayo</v>
      </c>
      <c r="O1023" s="4" t="str">
        <f t="shared" si="62"/>
        <v>NO</v>
      </c>
      <c r="P1023" s="4" t="str">
        <f t="shared" si="63"/>
        <v>SI</v>
      </c>
      <c r="Q1023" s="4" t="str" cm="1">
        <f t="array" ref="Q1023">_xlfn.IFS(AND(H1023&gt;=0,H1023&lt;=3333),"Grupo 1",AND(H1023&gt;3333,H1023&lt;=6666),"Grupo 2",AND(H1023&gt;6666,H1023&lt;=10000),"Grupo 3")</f>
        <v>Grupo 1</v>
      </c>
    </row>
    <row r="1024" spans="1:17" x14ac:dyDescent="0.25">
      <c r="A1024" t="s">
        <v>34</v>
      </c>
      <c r="B1024" s="2">
        <v>45437.592361111107</v>
      </c>
      <c r="C1024" t="s">
        <v>293</v>
      </c>
      <c r="D1024" t="s">
        <v>212</v>
      </c>
      <c r="E1024">
        <v>4</v>
      </c>
      <c r="F1024">
        <v>1027.81</v>
      </c>
      <c r="G1024" t="s">
        <v>220</v>
      </c>
      <c r="H1024">
        <v>4111.24</v>
      </c>
      <c r="I1024">
        <v>2024</v>
      </c>
      <c r="J1024">
        <v>5</v>
      </c>
      <c r="K1024">
        <v>14</v>
      </c>
      <c r="L1024" s="14">
        <v>1027.81</v>
      </c>
      <c r="M1024" s="4" t="str">
        <f t="shared" si="60"/>
        <v>sábado</v>
      </c>
      <c r="N1024" s="4" t="str">
        <f t="shared" si="61"/>
        <v>mayo</v>
      </c>
      <c r="O1024" s="4" t="str">
        <f t="shared" si="62"/>
        <v>SI</v>
      </c>
      <c r="P1024" s="4" t="str">
        <f t="shared" si="63"/>
        <v>SI</v>
      </c>
      <c r="Q1024" s="4" t="str" cm="1">
        <f t="array" ref="Q1024">_xlfn.IFS(AND(H1024&gt;=0,H1024&lt;=3333),"Grupo 1",AND(H1024&gt;3333,H1024&lt;=6666),"Grupo 2",AND(H1024&gt;6666,H1024&lt;=10000),"Grupo 3")</f>
        <v>Grupo 2</v>
      </c>
    </row>
    <row r="1025" spans="1:17" x14ac:dyDescent="0.25">
      <c r="A1025" t="s">
        <v>35</v>
      </c>
      <c r="B1025" s="2">
        <v>45355.487500000003</v>
      </c>
      <c r="C1025" t="s">
        <v>294</v>
      </c>
      <c r="D1025" t="s">
        <v>216</v>
      </c>
      <c r="E1025">
        <v>3</v>
      </c>
      <c r="F1025">
        <v>925.62</v>
      </c>
      <c r="G1025" t="s">
        <v>221</v>
      </c>
      <c r="H1025">
        <v>2776.86</v>
      </c>
      <c r="I1025">
        <v>2024</v>
      </c>
      <c r="J1025">
        <v>3</v>
      </c>
      <c r="K1025">
        <v>11</v>
      </c>
      <c r="L1025" s="14">
        <v>925.62</v>
      </c>
      <c r="M1025" s="4" t="str">
        <f t="shared" si="60"/>
        <v>lunes</v>
      </c>
      <c r="N1025" s="4" t="str">
        <f t="shared" si="61"/>
        <v>marzo</v>
      </c>
      <c r="O1025" s="4" t="str">
        <f t="shared" si="62"/>
        <v>NO</v>
      </c>
      <c r="P1025" s="4" t="str">
        <f t="shared" si="63"/>
        <v>NO</v>
      </c>
      <c r="Q1025" s="4" t="str" cm="1">
        <f t="array" ref="Q1025">_xlfn.IFS(AND(H1025&gt;=0,H1025&lt;=3333),"Grupo 1",AND(H1025&gt;3333,H1025&lt;=6666),"Grupo 2",AND(H1025&gt;6666,H1025&lt;=10000),"Grupo 3")</f>
        <v>Grupo 1</v>
      </c>
    </row>
    <row r="1026" spans="1:17" x14ac:dyDescent="0.25">
      <c r="A1026" t="s">
        <v>36</v>
      </c>
      <c r="B1026" s="2">
        <v>45924.43472222222</v>
      </c>
      <c r="C1026" t="s">
        <v>295</v>
      </c>
      <c r="D1026" t="s">
        <v>212</v>
      </c>
      <c r="E1026">
        <v>3</v>
      </c>
      <c r="F1026">
        <v>213.71</v>
      </c>
      <c r="G1026" t="s">
        <v>220</v>
      </c>
      <c r="H1026">
        <v>641.13</v>
      </c>
      <c r="I1026">
        <v>2025</v>
      </c>
      <c r="J1026">
        <v>9</v>
      </c>
      <c r="K1026">
        <v>10</v>
      </c>
      <c r="L1026" s="14">
        <v>213.71</v>
      </c>
      <c r="M1026" s="4" t="str">
        <f t="shared" ref="M1026:M1089" si="64">TEXT(B1026,"dddd")</f>
        <v>miércoles</v>
      </c>
      <c r="N1026" s="4" t="str">
        <f t="shared" ref="N1026:N1089" si="65">TEXT(B1026,"mmmm")</f>
        <v>septiembre</v>
      </c>
      <c r="O1026" s="4" t="str">
        <f t="shared" si="62"/>
        <v>NO</v>
      </c>
      <c r="P1026" s="4" t="str">
        <f t="shared" si="63"/>
        <v>NO</v>
      </c>
      <c r="Q1026" s="4" t="str" cm="1">
        <f t="array" ref="Q1026">_xlfn.IFS(AND(H1026&gt;=0,H1026&lt;=3333),"Grupo 1",AND(H1026&gt;3333,H1026&lt;=6666),"Grupo 2",AND(H1026&gt;6666,H1026&lt;=10000),"Grupo 3")</f>
        <v>Grupo 1</v>
      </c>
    </row>
    <row r="1027" spans="1:17" x14ac:dyDescent="0.25">
      <c r="A1027" t="s">
        <v>37</v>
      </c>
      <c r="B1027" s="2">
        <v>45471.931250000001</v>
      </c>
      <c r="C1027" t="s">
        <v>296</v>
      </c>
      <c r="D1027" t="s">
        <v>217</v>
      </c>
      <c r="E1027">
        <v>2</v>
      </c>
      <c r="F1027">
        <v>1146.75</v>
      </c>
      <c r="G1027" t="s">
        <v>220</v>
      </c>
      <c r="H1027">
        <v>2293.5</v>
      </c>
      <c r="I1027">
        <v>2024</v>
      </c>
      <c r="J1027">
        <v>6</v>
      </c>
      <c r="K1027">
        <v>22</v>
      </c>
      <c r="L1027" s="14">
        <v>1146.75</v>
      </c>
      <c r="M1027" s="4" t="str">
        <f t="shared" si="64"/>
        <v>viernes</v>
      </c>
      <c r="N1027" s="4" t="str">
        <f t="shared" si="65"/>
        <v>junio</v>
      </c>
      <c r="O1027" s="4" t="str">
        <f t="shared" ref="O1027:O1090" si="66">IF(H1027&gt;AVERAGE(H:H),"SI","NO")</f>
        <v>NO</v>
      </c>
      <c r="P1027" s="4" t="str">
        <f t="shared" ref="P1027:P1090" si="67">IF(L1027&gt;AVERAGE(L:L),"SI","NO")</f>
        <v>SI</v>
      </c>
      <c r="Q1027" s="4" t="str" cm="1">
        <f t="array" ref="Q1027">_xlfn.IFS(AND(H1027&gt;=0,H1027&lt;=3333),"Grupo 1",AND(H1027&gt;3333,H1027&lt;=6666),"Grupo 2",AND(H1027&gt;6666,H1027&lt;=10000),"Grupo 3")</f>
        <v>Grupo 1</v>
      </c>
    </row>
    <row r="1028" spans="1:17" x14ac:dyDescent="0.25">
      <c r="A1028" t="s">
        <v>38</v>
      </c>
      <c r="B1028" s="2">
        <v>45003.59097222222</v>
      </c>
      <c r="C1028" t="s">
        <v>297</v>
      </c>
      <c r="D1028" t="s">
        <v>217</v>
      </c>
      <c r="E1028">
        <v>5</v>
      </c>
      <c r="F1028">
        <v>907.28</v>
      </c>
      <c r="G1028" t="s">
        <v>220</v>
      </c>
      <c r="H1028">
        <v>4536.3999999999996</v>
      </c>
      <c r="I1028">
        <v>2023</v>
      </c>
      <c r="J1028">
        <v>3</v>
      </c>
      <c r="K1028">
        <v>14</v>
      </c>
      <c r="L1028" s="14">
        <v>907.28</v>
      </c>
      <c r="M1028" s="4" t="str">
        <f t="shared" si="64"/>
        <v>sábado</v>
      </c>
      <c r="N1028" s="4" t="str">
        <f t="shared" si="65"/>
        <v>marzo</v>
      </c>
      <c r="O1028" s="4" t="str">
        <f t="shared" si="66"/>
        <v>SI</v>
      </c>
      <c r="P1028" s="4" t="str">
        <f t="shared" si="67"/>
        <v>NO</v>
      </c>
      <c r="Q1028" s="4" t="str" cm="1">
        <f t="array" ref="Q1028">_xlfn.IFS(AND(H1028&gt;=0,H1028&lt;=3333),"Grupo 1",AND(H1028&gt;3333,H1028&lt;=6666),"Grupo 2",AND(H1028&gt;6666,H1028&lt;=10000),"Grupo 3")</f>
        <v>Grupo 2</v>
      </c>
    </row>
    <row r="1029" spans="1:17" x14ac:dyDescent="0.25">
      <c r="A1029" t="s">
        <v>39</v>
      </c>
      <c r="B1029" s="2">
        <v>45206.394444444442</v>
      </c>
      <c r="C1029" t="s">
        <v>298</v>
      </c>
      <c r="D1029" t="s">
        <v>216</v>
      </c>
      <c r="E1029">
        <v>2</v>
      </c>
      <c r="F1029">
        <v>1734.44</v>
      </c>
      <c r="G1029" t="s">
        <v>221</v>
      </c>
      <c r="H1029">
        <v>3468.88</v>
      </c>
      <c r="I1029">
        <v>2023</v>
      </c>
      <c r="J1029">
        <v>10</v>
      </c>
      <c r="K1029">
        <v>9</v>
      </c>
      <c r="L1029" s="14">
        <v>1734.44</v>
      </c>
      <c r="M1029" s="4" t="str">
        <f t="shared" si="64"/>
        <v>sábado</v>
      </c>
      <c r="N1029" s="4" t="str">
        <f t="shared" si="65"/>
        <v>octubre</v>
      </c>
      <c r="O1029" s="4" t="str">
        <f t="shared" si="66"/>
        <v>SI</v>
      </c>
      <c r="P1029" s="4" t="str">
        <f t="shared" si="67"/>
        <v>SI</v>
      </c>
      <c r="Q1029" s="4" t="str" cm="1">
        <f t="array" ref="Q1029">_xlfn.IFS(AND(H1029&gt;=0,H1029&lt;=3333),"Grupo 1",AND(H1029&gt;3333,H1029&lt;=6666),"Grupo 2",AND(H1029&gt;6666,H1029&lt;=10000),"Grupo 3")</f>
        <v>Grupo 2</v>
      </c>
    </row>
    <row r="1030" spans="1:17" x14ac:dyDescent="0.25">
      <c r="A1030" t="s">
        <v>40</v>
      </c>
      <c r="B1030" s="2">
        <v>45595.773611111108</v>
      </c>
      <c r="C1030" t="s">
        <v>299</v>
      </c>
      <c r="D1030" t="s">
        <v>213</v>
      </c>
      <c r="E1030">
        <v>1</v>
      </c>
      <c r="F1030">
        <v>424.35</v>
      </c>
      <c r="G1030" t="s">
        <v>221</v>
      </c>
      <c r="H1030">
        <v>424.35</v>
      </c>
      <c r="I1030">
        <v>2024</v>
      </c>
      <c r="J1030">
        <v>10</v>
      </c>
      <c r="K1030">
        <v>18</v>
      </c>
      <c r="L1030" s="14">
        <v>424.35</v>
      </c>
      <c r="M1030" s="4" t="str">
        <f t="shared" si="64"/>
        <v>miércoles</v>
      </c>
      <c r="N1030" s="4" t="str">
        <f t="shared" si="65"/>
        <v>octubre</v>
      </c>
      <c r="O1030" s="4" t="str">
        <f t="shared" si="66"/>
        <v>NO</v>
      </c>
      <c r="P1030" s="4" t="str">
        <f t="shared" si="67"/>
        <v>NO</v>
      </c>
      <c r="Q1030" s="4" t="str" cm="1">
        <f t="array" ref="Q1030">_xlfn.IFS(AND(H1030&gt;=0,H1030&lt;=3333),"Grupo 1",AND(H1030&gt;3333,H1030&lt;=6666),"Grupo 2",AND(H1030&gt;6666,H1030&lt;=10000),"Grupo 3")</f>
        <v>Grupo 1</v>
      </c>
    </row>
    <row r="1031" spans="1:17" x14ac:dyDescent="0.25">
      <c r="A1031" t="s">
        <v>41</v>
      </c>
      <c r="B1031" s="2">
        <v>45888.736805555563</v>
      </c>
      <c r="C1031" t="s">
        <v>300</v>
      </c>
      <c r="D1031" t="s">
        <v>212</v>
      </c>
      <c r="E1031">
        <v>1</v>
      </c>
      <c r="F1031">
        <v>252.57</v>
      </c>
      <c r="G1031" t="s">
        <v>220</v>
      </c>
      <c r="H1031">
        <v>252.57</v>
      </c>
      <c r="I1031">
        <v>2025</v>
      </c>
      <c r="J1031">
        <v>8</v>
      </c>
      <c r="K1031">
        <v>17</v>
      </c>
      <c r="L1031" s="14">
        <v>252.57</v>
      </c>
      <c r="M1031" s="4" t="str">
        <f t="shared" si="64"/>
        <v>martes</v>
      </c>
      <c r="N1031" s="4" t="str">
        <f t="shared" si="65"/>
        <v>agosto</v>
      </c>
      <c r="O1031" s="4" t="str">
        <f t="shared" si="66"/>
        <v>NO</v>
      </c>
      <c r="P1031" s="4" t="str">
        <f t="shared" si="67"/>
        <v>NO</v>
      </c>
      <c r="Q1031" s="4" t="str" cm="1">
        <f t="array" ref="Q1031">_xlfn.IFS(AND(H1031&gt;=0,H1031&lt;=3333),"Grupo 1",AND(H1031&gt;3333,H1031&lt;=6666),"Grupo 2",AND(H1031&gt;6666,H1031&lt;=10000),"Grupo 3")</f>
        <v>Grupo 1</v>
      </c>
    </row>
    <row r="1032" spans="1:17" x14ac:dyDescent="0.25">
      <c r="A1032" t="s">
        <v>42</v>
      </c>
      <c r="B1032" s="2">
        <v>45478.06527777778</v>
      </c>
      <c r="C1032" t="s">
        <v>301</v>
      </c>
      <c r="D1032" t="s">
        <v>218</v>
      </c>
      <c r="E1032">
        <v>3</v>
      </c>
      <c r="F1032">
        <v>21.56</v>
      </c>
      <c r="G1032" t="s">
        <v>221</v>
      </c>
      <c r="H1032">
        <v>64.679999999999993</v>
      </c>
      <c r="I1032">
        <v>2024</v>
      </c>
      <c r="J1032">
        <v>7</v>
      </c>
      <c r="K1032">
        <v>1</v>
      </c>
      <c r="L1032" s="14">
        <v>21.56</v>
      </c>
      <c r="M1032" s="4" t="str">
        <f t="shared" si="64"/>
        <v>viernes</v>
      </c>
      <c r="N1032" s="4" t="str">
        <f t="shared" si="65"/>
        <v>julio</v>
      </c>
      <c r="O1032" s="4" t="str">
        <f t="shared" si="66"/>
        <v>NO</v>
      </c>
      <c r="P1032" s="4" t="str">
        <f t="shared" si="67"/>
        <v>NO</v>
      </c>
      <c r="Q1032" s="4" t="str" cm="1">
        <f t="array" ref="Q1032">_xlfn.IFS(AND(H1032&gt;=0,H1032&lt;=3333),"Grupo 1",AND(H1032&gt;3333,H1032&lt;=6666),"Grupo 2",AND(H1032&gt;6666,H1032&lt;=10000),"Grupo 3")</f>
        <v>Grupo 1</v>
      </c>
    </row>
    <row r="1033" spans="1:17" x14ac:dyDescent="0.25">
      <c r="A1033" t="s">
        <v>43</v>
      </c>
      <c r="B1033" s="2">
        <v>45402.668749999997</v>
      </c>
      <c r="C1033" t="s">
        <v>302</v>
      </c>
      <c r="D1033" t="s">
        <v>214</v>
      </c>
      <c r="E1033">
        <v>1</v>
      </c>
      <c r="F1033">
        <v>446.81</v>
      </c>
      <c r="G1033" t="s">
        <v>222</v>
      </c>
      <c r="H1033">
        <v>446.81</v>
      </c>
      <c r="I1033">
        <v>2024</v>
      </c>
      <c r="J1033">
        <v>4</v>
      </c>
      <c r="K1033">
        <v>16</v>
      </c>
      <c r="L1033" s="14">
        <v>446.81</v>
      </c>
      <c r="M1033" s="4" t="str">
        <f t="shared" si="64"/>
        <v>sábado</v>
      </c>
      <c r="N1033" s="4" t="str">
        <f t="shared" si="65"/>
        <v>abril</v>
      </c>
      <c r="O1033" s="4" t="str">
        <f t="shared" si="66"/>
        <v>NO</v>
      </c>
      <c r="P1033" s="4" t="str">
        <f t="shared" si="67"/>
        <v>NO</v>
      </c>
      <c r="Q1033" s="4" t="str" cm="1">
        <f t="array" ref="Q1033">_xlfn.IFS(AND(H1033&gt;=0,H1033&lt;=3333),"Grupo 1",AND(H1033&gt;3333,H1033&lt;=6666),"Grupo 2",AND(H1033&gt;6666,H1033&lt;=10000),"Grupo 3")</f>
        <v>Grupo 1</v>
      </c>
    </row>
    <row r="1034" spans="1:17" x14ac:dyDescent="0.25">
      <c r="A1034" t="s">
        <v>44</v>
      </c>
      <c r="B1034" s="2">
        <v>45033.806944444441</v>
      </c>
      <c r="C1034" t="s">
        <v>303</v>
      </c>
      <c r="D1034" t="s">
        <v>218</v>
      </c>
      <c r="E1034">
        <v>2</v>
      </c>
      <c r="F1034">
        <v>64.67</v>
      </c>
      <c r="G1034" t="s">
        <v>221</v>
      </c>
      <c r="H1034">
        <v>129.34</v>
      </c>
      <c r="I1034">
        <v>2023</v>
      </c>
      <c r="J1034">
        <v>4</v>
      </c>
      <c r="K1034">
        <v>19</v>
      </c>
      <c r="L1034" s="14">
        <v>64.67</v>
      </c>
      <c r="M1034" s="4" t="str">
        <f t="shared" si="64"/>
        <v>lunes</v>
      </c>
      <c r="N1034" s="4" t="str">
        <f t="shared" si="65"/>
        <v>abril</v>
      </c>
      <c r="O1034" s="4" t="str">
        <f t="shared" si="66"/>
        <v>NO</v>
      </c>
      <c r="P1034" s="4" t="str">
        <f t="shared" si="67"/>
        <v>NO</v>
      </c>
      <c r="Q1034" s="4" t="str" cm="1">
        <f t="array" ref="Q1034">_xlfn.IFS(AND(H1034&gt;=0,H1034&lt;=3333),"Grupo 1",AND(H1034&gt;3333,H1034&lt;=6666),"Grupo 2",AND(H1034&gt;6666,H1034&lt;=10000),"Grupo 3")</f>
        <v>Grupo 1</v>
      </c>
    </row>
    <row r="1035" spans="1:17" x14ac:dyDescent="0.25">
      <c r="A1035" t="s">
        <v>45</v>
      </c>
      <c r="B1035" s="2">
        <v>45432.781944444447</v>
      </c>
      <c r="C1035" t="s">
        <v>304</v>
      </c>
      <c r="D1035" t="s">
        <v>216</v>
      </c>
      <c r="E1035">
        <v>5</v>
      </c>
      <c r="F1035">
        <v>1168.3499999999999</v>
      </c>
      <c r="G1035" t="s">
        <v>221</v>
      </c>
      <c r="H1035">
        <v>5841.75</v>
      </c>
      <c r="I1035">
        <v>2024</v>
      </c>
      <c r="J1035">
        <v>5</v>
      </c>
      <c r="K1035">
        <v>18</v>
      </c>
      <c r="L1035" s="14">
        <v>1168.3499999999999</v>
      </c>
      <c r="M1035" s="4" t="str">
        <f t="shared" si="64"/>
        <v>lunes</v>
      </c>
      <c r="N1035" s="4" t="str">
        <f t="shared" si="65"/>
        <v>mayo</v>
      </c>
      <c r="O1035" s="4" t="str">
        <f t="shared" si="66"/>
        <v>SI</v>
      </c>
      <c r="P1035" s="4" t="str">
        <f t="shared" si="67"/>
        <v>SI</v>
      </c>
      <c r="Q1035" s="4" t="str" cm="1">
        <f t="array" ref="Q1035">_xlfn.IFS(AND(H1035&gt;=0,H1035&lt;=3333),"Grupo 1",AND(H1035&gt;3333,H1035&lt;=6666),"Grupo 2",AND(H1035&gt;6666,H1035&lt;=10000),"Grupo 3")</f>
        <v>Grupo 2</v>
      </c>
    </row>
    <row r="1036" spans="1:17" x14ac:dyDescent="0.25">
      <c r="A1036" t="s">
        <v>46</v>
      </c>
      <c r="B1036" s="2">
        <v>45746.083333333343</v>
      </c>
      <c r="C1036" t="s">
        <v>305</v>
      </c>
      <c r="D1036" t="s">
        <v>214</v>
      </c>
      <c r="E1036">
        <v>2</v>
      </c>
      <c r="F1036">
        <v>349.3</v>
      </c>
      <c r="G1036" t="s">
        <v>222</v>
      </c>
      <c r="H1036">
        <v>698.6</v>
      </c>
      <c r="I1036">
        <v>2025</v>
      </c>
      <c r="J1036">
        <v>3</v>
      </c>
      <c r="K1036">
        <v>2</v>
      </c>
      <c r="L1036" s="14">
        <v>349.3</v>
      </c>
      <c r="M1036" s="4" t="str">
        <f t="shared" si="64"/>
        <v>domingo</v>
      </c>
      <c r="N1036" s="4" t="str">
        <f t="shared" si="65"/>
        <v>marzo</v>
      </c>
      <c r="O1036" s="4" t="str">
        <f t="shared" si="66"/>
        <v>NO</v>
      </c>
      <c r="P1036" s="4" t="str">
        <f t="shared" si="67"/>
        <v>NO</v>
      </c>
      <c r="Q1036" s="4" t="str" cm="1">
        <f t="array" ref="Q1036">_xlfn.IFS(AND(H1036&gt;=0,H1036&lt;=3333),"Grupo 1",AND(H1036&gt;3333,H1036&lt;=6666),"Grupo 2",AND(H1036&gt;6666,H1036&lt;=10000),"Grupo 3")</f>
        <v>Grupo 1</v>
      </c>
    </row>
    <row r="1037" spans="1:17" x14ac:dyDescent="0.25">
      <c r="A1037" t="s">
        <v>47</v>
      </c>
      <c r="B1037" s="2">
        <v>45515.355555555558</v>
      </c>
      <c r="C1037" t="s">
        <v>306</v>
      </c>
      <c r="D1037" t="s">
        <v>216</v>
      </c>
      <c r="E1037">
        <v>3</v>
      </c>
      <c r="F1037">
        <v>1154.06</v>
      </c>
      <c r="G1037" t="s">
        <v>221</v>
      </c>
      <c r="H1037">
        <v>3462.18</v>
      </c>
      <c r="I1037">
        <v>2024</v>
      </c>
      <c r="J1037">
        <v>8</v>
      </c>
      <c r="K1037">
        <v>8</v>
      </c>
      <c r="L1037" s="14">
        <v>1154.06</v>
      </c>
      <c r="M1037" s="4" t="str">
        <f t="shared" si="64"/>
        <v>domingo</v>
      </c>
      <c r="N1037" s="4" t="str">
        <f t="shared" si="65"/>
        <v>agosto</v>
      </c>
      <c r="O1037" s="4" t="str">
        <f t="shared" si="66"/>
        <v>SI</v>
      </c>
      <c r="P1037" s="4" t="str">
        <f t="shared" si="67"/>
        <v>SI</v>
      </c>
      <c r="Q1037" s="4" t="str" cm="1">
        <f t="array" ref="Q1037">_xlfn.IFS(AND(H1037&gt;=0,H1037&lt;=3333),"Grupo 1",AND(H1037&gt;3333,H1037&lt;=6666),"Grupo 2",AND(H1037&gt;6666,H1037&lt;=10000),"Grupo 3")</f>
        <v>Grupo 2</v>
      </c>
    </row>
    <row r="1038" spans="1:17" x14ac:dyDescent="0.25">
      <c r="A1038" t="s">
        <v>48</v>
      </c>
      <c r="B1038" s="2">
        <v>45730.554861111108</v>
      </c>
      <c r="C1038" t="s">
        <v>307</v>
      </c>
      <c r="D1038" t="s">
        <v>215</v>
      </c>
      <c r="E1038">
        <v>4</v>
      </c>
      <c r="F1038">
        <v>1566.37</v>
      </c>
      <c r="G1038" t="s">
        <v>220</v>
      </c>
      <c r="H1038">
        <v>6265.48</v>
      </c>
      <c r="I1038">
        <v>2025</v>
      </c>
      <c r="J1038">
        <v>3</v>
      </c>
      <c r="K1038">
        <v>13</v>
      </c>
      <c r="L1038" s="14">
        <v>1566.37</v>
      </c>
      <c r="M1038" s="4" t="str">
        <f t="shared" si="64"/>
        <v>viernes</v>
      </c>
      <c r="N1038" s="4" t="str">
        <f t="shared" si="65"/>
        <v>marzo</v>
      </c>
      <c r="O1038" s="4" t="str">
        <f t="shared" si="66"/>
        <v>SI</v>
      </c>
      <c r="P1038" s="4" t="str">
        <f t="shared" si="67"/>
        <v>SI</v>
      </c>
      <c r="Q1038" s="4" t="str" cm="1">
        <f t="array" ref="Q1038">_xlfn.IFS(AND(H1038&gt;=0,H1038&lt;=3333),"Grupo 1",AND(H1038&gt;3333,H1038&lt;=6666),"Grupo 2",AND(H1038&gt;6666,H1038&lt;=10000),"Grupo 3")</f>
        <v>Grupo 2</v>
      </c>
    </row>
    <row r="1039" spans="1:17" x14ac:dyDescent="0.25">
      <c r="A1039" t="s">
        <v>49</v>
      </c>
      <c r="B1039" s="2">
        <v>45603.252083333333</v>
      </c>
      <c r="C1039" t="s">
        <v>308</v>
      </c>
      <c r="D1039" t="s">
        <v>212</v>
      </c>
      <c r="E1039">
        <v>2</v>
      </c>
      <c r="F1039">
        <v>674.48</v>
      </c>
      <c r="G1039" t="s">
        <v>220</v>
      </c>
      <c r="H1039">
        <v>1348.96</v>
      </c>
      <c r="I1039">
        <v>2024</v>
      </c>
      <c r="J1039">
        <v>11</v>
      </c>
      <c r="K1039">
        <v>6</v>
      </c>
      <c r="L1039" s="14">
        <v>674.48</v>
      </c>
      <c r="M1039" s="4" t="str">
        <f t="shared" si="64"/>
        <v>jueves</v>
      </c>
      <c r="N1039" s="4" t="str">
        <f t="shared" si="65"/>
        <v>noviembre</v>
      </c>
      <c r="O1039" s="4" t="str">
        <f t="shared" si="66"/>
        <v>NO</v>
      </c>
      <c r="P1039" s="4" t="str">
        <f t="shared" si="67"/>
        <v>NO</v>
      </c>
      <c r="Q1039" s="4" t="str" cm="1">
        <f t="array" ref="Q1039">_xlfn.IFS(AND(H1039&gt;=0,H1039&lt;=3333),"Grupo 1",AND(H1039&gt;3333,H1039&lt;=6666),"Grupo 2",AND(H1039&gt;6666,H1039&lt;=10000),"Grupo 3")</f>
        <v>Grupo 1</v>
      </c>
    </row>
    <row r="1040" spans="1:17" x14ac:dyDescent="0.25">
      <c r="A1040" t="s">
        <v>50</v>
      </c>
      <c r="B1040" s="2">
        <v>45420.054861111108</v>
      </c>
      <c r="C1040" t="s">
        <v>309</v>
      </c>
      <c r="D1040" t="s">
        <v>212</v>
      </c>
      <c r="E1040">
        <v>2</v>
      </c>
      <c r="F1040">
        <v>1543.98</v>
      </c>
      <c r="G1040" t="s">
        <v>220</v>
      </c>
      <c r="H1040">
        <v>3087.96</v>
      </c>
      <c r="I1040">
        <v>2024</v>
      </c>
      <c r="J1040">
        <v>5</v>
      </c>
      <c r="K1040">
        <v>1</v>
      </c>
      <c r="L1040" s="14">
        <v>1543.98</v>
      </c>
      <c r="M1040" s="4" t="str">
        <f t="shared" si="64"/>
        <v>miércoles</v>
      </c>
      <c r="N1040" s="4" t="str">
        <f t="shared" si="65"/>
        <v>mayo</v>
      </c>
      <c r="O1040" s="4" t="str">
        <f t="shared" si="66"/>
        <v>SI</v>
      </c>
      <c r="P1040" s="4" t="str">
        <f t="shared" si="67"/>
        <v>SI</v>
      </c>
      <c r="Q1040" s="4" t="str" cm="1">
        <f t="array" ref="Q1040">_xlfn.IFS(AND(H1040&gt;=0,H1040&lt;=3333),"Grupo 1",AND(H1040&gt;3333,H1040&lt;=6666),"Grupo 2",AND(H1040&gt;6666,H1040&lt;=10000),"Grupo 3")</f>
        <v>Grupo 1</v>
      </c>
    </row>
    <row r="1041" spans="1:17" x14ac:dyDescent="0.25">
      <c r="A1041" t="s">
        <v>51</v>
      </c>
      <c r="B1041" s="2">
        <v>44931.743055555547</v>
      </c>
      <c r="C1041" t="s">
        <v>310</v>
      </c>
      <c r="D1041" t="s">
        <v>217</v>
      </c>
      <c r="E1041">
        <v>5</v>
      </c>
      <c r="F1041">
        <v>917.31</v>
      </c>
      <c r="G1041" t="s">
        <v>220</v>
      </c>
      <c r="H1041">
        <v>4586.5499999999993</v>
      </c>
      <c r="I1041">
        <v>2023</v>
      </c>
      <c r="J1041">
        <v>1</v>
      </c>
      <c r="K1041">
        <v>17</v>
      </c>
      <c r="L1041" s="14">
        <v>917.30999999999983</v>
      </c>
      <c r="M1041" s="4" t="str">
        <f t="shared" si="64"/>
        <v>jueves</v>
      </c>
      <c r="N1041" s="4" t="str">
        <f t="shared" si="65"/>
        <v>enero</v>
      </c>
      <c r="O1041" s="4" t="str">
        <f t="shared" si="66"/>
        <v>SI</v>
      </c>
      <c r="P1041" s="4" t="str">
        <f t="shared" si="67"/>
        <v>NO</v>
      </c>
      <c r="Q1041" s="4" t="str" cm="1">
        <f t="array" ref="Q1041">_xlfn.IFS(AND(H1041&gt;=0,H1041&lt;=3333),"Grupo 1",AND(H1041&gt;3333,H1041&lt;=6666),"Grupo 2",AND(H1041&gt;6666,H1041&lt;=10000),"Grupo 3")</f>
        <v>Grupo 2</v>
      </c>
    </row>
    <row r="1042" spans="1:17" x14ac:dyDescent="0.25">
      <c r="A1042" t="s">
        <v>52</v>
      </c>
      <c r="B1042" s="2">
        <v>45326.684027777781</v>
      </c>
      <c r="C1042" t="s">
        <v>311</v>
      </c>
      <c r="D1042" t="s">
        <v>219</v>
      </c>
      <c r="E1042">
        <v>4</v>
      </c>
      <c r="F1042">
        <v>450.36</v>
      </c>
      <c r="G1042" t="s">
        <v>221</v>
      </c>
      <c r="H1042">
        <v>1801.44</v>
      </c>
      <c r="I1042">
        <v>2024</v>
      </c>
      <c r="J1042">
        <v>2</v>
      </c>
      <c r="K1042">
        <v>16</v>
      </c>
      <c r="L1042" s="14">
        <v>450.36</v>
      </c>
      <c r="M1042" s="4" t="str">
        <f t="shared" si="64"/>
        <v>domingo</v>
      </c>
      <c r="N1042" s="4" t="str">
        <f t="shared" si="65"/>
        <v>febrero</v>
      </c>
      <c r="O1042" s="4" t="str">
        <f t="shared" si="66"/>
        <v>NO</v>
      </c>
      <c r="P1042" s="4" t="str">
        <f t="shared" si="67"/>
        <v>NO</v>
      </c>
      <c r="Q1042" s="4" t="str" cm="1">
        <f t="array" ref="Q1042">_xlfn.IFS(AND(H1042&gt;=0,H1042&lt;=3333),"Grupo 1",AND(H1042&gt;3333,H1042&lt;=6666),"Grupo 2",AND(H1042&gt;6666,H1042&lt;=10000),"Grupo 3")</f>
        <v>Grupo 1</v>
      </c>
    </row>
    <row r="1043" spans="1:17" x14ac:dyDescent="0.25">
      <c r="A1043" t="s">
        <v>53</v>
      </c>
      <c r="B1043" s="2">
        <v>45146.872916666667</v>
      </c>
      <c r="C1043" t="s">
        <v>312</v>
      </c>
      <c r="D1043" t="s">
        <v>215</v>
      </c>
      <c r="E1043">
        <v>2</v>
      </c>
      <c r="F1043">
        <v>755.48</v>
      </c>
      <c r="G1043" t="s">
        <v>220</v>
      </c>
      <c r="H1043">
        <v>1510.96</v>
      </c>
      <c r="I1043">
        <v>2023</v>
      </c>
      <c r="J1043">
        <v>8</v>
      </c>
      <c r="K1043">
        <v>20</v>
      </c>
      <c r="L1043" s="14">
        <v>755.48</v>
      </c>
      <c r="M1043" s="4" t="str">
        <f t="shared" si="64"/>
        <v>martes</v>
      </c>
      <c r="N1043" s="4" t="str">
        <f t="shared" si="65"/>
        <v>agosto</v>
      </c>
      <c r="O1043" s="4" t="str">
        <f t="shared" si="66"/>
        <v>NO</v>
      </c>
      <c r="P1043" s="4" t="str">
        <f t="shared" si="67"/>
        <v>NO</v>
      </c>
      <c r="Q1043" s="4" t="str" cm="1">
        <f t="array" ref="Q1043">_xlfn.IFS(AND(H1043&gt;=0,H1043&lt;=3333),"Grupo 1",AND(H1043&gt;3333,H1043&lt;=6666),"Grupo 2",AND(H1043&gt;6666,H1043&lt;=10000),"Grupo 3")</f>
        <v>Grupo 1</v>
      </c>
    </row>
    <row r="1044" spans="1:17" x14ac:dyDescent="0.25">
      <c r="A1044" t="s">
        <v>54</v>
      </c>
      <c r="B1044" s="2">
        <v>45464.595833333333</v>
      </c>
      <c r="C1044" t="s">
        <v>313</v>
      </c>
      <c r="D1044" t="s">
        <v>213</v>
      </c>
      <c r="E1044">
        <v>3</v>
      </c>
      <c r="F1044">
        <v>1855.55</v>
      </c>
      <c r="G1044" t="s">
        <v>221</v>
      </c>
      <c r="H1044">
        <v>5566.65</v>
      </c>
      <c r="I1044">
        <v>2024</v>
      </c>
      <c r="J1044">
        <v>6</v>
      </c>
      <c r="K1044">
        <v>14</v>
      </c>
      <c r="L1044" s="14">
        <v>1855.55</v>
      </c>
      <c r="M1044" s="4" t="str">
        <f t="shared" si="64"/>
        <v>viernes</v>
      </c>
      <c r="N1044" s="4" t="str">
        <f t="shared" si="65"/>
        <v>junio</v>
      </c>
      <c r="O1044" s="4" t="str">
        <f t="shared" si="66"/>
        <v>SI</v>
      </c>
      <c r="P1044" s="4" t="str">
        <f t="shared" si="67"/>
        <v>SI</v>
      </c>
      <c r="Q1044" s="4" t="str" cm="1">
        <f t="array" ref="Q1044">_xlfn.IFS(AND(H1044&gt;=0,H1044&lt;=3333),"Grupo 1",AND(H1044&gt;3333,H1044&lt;=6666),"Grupo 2",AND(H1044&gt;6666,H1044&lt;=10000),"Grupo 3")</f>
        <v>Grupo 2</v>
      </c>
    </row>
    <row r="1045" spans="1:17" x14ac:dyDescent="0.25">
      <c r="A1045" t="s">
        <v>55</v>
      </c>
      <c r="B1045" s="2">
        <v>45171.9</v>
      </c>
      <c r="C1045" t="s">
        <v>314</v>
      </c>
      <c r="D1045" t="s">
        <v>216</v>
      </c>
      <c r="E1045">
        <v>5</v>
      </c>
      <c r="F1045">
        <v>1011.75</v>
      </c>
      <c r="G1045" t="s">
        <v>221</v>
      </c>
      <c r="H1045">
        <v>5058.75</v>
      </c>
      <c r="I1045">
        <v>2023</v>
      </c>
      <c r="J1045">
        <v>9</v>
      </c>
      <c r="K1045">
        <v>21</v>
      </c>
      <c r="L1045" s="14">
        <v>1011.75</v>
      </c>
      <c r="M1045" s="4" t="str">
        <f t="shared" si="64"/>
        <v>sábado</v>
      </c>
      <c r="N1045" s="4" t="str">
        <f t="shared" si="65"/>
        <v>septiembre</v>
      </c>
      <c r="O1045" s="4" t="str">
        <f t="shared" si="66"/>
        <v>SI</v>
      </c>
      <c r="P1045" s="4" t="str">
        <f t="shared" si="67"/>
        <v>SI</v>
      </c>
      <c r="Q1045" s="4" t="str" cm="1">
        <f t="array" ref="Q1045">_xlfn.IFS(AND(H1045&gt;=0,H1045&lt;=3333),"Grupo 1",AND(H1045&gt;3333,H1045&lt;=6666),"Grupo 2",AND(H1045&gt;6666,H1045&lt;=10000),"Grupo 3")</f>
        <v>Grupo 2</v>
      </c>
    </row>
    <row r="1046" spans="1:17" x14ac:dyDescent="0.25">
      <c r="A1046" t="s">
        <v>56</v>
      </c>
      <c r="B1046" s="2">
        <v>44992.136111111111</v>
      </c>
      <c r="C1046" t="s">
        <v>315</v>
      </c>
      <c r="D1046" t="s">
        <v>213</v>
      </c>
      <c r="E1046">
        <v>5</v>
      </c>
      <c r="F1046">
        <v>1218.3399999999999</v>
      </c>
      <c r="G1046" t="s">
        <v>221</v>
      </c>
      <c r="H1046">
        <v>6091.7</v>
      </c>
      <c r="I1046">
        <v>2023</v>
      </c>
      <c r="J1046">
        <v>3</v>
      </c>
      <c r="K1046">
        <v>3</v>
      </c>
      <c r="L1046" s="14">
        <v>1218.3399999999999</v>
      </c>
      <c r="M1046" s="4" t="str">
        <f t="shared" si="64"/>
        <v>martes</v>
      </c>
      <c r="N1046" s="4" t="str">
        <f t="shared" si="65"/>
        <v>marzo</v>
      </c>
      <c r="O1046" s="4" t="str">
        <f t="shared" si="66"/>
        <v>SI</v>
      </c>
      <c r="P1046" s="4" t="str">
        <f t="shared" si="67"/>
        <v>SI</v>
      </c>
      <c r="Q1046" s="4" t="str" cm="1">
        <f t="array" ref="Q1046">_xlfn.IFS(AND(H1046&gt;=0,H1046&lt;=3333),"Grupo 1",AND(H1046&gt;3333,H1046&lt;=6666),"Grupo 2",AND(H1046&gt;6666,H1046&lt;=10000),"Grupo 3")</f>
        <v>Grupo 2</v>
      </c>
    </row>
    <row r="1047" spans="1:17" x14ac:dyDescent="0.25">
      <c r="A1047" t="s">
        <v>57</v>
      </c>
      <c r="B1047" s="2">
        <v>44927.061111111107</v>
      </c>
      <c r="C1047" t="s">
        <v>316</v>
      </c>
      <c r="D1047" t="s">
        <v>216</v>
      </c>
      <c r="E1047">
        <v>2</v>
      </c>
      <c r="F1047">
        <v>361.59</v>
      </c>
      <c r="G1047" t="s">
        <v>221</v>
      </c>
      <c r="H1047">
        <v>723.18</v>
      </c>
      <c r="I1047">
        <v>2023</v>
      </c>
      <c r="J1047">
        <v>1</v>
      </c>
      <c r="K1047">
        <v>1</v>
      </c>
      <c r="L1047" s="14">
        <v>361.59</v>
      </c>
      <c r="M1047" s="4" t="str">
        <f t="shared" si="64"/>
        <v>domingo</v>
      </c>
      <c r="N1047" s="4" t="str">
        <f t="shared" si="65"/>
        <v>enero</v>
      </c>
      <c r="O1047" s="4" t="str">
        <f t="shared" si="66"/>
        <v>NO</v>
      </c>
      <c r="P1047" s="4" t="str">
        <f t="shared" si="67"/>
        <v>NO</v>
      </c>
      <c r="Q1047" s="4" t="str" cm="1">
        <f t="array" ref="Q1047">_xlfn.IFS(AND(H1047&gt;=0,H1047&lt;=3333),"Grupo 1",AND(H1047&gt;3333,H1047&lt;=6666),"Grupo 2",AND(H1047&gt;6666,H1047&lt;=10000),"Grupo 3")</f>
        <v>Grupo 1</v>
      </c>
    </row>
    <row r="1048" spans="1:17" x14ac:dyDescent="0.25">
      <c r="A1048" t="s">
        <v>58</v>
      </c>
      <c r="B1048" s="2">
        <v>45097.359027777777</v>
      </c>
      <c r="C1048" t="s">
        <v>317</v>
      </c>
      <c r="D1048" t="s">
        <v>213</v>
      </c>
      <c r="E1048">
        <v>5</v>
      </c>
      <c r="F1048">
        <v>958.8</v>
      </c>
      <c r="G1048" t="s">
        <v>221</v>
      </c>
      <c r="H1048">
        <v>4794</v>
      </c>
      <c r="I1048">
        <v>2023</v>
      </c>
      <c r="J1048">
        <v>6</v>
      </c>
      <c r="K1048">
        <v>8</v>
      </c>
      <c r="L1048" s="14">
        <v>958.8</v>
      </c>
      <c r="M1048" s="4" t="str">
        <f t="shared" si="64"/>
        <v>martes</v>
      </c>
      <c r="N1048" s="4" t="str">
        <f t="shared" si="65"/>
        <v>junio</v>
      </c>
      <c r="O1048" s="4" t="str">
        <f t="shared" si="66"/>
        <v>SI</v>
      </c>
      <c r="P1048" s="4" t="str">
        <f t="shared" si="67"/>
        <v>NO</v>
      </c>
      <c r="Q1048" s="4" t="str" cm="1">
        <f t="array" ref="Q1048">_xlfn.IFS(AND(H1048&gt;=0,H1048&lt;=3333),"Grupo 1",AND(H1048&gt;3333,H1048&lt;=6666),"Grupo 2",AND(H1048&gt;6666,H1048&lt;=10000),"Grupo 3")</f>
        <v>Grupo 2</v>
      </c>
    </row>
    <row r="1049" spans="1:17" x14ac:dyDescent="0.25">
      <c r="A1049" t="s">
        <v>59</v>
      </c>
      <c r="B1049" s="2">
        <v>45755.288194444453</v>
      </c>
      <c r="C1049" t="s">
        <v>318</v>
      </c>
      <c r="D1049" t="s">
        <v>214</v>
      </c>
      <c r="E1049">
        <v>5</v>
      </c>
      <c r="F1049">
        <v>1776.87</v>
      </c>
      <c r="G1049" t="s">
        <v>222</v>
      </c>
      <c r="H1049">
        <v>8884.3499999999985</v>
      </c>
      <c r="I1049">
        <v>2025</v>
      </c>
      <c r="J1049">
        <v>4</v>
      </c>
      <c r="K1049">
        <v>6</v>
      </c>
      <c r="L1049" s="14">
        <v>1776.87</v>
      </c>
      <c r="M1049" s="4" t="str">
        <f t="shared" si="64"/>
        <v>martes</v>
      </c>
      <c r="N1049" s="4" t="str">
        <f t="shared" si="65"/>
        <v>abril</v>
      </c>
      <c r="O1049" s="4" t="str">
        <f t="shared" si="66"/>
        <v>SI</v>
      </c>
      <c r="P1049" s="4" t="str">
        <f t="shared" si="67"/>
        <v>SI</v>
      </c>
      <c r="Q1049" s="4" t="str" cm="1">
        <f t="array" ref="Q1049">_xlfn.IFS(AND(H1049&gt;=0,H1049&lt;=3333),"Grupo 1",AND(H1049&gt;3333,H1049&lt;=6666),"Grupo 2",AND(H1049&gt;6666,H1049&lt;=10000),"Grupo 3")</f>
        <v>Grupo 3</v>
      </c>
    </row>
    <row r="1050" spans="1:17" x14ac:dyDescent="0.25">
      <c r="A1050" t="s">
        <v>60</v>
      </c>
      <c r="B1050" s="2">
        <v>45782.866666666669</v>
      </c>
      <c r="C1050" t="s">
        <v>319</v>
      </c>
      <c r="D1050" t="s">
        <v>219</v>
      </c>
      <c r="E1050">
        <v>1</v>
      </c>
      <c r="F1050">
        <v>1467.34</v>
      </c>
      <c r="G1050" t="s">
        <v>221</v>
      </c>
      <c r="H1050">
        <v>1467.34</v>
      </c>
      <c r="I1050">
        <v>2025</v>
      </c>
      <c r="J1050">
        <v>5</v>
      </c>
      <c r="K1050">
        <v>20</v>
      </c>
      <c r="L1050" s="14">
        <v>1467.34</v>
      </c>
      <c r="M1050" s="4" t="str">
        <f t="shared" si="64"/>
        <v>lunes</v>
      </c>
      <c r="N1050" s="4" t="str">
        <f t="shared" si="65"/>
        <v>mayo</v>
      </c>
      <c r="O1050" s="4" t="str">
        <f t="shared" si="66"/>
        <v>NO</v>
      </c>
      <c r="P1050" s="4" t="str">
        <f t="shared" si="67"/>
        <v>SI</v>
      </c>
      <c r="Q1050" s="4" t="str" cm="1">
        <f t="array" ref="Q1050">_xlfn.IFS(AND(H1050&gt;=0,H1050&lt;=3333),"Grupo 1",AND(H1050&gt;3333,H1050&lt;=6666),"Grupo 2",AND(H1050&gt;6666,H1050&lt;=10000),"Grupo 3")</f>
        <v>Grupo 1</v>
      </c>
    </row>
    <row r="1051" spans="1:17" x14ac:dyDescent="0.25">
      <c r="A1051" t="s">
        <v>61</v>
      </c>
      <c r="B1051" s="2">
        <v>45819.341666666667</v>
      </c>
      <c r="C1051" t="s">
        <v>320</v>
      </c>
      <c r="D1051" t="s">
        <v>214</v>
      </c>
      <c r="E1051">
        <v>3</v>
      </c>
      <c r="F1051">
        <v>683.91</v>
      </c>
      <c r="G1051" t="s">
        <v>222</v>
      </c>
      <c r="H1051">
        <v>2051.73</v>
      </c>
      <c r="I1051">
        <v>2025</v>
      </c>
      <c r="J1051">
        <v>6</v>
      </c>
      <c r="K1051">
        <v>8</v>
      </c>
      <c r="L1051" s="14">
        <v>683.91</v>
      </c>
      <c r="M1051" s="4" t="str">
        <f t="shared" si="64"/>
        <v>miércoles</v>
      </c>
      <c r="N1051" s="4" t="str">
        <f t="shared" si="65"/>
        <v>junio</v>
      </c>
      <c r="O1051" s="4" t="str">
        <f t="shared" si="66"/>
        <v>NO</v>
      </c>
      <c r="P1051" s="4" t="str">
        <f t="shared" si="67"/>
        <v>NO</v>
      </c>
      <c r="Q1051" s="4" t="str" cm="1">
        <f t="array" ref="Q1051">_xlfn.IFS(AND(H1051&gt;=0,H1051&lt;=3333),"Grupo 1",AND(H1051&gt;3333,H1051&lt;=6666),"Grupo 2",AND(H1051&gt;6666,H1051&lt;=10000),"Grupo 3")</f>
        <v>Grupo 1</v>
      </c>
    </row>
    <row r="1052" spans="1:17" x14ac:dyDescent="0.25">
      <c r="A1052" t="s">
        <v>62</v>
      </c>
      <c r="B1052" s="2">
        <v>45441.993055555547</v>
      </c>
      <c r="C1052" t="s">
        <v>321</v>
      </c>
      <c r="D1052" t="s">
        <v>214</v>
      </c>
      <c r="E1052">
        <v>1</v>
      </c>
      <c r="F1052">
        <v>1083.8599999999999</v>
      </c>
      <c r="G1052" t="s">
        <v>222</v>
      </c>
      <c r="H1052">
        <v>1083.8599999999999</v>
      </c>
      <c r="I1052">
        <v>2024</v>
      </c>
      <c r="J1052">
        <v>5</v>
      </c>
      <c r="K1052">
        <v>23</v>
      </c>
      <c r="L1052" s="14">
        <v>1083.8599999999999</v>
      </c>
      <c r="M1052" s="4" t="str">
        <f t="shared" si="64"/>
        <v>miércoles</v>
      </c>
      <c r="N1052" s="4" t="str">
        <f t="shared" si="65"/>
        <v>mayo</v>
      </c>
      <c r="O1052" s="4" t="str">
        <f t="shared" si="66"/>
        <v>NO</v>
      </c>
      <c r="P1052" s="4" t="str">
        <f t="shared" si="67"/>
        <v>SI</v>
      </c>
      <c r="Q1052" s="4" t="str" cm="1">
        <f t="array" ref="Q1052">_xlfn.IFS(AND(H1052&gt;=0,H1052&lt;=3333),"Grupo 1",AND(H1052&gt;3333,H1052&lt;=6666),"Grupo 2",AND(H1052&gt;6666,H1052&lt;=10000),"Grupo 3")</f>
        <v>Grupo 1</v>
      </c>
    </row>
    <row r="1053" spans="1:17" x14ac:dyDescent="0.25">
      <c r="A1053" t="s">
        <v>63</v>
      </c>
      <c r="B1053" s="2">
        <v>45180.999305555553</v>
      </c>
      <c r="C1053" t="s">
        <v>322</v>
      </c>
      <c r="D1053" t="s">
        <v>212</v>
      </c>
      <c r="E1053">
        <v>2</v>
      </c>
      <c r="F1053">
        <v>1551.85</v>
      </c>
      <c r="G1053" t="s">
        <v>220</v>
      </c>
      <c r="H1053">
        <v>3103.7</v>
      </c>
      <c r="I1053">
        <v>2023</v>
      </c>
      <c r="J1053">
        <v>9</v>
      </c>
      <c r="K1053">
        <v>23</v>
      </c>
      <c r="L1053" s="14">
        <v>1551.85</v>
      </c>
      <c r="M1053" s="4" t="str">
        <f t="shared" si="64"/>
        <v>lunes</v>
      </c>
      <c r="N1053" s="4" t="str">
        <f t="shared" si="65"/>
        <v>septiembre</v>
      </c>
      <c r="O1053" s="4" t="str">
        <f t="shared" si="66"/>
        <v>SI</v>
      </c>
      <c r="P1053" s="4" t="str">
        <f t="shared" si="67"/>
        <v>SI</v>
      </c>
      <c r="Q1053" s="4" t="str" cm="1">
        <f t="array" ref="Q1053">_xlfn.IFS(AND(H1053&gt;=0,H1053&lt;=3333),"Grupo 1",AND(H1053&gt;3333,H1053&lt;=6666),"Grupo 2",AND(H1053&gt;6666,H1053&lt;=10000),"Grupo 3")</f>
        <v>Grupo 1</v>
      </c>
    </row>
    <row r="1054" spans="1:17" x14ac:dyDescent="0.25">
      <c r="A1054" t="s">
        <v>64</v>
      </c>
      <c r="B1054" s="2">
        <v>45624.619444444441</v>
      </c>
      <c r="C1054" t="s">
        <v>323</v>
      </c>
      <c r="D1054" t="s">
        <v>217</v>
      </c>
      <c r="E1054">
        <v>5</v>
      </c>
      <c r="F1054">
        <v>1368.27</v>
      </c>
      <c r="G1054" t="s">
        <v>220</v>
      </c>
      <c r="H1054">
        <v>6841.35</v>
      </c>
      <c r="I1054">
        <v>2024</v>
      </c>
      <c r="J1054">
        <v>11</v>
      </c>
      <c r="K1054">
        <v>14</v>
      </c>
      <c r="L1054" s="14">
        <v>1368.27</v>
      </c>
      <c r="M1054" s="4" t="str">
        <f t="shared" si="64"/>
        <v>jueves</v>
      </c>
      <c r="N1054" s="4" t="str">
        <f t="shared" si="65"/>
        <v>noviembre</v>
      </c>
      <c r="O1054" s="4" t="str">
        <f t="shared" si="66"/>
        <v>SI</v>
      </c>
      <c r="P1054" s="4" t="str">
        <f t="shared" si="67"/>
        <v>SI</v>
      </c>
      <c r="Q1054" s="4" t="str" cm="1">
        <f t="array" ref="Q1054">_xlfn.IFS(AND(H1054&gt;=0,H1054&lt;=3333),"Grupo 1",AND(H1054&gt;3333,H1054&lt;=6666),"Grupo 2",AND(H1054&gt;6666,H1054&lt;=10000),"Grupo 3")</f>
        <v>Grupo 3</v>
      </c>
    </row>
    <row r="1055" spans="1:17" x14ac:dyDescent="0.25">
      <c r="A1055" t="s">
        <v>65</v>
      </c>
      <c r="B1055" s="2">
        <v>45447.955555555563</v>
      </c>
      <c r="C1055" t="s">
        <v>324</v>
      </c>
      <c r="D1055" t="s">
        <v>217</v>
      </c>
      <c r="E1055">
        <v>4</v>
      </c>
      <c r="F1055">
        <v>1818.88</v>
      </c>
      <c r="G1055" t="s">
        <v>220</v>
      </c>
      <c r="H1055">
        <v>7275.52</v>
      </c>
      <c r="I1055">
        <v>2024</v>
      </c>
      <c r="J1055">
        <v>6</v>
      </c>
      <c r="K1055">
        <v>22</v>
      </c>
      <c r="L1055" s="14">
        <v>1818.88</v>
      </c>
      <c r="M1055" s="4" t="str">
        <f t="shared" si="64"/>
        <v>martes</v>
      </c>
      <c r="N1055" s="4" t="str">
        <f t="shared" si="65"/>
        <v>junio</v>
      </c>
      <c r="O1055" s="4" t="str">
        <f t="shared" si="66"/>
        <v>SI</v>
      </c>
      <c r="P1055" s="4" t="str">
        <f t="shared" si="67"/>
        <v>SI</v>
      </c>
      <c r="Q1055" s="4" t="str" cm="1">
        <f t="array" ref="Q1055">_xlfn.IFS(AND(H1055&gt;=0,H1055&lt;=3333),"Grupo 1",AND(H1055&gt;3333,H1055&lt;=6666),"Grupo 2",AND(H1055&gt;6666,H1055&lt;=10000),"Grupo 3")</f>
        <v>Grupo 3</v>
      </c>
    </row>
    <row r="1056" spans="1:17" x14ac:dyDescent="0.25">
      <c r="A1056" t="s">
        <v>66</v>
      </c>
      <c r="B1056" s="2">
        <v>45051.74722222222</v>
      </c>
      <c r="C1056" t="s">
        <v>325</v>
      </c>
      <c r="D1056" t="s">
        <v>218</v>
      </c>
      <c r="E1056">
        <v>4</v>
      </c>
      <c r="F1056">
        <v>1601.32</v>
      </c>
      <c r="G1056" t="s">
        <v>221</v>
      </c>
      <c r="H1056">
        <v>6405.28</v>
      </c>
      <c r="I1056">
        <v>2023</v>
      </c>
      <c r="J1056">
        <v>5</v>
      </c>
      <c r="K1056">
        <v>17</v>
      </c>
      <c r="L1056" s="14">
        <v>1601.32</v>
      </c>
      <c r="M1056" s="4" t="str">
        <f t="shared" si="64"/>
        <v>viernes</v>
      </c>
      <c r="N1056" s="4" t="str">
        <f t="shared" si="65"/>
        <v>mayo</v>
      </c>
      <c r="O1056" s="4" t="str">
        <f t="shared" si="66"/>
        <v>SI</v>
      </c>
      <c r="P1056" s="4" t="str">
        <f t="shared" si="67"/>
        <v>SI</v>
      </c>
      <c r="Q1056" s="4" t="str" cm="1">
        <f t="array" ref="Q1056">_xlfn.IFS(AND(H1056&gt;=0,H1056&lt;=3333),"Grupo 1",AND(H1056&gt;3333,H1056&lt;=6666),"Grupo 2",AND(H1056&gt;6666,H1056&lt;=10000),"Grupo 3")</f>
        <v>Grupo 2</v>
      </c>
    </row>
    <row r="1057" spans="1:17" x14ac:dyDescent="0.25">
      <c r="A1057" t="s">
        <v>67</v>
      </c>
      <c r="B1057" s="2">
        <v>45019.26666666667</v>
      </c>
      <c r="C1057" t="s">
        <v>326</v>
      </c>
      <c r="D1057" t="s">
        <v>213</v>
      </c>
      <c r="E1057">
        <v>4</v>
      </c>
      <c r="F1057">
        <v>177.79</v>
      </c>
      <c r="G1057" t="s">
        <v>221</v>
      </c>
      <c r="H1057">
        <v>711.16</v>
      </c>
      <c r="I1057">
        <v>2023</v>
      </c>
      <c r="J1057">
        <v>4</v>
      </c>
      <c r="K1057">
        <v>6</v>
      </c>
      <c r="L1057" s="14">
        <v>177.79</v>
      </c>
      <c r="M1057" s="4" t="str">
        <f t="shared" si="64"/>
        <v>lunes</v>
      </c>
      <c r="N1057" s="4" t="str">
        <f t="shared" si="65"/>
        <v>abril</v>
      </c>
      <c r="O1057" s="4" t="str">
        <f t="shared" si="66"/>
        <v>NO</v>
      </c>
      <c r="P1057" s="4" t="str">
        <f t="shared" si="67"/>
        <v>NO</v>
      </c>
      <c r="Q1057" s="4" t="str" cm="1">
        <f t="array" ref="Q1057">_xlfn.IFS(AND(H1057&gt;=0,H1057&lt;=3333),"Grupo 1",AND(H1057&gt;3333,H1057&lt;=6666),"Grupo 2",AND(H1057&gt;6666,H1057&lt;=10000),"Grupo 3")</f>
        <v>Grupo 1</v>
      </c>
    </row>
    <row r="1058" spans="1:17" x14ac:dyDescent="0.25">
      <c r="A1058" t="s">
        <v>68</v>
      </c>
      <c r="B1058" s="2">
        <v>44969.094444444447</v>
      </c>
      <c r="C1058" t="s">
        <v>327</v>
      </c>
      <c r="D1058" t="s">
        <v>213</v>
      </c>
      <c r="E1058">
        <v>1</v>
      </c>
      <c r="F1058">
        <v>83.48</v>
      </c>
      <c r="G1058" t="s">
        <v>221</v>
      </c>
      <c r="H1058">
        <v>83.48</v>
      </c>
      <c r="I1058">
        <v>2023</v>
      </c>
      <c r="J1058">
        <v>2</v>
      </c>
      <c r="K1058">
        <v>2</v>
      </c>
      <c r="L1058" s="14">
        <v>83.48</v>
      </c>
      <c r="M1058" s="4" t="str">
        <f t="shared" si="64"/>
        <v>domingo</v>
      </c>
      <c r="N1058" s="4" t="str">
        <f t="shared" si="65"/>
        <v>febrero</v>
      </c>
      <c r="O1058" s="4" t="str">
        <f t="shared" si="66"/>
        <v>NO</v>
      </c>
      <c r="P1058" s="4" t="str">
        <f t="shared" si="67"/>
        <v>NO</v>
      </c>
      <c r="Q1058" s="4" t="str" cm="1">
        <f t="array" ref="Q1058">_xlfn.IFS(AND(H1058&gt;=0,H1058&lt;=3333),"Grupo 1",AND(H1058&gt;3333,H1058&lt;=6666),"Grupo 2",AND(H1058&gt;6666,H1058&lt;=10000),"Grupo 3")</f>
        <v>Grupo 1</v>
      </c>
    </row>
    <row r="1059" spans="1:17" x14ac:dyDescent="0.25">
      <c r="A1059" t="s">
        <v>69</v>
      </c>
      <c r="B1059" s="2">
        <v>45091.519444444442</v>
      </c>
      <c r="C1059" t="s">
        <v>328</v>
      </c>
      <c r="D1059" t="s">
        <v>219</v>
      </c>
      <c r="E1059">
        <v>1</v>
      </c>
      <c r="F1059">
        <v>1372.72</v>
      </c>
      <c r="G1059" t="s">
        <v>221</v>
      </c>
      <c r="H1059">
        <v>1372.72</v>
      </c>
      <c r="I1059">
        <v>2023</v>
      </c>
      <c r="J1059">
        <v>6</v>
      </c>
      <c r="K1059">
        <v>12</v>
      </c>
      <c r="L1059" s="14">
        <v>1372.72</v>
      </c>
      <c r="M1059" s="4" t="str">
        <f t="shared" si="64"/>
        <v>miércoles</v>
      </c>
      <c r="N1059" s="4" t="str">
        <f t="shared" si="65"/>
        <v>junio</v>
      </c>
      <c r="O1059" s="4" t="str">
        <f t="shared" si="66"/>
        <v>NO</v>
      </c>
      <c r="P1059" s="4" t="str">
        <f t="shared" si="67"/>
        <v>SI</v>
      </c>
      <c r="Q1059" s="4" t="str" cm="1">
        <f t="array" ref="Q1059">_xlfn.IFS(AND(H1059&gt;=0,H1059&lt;=3333),"Grupo 1",AND(H1059&gt;3333,H1059&lt;=6666),"Grupo 2",AND(H1059&gt;6666,H1059&lt;=10000),"Grupo 3")</f>
        <v>Grupo 1</v>
      </c>
    </row>
    <row r="1060" spans="1:17" x14ac:dyDescent="0.25">
      <c r="A1060" t="s">
        <v>70</v>
      </c>
      <c r="B1060" s="2">
        <v>45494</v>
      </c>
      <c r="C1060" t="s">
        <v>329</v>
      </c>
      <c r="D1060" t="s">
        <v>212</v>
      </c>
      <c r="E1060">
        <v>1</v>
      </c>
      <c r="F1060">
        <v>1618.91</v>
      </c>
      <c r="G1060" t="s">
        <v>220</v>
      </c>
      <c r="H1060">
        <v>1618.91</v>
      </c>
      <c r="I1060">
        <v>2024</v>
      </c>
      <c r="J1060">
        <v>7</v>
      </c>
      <c r="K1060">
        <v>0</v>
      </c>
      <c r="L1060" s="14">
        <v>1618.91</v>
      </c>
      <c r="M1060" s="4" t="str">
        <f t="shared" si="64"/>
        <v>domingo</v>
      </c>
      <c r="N1060" s="4" t="str">
        <f t="shared" si="65"/>
        <v>julio</v>
      </c>
      <c r="O1060" s="4" t="str">
        <f t="shared" si="66"/>
        <v>NO</v>
      </c>
      <c r="P1060" s="4" t="str">
        <f t="shared" si="67"/>
        <v>SI</v>
      </c>
      <c r="Q1060" s="4" t="str" cm="1">
        <f t="array" ref="Q1060">_xlfn.IFS(AND(H1060&gt;=0,H1060&lt;=3333),"Grupo 1",AND(H1060&gt;3333,H1060&lt;=6666),"Grupo 2",AND(H1060&gt;6666,H1060&lt;=10000),"Grupo 3")</f>
        <v>Grupo 1</v>
      </c>
    </row>
    <row r="1061" spans="1:17" x14ac:dyDescent="0.25">
      <c r="A1061" t="s">
        <v>71</v>
      </c>
      <c r="B1061" s="2">
        <v>45364.463194444441</v>
      </c>
      <c r="C1061" t="s">
        <v>330</v>
      </c>
      <c r="D1061" t="s">
        <v>215</v>
      </c>
      <c r="E1061">
        <v>4</v>
      </c>
      <c r="F1061">
        <v>530.65</v>
      </c>
      <c r="G1061" t="s">
        <v>220</v>
      </c>
      <c r="H1061">
        <v>2122.6</v>
      </c>
      <c r="I1061">
        <v>2024</v>
      </c>
      <c r="J1061">
        <v>3</v>
      </c>
      <c r="K1061">
        <v>11</v>
      </c>
      <c r="L1061" s="14">
        <v>530.65</v>
      </c>
      <c r="M1061" s="4" t="str">
        <f t="shared" si="64"/>
        <v>miércoles</v>
      </c>
      <c r="N1061" s="4" t="str">
        <f t="shared" si="65"/>
        <v>marzo</v>
      </c>
      <c r="O1061" s="4" t="str">
        <f t="shared" si="66"/>
        <v>NO</v>
      </c>
      <c r="P1061" s="4" t="str">
        <f t="shared" si="67"/>
        <v>NO</v>
      </c>
      <c r="Q1061" s="4" t="str" cm="1">
        <f t="array" ref="Q1061">_xlfn.IFS(AND(H1061&gt;=0,H1061&lt;=3333),"Grupo 1",AND(H1061&gt;3333,H1061&lt;=6666),"Grupo 2",AND(H1061&gt;6666,H1061&lt;=10000),"Grupo 3")</f>
        <v>Grupo 1</v>
      </c>
    </row>
    <row r="1062" spans="1:17" x14ac:dyDescent="0.25">
      <c r="A1062" t="s">
        <v>72</v>
      </c>
      <c r="B1062" s="2">
        <v>45583.023611111108</v>
      </c>
      <c r="C1062" t="s">
        <v>331</v>
      </c>
      <c r="D1062" t="s">
        <v>216</v>
      </c>
      <c r="E1062">
        <v>5</v>
      </c>
      <c r="F1062">
        <v>418.83</v>
      </c>
      <c r="G1062" t="s">
        <v>221</v>
      </c>
      <c r="H1062">
        <v>2094.15</v>
      </c>
      <c r="I1062">
        <v>2024</v>
      </c>
      <c r="J1062">
        <v>10</v>
      </c>
      <c r="K1062">
        <v>0</v>
      </c>
      <c r="L1062" s="14">
        <v>418.83</v>
      </c>
      <c r="M1062" s="4" t="str">
        <f t="shared" si="64"/>
        <v>viernes</v>
      </c>
      <c r="N1062" s="4" t="str">
        <f t="shared" si="65"/>
        <v>octubre</v>
      </c>
      <c r="O1062" s="4" t="str">
        <f t="shared" si="66"/>
        <v>NO</v>
      </c>
      <c r="P1062" s="4" t="str">
        <f t="shared" si="67"/>
        <v>NO</v>
      </c>
      <c r="Q1062" s="4" t="str" cm="1">
        <f t="array" ref="Q1062">_xlfn.IFS(AND(H1062&gt;=0,H1062&lt;=3333),"Grupo 1",AND(H1062&gt;3333,H1062&lt;=6666),"Grupo 2",AND(H1062&gt;6666,H1062&lt;=10000),"Grupo 3")</f>
        <v>Grupo 1</v>
      </c>
    </row>
    <row r="1063" spans="1:17" x14ac:dyDescent="0.25">
      <c r="A1063" t="s">
        <v>73</v>
      </c>
      <c r="B1063" s="2">
        <v>45779.546527777777</v>
      </c>
      <c r="C1063" t="s">
        <v>332</v>
      </c>
      <c r="D1063" t="s">
        <v>214</v>
      </c>
      <c r="E1063">
        <v>3</v>
      </c>
      <c r="F1063">
        <v>664.98</v>
      </c>
      <c r="G1063" t="s">
        <v>222</v>
      </c>
      <c r="H1063">
        <v>1994.94</v>
      </c>
      <c r="I1063">
        <v>2025</v>
      </c>
      <c r="J1063">
        <v>5</v>
      </c>
      <c r="K1063">
        <v>13</v>
      </c>
      <c r="L1063" s="14">
        <v>664.98</v>
      </c>
      <c r="M1063" s="4" t="str">
        <f t="shared" si="64"/>
        <v>viernes</v>
      </c>
      <c r="N1063" s="4" t="str">
        <f t="shared" si="65"/>
        <v>mayo</v>
      </c>
      <c r="O1063" s="4" t="str">
        <f t="shared" si="66"/>
        <v>NO</v>
      </c>
      <c r="P1063" s="4" t="str">
        <f t="shared" si="67"/>
        <v>NO</v>
      </c>
      <c r="Q1063" s="4" t="str" cm="1">
        <f t="array" ref="Q1063">_xlfn.IFS(AND(H1063&gt;=0,H1063&lt;=3333),"Grupo 1",AND(H1063&gt;3333,H1063&lt;=6666),"Grupo 2",AND(H1063&gt;6666,H1063&lt;=10000),"Grupo 3")</f>
        <v>Grupo 1</v>
      </c>
    </row>
    <row r="1064" spans="1:17" x14ac:dyDescent="0.25">
      <c r="A1064" t="s">
        <v>74</v>
      </c>
      <c r="B1064" s="2">
        <v>45516.480555555558</v>
      </c>
      <c r="C1064" t="s">
        <v>333</v>
      </c>
      <c r="D1064" t="s">
        <v>217</v>
      </c>
      <c r="E1064">
        <v>1</v>
      </c>
      <c r="F1064">
        <v>1322.41</v>
      </c>
      <c r="G1064" t="s">
        <v>220</v>
      </c>
      <c r="H1064">
        <v>1322.41</v>
      </c>
      <c r="I1064">
        <v>2024</v>
      </c>
      <c r="J1064">
        <v>8</v>
      </c>
      <c r="K1064">
        <v>11</v>
      </c>
      <c r="L1064" s="14">
        <v>1322.41</v>
      </c>
      <c r="M1064" s="4" t="str">
        <f t="shared" si="64"/>
        <v>lunes</v>
      </c>
      <c r="N1064" s="4" t="str">
        <f t="shared" si="65"/>
        <v>agosto</v>
      </c>
      <c r="O1064" s="4" t="str">
        <f t="shared" si="66"/>
        <v>NO</v>
      </c>
      <c r="P1064" s="4" t="str">
        <f t="shared" si="67"/>
        <v>SI</v>
      </c>
      <c r="Q1064" s="4" t="str" cm="1">
        <f t="array" ref="Q1064">_xlfn.IFS(AND(H1064&gt;=0,H1064&lt;=3333),"Grupo 1",AND(H1064&gt;3333,H1064&lt;=6666),"Grupo 2",AND(H1064&gt;6666,H1064&lt;=10000),"Grupo 3")</f>
        <v>Grupo 1</v>
      </c>
    </row>
    <row r="1065" spans="1:17" x14ac:dyDescent="0.25">
      <c r="A1065" t="s">
        <v>75</v>
      </c>
      <c r="B1065" s="2">
        <v>45285.25277777778</v>
      </c>
      <c r="C1065" t="s">
        <v>334</v>
      </c>
      <c r="D1065" t="s">
        <v>212</v>
      </c>
      <c r="E1065">
        <v>4</v>
      </c>
      <c r="F1065">
        <v>1467.27</v>
      </c>
      <c r="G1065" t="s">
        <v>220</v>
      </c>
      <c r="H1065">
        <v>5869.08</v>
      </c>
      <c r="I1065">
        <v>2023</v>
      </c>
      <c r="J1065">
        <v>12</v>
      </c>
      <c r="K1065">
        <v>6</v>
      </c>
      <c r="L1065" s="14">
        <v>1467.27</v>
      </c>
      <c r="M1065" s="4" t="str">
        <f t="shared" si="64"/>
        <v>lunes</v>
      </c>
      <c r="N1065" s="4" t="str">
        <f t="shared" si="65"/>
        <v>diciembre</v>
      </c>
      <c r="O1065" s="4" t="str">
        <f t="shared" si="66"/>
        <v>SI</v>
      </c>
      <c r="P1065" s="4" t="str">
        <f t="shared" si="67"/>
        <v>SI</v>
      </c>
      <c r="Q1065" s="4" t="str" cm="1">
        <f t="array" ref="Q1065">_xlfn.IFS(AND(H1065&gt;=0,H1065&lt;=3333),"Grupo 1",AND(H1065&gt;3333,H1065&lt;=6666),"Grupo 2",AND(H1065&gt;6666,H1065&lt;=10000),"Grupo 3")</f>
        <v>Grupo 2</v>
      </c>
    </row>
    <row r="1066" spans="1:17" x14ac:dyDescent="0.25">
      <c r="A1066" t="s">
        <v>76</v>
      </c>
      <c r="B1066" s="2">
        <v>45297.965277777781</v>
      </c>
      <c r="C1066" t="s">
        <v>335</v>
      </c>
      <c r="D1066" t="s">
        <v>215</v>
      </c>
      <c r="E1066">
        <v>4</v>
      </c>
      <c r="F1066">
        <v>1804.12</v>
      </c>
      <c r="G1066" t="s">
        <v>220</v>
      </c>
      <c r="H1066">
        <v>7216.48</v>
      </c>
      <c r="I1066">
        <v>2024</v>
      </c>
      <c r="J1066">
        <v>1</v>
      </c>
      <c r="K1066">
        <v>23</v>
      </c>
      <c r="L1066" s="14">
        <v>1804.12</v>
      </c>
      <c r="M1066" s="4" t="str">
        <f t="shared" si="64"/>
        <v>sábado</v>
      </c>
      <c r="N1066" s="4" t="str">
        <f t="shared" si="65"/>
        <v>enero</v>
      </c>
      <c r="O1066" s="4" t="str">
        <f t="shared" si="66"/>
        <v>SI</v>
      </c>
      <c r="P1066" s="4" t="str">
        <f t="shared" si="67"/>
        <v>SI</v>
      </c>
      <c r="Q1066" s="4" t="str" cm="1">
        <f t="array" ref="Q1066">_xlfn.IFS(AND(H1066&gt;=0,H1066&lt;=3333),"Grupo 1",AND(H1066&gt;3333,H1066&lt;=6666),"Grupo 2",AND(H1066&gt;6666,H1066&lt;=10000),"Grupo 3")</f>
        <v>Grupo 3</v>
      </c>
    </row>
    <row r="1067" spans="1:17" x14ac:dyDescent="0.25">
      <c r="A1067" t="s">
        <v>77</v>
      </c>
      <c r="B1067" s="2">
        <v>45434.519444444442</v>
      </c>
      <c r="C1067" t="s">
        <v>336</v>
      </c>
      <c r="D1067" t="s">
        <v>219</v>
      </c>
      <c r="E1067">
        <v>1</v>
      </c>
      <c r="F1067">
        <v>1172.72</v>
      </c>
      <c r="G1067" t="s">
        <v>221</v>
      </c>
      <c r="H1067">
        <v>1172.72</v>
      </c>
      <c r="I1067">
        <v>2024</v>
      </c>
      <c r="J1067">
        <v>5</v>
      </c>
      <c r="K1067">
        <v>12</v>
      </c>
      <c r="L1067" s="14">
        <v>1172.72</v>
      </c>
      <c r="M1067" s="4" t="str">
        <f t="shared" si="64"/>
        <v>miércoles</v>
      </c>
      <c r="N1067" s="4" t="str">
        <f t="shared" si="65"/>
        <v>mayo</v>
      </c>
      <c r="O1067" s="4" t="str">
        <f t="shared" si="66"/>
        <v>NO</v>
      </c>
      <c r="P1067" s="4" t="str">
        <f t="shared" si="67"/>
        <v>SI</v>
      </c>
      <c r="Q1067" s="4" t="str" cm="1">
        <f t="array" ref="Q1067">_xlfn.IFS(AND(H1067&gt;=0,H1067&lt;=3333),"Grupo 1",AND(H1067&gt;3333,H1067&lt;=6666),"Grupo 2",AND(H1067&gt;6666,H1067&lt;=10000),"Grupo 3")</f>
        <v>Grupo 1</v>
      </c>
    </row>
    <row r="1068" spans="1:17" x14ac:dyDescent="0.25">
      <c r="A1068" t="s">
        <v>78</v>
      </c>
      <c r="B1068" s="2">
        <v>45290.050694444442</v>
      </c>
      <c r="C1068" t="s">
        <v>337</v>
      </c>
      <c r="D1068" t="s">
        <v>218</v>
      </c>
      <c r="E1068">
        <v>1</v>
      </c>
      <c r="F1068">
        <v>725.07</v>
      </c>
      <c r="G1068" t="s">
        <v>221</v>
      </c>
      <c r="H1068">
        <v>725.07</v>
      </c>
      <c r="I1068">
        <v>2023</v>
      </c>
      <c r="J1068">
        <v>12</v>
      </c>
      <c r="K1068">
        <v>1</v>
      </c>
      <c r="L1068" s="14">
        <v>725.07</v>
      </c>
      <c r="M1068" s="4" t="str">
        <f t="shared" si="64"/>
        <v>sábado</v>
      </c>
      <c r="N1068" s="4" t="str">
        <f t="shared" si="65"/>
        <v>diciembre</v>
      </c>
      <c r="O1068" s="4" t="str">
        <f t="shared" si="66"/>
        <v>NO</v>
      </c>
      <c r="P1068" s="4" t="str">
        <f t="shared" si="67"/>
        <v>NO</v>
      </c>
      <c r="Q1068" s="4" t="str" cm="1">
        <f t="array" ref="Q1068">_xlfn.IFS(AND(H1068&gt;=0,H1068&lt;=3333),"Grupo 1",AND(H1068&gt;3333,H1068&lt;=6666),"Grupo 2",AND(H1068&gt;6666,H1068&lt;=10000),"Grupo 3")</f>
        <v>Grupo 1</v>
      </c>
    </row>
    <row r="1069" spans="1:17" x14ac:dyDescent="0.25">
      <c r="A1069" t="s">
        <v>79</v>
      </c>
      <c r="B1069" s="2">
        <v>45684.334027777782</v>
      </c>
      <c r="C1069" t="s">
        <v>338</v>
      </c>
      <c r="D1069" t="s">
        <v>212</v>
      </c>
      <c r="E1069">
        <v>5</v>
      </c>
      <c r="F1069">
        <v>563.69000000000005</v>
      </c>
      <c r="G1069" t="s">
        <v>220</v>
      </c>
      <c r="H1069">
        <v>2818.45</v>
      </c>
      <c r="I1069">
        <v>2025</v>
      </c>
      <c r="J1069">
        <v>1</v>
      </c>
      <c r="K1069">
        <v>8</v>
      </c>
      <c r="L1069" s="14">
        <v>563.69000000000005</v>
      </c>
      <c r="M1069" s="4" t="str">
        <f t="shared" si="64"/>
        <v>lunes</v>
      </c>
      <c r="N1069" s="4" t="str">
        <f t="shared" si="65"/>
        <v>enero</v>
      </c>
      <c r="O1069" s="4" t="str">
        <f t="shared" si="66"/>
        <v>NO</v>
      </c>
      <c r="P1069" s="4" t="str">
        <f t="shared" si="67"/>
        <v>NO</v>
      </c>
      <c r="Q1069" s="4" t="str" cm="1">
        <f t="array" ref="Q1069">_xlfn.IFS(AND(H1069&gt;=0,H1069&lt;=3333),"Grupo 1",AND(H1069&gt;3333,H1069&lt;=6666),"Grupo 2",AND(H1069&gt;6666,H1069&lt;=10000),"Grupo 3")</f>
        <v>Grupo 1</v>
      </c>
    </row>
    <row r="1070" spans="1:17" x14ac:dyDescent="0.25">
      <c r="A1070" t="s">
        <v>80</v>
      </c>
      <c r="B1070" s="2">
        <v>45222.202777777777</v>
      </c>
      <c r="C1070" t="s">
        <v>339</v>
      </c>
      <c r="D1070" t="s">
        <v>219</v>
      </c>
      <c r="E1070">
        <v>5</v>
      </c>
      <c r="F1070">
        <v>1547.41</v>
      </c>
      <c r="G1070" t="s">
        <v>221</v>
      </c>
      <c r="H1070">
        <v>7737.05</v>
      </c>
      <c r="I1070">
        <v>2023</v>
      </c>
      <c r="J1070">
        <v>10</v>
      </c>
      <c r="K1070">
        <v>4</v>
      </c>
      <c r="L1070" s="14">
        <v>1547.41</v>
      </c>
      <c r="M1070" s="4" t="str">
        <f t="shared" si="64"/>
        <v>lunes</v>
      </c>
      <c r="N1070" s="4" t="str">
        <f t="shared" si="65"/>
        <v>octubre</v>
      </c>
      <c r="O1070" s="4" t="str">
        <f t="shared" si="66"/>
        <v>SI</v>
      </c>
      <c r="P1070" s="4" t="str">
        <f t="shared" si="67"/>
        <v>SI</v>
      </c>
      <c r="Q1070" s="4" t="str" cm="1">
        <f t="array" ref="Q1070">_xlfn.IFS(AND(H1070&gt;=0,H1070&lt;=3333),"Grupo 1",AND(H1070&gt;3333,H1070&lt;=6666),"Grupo 2",AND(H1070&gt;6666,H1070&lt;=10000),"Grupo 3")</f>
        <v>Grupo 3</v>
      </c>
    </row>
    <row r="1071" spans="1:17" x14ac:dyDescent="0.25">
      <c r="A1071" t="s">
        <v>81</v>
      </c>
      <c r="B1071" s="2">
        <v>45274.597916666673</v>
      </c>
      <c r="C1071" t="s">
        <v>340</v>
      </c>
      <c r="D1071" t="s">
        <v>216</v>
      </c>
      <c r="E1071">
        <v>2</v>
      </c>
      <c r="F1071">
        <v>1903.65</v>
      </c>
      <c r="G1071" t="s">
        <v>221</v>
      </c>
      <c r="H1071">
        <v>3807.3</v>
      </c>
      <c r="I1071">
        <v>2023</v>
      </c>
      <c r="J1071">
        <v>12</v>
      </c>
      <c r="K1071">
        <v>14</v>
      </c>
      <c r="L1071" s="14">
        <v>1903.65</v>
      </c>
      <c r="M1071" s="4" t="str">
        <f t="shared" si="64"/>
        <v>jueves</v>
      </c>
      <c r="N1071" s="4" t="str">
        <f t="shared" si="65"/>
        <v>diciembre</v>
      </c>
      <c r="O1071" s="4" t="str">
        <f t="shared" si="66"/>
        <v>SI</v>
      </c>
      <c r="P1071" s="4" t="str">
        <f t="shared" si="67"/>
        <v>SI</v>
      </c>
      <c r="Q1071" s="4" t="str" cm="1">
        <f t="array" ref="Q1071">_xlfn.IFS(AND(H1071&gt;=0,H1071&lt;=3333),"Grupo 1",AND(H1071&gt;3333,H1071&lt;=6666),"Grupo 2",AND(H1071&gt;6666,H1071&lt;=10000),"Grupo 3")</f>
        <v>Grupo 2</v>
      </c>
    </row>
    <row r="1072" spans="1:17" x14ac:dyDescent="0.25">
      <c r="A1072" t="s">
        <v>82</v>
      </c>
      <c r="B1072" s="2">
        <v>45358.874305555553</v>
      </c>
      <c r="C1072" t="s">
        <v>341</v>
      </c>
      <c r="D1072" t="s">
        <v>215</v>
      </c>
      <c r="E1072">
        <v>2</v>
      </c>
      <c r="F1072">
        <v>1198.2</v>
      </c>
      <c r="G1072" t="s">
        <v>220</v>
      </c>
      <c r="H1072">
        <v>2396.4</v>
      </c>
      <c r="I1072">
        <v>2024</v>
      </c>
      <c r="J1072">
        <v>3</v>
      </c>
      <c r="K1072">
        <v>20</v>
      </c>
      <c r="L1072" s="14">
        <v>1198.2</v>
      </c>
      <c r="M1072" s="4" t="str">
        <f t="shared" si="64"/>
        <v>jueves</v>
      </c>
      <c r="N1072" s="4" t="str">
        <f t="shared" si="65"/>
        <v>marzo</v>
      </c>
      <c r="O1072" s="4" t="str">
        <f t="shared" si="66"/>
        <v>NO</v>
      </c>
      <c r="P1072" s="4" t="str">
        <f t="shared" si="67"/>
        <v>SI</v>
      </c>
      <c r="Q1072" s="4" t="str" cm="1">
        <f t="array" ref="Q1072">_xlfn.IFS(AND(H1072&gt;=0,H1072&lt;=3333),"Grupo 1",AND(H1072&gt;3333,H1072&lt;=6666),"Grupo 2",AND(H1072&gt;6666,H1072&lt;=10000),"Grupo 3")</f>
        <v>Grupo 1</v>
      </c>
    </row>
    <row r="1073" spans="1:17" x14ac:dyDescent="0.25">
      <c r="A1073" t="s">
        <v>83</v>
      </c>
      <c r="B1073" s="2">
        <v>45850.171527777777</v>
      </c>
      <c r="C1073" t="s">
        <v>342</v>
      </c>
      <c r="D1073" t="s">
        <v>213</v>
      </c>
      <c r="E1073">
        <v>3</v>
      </c>
      <c r="F1073">
        <v>543.72</v>
      </c>
      <c r="G1073" t="s">
        <v>221</v>
      </c>
      <c r="H1073">
        <v>1631.16</v>
      </c>
      <c r="I1073">
        <v>2025</v>
      </c>
      <c r="J1073">
        <v>7</v>
      </c>
      <c r="K1073">
        <v>4</v>
      </c>
      <c r="L1073" s="14">
        <v>543.72</v>
      </c>
      <c r="M1073" s="4" t="str">
        <f t="shared" si="64"/>
        <v>sábado</v>
      </c>
      <c r="N1073" s="4" t="str">
        <f t="shared" si="65"/>
        <v>julio</v>
      </c>
      <c r="O1073" s="4" t="str">
        <f t="shared" si="66"/>
        <v>NO</v>
      </c>
      <c r="P1073" s="4" t="str">
        <f t="shared" si="67"/>
        <v>NO</v>
      </c>
      <c r="Q1073" s="4" t="str" cm="1">
        <f t="array" ref="Q1073">_xlfn.IFS(AND(H1073&gt;=0,H1073&lt;=3333),"Grupo 1",AND(H1073&gt;3333,H1073&lt;=6666),"Grupo 2",AND(H1073&gt;6666,H1073&lt;=10000),"Grupo 3")</f>
        <v>Grupo 1</v>
      </c>
    </row>
    <row r="1074" spans="1:17" x14ac:dyDescent="0.25">
      <c r="A1074" t="s">
        <v>84</v>
      </c>
      <c r="B1074" s="2">
        <v>45041.884027777778</v>
      </c>
      <c r="C1074" t="s">
        <v>343</v>
      </c>
      <c r="D1074" t="s">
        <v>216</v>
      </c>
      <c r="E1074">
        <v>2</v>
      </c>
      <c r="F1074">
        <v>1449.53</v>
      </c>
      <c r="G1074" t="s">
        <v>221</v>
      </c>
      <c r="H1074">
        <v>2899.06</v>
      </c>
      <c r="I1074">
        <v>2023</v>
      </c>
      <c r="J1074">
        <v>4</v>
      </c>
      <c r="K1074">
        <v>21</v>
      </c>
      <c r="L1074" s="14">
        <v>1449.53</v>
      </c>
      <c r="M1074" s="4" t="str">
        <f t="shared" si="64"/>
        <v>martes</v>
      </c>
      <c r="N1074" s="4" t="str">
        <f t="shared" si="65"/>
        <v>abril</v>
      </c>
      <c r="O1074" s="4" t="str">
        <f t="shared" si="66"/>
        <v>SI</v>
      </c>
      <c r="P1074" s="4" t="str">
        <f t="shared" si="67"/>
        <v>SI</v>
      </c>
      <c r="Q1074" s="4" t="str" cm="1">
        <f t="array" ref="Q1074">_xlfn.IFS(AND(H1074&gt;=0,H1074&lt;=3333),"Grupo 1",AND(H1074&gt;3333,H1074&lt;=6666),"Grupo 2",AND(H1074&gt;6666,H1074&lt;=10000),"Grupo 3")</f>
        <v>Grupo 1</v>
      </c>
    </row>
    <row r="1075" spans="1:17" x14ac:dyDescent="0.25">
      <c r="A1075" t="s">
        <v>85</v>
      </c>
      <c r="B1075" s="2">
        <v>45564.772916666669</v>
      </c>
      <c r="C1075" t="s">
        <v>344</v>
      </c>
      <c r="D1075" t="s">
        <v>214</v>
      </c>
      <c r="E1075">
        <v>5</v>
      </c>
      <c r="F1075">
        <v>472.42</v>
      </c>
      <c r="G1075" t="s">
        <v>222</v>
      </c>
      <c r="H1075">
        <v>2362.1</v>
      </c>
      <c r="I1075">
        <v>2024</v>
      </c>
      <c r="J1075">
        <v>9</v>
      </c>
      <c r="K1075">
        <v>18</v>
      </c>
      <c r="L1075" s="14">
        <v>472.42</v>
      </c>
      <c r="M1075" s="4" t="str">
        <f t="shared" si="64"/>
        <v>domingo</v>
      </c>
      <c r="N1075" s="4" t="str">
        <f t="shared" si="65"/>
        <v>septiembre</v>
      </c>
      <c r="O1075" s="4" t="str">
        <f t="shared" si="66"/>
        <v>NO</v>
      </c>
      <c r="P1075" s="4" t="str">
        <f t="shared" si="67"/>
        <v>NO</v>
      </c>
      <c r="Q1075" s="4" t="str" cm="1">
        <f t="array" ref="Q1075">_xlfn.IFS(AND(H1075&gt;=0,H1075&lt;=3333),"Grupo 1",AND(H1075&gt;3333,H1075&lt;=6666),"Grupo 2",AND(H1075&gt;6666,H1075&lt;=10000),"Grupo 3")</f>
        <v>Grupo 1</v>
      </c>
    </row>
    <row r="1076" spans="1:17" x14ac:dyDescent="0.25">
      <c r="A1076" t="s">
        <v>86</v>
      </c>
      <c r="B1076" s="2">
        <v>45118.247916666667</v>
      </c>
      <c r="C1076" t="s">
        <v>345</v>
      </c>
      <c r="D1076" t="s">
        <v>219</v>
      </c>
      <c r="E1076">
        <v>3</v>
      </c>
      <c r="F1076">
        <v>367.9</v>
      </c>
      <c r="G1076" t="s">
        <v>221</v>
      </c>
      <c r="H1076">
        <v>1103.7</v>
      </c>
      <c r="I1076">
        <v>2023</v>
      </c>
      <c r="J1076">
        <v>7</v>
      </c>
      <c r="K1076">
        <v>5</v>
      </c>
      <c r="L1076" s="14">
        <v>367.89999999999992</v>
      </c>
      <c r="M1076" s="4" t="str">
        <f t="shared" si="64"/>
        <v>martes</v>
      </c>
      <c r="N1076" s="4" t="str">
        <f t="shared" si="65"/>
        <v>julio</v>
      </c>
      <c r="O1076" s="4" t="str">
        <f t="shared" si="66"/>
        <v>NO</v>
      </c>
      <c r="P1076" s="4" t="str">
        <f t="shared" si="67"/>
        <v>NO</v>
      </c>
      <c r="Q1076" s="4" t="str" cm="1">
        <f t="array" ref="Q1076">_xlfn.IFS(AND(H1076&gt;=0,H1076&lt;=3333),"Grupo 1",AND(H1076&gt;3333,H1076&lt;=6666),"Grupo 2",AND(H1076&gt;6666,H1076&lt;=10000),"Grupo 3")</f>
        <v>Grupo 1</v>
      </c>
    </row>
    <row r="1077" spans="1:17" x14ac:dyDescent="0.25">
      <c r="A1077" t="s">
        <v>87</v>
      </c>
      <c r="B1077" s="2">
        <v>45717.986111111109</v>
      </c>
      <c r="C1077" t="s">
        <v>346</v>
      </c>
      <c r="D1077" t="s">
        <v>219</v>
      </c>
      <c r="E1077">
        <v>5</v>
      </c>
      <c r="F1077">
        <v>739.51</v>
      </c>
      <c r="G1077" t="s">
        <v>221</v>
      </c>
      <c r="H1077">
        <v>3697.55</v>
      </c>
      <c r="I1077">
        <v>2025</v>
      </c>
      <c r="J1077">
        <v>3</v>
      </c>
      <c r="K1077">
        <v>23</v>
      </c>
      <c r="L1077" s="14">
        <v>739.51</v>
      </c>
      <c r="M1077" s="4" t="str">
        <f t="shared" si="64"/>
        <v>sábado</v>
      </c>
      <c r="N1077" s="4" t="str">
        <f t="shared" si="65"/>
        <v>marzo</v>
      </c>
      <c r="O1077" s="4" t="str">
        <f t="shared" si="66"/>
        <v>SI</v>
      </c>
      <c r="P1077" s="4" t="str">
        <f t="shared" si="67"/>
        <v>NO</v>
      </c>
      <c r="Q1077" s="4" t="str" cm="1">
        <f t="array" ref="Q1077">_xlfn.IFS(AND(H1077&gt;=0,H1077&lt;=3333),"Grupo 1",AND(H1077&gt;3333,H1077&lt;=6666),"Grupo 2",AND(H1077&gt;6666,H1077&lt;=10000),"Grupo 3")</f>
        <v>Grupo 2</v>
      </c>
    </row>
    <row r="1078" spans="1:17" x14ac:dyDescent="0.25">
      <c r="A1078" t="s">
        <v>88</v>
      </c>
      <c r="B1078" s="2">
        <v>45162.795138888891</v>
      </c>
      <c r="C1078" t="s">
        <v>347</v>
      </c>
      <c r="D1078" t="s">
        <v>217</v>
      </c>
      <c r="E1078">
        <v>2</v>
      </c>
      <c r="F1078">
        <v>1089.1300000000001</v>
      </c>
      <c r="G1078" t="s">
        <v>220</v>
      </c>
      <c r="H1078">
        <v>2178.2600000000002</v>
      </c>
      <c r="I1078">
        <v>2023</v>
      </c>
      <c r="J1078">
        <v>8</v>
      </c>
      <c r="K1078">
        <v>19</v>
      </c>
      <c r="L1078" s="14">
        <v>1089.1300000000001</v>
      </c>
      <c r="M1078" s="4" t="str">
        <f t="shared" si="64"/>
        <v>jueves</v>
      </c>
      <c r="N1078" s="4" t="str">
        <f t="shared" si="65"/>
        <v>agosto</v>
      </c>
      <c r="O1078" s="4" t="str">
        <f t="shared" si="66"/>
        <v>NO</v>
      </c>
      <c r="P1078" s="4" t="str">
        <f t="shared" si="67"/>
        <v>SI</v>
      </c>
      <c r="Q1078" s="4" t="str" cm="1">
        <f t="array" ref="Q1078">_xlfn.IFS(AND(H1078&gt;=0,H1078&lt;=3333),"Grupo 1",AND(H1078&gt;3333,H1078&lt;=6666),"Grupo 2",AND(H1078&gt;6666,H1078&lt;=10000),"Grupo 3")</f>
        <v>Grupo 1</v>
      </c>
    </row>
    <row r="1079" spans="1:17" x14ac:dyDescent="0.25">
      <c r="A1079" t="s">
        <v>89</v>
      </c>
      <c r="B1079" s="2">
        <v>45517.353472222218</v>
      </c>
      <c r="C1079" t="s">
        <v>348</v>
      </c>
      <c r="D1079" t="s">
        <v>216</v>
      </c>
      <c r="E1079">
        <v>5</v>
      </c>
      <c r="F1079">
        <v>1632.75</v>
      </c>
      <c r="G1079" t="s">
        <v>221</v>
      </c>
      <c r="H1079">
        <v>8163.75</v>
      </c>
      <c r="I1079">
        <v>2024</v>
      </c>
      <c r="J1079">
        <v>8</v>
      </c>
      <c r="K1079">
        <v>8</v>
      </c>
      <c r="L1079" s="14">
        <v>1632.75</v>
      </c>
      <c r="M1079" s="4" t="str">
        <f t="shared" si="64"/>
        <v>martes</v>
      </c>
      <c r="N1079" s="4" t="str">
        <f t="shared" si="65"/>
        <v>agosto</v>
      </c>
      <c r="O1079" s="4" t="str">
        <f t="shared" si="66"/>
        <v>SI</v>
      </c>
      <c r="P1079" s="4" t="str">
        <f t="shared" si="67"/>
        <v>SI</v>
      </c>
      <c r="Q1079" s="4" t="str" cm="1">
        <f t="array" ref="Q1079">_xlfn.IFS(AND(H1079&gt;=0,H1079&lt;=3333),"Grupo 1",AND(H1079&gt;3333,H1079&lt;=6666),"Grupo 2",AND(H1079&gt;6666,H1079&lt;=10000),"Grupo 3")</f>
        <v>Grupo 3</v>
      </c>
    </row>
    <row r="1080" spans="1:17" x14ac:dyDescent="0.25">
      <c r="A1080" t="s">
        <v>90</v>
      </c>
      <c r="B1080" s="2">
        <v>45245.664583333331</v>
      </c>
      <c r="C1080" t="s">
        <v>349</v>
      </c>
      <c r="D1080" t="s">
        <v>212</v>
      </c>
      <c r="E1080">
        <v>3</v>
      </c>
      <c r="F1080">
        <v>817.35</v>
      </c>
      <c r="G1080" t="s">
        <v>220</v>
      </c>
      <c r="H1080">
        <v>2452.0500000000002</v>
      </c>
      <c r="I1080">
        <v>2023</v>
      </c>
      <c r="J1080">
        <v>11</v>
      </c>
      <c r="K1080">
        <v>15</v>
      </c>
      <c r="L1080" s="14">
        <v>817.35</v>
      </c>
      <c r="M1080" s="4" t="str">
        <f t="shared" si="64"/>
        <v>miércoles</v>
      </c>
      <c r="N1080" s="4" t="str">
        <f t="shared" si="65"/>
        <v>noviembre</v>
      </c>
      <c r="O1080" s="4" t="str">
        <f t="shared" si="66"/>
        <v>NO</v>
      </c>
      <c r="P1080" s="4" t="str">
        <f t="shared" si="67"/>
        <v>NO</v>
      </c>
      <c r="Q1080" s="4" t="str" cm="1">
        <f t="array" ref="Q1080">_xlfn.IFS(AND(H1080&gt;=0,H1080&lt;=3333),"Grupo 1",AND(H1080&gt;3333,H1080&lt;=6666),"Grupo 2",AND(H1080&gt;6666,H1080&lt;=10000),"Grupo 3")</f>
        <v>Grupo 1</v>
      </c>
    </row>
    <row r="1081" spans="1:17" x14ac:dyDescent="0.25">
      <c r="A1081" t="s">
        <v>91</v>
      </c>
      <c r="B1081" s="2">
        <v>45603.368055555547</v>
      </c>
      <c r="C1081" t="s">
        <v>350</v>
      </c>
      <c r="D1081" t="s">
        <v>213</v>
      </c>
      <c r="E1081">
        <v>2</v>
      </c>
      <c r="F1081">
        <v>1186.58</v>
      </c>
      <c r="G1081" t="s">
        <v>221</v>
      </c>
      <c r="H1081">
        <v>2373.16</v>
      </c>
      <c r="I1081">
        <v>2024</v>
      </c>
      <c r="J1081">
        <v>11</v>
      </c>
      <c r="K1081">
        <v>8</v>
      </c>
      <c r="L1081" s="14">
        <v>1186.58</v>
      </c>
      <c r="M1081" s="4" t="str">
        <f t="shared" si="64"/>
        <v>jueves</v>
      </c>
      <c r="N1081" s="4" t="str">
        <f t="shared" si="65"/>
        <v>noviembre</v>
      </c>
      <c r="O1081" s="4" t="str">
        <f t="shared" si="66"/>
        <v>NO</v>
      </c>
      <c r="P1081" s="4" t="str">
        <f t="shared" si="67"/>
        <v>SI</v>
      </c>
      <c r="Q1081" s="4" t="str" cm="1">
        <f t="array" ref="Q1081">_xlfn.IFS(AND(H1081&gt;=0,H1081&lt;=3333),"Grupo 1",AND(H1081&gt;3333,H1081&lt;=6666),"Grupo 2",AND(H1081&gt;6666,H1081&lt;=10000),"Grupo 3")</f>
        <v>Grupo 1</v>
      </c>
    </row>
    <row r="1082" spans="1:17" x14ac:dyDescent="0.25">
      <c r="A1082" t="s">
        <v>92</v>
      </c>
      <c r="B1082" s="2">
        <v>44990.597916666673</v>
      </c>
      <c r="C1082" t="s">
        <v>351</v>
      </c>
      <c r="D1082" t="s">
        <v>215</v>
      </c>
      <c r="E1082">
        <v>2</v>
      </c>
      <c r="F1082">
        <v>1872.8</v>
      </c>
      <c r="G1082" t="s">
        <v>220</v>
      </c>
      <c r="H1082">
        <v>3745.6</v>
      </c>
      <c r="I1082">
        <v>2023</v>
      </c>
      <c r="J1082">
        <v>3</v>
      </c>
      <c r="K1082">
        <v>14</v>
      </c>
      <c r="L1082" s="14">
        <v>1872.8</v>
      </c>
      <c r="M1082" s="4" t="str">
        <f t="shared" si="64"/>
        <v>domingo</v>
      </c>
      <c r="N1082" s="4" t="str">
        <f t="shared" si="65"/>
        <v>marzo</v>
      </c>
      <c r="O1082" s="4" t="str">
        <f t="shared" si="66"/>
        <v>SI</v>
      </c>
      <c r="P1082" s="4" t="str">
        <f t="shared" si="67"/>
        <v>SI</v>
      </c>
      <c r="Q1082" s="4" t="str" cm="1">
        <f t="array" ref="Q1082">_xlfn.IFS(AND(H1082&gt;=0,H1082&lt;=3333),"Grupo 1",AND(H1082&gt;3333,H1082&lt;=6666),"Grupo 2",AND(H1082&gt;6666,H1082&lt;=10000),"Grupo 3")</f>
        <v>Grupo 2</v>
      </c>
    </row>
    <row r="1083" spans="1:17" x14ac:dyDescent="0.25">
      <c r="A1083" t="s">
        <v>93</v>
      </c>
      <c r="B1083" s="2">
        <v>45273.106249999997</v>
      </c>
      <c r="C1083" t="s">
        <v>352</v>
      </c>
      <c r="D1083" t="s">
        <v>214</v>
      </c>
      <c r="E1083">
        <v>3</v>
      </c>
      <c r="F1083">
        <v>680.19</v>
      </c>
      <c r="G1083" t="s">
        <v>222</v>
      </c>
      <c r="H1083">
        <v>2040.57</v>
      </c>
      <c r="I1083">
        <v>2023</v>
      </c>
      <c r="J1083">
        <v>12</v>
      </c>
      <c r="K1083">
        <v>2</v>
      </c>
      <c r="L1083" s="14">
        <v>680.19</v>
      </c>
      <c r="M1083" s="4" t="str">
        <f t="shared" si="64"/>
        <v>miércoles</v>
      </c>
      <c r="N1083" s="4" t="str">
        <f t="shared" si="65"/>
        <v>diciembre</v>
      </c>
      <c r="O1083" s="4" t="str">
        <f t="shared" si="66"/>
        <v>NO</v>
      </c>
      <c r="P1083" s="4" t="str">
        <f t="shared" si="67"/>
        <v>NO</v>
      </c>
      <c r="Q1083" s="4" t="str" cm="1">
        <f t="array" ref="Q1083">_xlfn.IFS(AND(H1083&gt;=0,H1083&lt;=3333),"Grupo 1",AND(H1083&gt;3333,H1083&lt;=6666),"Grupo 2",AND(H1083&gt;6666,H1083&lt;=10000),"Grupo 3")</f>
        <v>Grupo 1</v>
      </c>
    </row>
    <row r="1084" spans="1:17" x14ac:dyDescent="0.25">
      <c r="A1084" t="s">
        <v>94</v>
      </c>
      <c r="B1084" s="2">
        <v>45022.271527777782</v>
      </c>
      <c r="C1084" t="s">
        <v>353</v>
      </c>
      <c r="D1084" t="s">
        <v>216</v>
      </c>
      <c r="E1084">
        <v>4</v>
      </c>
      <c r="F1084">
        <v>262.82</v>
      </c>
      <c r="G1084" t="s">
        <v>221</v>
      </c>
      <c r="H1084">
        <v>1051.28</v>
      </c>
      <c r="I1084">
        <v>2023</v>
      </c>
      <c r="J1084">
        <v>4</v>
      </c>
      <c r="K1084">
        <v>6</v>
      </c>
      <c r="L1084" s="14">
        <v>262.82</v>
      </c>
      <c r="M1084" s="4" t="str">
        <f t="shared" si="64"/>
        <v>jueves</v>
      </c>
      <c r="N1084" s="4" t="str">
        <f t="shared" si="65"/>
        <v>abril</v>
      </c>
      <c r="O1084" s="4" t="str">
        <f t="shared" si="66"/>
        <v>NO</v>
      </c>
      <c r="P1084" s="4" t="str">
        <f t="shared" si="67"/>
        <v>NO</v>
      </c>
      <c r="Q1084" s="4" t="str" cm="1">
        <f t="array" ref="Q1084">_xlfn.IFS(AND(H1084&gt;=0,H1084&lt;=3333),"Grupo 1",AND(H1084&gt;3333,H1084&lt;=6666),"Grupo 2",AND(H1084&gt;6666,H1084&lt;=10000),"Grupo 3")</f>
        <v>Grupo 1</v>
      </c>
    </row>
    <row r="1085" spans="1:17" x14ac:dyDescent="0.25">
      <c r="A1085" t="s">
        <v>95</v>
      </c>
      <c r="B1085" s="2">
        <v>45682.68472222222</v>
      </c>
      <c r="C1085" t="s">
        <v>354</v>
      </c>
      <c r="D1085" t="s">
        <v>215</v>
      </c>
      <c r="E1085">
        <v>4</v>
      </c>
      <c r="F1085">
        <v>1531.75</v>
      </c>
      <c r="G1085" t="s">
        <v>220</v>
      </c>
      <c r="H1085">
        <v>6127</v>
      </c>
      <c r="I1085">
        <v>2025</v>
      </c>
      <c r="J1085">
        <v>1</v>
      </c>
      <c r="K1085">
        <v>16</v>
      </c>
      <c r="L1085" s="14">
        <v>1531.75</v>
      </c>
      <c r="M1085" s="4" t="str">
        <f t="shared" si="64"/>
        <v>sábado</v>
      </c>
      <c r="N1085" s="4" t="str">
        <f t="shared" si="65"/>
        <v>enero</v>
      </c>
      <c r="O1085" s="4" t="str">
        <f t="shared" si="66"/>
        <v>SI</v>
      </c>
      <c r="P1085" s="4" t="str">
        <f t="shared" si="67"/>
        <v>SI</v>
      </c>
      <c r="Q1085" s="4" t="str" cm="1">
        <f t="array" ref="Q1085">_xlfn.IFS(AND(H1085&gt;=0,H1085&lt;=3333),"Grupo 1",AND(H1085&gt;3333,H1085&lt;=6666),"Grupo 2",AND(H1085&gt;6666,H1085&lt;=10000),"Grupo 3")</f>
        <v>Grupo 2</v>
      </c>
    </row>
    <row r="1086" spans="1:17" x14ac:dyDescent="0.25">
      <c r="A1086" t="s">
        <v>96</v>
      </c>
      <c r="B1086" s="2">
        <v>45099.143750000003</v>
      </c>
      <c r="C1086" t="s">
        <v>355</v>
      </c>
      <c r="D1086" t="s">
        <v>215</v>
      </c>
      <c r="E1086">
        <v>1</v>
      </c>
      <c r="F1086">
        <v>503.84</v>
      </c>
      <c r="G1086" t="s">
        <v>220</v>
      </c>
      <c r="H1086">
        <v>503.84</v>
      </c>
      <c r="I1086">
        <v>2023</v>
      </c>
      <c r="J1086">
        <v>6</v>
      </c>
      <c r="K1086">
        <v>3</v>
      </c>
      <c r="L1086" s="14">
        <v>503.84</v>
      </c>
      <c r="M1086" s="4" t="str">
        <f t="shared" si="64"/>
        <v>jueves</v>
      </c>
      <c r="N1086" s="4" t="str">
        <f t="shared" si="65"/>
        <v>junio</v>
      </c>
      <c r="O1086" s="4" t="str">
        <f t="shared" si="66"/>
        <v>NO</v>
      </c>
      <c r="P1086" s="4" t="str">
        <f t="shared" si="67"/>
        <v>NO</v>
      </c>
      <c r="Q1086" s="4" t="str" cm="1">
        <f t="array" ref="Q1086">_xlfn.IFS(AND(H1086&gt;=0,H1086&lt;=3333),"Grupo 1",AND(H1086&gt;3333,H1086&lt;=6666),"Grupo 2",AND(H1086&gt;6666,H1086&lt;=10000),"Grupo 3")</f>
        <v>Grupo 1</v>
      </c>
    </row>
    <row r="1087" spans="1:17" x14ac:dyDescent="0.25">
      <c r="A1087" t="s">
        <v>97</v>
      </c>
      <c r="B1087" s="2">
        <v>45546.810416666667</v>
      </c>
      <c r="C1087" t="s">
        <v>356</v>
      </c>
      <c r="D1087" t="s">
        <v>217</v>
      </c>
      <c r="E1087">
        <v>4</v>
      </c>
      <c r="F1087">
        <v>1908.41</v>
      </c>
      <c r="G1087" t="s">
        <v>220</v>
      </c>
      <c r="H1087">
        <v>7633.64</v>
      </c>
      <c r="I1087">
        <v>2024</v>
      </c>
      <c r="J1087">
        <v>9</v>
      </c>
      <c r="K1087">
        <v>19</v>
      </c>
      <c r="L1087" s="14">
        <v>1908.41</v>
      </c>
      <c r="M1087" s="4" t="str">
        <f t="shared" si="64"/>
        <v>miércoles</v>
      </c>
      <c r="N1087" s="4" t="str">
        <f t="shared" si="65"/>
        <v>septiembre</v>
      </c>
      <c r="O1087" s="4" t="str">
        <f t="shared" si="66"/>
        <v>SI</v>
      </c>
      <c r="P1087" s="4" t="str">
        <f t="shared" si="67"/>
        <v>SI</v>
      </c>
      <c r="Q1087" s="4" t="str" cm="1">
        <f t="array" ref="Q1087">_xlfn.IFS(AND(H1087&gt;=0,H1087&lt;=3333),"Grupo 1",AND(H1087&gt;3333,H1087&lt;=6666),"Grupo 2",AND(H1087&gt;6666,H1087&lt;=10000),"Grupo 3")</f>
        <v>Grupo 3</v>
      </c>
    </row>
    <row r="1088" spans="1:17" x14ac:dyDescent="0.25">
      <c r="A1088" t="s">
        <v>98</v>
      </c>
      <c r="B1088" s="2">
        <v>45451.106249999997</v>
      </c>
      <c r="C1088" t="s">
        <v>357</v>
      </c>
      <c r="D1088" t="s">
        <v>215</v>
      </c>
      <c r="E1088">
        <v>2</v>
      </c>
      <c r="F1088">
        <v>114.6</v>
      </c>
      <c r="G1088" t="s">
        <v>220</v>
      </c>
      <c r="H1088">
        <v>229.2</v>
      </c>
      <c r="I1088">
        <v>2024</v>
      </c>
      <c r="J1088">
        <v>6</v>
      </c>
      <c r="K1088">
        <v>2</v>
      </c>
      <c r="L1088" s="14">
        <v>114.6</v>
      </c>
      <c r="M1088" s="4" t="str">
        <f t="shared" si="64"/>
        <v>sábado</v>
      </c>
      <c r="N1088" s="4" t="str">
        <f t="shared" si="65"/>
        <v>junio</v>
      </c>
      <c r="O1088" s="4" t="str">
        <f t="shared" si="66"/>
        <v>NO</v>
      </c>
      <c r="P1088" s="4" t="str">
        <f t="shared" si="67"/>
        <v>NO</v>
      </c>
      <c r="Q1088" s="4" t="str" cm="1">
        <f t="array" ref="Q1088">_xlfn.IFS(AND(H1088&gt;=0,H1088&lt;=3333),"Grupo 1",AND(H1088&gt;3333,H1088&lt;=6666),"Grupo 2",AND(H1088&gt;6666,H1088&lt;=10000),"Grupo 3")</f>
        <v>Grupo 1</v>
      </c>
    </row>
    <row r="1089" spans="1:17" x14ac:dyDescent="0.25">
      <c r="A1089" t="s">
        <v>99</v>
      </c>
      <c r="B1089" s="2">
        <v>45101.551388888889</v>
      </c>
      <c r="C1089" t="s">
        <v>358</v>
      </c>
      <c r="D1089" t="s">
        <v>215</v>
      </c>
      <c r="E1089">
        <v>2</v>
      </c>
      <c r="F1089">
        <v>595.78</v>
      </c>
      <c r="G1089" t="s">
        <v>220</v>
      </c>
      <c r="H1089">
        <v>1191.56</v>
      </c>
      <c r="I1089">
        <v>2023</v>
      </c>
      <c r="J1089">
        <v>6</v>
      </c>
      <c r="K1089">
        <v>13</v>
      </c>
      <c r="L1089" s="14">
        <v>595.78</v>
      </c>
      <c r="M1089" s="4" t="str">
        <f t="shared" si="64"/>
        <v>sábado</v>
      </c>
      <c r="N1089" s="4" t="str">
        <f t="shared" si="65"/>
        <v>junio</v>
      </c>
      <c r="O1089" s="4" t="str">
        <f t="shared" si="66"/>
        <v>NO</v>
      </c>
      <c r="P1089" s="4" t="str">
        <f t="shared" si="67"/>
        <v>NO</v>
      </c>
      <c r="Q1089" s="4" t="str" cm="1">
        <f t="array" ref="Q1089">_xlfn.IFS(AND(H1089&gt;=0,H1089&lt;=3333),"Grupo 1",AND(H1089&gt;3333,H1089&lt;=6666),"Grupo 2",AND(H1089&gt;6666,H1089&lt;=10000),"Grupo 3")</f>
        <v>Grupo 1</v>
      </c>
    </row>
    <row r="1090" spans="1:17" x14ac:dyDescent="0.25">
      <c r="A1090" t="s">
        <v>100</v>
      </c>
      <c r="B1090" s="2">
        <v>45405.413194444453</v>
      </c>
      <c r="C1090" t="s">
        <v>359</v>
      </c>
      <c r="D1090" t="s">
        <v>217</v>
      </c>
      <c r="E1090">
        <v>2</v>
      </c>
      <c r="F1090">
        <v>75.02</v>
      </c>
      <c r="G1090" t="s">
        <v>220</v>
      </c>
      <c r="H1090">
        <v>150.04</v>
      </c>
      <c r="I1090">
        <v>2024</v>
      </c>
      <c r="J1090">
        <v>4</v>
      </c>
      <c r="K1090">
        <v>9</v>
      </c>
      <c r="L1090" s="14">
        <v>75.02</v>
      </c>
      <c r="M1090" s="4" t="str">
        <f t="shared" ref="M1090:M1153" si="68">TEXT(B1090,"dddd")</f>
        <v>martes</v>
      </c>
      <c r="N1090" s="4" t="str">
        <f t="shared" ref="N1090:N1153" si="69">TEXT(B1090,"mmmm")</f>
        <v>abril</v>
      </c>
      <c r="O1090" s="4" t="str">
        <f t="shared" si="66"/>
        <v>NO</v>
      </c>
      <c r="P1090" s="4" t="str">
        <f t="shared" si="67"/>
        <v>NO</v>
      </c>
      <c r="Q1090" s="4" t="str" cm="1">
        <f t="array" ref="Q1090">_xlfn.IFS(AND(H1090&gt;=0,H1090&lt;=3333),"Grupo 1",AND(H1090&gt;3333,H1090&lt;=6666),"Grupo 2",AND(H1090&gt;6666,H1090&lt;=10000),"Grupo 3")</f>
        <v>Grupo 1</v>
      </c>
    </row>
    <row r="1091" spans="1:17" x14ac:dyDescent="0.25">
      <c r="A1091" t="s">
        <v>101</v>
      </c>
      <c r="B1091" s="2">
        <v>45465.332638888889</v>
      </c>
      <c r="C1091" t="s">
        <v>261</v>
      </c>
      <c r="D1091" t="s">
        <v>216</v>
      </c>
      <c r="E1091">
        <v>5</v>
      </c>
      <c r="F1091">
        <v>540.91999999999996</v>
      </c>
      <c r="G1091" t="s">
        <v>221</v>
      </c>
      <c r="H1091">
        <v>2704.6</v>
      </c>
      <c r="I1091">
        <v>2024</v>
      </c>
      <c r="J1091">
        <v>6</v>
      </c>
      <c r="K1091">
        <v>7</v>
      </c>
      <c r="L1091" s="14">
        <v>540.91999999999996</v>
      </c>
      <c r="M1091" s="4" t="str">
        <f t="shared" si="68"/>
        <v>sábado</v>
      </c>
      <c r="N1091" s="4" t="str">
        <f t="shared" si="69"/>
        <v>junio</v>
      </c>
      <c r="O1091" s="4" t="str">
        <f t="shared" ref="O1091:O1154" si="70">IF(H1091&gt;AVERAGE(H:H),"SI","NO")</f>
        <v>NO</v>
      </c>
      <c r="P1091" s="4" t="str">
        <f t="shared" ref="P1091:P1154" si="71">IF(L1091&gt;AVERAGE(L:L),"SI","NO")</f>
        <v>NO</v>
      </c>
      <c r="Q1091" s="4" t="str" cm="1">
        <f t="array" ref="Q1091">_xlfn.IFS(AND(H1091&gt;=0,H1091&lt;=3333),"Grupo 1",AND(H1091&gt;3333,H1091&lt;=6666),"Grupo 2",AND(H1091&gt;6666,H1091&lt;=10000),"Grupo 3")</f>
        <v>Grupo 1</v>
      </c>
    </row>
    <row r="1092" spans="1:17" x14ac:dyDescent="0.25">
      <c r="A1092" t="s">
        <v>102</v>
      </c>
      <c r="B1092" s="2">
        <v>45863.330555555563</v>
      </c>
      <c r="C1092" t="s">
        <v>262</v>
      </c>
      <c r="D1092" t="s">
        <v>212</v>
      </c>
      <c r="E1092">
        <v>2</v>
      </c>
      <c r="F1092">
        <v>356.91</v>
      </c>
      <c r="G1092" t="s">
        <v>220</v>
      </c>
      <c r="H1092">
        <v>713.82</v>
      </c>
      <c r="I1092">
        <v>2025</v>
      </c>
      <c r="J1092">
        <v>7</v>
      </c>
      <c r="K1092">
        <v>7</v>
      </c>
      <c r="L1092" s="14">
        <v>356.91</v>
      </c>
      <c r="M1092" s="4" t="str">
        <f t="shared" si="68"/>
        <v>viernes</v>
      </c>
      <c r="N1092" s="4" t="str">
        <f t="shared" si="69"/>
        <v>julio</v>
      </c>
      <c r="O1092" s="4" t="str">
        <f t="shared" si="70"/>
        <v>NO</v>
      </c>
      <c r="P1092" s="4" t="str">
        <f t="shared" si="71"/>
        <v>NO</v>
      </c>
      <c r="Q1092" s="4" t="str" cm="1">
        <f t="array" ref="Q1092">_xlfn.IFS(AND(H1092&gt;=0,H1092&lt;=3333),"Grupo 1",AND(H1092&gt;3333,H1092&lt;=6666),"Grupo 2",AND(H1092&gt;6666,H1092&lt;=10000),"Grupo 3")</f>
        <v>Grupo 1</v>
      </c>
    </row>
    <row r="1093" spans="1:17" x14ac:dyDescent="0.25">
      <c r="A1093" t="s">
        <v>103</v>
      </c>
      <c r="B1093" s="2">
        <v>45727.712500000001</v>
      </c>
      <c r="C1093" t="s">
        <v>263</v>
      </c>
      <c r="D1093" t="s">
        <v>219</v>
      </c>
      <c r="E1093">
        <v>3</v>
      </c>
      <c r="F1093">
        <v>1135.67</v>
      </c>
      <c r="G1093" t="s">
        <v>221</v>
      </c>
      <c r="H1093">
        <v>3407.01</v>
      </c>
      <c r="I1093">
        <v>2025</v>
      </c>
      <c r="J1093">
        <v>3</v>
      </c>
      <c r="K1093">
        <v>17</v>
      </c>
      <c r="L1093" s="14">
        <v>1135.67</v>
      </c>
      <c r="M1093" s="4" t="str">
        <f t="shared" si="68"/>
        <v>martes</v>
      </c>
      <c r="N1093" s="4" t="str">
        <f t="shared" si="69"/>
        <v>marzo</v>
      </c>
      <c r="O1093" s="4" t="str">
        <f t="shared" si="70"/>
        <v>SI</v>
      </c>
      <c r="P1093" s="4" t="str">
        <f t="shared" si="71"/>
        <v>SI</v>
      </c>
      <c r="Q1093" s="4" t="str" cm="1">
        <f t="array" ref="Q1093">_xlfn.IFS(AND(H1093&gt;=0,H1093&lt;=3333),"Grupo 1",AND(H1093&gt;3333,H1093&lt;=6666),"Grupo 2",AND(H1093&gt;6666,H1093&lt;=10000),"Grupo 3")</f>
        <v>Grupo 2</v>
      </c>
    </row>
    <row r="1094" spans="1:17" x14ac:dyDescent="0.25">
      <c r="A1094" t="s">
        <v>104</v>
      </c>
      <c r="B1094" s="2">
        <v>45676.398611111108</v>
      </c>
      <c r="C1094" t="s">
        <v>264</v>
      </c>
      <c r="D1094" t="s">
        <v>215</v>
      </c>
      <c r="E1094">
        <v>3</v>
      </c>
      <c r="F1094">
        <v>805.69</v>
      </c>
      <c r="G1094" t="s">
        <v>220</v>
      </c>
      <c r="H1094">
        <v>2417.0700000000002</v>
      </c>
      <c r="I1094">
        <v>2025</v>
      </c>
      <c r="J1094">
        <v>1</v>
      </c>
      <c r="K1094">
        <v>9</v>
      </c>
      <c r="L1094" s="14">
        <v>805.69</v>
      </c>
      <c r="M1094" s="4" t="str">
        <f t="shared" si="68"/>
        <v>domingo</v>
      </c>
      <c r="N1094" s="4" t="str">
        <f t="shared" si="69"/>
        <v>enero</v>
      </c>
      <c r="O1094" s="4" t="str">
        <f t="shared" si="70"/>
        <v>NO</v>
      </c>
      <c r="P1094" s="4" t="str">
        <f t="shared" si="71"/>
        <v>NO</v>
      </c>
      <c r="Q1094" s="4" t="str" cm="1">
        <f t="array" ref="Q1094">_xlfn.IFS(AND(H1094&gt;=0,H1094&lt;=3333),"Grupo 1",AND(H1094&gt;3333,H1094&lt;=6666),"Grupo 2",AND(H1094&gt;6666,H1094&lt;=10000),"Grupo 3")</f>
        <v>Grupo 1</v>
      </c>
    </row>
    <row r="1095" spans="1:17" x14ac:dyDescent="0.25">
      <c r="A1095" t="s">
        <v>105</v>
      </c>
      <c r="B1095" s="2">
        <v>45289.026388888888</v>
      </c>
      <c r="C1095" t="s">
        <v>265</v>
      </c>
      <c r="D1095" t="s">
        <v>217</v>
      </c>
      <c r="E1095">
        <v>2</v>
      </c>
      <c r="F1095">
        <v>1259.07</v>
      </c>
      <c r="G1095" t="s">
        <v>220</v>
      </c>
      <c r="H1095">
        <v>2518.14</v>
      </c>
      <c r="I1095">
        <v>2023</v>
      </c>
      <c r="J1095">
        <v>12</v>
      </c>
      <c r="K1095">
        <v>0</v>
      </c>
      <c r="L1095" s="14">
        <v>1259.07</v>
      </c>
      <c r="M1095" s="4" t="str">
        <f t="shared" si="68"/>
        <v>viernes</v>
      </c>
      <c r="N1095" s="4" t="str">
        <f t="shared" si="69"/>
        <v>diciembre</v>
      </c>
      <c r="O1095" s="4" t="str">
        <f t="shared" si="70"/>
        <v>NO</v>
      </c>
      <c r="P1095" s="4" t="str">
        <f t="shared" si="71"/>
        <v>SI</v>
      </c>
      <c r="Q1095" s="4" t="str" cm="1">
        <f t="array" ref="Q1095">_xlfn.IFS(AND(H1095&gt;=0,H1095&lt;=3333),"Grupo 1",AND(H1095&gt;3333,H1095&lt;=6666),"Grupo 2",AND(H1095&gt;6666,H1095&lt;=10000),"Grupo 3")</f>
        <v>Grupo 1</v>
      </c>
    </row>
    <row r="1096" spans="1:17" x14ac:dyDescent="0.25">
      <c r="A1096" t="s">
        <v>106</v>
      </c>
      <c r="B1096" s="2">
        <v>45473.418749999997</v>
      </c>
      <c r="C1096" t="s">
        <v>266</v>
      </c>
      <c r="D1096" t="s">
        <v>218</v>
      </c>
      <c r="E1096">
        <v>3</v>
      </c>
      <c r="F1096">
        <v>600.4</v>
      </c>
      <c r="G1096" t="s">
        <v>221</v>
      </c>
      <c r="H1096">
        <v>1801.2</v>
      </c>
      <c r="I1096">
        <v>2024</v>
      </c>
      <c r="J1096">
        <v>6</v>
      </c>
      <c r="K1096">
        <v>10</v>
      </c>
      <c r="L1096" s="14">
        <v>600.4</v>
      </c>
      <c r="M1096" s="4" t="str">
        <f t="shared" si="68"/>
        <v>domingo</v>
      </c>
      <c r="N1096" s="4" t="str">
        <f t="shared" si="69"/>
        <v>junio</v>
      </c>
      <c r="O1096" s="4" t="str">
        <f t="shared" si="70"/>
        <v>NO</v>
      </c>
      <c r="P1096" s="4" t="str">
        <f t="shared" si="71"/>
        <v>NO</v>
      </c>
      <c r="Q1096" s="4" t="str" cm="1">
        <f t="array" ref="Q1096">_xlfn.IFS(AND(H1096&gt;=0,H1096&lt;=3333),"Grupo 1",AND(H1096&gt;3333,H1096&lt;=6666),"Grupo 2",AND(H1096&gt;6666,H1096&lt;=10000),"Grupo 3")</f>
        <v>Grupo 1</v>
      </c>
    </row>
    <row r="1097" spans="1:17" x14ac:dyDescent="0.25">
      <c r="A1097" t="s">
        <v>107</v>
      </c>
      <c r="B1097" s="2">
        <v>45499.757638888892</v>
      </c>
      <c r="C1097" t="s">
        <v>267</v>
      </c>
      <c r="D1097" t="s">
        <v>214</v>
      </c>
      <c r="E1097">
        <v>2</v>
      </c>
      <c r="F1097">
        <v>479.81</v>
      </c>
      <c r="G1097" t="s">
        <v>222</v>
      </c>
      <c r="H1097">
        <v>959.62</v>
      </c>
      <c r="I1097">
        <v>2024</v>
      </c>
      <c r="J1097">
        <v>7</v>
      </c>
      <c r="K1097">
        <v>18</v>
      </c>
      <c r="L1097" s="14">
        <v>479.81</v>
      </c>
      <c r="M1097" s="4" t="str">
        <f t="shared" si="68"/>
        <v>viernes</v>
      </c>
      <c r="N1097" s="4" t="str">
        <f t="shared" si="69"/>
        <v>julio</v>
      </c>
      <c r="O1097" s="4" t="str">
        <f t="shared" si="70"/>
        <v>NO</v>
      </c>
      <c r="P1097" s="4" t="str">
        <f t="shared" si="71"/>
        <v>NO</v>
      </c>
      <c r="Q1097" s="4" t="str" cm="1">
        <f t="array" ref="Q1097">_xlfn.IFS(AND(H1097&gt;=0,H1097&lt;=3333),"Grupo 1",AND(H1097&gt;3333,H1097&lt;=6666),"Grupo 2",AND(H1097&gt;6666,H1097&lt;=10000),"Grupo 3")</f>
        <v>Grupo 1</v>
      </c>
    </row>
    <row r="1098" spans="1:17" x14ac:dyDescent="0.25">
      <c r="A1098" t="s">
        <v>108</v>
      </c>
      <c r="B1098" s="2">
        <v>45541.331250000003</v>
      </c>
      <c r="C1098" t="s">
        <v>268</v>
      </c>
      <c r="D1098" t="s">
        <v>216</v>
      </c>
      <c r="E1098">
        <v>1</v>
      </c>
      <c r="F1098">
        <v>1888.86</v>
      </c>
      <c r="G1098" t="s">
        <v>221</v>
      </c>
      <c r="H1098">
        <v>1888.86</v>
      </c>
      <c r="I1098">
        <v>2024</v>
      </c>
      <c r="J1098">
        <v>9</v>
      </c>
      <c r="K1098">
        <v>7</v>
      </c>
      <c r="L1098" s="14">
        <v>1888.86</v>
      </c>
      <c r="M1098" s="4" t="str">
        <f t="shared" si="68"/>
        <v>viernes</v>
      </c>
      <c r="N1098" s="4" t="str">
        <f t="shared" si="69"/>
        <v>septiembre</v>
      </c>
      <c r="O1098" s="4" t="str">
        <f t="shared" si="70"/>
        <v>NO</v>
      </c>
      <c r="P1098" s="4" t="str">
        <f t="shared" si="71"/>
        <v>SI</v>
      </c>
      <c r="Q1098" s="4" t="str" cm="1">
        <f t="array" ref="Q1098">_xlfn.IFS(AND(H1098&gt;=0,H1098&lt;=3333),"Grupo 1",AND(H1098&gt;3333,H1098&lt;=6666),"Grupo 2",AND(H1098&gt;6666,H1098&lt;=10000),"Grupo 3")</f>
        <v>Grupo 1</v>
      </c>
    </row>
    <row r="1099" spans="1:17" x14ac:dyDescent="0.25">
      <c r="A1099" t="s">
        <v>109</v>
      </c>
      <c r="B1099" s="2">
        <v>45542.574305555558</v>
      </c>
      <c r="C1099" t="s">
        <v>269</v>
      </c>
      <c r="D1099" t="s">
        <v>217</v>
      </c>
      <c r="E1099">
        <v>4</v>
      </c>
      <c r="F1099">
        <v>1821.05</v>
      </c>
      <c r="G1099" t="s">
        <v>220</v>
      </c>
      <c r="H1099">
        <v>7284.2</v>
      </c>
      <c r="I1099">
        <v>2024</v>
      </c>
      <c r="J1099">
        <v>9</v>
      </c>
      <c r="K1099">
        <v>13</v>
      </c>
      <c r="L1099" s="14">
        <v>1821.05</v>
      </c>
      <c r="M1099" s="4" t="str">
        <f t="shared" si="68"/>
        <v>sábado</v>
      </c>
      <c r="N1099" s="4" t="str">
        <f t="shared" si="69"/>
        <v>septiembre</v>
      </c>
      <c r="O1099" s="4" t="str">
        <f t="shared" si="70"/>
        <v>SI</v>
      </c>
      <c r="P1099" s="4" t="str">
        <f t="shared" si="71"/>
        <v>SI</v>
      </c>
      <c r="Q1099" s="4" t="str" cm="1">
        <f t="array" ref="Q1099">_xlfn.IFS(AND(H1099&gt;=0,H1099&lt;=3333),"Grupo 1",AND(H1099&gt;3333,H1099&lt;=6666),"Grupo 2",AND(H1099&gt;6666,H1099&lt;=10000),"Grupo 3")</f>
        <v>Grupo 3</v>
      </c>
    </row>
    <row r="1100" spans="1:17" x14ac:dyDescent="0.25">
      <c r="A1100" t="s">
        <v>110</v>
      </c>
      <c r="B1100" s="2">
        <v>45846.336805555547</v>
      </c>
      <c r="C1100" t="s">
        <v>270</v>
      </c>
      <c r="D1100" t="s">
        <v>218</v>
      </c>
      <c r="E1100">
        <v>3</v>
      </c>
      <c r="F1100">
        <v>1537.23</v>
      </c>
      <c r="G1100" t="s">
        <v>221</v>
      </c>
      <c r="H1100">
        <v>4611.6900000000014</v>
      </c>
      <c r="I1100">
        <v>2025</v>
      </c>
      <c r="J1100">
        <v>7</v>
      </c>
      <c r="K1100">
        <v>8</v>
      </c>
      <c r="L1100" s="14">
        <v>1537.23</v>
      </c>
      <c r="M1100" s="4" t="str">
        <f t="shared" si="68"/>
        <v>martes</v>
      </c>
      <c r="N1100" s="4" t="str">
        <f t="shared" si="69"/>
        <v>julio</v>
      </c>
      <c r="O1100" s="4" t="str">
        <f t="shared" si="70"/>
        <v>SI</v>
      </c>
      <c r="P1100" s="4" t="str">
        <f t="shared" si="71"/>
        <v>SI</v>
      </c>
      <c r="Q1100" s="4" t="str" cm="1">
        <f t="array" ref="Q1100">_xlfn.IFS(AND(H1100&gt;=0,H1100&lt;=3333),"Grupo 1",AND(H1100&gt;3333,H1100&lt;=6666),"Grupo 2",AND(H1100&gt;6666,H1100&lt;=10000),"Grupo 3")</f>
        <v>Grupo 2</v>
      </c>
    </row>
    <row r="1101" spans="1:17" x14ac:dyDescent="0.25">
      <c r="A1101" t="s">
        <v>111</v>
      </c>
      <c r="B1101" s="2">
        <v>45318.705555555563</v>
      </c>
      <c r="C1101" t="s">
        <v>271</v>
      </c>
      <c r="D1101" t="s">
        <v>214</v>
      </c>
      <c r="E1101">
        <v>3</v>
      </c>
      <c r="F1101">
        <v>311.66000000000003</v>
      </c>
      <c r="G1101" t="s">
        <v>222</v>
      </c>
      <c r="H1101">
        <v>934.98</v>
      </c>
      <c r="I1101">
        <v>2024</v>
      </c>
      <c r="J1101">
        <v>1</v>
      </c>
      <c r="K1101">
        <v>16</v>
      </c>
      <c r="L1101" s="14">
        <v>311.66000000000003</v>
      </c>
      <c r="M1101" s="4" t="str">
        <f t="shared" si="68"/>
        <v>sábado</v>
      </c>
      <c r="N1101" s="4" t="str">
        <f t="shared" si="69"/>
        <v>enero</v>
      </c>
      <c r="O1101" s="4" t="str">
        <f t="shared" si="70"/>
        <v>NO</v>
      </c>
      <c r="P1101" s="4" t="str">
        <f t="shared" si="71"/>
        <v>NO</v>
      </c>
      <c r="Q1101" s="4" t="str" cm="1">
        <f t="array" ref="Q1101">_xlfn.IFS(AND(H1101&gt;=0,H1101&lt;=3333),"Grupo 1",AND(H1101&gt;3333,H1101&lt;=6666),"Grupo 2",AND(H1101&gt;6666,H1101&lt;=10000),"Grupo 3")</f>
        <v>Grupo 1</v>
      </c>
    </row>
    <row r="1102" spans="1:17" x14ac:dyDescent="0.25">
      <c r="A1102" t="s">
        <v>112</v>
      </c>
      <c r="B1102" s="2">
        <v>45595.668055555558</v>
      </c>
      <c r="C1102" t="s">
        <v>272</v>
      </c>
      <c r="D1102" t="s">
        <v>213</v>
      </c>
      <c r="E1102">
        <v>5</v>
      </c>
      <c r="F1102">
        <v>149.09</v>
      </c>
      <c r="G1102" t="s">
        <v>221</v>
      </c>
      <c r="H1102">
        <v>745.45</v>
      </c>
      <c r="I1102">
        <v>2024</v>
      </c>
      <c r="J1102">
        <v>10</v>
      </c>
      <c r="K1102">
        <v>16</v>
      </c>
      <c r="L1102" s="14">
        <v>149.09</v>
      </c>
      <c r="M1102" s="4" t="str">
        <f t="shared" si="68"/>
        <v>miércoles</v>
      </c>
      <c r="N1102" s="4" t="str">
        <f t="shared" si="69"/>
        <v>octubre</v>
      </c>
      <c r="O1102" s="4" t="str">
        <f t="shared" si="70"/>
        <v>NO</v>
      </c>
      <c r="P1102" s="4" t="str">
        <f t="shared" si="71"/>
        <v>NO</v>
      </c>
      <c r="Q1102" s="4" t="str" cm="1">
        <f t="array" ref="Q1102">_xlfn.IFS(AND(H1102&gt;=0,H1102&lt;=3333),"Grupo 1",AND(H1102&gt;3333,H1102&lt;=6666),"Grupo 2",AND(H1102&gt;6666,H1102&lt;=10000),"Grupo 3")</f>
        <v>Grupo 1</v>
      </c>
    </row>
    <row r="1103" spans="1:17" x14ac:dyDescent="0.25">
      <c r="A1103" t="s">
        <v>113</v>
      </c>
      <c r="B1103" s="2">
        <v>44984.418055555558</v>
      </c>
      <c r="C1103" t="s">
        <v>273</v>
      </c>
      <c r="D1103" t="s">
        <v>217</v>
      </c>
      <c r="E1103">
        <v>5</v>
      </c>
      <c r="F1103">
        <v>1885.48</v>
      </c>
      <c r="G1103" t="s">
        <v>220</v>
      </c>
      <c r="H1103">
        <v>9427.4</v>
      </c>
      <c r="I1103">
        <v>2023</v>
      </c>
      <c r="J1103">
        <v>2</v>
      </c>
      <c r="K1103">
        <v>10</v>
      </c>
      <c r="L1103" s="14">
        <v>1885.48</v>
      </c>
      <c r="M1103" s="4" t="str">
        <f t="shared" si="68"/>
        <v>lunes</v>
      </c>
      <c r="N1103" s="4" t="str">
        <f t="shared" si="69"/>
        <v>febrero</v>
      </c>
      <c r="O1103" s="4" t="str">
        <f t="shared" si="70"/>
        <v>SI</v>
      </c>
      <c r="P1103" s="4" t="str">
        <f t="shared" si="71"/>
        <v>SI</v>
      </c>
      <c r="Q1103" s="4" t="str" cm="1">
        <f t="array" ref="Q1103">_xlfn.IFS(AND(H1103&gt;=0,H1103&lt;=3333),"Grupo 1",AND(H1103&gt;3333,H1103&lt;=6666),"Grupo 2",AND(H1103&gt;6666,H1103&lt;=10000),"Grupo 3")</f>
        <v>Grupo 3</v>
      </c>
    </row>
    <row r="1104" spans="1:17" x14ac:dyDescent="0.25">
      <c r="A1104" t="s">
        <v>114</v>
      </c>
      <c r="B1104" s="2">
        <v>45153.455555555563</v>
      </c>
      <c r="C1104" t="s">
        <v>274</v>
      </c>
      <c r="D1104" t="s">
        <v>216</v>
      </c>
      <c r="E1104">
        <v>3</v>
      </c>
      <c r="F1104">
        <v>1591.92</v>
      </c>
      <c r="G1104" t="s">
        <v>221</v>
      </c>
      <c r="H1104">
        <v>4775.76</v>
      </c>
      <c r="I1104">
        <v>2023</v>
      </c>
      <c r="J1104">
        <v>8</v>
      </c>
      <c r="K1104">
        <v>10</v>
      </c>
      <c r="L1104" s="14">
        <v>1591.92</v>
      </c>
      <c r="M1104" s="4" t="str">
        <f t="shared" si="68"/>
        <v>martes</v>
      </c>
      <c r="N1104" s="4" t="str">
        <f t="shared" si="69"/>
        <v>agosto</v>
      </c>
      <c r="O1104" s="4" t="str">
        <f t="shared" si="70"/>
        <v>SI</v>
      </c>
      <c r="P1104" s="4" t="str">
        <f t="shared" si="71"/>
        <v>SI</v>
      </c>
      <c r="Q1104" s="4" t="str" cm="1">
        <f t="array" ref="Q1104">_xlfn.IFS(AND(H1104&gt;=0,H1104&lt;=3333),"Grupo 1",AND(H1104&gt;3333,H1104&lt;=6666),"Grupo 2",AND(H1104&gt;6666,H1104&lt;=10000),"Grupo 3")</f>
        <v>Grupo 2</v>
      </c>
    </row>
    <row r="1105" spans="1:17" x14ac:dyDescent="0.25">
      <c r="A1105" t="s">
        <v>115</v>
      </c>
      <c r="B1105" s="2">
        <v>45919.24722222222</v>
      </c>
      <c r="C1105" t="s">
        <v>275</v>
      </c>
      <c r="D1105" t="s">
        <v>216</v>
      </c>
      <c r="E1105">
        <v>5</v>
      </c>
      <c r="F1105">
        <v>1383.33</v>
      </c>
      <c r="G1105" t="s">
        <v>221</v>
      </c>
      <c r="H1105">
        <v>6916.65</v>
      </c>
      <c r="I1105">
        <v>2025</v>
      </c>
      <c r="J1105">
        <v>9</v>
      </c>
      <c r="K1105">
        <v>5</v>
      </c>
      <c r="L1105" s="14">
        <v>1383.33</v>
      </c>
      <c r="M1105" s="4" t="str">
        <f t="shared" si="68"/>
        <v>viernes</v>
      </c>
      <c r="N1105" s="4" t="str">
        <f t="shared" si="69"/>
        <v>septiembre</v>
      </c>
      <c r="O1105" s="4" t="str">
        <f t="shared" si="70"/>
        <v>SI</v>
      </c>
      <c r="P1105" s="4" t="str">
        <f t="shared" si="71"/>
        <v>SI</v>
      </c>
      <c r="Q1105" s="4" t="str" cm="1">
        <f t="array" ref="Q1105">_xlfn.IFS(AND(H1105&gt;=0,H1105&lt;=3333),"Grupo 1",AND(H1105&gt;3333,H1105&lt;=6666),"Grupo 2",AND(H1105&gt;6666,H1105&lt;=10000),"Grupo 3")</f>
        <v>Grupo 3</v>
      </c>
    </row>
    <row r="1106" spans="1:17" x14ac:dyDescent="0.25">
      <c r="A1106" t="s">
        <v>116</v>
      </c>
      <c r="B1106" s="2">
        <v>45815.543055555558</v>
      </c>
      <c r="C1106" t="s">
        <v>276</v>
      </c>
      <c r="D1106" t="s">
        <v>214</v>
      </c>
      <c r="E1106">
        <v>2</v>
      </c>
      <c r="F1106">
        <v>1051.23</v>
      </c>
      <c r="G1106" t="s">
        <v>222</v>
      </c>
      <c r="H1106">
        <v>2102.46</v>
      </c>
      <c r="I1106">
        <v>2025</v>
      </c>
      <c r="J1106">
        <v>6</v>
      </c>
      <c r="K1106">
        <v>13</v>
      </c>
      <c r="L1106" s="14">
        <v>1051.23</v>
      </c>
      <c r="M1106" s="4" t="str">
        <f t="shared" si="68"/>
        <v>sábado</v>
      </c>
      <c r="N1106" s="4" t="str">
        <f t="shared" si="69"/>
        <v>junio</v>
      </c>
      <c r="O1106" s="4" t="str">
        <f t="shared" si="70"/>
        <v>NO</v>
      </c>
      <c r="P1106" s="4" t="str">
        <f t="shared" si="71"/>
        <v>SI</v>
      </c>
      <c r="Q1106" s="4" t="str" cm="1">
        <f t="array" ref="Q1106">_xlfn.IFS(AND(H1106&gt;=0,H1106&lt;=3333),"Grupo 1",AND(H1106&gt;3333,H1106&lt;=6666),"Grupo 2",AND(H1106&gt;6666,H1106&lt;=10000),"Grupo 3")</f>
        <v>Grupo 1</v>
      </c>
    </row>
    <row r="1107" spans="1:17" x14ac:dyDescent="0.25">
      <c r="A1107" t="s">
        <v>117</v>
      </c>
      <c r="B1107" s="2">
        <v>45255.4</v>
      </c>
      <c r="C1107" t="s">
        <v>277</v>
      </c>
      <c r="D1107" t="s">
        <v>219</v>
      </c>
      <c r="E1107">
        <v>4</v>
      </c>
      <c r="F1107">
        <v>1274.46</v>
      </c>
      <c r="G1107" t="s">
        <v>221</v>
      </c>
      <c r="H1107">
        <v>5097.84</v>
      </c>
      <c r="I1107">
        <v>2023</v>
      </c>
      <c r="J1107">
        <v>11</v>
      </c>
      <c r="K1107">
        <v>9</v>
      </c>
      <c r="L1107" s="14">
        <v>1274.46</v>
      </c>
      <c r="M1107" s="4" t="str">
        <f t="shared" si="68"/>
        <v>sábado</v>
      </c>
      <c r="N1107" s="4" t="str">
        <f t="shared" si="69"/>
        <v>noviembre</v>
      </c>
      <c r="O1107" s="4" t="str">
        <f t="shared" si="70"/>
        <v>SI</v>
      </c>
      <c r="P1107" s="4" t="str">
        <f t="shared" si="71"/>
        <v>SI</v>
      </c>
      <c r="Q1107" s="4" t="str" cm="1">
        <f t="array" ref="Q1107">_xlfn.IFS(AND(H1107&gt;=0,H1107&lt;=3333),"Grupo 1",AND(H1107&gt;3333,H1107&lt;=6666),"Grupo 2",AND(H1107&gt;6666,H1107&lt;=10000),"Grupo 3")</f>
        <v>Grupo 2</v>
      </c>
    </row>
    <row r="1108" spans="1:17" x14ac:dyDescent="0.25">
      <c r="A1108" t="s">
        <v>118</v>
      </c>
      <c r="B1108" s="2">
        <v>45754.797222222223</v>
      </c>
      <c r="C1108" t="s">
        <v>278</v>
      </c>
      <c r="D1108" t="s">
        <v>212</v>
      </c>
      <c r="E1108">
        <v>1</v>
      </c>
      <c r="F1108">
        <v>1251.08</v>
      </c>
      <c r="G1108" t="s">
        <v>220</v>
      </c>
      <c r="H1108">
        <v>1251.08</v>
      </c>
      <c r="I1108">
        <v>2025</v>
      </c>
      <c r="J1108">
        <v>4</v>
      </c>
      <c r="K1108">
        <v>19</v>
      </c>
      <c r="L1108" s="14">
        <v>1251.08</v>
      </c>
      <c r="M1108" s="4" t="str">
        <f t="shared" si="68"/>
        <v>lunes</v>
      </c>
      <c r="N1108" s="4" t="str">
        <f t="shared" si="69"/>
        <v>abril</v>
      </c>
      <c r="O1108" s="4" t="str">
        <f t="shared" si="70"/>
        <v>NO</v>
      </c>
      <c r="P1108" s="4" t="str">
        <f t="shared" si="71"/>
        <v>SI</v>
      </c>
      <c r="Q1108" s="4" t="str" cm="1">
        <f t="array" ref="Q1108">_xlfn.IFS(AND(H1108&gt;=0,H1108&lt;=3333),"Grupo 1",AND(H1108&gt;3333,H1108&lt;=6666),"Grupo 2",AND(H1108&gt;6666,H1108&lt;=10000),"Grupo 3")</f>
        <v>Grupo 1</v>
      </c>
    </row>
    <row r="1109" spans="1:17" x14ac:dyDescent="0.25">
      <c r="A1109" t="s">
        <v>119</v>
      </c>
      <c r="B1109" s="2">
        <v>45764.185416666667</v>
      </c>
      <c r="C1109" t="s">
        <v>279</v>
      </c>
      <c r="D1109" t="s">
        <v>219</v>
      </c>
      <c r="E1109">
        <v>5</v>
      </c>
      <c r="F1109">
        <v>1582.2</v>
      </c>
      <c r="G1109" t="s">
        <v>221</v>
      </c>
      <c r="H1109">
        <v>7911</v>
      </c>
      <c r="I1109">
        <v>2025</v>
      </c>
      <c r="J1109">
        <v>4</v>
      </c>
      <c r="K1109">
        <v>4</v>
      </c>
      <c r="L1109" s="14">
        <v>1582.2</v>
      </c>
      <c r="M1109" s="4" t="str">
        <f t="shared" si="68"/>
        <v>jueves</v>
      </c>
      <c r="N1109" s="4" t="str">
        <f t="shared" si="69"/>
        <v>abril</v>
      </c>
      <c r="O1109" s="4" t="str">
        <f t="shared" si="70"/>
        <v>SI</v>
      </c>
      <c r="P1109" s="4" t="str">
        <f t="shared" si="71"/>
        <v>SI</v>
      </c>
      <c r="Q1109" s="4" t="str" cm="1">
        <f t="array" ref="Q1109">_xlfn.IFS(AND(H1109&gt;=0,H1109&lt;=3333),"Grupo 1",AND(H1109&gt;3333,H1109&lt;=6666),"Grupo 2",AND(H1109&gt;6666,H1109&lt;=10000),"Grupo 3")</f>
        <v>Grupo 3</v>
      </c>
    </row>
    <row r="1110" spans="1:17" x14ac:dyDescent="0.25">
      <c r="A1110" t="s">
        <v>120</v>
      </c>
      <c r="B1110" s="2">
        <v>45240.82916666667</v>
      </c>
      <c r="C1110" t="s">
        <v>280</v>
      </c>
      <c r="D1110" t="s">
        <v>214</v>
      </c>
      <c r="E1110">
        <v>1</v>
      </c>
      <c r="F1110">
        <v>81.92</v>
      </c>
      <c r="G1110" t="s">
        <v>222</v>
      </c>
      <c r="H1110">
        <v>81.92</v>
      </c>
      <c r="I1110">
        <v>2023</v>
      </c>
      <c r="J1110">
        <v>11</v>
      </c>
      <c r="K1110">
        <v>19</v>
      </c>
      <c r="L1110" s="14">
        <v>81.92</v>
      </c>
      <c r="M1110" s="4" t="str">
        <f t="shared" si="68"/>
        <v>viernes</v>
      </c>
      <c r="N1110" s="4" t="str">
        <f t="shared" si="69"/>
        <v>noviembre</v>
      </c>
      <c r="O1110" s="4" t="str">
        <f t="shared" si="70"/>
        <v>NO</v>
      </c>
      <c r="P1110" s="4" t="str">
        <f t="shared" si="71"/>
        <v>NO</v>
      </c>
      <c r="Q1110" s="4" t="str" cm="1">
        <f t="array" ref="Q1110">_xlfn.IFS(AND(H1110&gt;=0,H1110&lt;=3333),"Grupo 1",AND(H1110&gt;3333,H1110&lt;=6666),"Grupo 2",AND(H1110&gt;6666,H1110&lt;=10000),"Grupo 3")</f>
        <v>Grupo 1</v>
      </c>
    </row>
    <row r="1111" spans="1:17" x14ac:dyDescent="0.25">
      <c r="A1111" t="s">
        <v>121</v>
      </c>
      <c r="B1111" s="2">
        <v>45634.470138888893</v>
      </c>
      <c r="C1111" t="s">
        <v>281</v>
      </c>
      <c r="D1111" t="s">
        <v>218</v>
      </c>
      <c r="E1111">
        <v>1</v>
      </c>
      <c r="F1111">
        <v>1153.31</v>
      </c>
      <c r="G1111" t="s">
        <v>221</v>
      </c>
      <c r="H1111">
        <v>1153.31</v>
      </c>
      <c r="I1111">
        <v>2024</v>
      </c>
      <c r="J1111">
        <v>12</v>
      </c>
      <c r="K1111">
        <v>11</v>
      </c>
      <c r="L1111" s="14">
        <v>1153.31</v>
      </c>
      <c r="M1111" s="4" t="str">
        <f t="shared" si="68"/>
        <v>domingo</v>
      </c>
      <c r="N1111" s="4" t="str">
        <f t="shared" si="69"/>
        <v>diciembre</v>
      </c>
      <c r="O1111" s="4" t="str">
        <f t="shared" si="70"/>
        <v>NO</v>
      </c>
      <c r="P1111" s="4" t="str">
        <f t="shared" si="71"/>
        <v>SI</v>
      </c>
      <c r="Q1111" s="4" t="str" cm="1">
        <f t="array" ref="Q1111">_xlfn.IFS(AND(H1111&gt;=0,H1111&lt;=3333),"Grupo 1",AND(H1111&gt;3333,H1111&lt;=6666),"Grupo 2",AND(H1111&gt;6666,H1111&lt;=10000),"Grupo 3")</f>
        <v>Grupo 1</v>
      </c>
    </row>
    <row r="1112" spans="1:17" x14ac:dyDescent="0.25">
      <c r="A1112" t="s">
        <v>122</v>
      </c>
      <c r="B1112" s="2">
        <v>45913.939583333333</v>
      </c>
      <c r="C1112" t="s">
        <v>282</v>
      </c>
      <c r="D1112" t="s">
        <v>218</v>
      </c>
      <c r="E1112">
        <v>3</v>
      </c>
      <c r="F1112">
        <v>1078.08</v>
      </c>
      <c r="G1112" t="s">
        <v>221</v>
      </c>
      <c r="H1112">
        <v>3234.24</v>
      </c>
      <c r="I1112">
        <v>2025</v>
      </c>
      <c r="J1112">
        <v>9</v>
      </c>
      <c r="K1112">
        <v>22</v>
      </c>
      <c r="L1112" s="14">
        <v>1078.08</v>
      </c>
      <c r="M1112" s="4" t="str">
        <f t="shared" si="68"/>
        <v>sábado</v>
      </c>
      <c r="N1112" s="4" t="str">
        <f t="shared" si="69"/>
        <v>septiembre</v>
      </c>
      <c r="O1112" s="4" t="str">
        <f t="shared" si="70"/>
        <v>SI</v>
      </c>
      <c r="P1112" s="4" t="str">
        <f t="shared" si="71"/>
        <v>SI</v>
      </c>
      <c r="Q1112" s="4" t="str" cm="1">
        <f t="array" ref="Q1112">_xlfn.IFS(AND(H1112&gt;=0,H1112&lt;=3333),"Grupo 1",AND(H1112&gt;3333,H1112&lt;=6666),"Grupo 2",AND(H1112&gt;6666,H1112&lt;=10000),"Grupo 3")</f>
        <v>Grupo 1</v>
      </c>
    </row>
    <row r="1113" spans="1:17" x14ac:dyDescent="0.25">
      <c r="A1113" t="s">
        <v>123</v>
      </c>
      <c r="B1113" s="2">
        <v>45526.149305555547</v>
      </c>
      <c r="C1113" t="s">
        <v>283</v>
      </c>
      <c r="D1113" t="s">
        <v>215</v>
      </c>
      <c r="E1113">
        <v>1</v>
      </c>
      <c r="F1113">
        <v>201.91</v>
      </c>
      <c r="G1113" t="s">
        <v>220</v>
      </c>
      <c r="H1113">
        <v>201.91</v>
      </c>
      <c r="I1113">
        <v>2024</v>
      </c>
      <c r="J1113">
        <v>8</v>
      </c>
      <c r="K1113">
        <v>3</v>
      </c>
      <c r="L1113" s="14">
        <v>201.91</v>
      </c>
      <c r="M1113" s="4" t="str">
        <f t="shared" si="68"/>
        <v>jueves</v>
      </c>
      <c r="N1113" s="4" t="str">
        <f t="shared" si="69"/>
        <v>agosto</v>
      </c>
      <c r="O1113" s="4" t="str">
        <f t="shared" si="70"/>
        <v>NO</v>
      </c>
      <c r="P1113" s="4" t="str">
        <f t="shared" si="71"/>
        <v>NO</v>
      </c>
      <c r="Q1113" s="4" t="str" cm="1">
        <f t="array" ref="Q1113">_xlfn.IFS(AND(H1113&gt;=0,H1113&lt;=3333),"Grupo 1",AND(H1113&gt;3333,H1113&lt;=6666),"Grupo 2",AND(H1113&gt;6666,H1113&lt;=10000),"Grupo 3")</f>
        <v>Grupo 1</v>
      </c>
    </row>
    <row r="1114" spans="1:17" x14ac:dyDescent="0.25">
      <c r="A1114" t="s">
        <v>124</v>
      </c>
      <c r="B1114" s="2">
        <v>45487.067361111112</v>
      </c>
      <c r="C1114" t="s">
        <v>284</v>
      </c>
      <c r="D1114" t="s">
        <v>216</v>
      </c>
      <c r="E1114">
        <v>3</v>
      </c>
      <c r="F1114">
        <v>727.36</v>
      </c>
      <c r="G1114" t="s">
        <v>221</v>
      </c>
      <c r="H1114">
        <v>2182.08</v>
      </c>
      <c r="I1114">
        <v>2024</v>
      </c>
      <c r="J1114">
        <v>7</v>
      </c>
      <c r="K1114">
        <v>1</v>
      </c>
      <c r="L1114" s="14">
        <v>727.36</v>
      </c>
      <c r="M1114" s="4" t="str">
        <f t="shared" si="68"/>
        <v>domingo</v>
      </c>
      <c r="N1114" s="4" t="str">
        <f t="shared" si="69"/>
        <v>julio</v>
      </c>
      <c r="O1114" s="4" t="str">
        <f t="shared" si="70"/>
        <v>NO</v>
      </c>
      <c r="P1114" s="4" t="str">
        <f t="shared" si="71"/>
        <v>NO</v>
      </c>
      <c r="Q1114" s="4" t="str" cm="1">
        <f t="array" ref="Q1114">_xlfn.IFS(AND(H1114&gt;=0,H1114&lt;=3333),"Grupo 1",AND(H1114&gt;3333,H1114&lt;=6666),"Grupo 2",AND(H1114&gt;6666,H1114&lt;=10000),"Grupo 3")</f>
        <v>Grupo 1</v>
      </c>
    </row>
    <row r="1115" spans="1:17" x14ac:dyDescent="0.25">
      <c r="A1115" t="s">
        <v>125</v>
      </c>
      <c r="B1115" s="2">
        <v>45281.986805555563</v>
      </c>
      <c r="C1115" t="s">
        <v>285</v>
      </c>
      <c r="D1115" t="s">
        <v>219</v>
      </c>
      <c r="E1115">
        <v>3</v>
      </c>
      <c r="F1115">
        <v>1645.43</v>
      </c>
      <c r="G1115" t="s">
        <v>221</v>
      </c>
      <c r="H1115">
        <v>4936.29</v>
      </c>
      <c r="I1115">
        <v>2023</v>
      </c>
      <c r="J1115">
        <v>12</v>
      </c>
      <c r="K1115">
        <v>23</v>
      </c>
      <c r="L1115" s="14">
        <v>1645.43</v>
      </c>
      <c r="M1115" s="4" t="str">
        <f t="shared" si="68"/>
        <v>jueves</v>
      </c>
      <c r="N1115" s="4" t="str">
        <f t="shared" si="69"/>
        <v>diciembre</v>
      </c>
      <c r="O1115" s="4" t="str">
        <f t="shared" si="70"/>
        <v>SI</v>
      </c>
      <c r="P1115" s="4" t="str">
        <f t="shared" si="71"/>
        <v>SI</v>
      </c>
      <c r="Q1115" s="4" t="str" cm="1">
        <f t="array" ref="Q1115">_xlfn.IFS(AND(H1115&gt;=0,H1115&lt;=3333),"Grupo 1",AND(H1115&gt;3333,H1115&lt;=6666),"Grupo 2",AND(H1115&gt;6666,H1115&lt;=10000),"Grupo 3")</f>
        <v>Grupo 2</v>
      </c>
    </row>
    <row r="1116" spans="1:17" x14ac:dyDescent="0.25">
      <c r="A1116" t="s">
        <v>126</v>
      </c>
      <c r="B1116" s="2">
        <v>45468.378472222219</v>
      </c>
      <c r="C1116" t="s">
        <v>286</v>
      </c>
      <c r="D1116" t="s">
        <v>217</v>
      </c>
      <c r="E1116">
        <v>3</v>
      </c>
      <c r="F1116">
        <v>420.05</v>
      </c>
      <c r="G1116" t="s">
        <v>220</v>
      </c>
      <c r="H1116">
        <v>1260.1500000000001</v>
      </c>
      <c r="I1116">
        <v>2024</v>
      </c>
      <c r="J1116">
        <v>6</v>
      </c>
      <c r="K1116">
        <v>9</v>
      </c>
      <c r="L1116" s="14">
        <v>420.05</v>
      </c>
      <c r="M1116" s="4" t="str">
        <f t="shared" si="68"/>
        <v>martes</v>
      </c>
      <c r="N1116" s="4" t="str">
        <f t="shared" si="69"/>
        <v>junio</v>
      </c>
      <c r="O1116" s="4" t="str">
        <f t="shared" si="70"/>
        <v>NO</v>
      </c>
      <c r="P1116" s="4" t="str">
        <f t="shared" si="71"/>
        <v>NO</v>
      </c>
      <c r="Q1116" s="4" t="str" cm="1">
        <f t="array" ref="Q1116">_xlfn.IFS(AND(H1116&gt;=0,H1116&lt;=3333),"Grupo 1",AND(H1116&gt;3333,H1116&lt;=6666),"Grupo 2",AND(H1116&gt;6666,H1116&lt;=10000),"Grupo 3")</f>
        <v>Grupo 1</v>
      </c>
    </row>
    <row r="1117" spans="1:17" x14ac:dyDescent="0.25">
      <c r="A1117" t="s">
        <v>127</v>
      </c>
      <c r="B1117" s="2">
        <v>45529.436805555553</v>
      </c>
      <c r="C1117" t="s">
        <v>287</v>
      </c>
      <c r="D1117" t="s">
        <v>214</v>
      </c>
      <c r="E1117">
        <v>4</v>
      </c>
      <c r="F1117">
        <v>496.9</v>
      </c>
      <c r="G1117" t="s">
        <v>222</v>
      </c>
      <c r="H1117">
        <v>1987.6</v>
      </c>
      <c r="I1117">
        <v>2024</v>
      </c>
      <c r="J1117">
        <v>8</v>
      </c>
      <c r="K1117">
        <v>10</v>
      </c>
      <c r="L1117" s="14">
        <v>496.9</v>
      </c>
      <c r="M1117" s="4" t="str">
        <f t="shared" si="68"/>
        <v>domingo</v>
      </c>
      <c r="N1117" s="4" t="str">
        <f t="shared" si="69"/>
        <v>agosto</v>
      </c>
      <c r="O1117" s="4" t="str">
        <f t="shared" si="70"/>
        <v>NO</v>
      </c>
      <c r="P1117" s="4" t="str">
        <f t="shared" si="71"/>
        <v>NO</v>
      </c>
      <c r="Q1117" s="4" t="str" cm="1">
        <f t="array" ref="Q1117">_xlfn.IFS(AND(H1117&gt;=0,H1117&lt;=3333),"Grupo 1",AND(H1117&gt;3333,H1117&lt;=6666),"Grupo 2",AND(H1117&gt;6666,H1117&lt;=10000),"Grupo 3")</f>
        <v>Grupo 1</v>
      </c>
    </row>
    <row r="1118" spans="1:17" x14ac:dyDescent="0.25">
      <c r="A1118" t="s">
        <v>128</v>
      </c>
      <c r="B1118" s="2">
        <v>44961.01666666667</v>
      </c>
      <c r="C1118" t="s">
        <v>288</v>
      </c>
      <c r="D1118" t="s">
        <v>213</v>
      </c>
      <c r="E1118">
        <v>2</v>
      </c>
      <c r="F1118">
        <v>721.56</v>
      </c>
      <c r="G1118" t="s">
        <v>221</v>
      </c>
      <c r="H1118">
        <v>1443.12</v>
      </c>
      <c r="I1118">
        <v>2023</v>
      </c>
      <c r="J1118">
        <v>2</v>
      </c>
      <c r="K1118">
        <v>0</v>
      </c>
      <c r="L1118" s="14">
        <v>721.56</v>
      </c>
      <c r="M1118" s="4" t="str">
        <f t="shared" si="68"/>
        <v>sábado</v>
      </c>
      <c r="N1118" s="4" t="str">
        <f t="shared" si="69"/>
        <v>febrero</v>
      </c>
      <c r="O1118" s="4" t="str">
        <f t="shared" si="70"/>
        <v>NO</v>
      </c>
      <c r="P1118" s="4" t="str">
        <f t="shared" si="71"/>
        <v>NO</v>
      </c>
      <c r="Q1118" s="4" t="str" cm="1">
        <f t="array" ref="Q1118">_xlfn.IFS(AND(H1118&gt;=0,H1118&lt;=3333),"Grupo 1",AND(H1118&gt;3333,H1118&lt;=6666),"Grupo 2",AND(H1118&gt;6666,H1118&lt;=10000),"Grupo 3")</f>
        <v>Grupo 1</v>
      </c>
    </row>
    <row r="1119" spans="1:17" x14ac:dyDescent="0.25">
      <c r="A1119" t="s">
        <v>129</v>
      </c>
      <c r="B1119" s="2">
        <v>45041.746527777781</v>
      </c>
      <c r="C1119" t="s">
        <v>289</v>
      </c>
      <c r="D1119" t="s">
        <v>219</v>
      </c>
      <c r="E1119">
        <v>4</v>
      </c>
      <c r="F1119">
        <v>1353.9</v>
      </c>
      <c r="G1119" t="s">
        <v>221</v>
      </c>
      <c r="H1119">
        <v>5415.6</v>
      </c>
      <c r="I1119">
        <v>2023</v>
      </c>
      <c r="J1119">
        <v>4</v>
      </c>
      <c r="K1119">
        <v>17</v>
      </c>
      <c r="L1119" s="14">
        <v>1353.9</v>
      </c>
      <c r="M1119" s="4" t="str">
        <f t="shared" si="68"/>
        <v>martes</v>
      </c>
      <c r="N1119" s="4" t="str">
        <f t="shared" si="69"/>
        <v>abril</v>
      </c>
      <c r="O1119" s="4" t="str">
        <f t="shared" si="70"/>
        <v>SI</v>
      </c>
      <c r="P1119" s="4" t="str">
        <f t="shared" si="71"/>
        <v>SI</v>
      </c>
      <c r="Q1119" s="4" t="str" cm="1">
        <f t="array" ref="Q1119">_xlfn.IFS(AND(H1119&gt;=0,H1119&lt;=3333),"Grupo 1",AND(H1119&gt;3333,H1119&lt;=6666),"Grupo 2",AND(H1119&gt;6666,H1119&lt;=10000),"Grupo 3")</f>
        <v>Grupo 2</v>
      </c>
    </row>
    <row r="1120" spans="1:17" x14ac:dyDescent="0.25">
      <c r="A1120" t="s">
        <v>130</v>
      </c>
      <c r="B1120" s="2">
        <v>45400.756249999999</v>
      </c>
      <c r="C1120" t="s">
        <v>290</v>
      </c>
      <c r="D1120" t="s">
        <v>215</v>
      </c>
      <c r="E1120">
        <v>2</v>
      </c>
      <c r="F1120">
        <v>429.52</v>
      </c>
      <c r="G1120" t="s">
        <v>220</v>
      </c>
      <c r="H1120">
        <v>859.04</v>
      </c>
      <c r="I1120">
        <v>2024</v>
      </c>
      <c r="J1120">
        <v>4</v>
      </c>
      <c r="K1120">
        <v>18</v>
      </c>
      <c r="L1120" s="14">
        <v>429.52</v>
      </c>
      <c r="M1120" s="4" t="str">
        <f t="shared" si="68"/>
        <v>jueves</v>
      </c>
      <c r="N1120" s="4" t="str">
        <f t="shared" si="69"/>
        <v>abril</v>
      </c>
      <c r="O1120" s="4" t="str">
        <f t="shared" si="70"/>
        <v>NO</v>
      </c>
      <c r="P1120" s="4" t="str">
        <f t="shared" si="71"/>
        <v>NO</v>
      </c>
      <c r="Q1120" s="4" t="str" cm="1">
        <f t="array" ref="Q1120">_xlfn.IFS(AND(H1120&gt;=0,H1120&lt;=3333),"Grupo 1",AND(H1120&gt;3333,H1120&lt;=6666),"Grupo 2",AND(H1120&gt;6666,H1120&lt;=10000),"Grupo 3")</f>
        <v>Grupo 1</v>
      </c>
    </row>
    <row r="1121" spans="1:17" x14ac:dyDescent="0.25">
      <c r="A1121" t="s">
        <v>131</v>
      </c>
      <c r="B1121" s="2">
        <v>45465.772916666669</v>
      </c>
      <c r="C1121" t="s">
        <v>291</v>
      </c>
      <c r="D1121" t="s">
        <v>214</v>
      </c>
      <c r="E1121">
        <v>2</v>
      </c>
      <c r="F1121">
        <v>1824.96</v>
      </c>
      <c r="G1121" t="s">
        <v>222</v>
      </c>
      <c r="H1121">
        <v>3649.92</v>
      </c>
      <c r="I1121">
        <v>2024</v>
      </c>
      <c r="J1121">
        <v>6</v>
      </c>
      <c r="K1121">
        <v>18</v>
      </c>
      <c r="L1121" s="14">
        <v>1824.96</v>
      </c>
      <c r="M1121" s="4" t="str">
        <f t="shared" si="68"/>
        <v>sábado</v>
      </c>
      <c r="N1121" s="4" t="str">
        <f t="shared" si="69"/>
        <v>junio</v>
      </c>
      <c r="O1121" s="4" t="str">
        <f t="shared" si="70"/>
        <v>SI</v>
      </c>
      <c r="P1121" s="4" t="str">
        <f t="shared" si="71"/>
        <v>SI</v>
      </c>
      <c r="Q1121" s="4" t="str" cm="1">
        <f t="array" ref="Q1121">_xlfn.IFS(AND(H1121&gt;=0,H1121&lt;=3333),"Grupo 1",AND(H1121&gt;3333,H1121&lt;=6666),"Grupo 2",AND(H1121&gt;6666,H1121&lt;=10000),"Grupo 3")</f>
        <v>Grupo 2</v>
      </c>
    </row>
    <row r="1122" spans="1:17" x14ac:dyDescent="0.25">
      <c r="A1122" t="s">
        <v>132</v>
      </c>
      <c r="B1122" s="2">
        <v>45316.202777777777</v>
      </c>
      <c r="C1122" t="s">
        <v>292</v>
      </c>
      <c r="D1122" t="s">
        <v>218</v>
      </c>
      <c r="E1122">
        <v>5</v>
      </c>
      <c r="F1122">
        <v>1059.81</v>
      </c>
      <c r="G1122" t="s">
        <v>221</v>
      </c>
      <c r="H1122">
        <v>5299.0499999999993</v>
      </c>
      <c r="I1122">
        <v>2024</v>
      </c>
      <c r="J1122">
        <v>1</v>
      </c>
      <c r="K1122">
        <v>4</v>
      </c>
      <c r="L1122" s="14">
        <v>1059.81</v>
      </c>
      <c r="M1122" s="4" t="str">
        <f t="shared" si="68"/>
        <v>jueves</v>
      </c>
      <c r="N1122" s="4" t="str">
        <f t="shared" si="69"/>
        <v>enero</v>
      </c>
      <c r="O1122" s="4" t="str">
        <f t="shared" si="70"/>
        <v>SI</v>
      </c>
      <c r="P1122" s="4" t="str">
        <f t="shared" si="71"/>
        <v>SI</v>
      </c>
      <c r="Q1122" s="4" t="str" cm="1">
        <f t="array" ref="Q1122">_xlfn.IFS(AND(H1122&gt;=0,H1122&lt;=3333),"Grupo 1",AND(H1122&gt;3333,H1122&lt;=6666),"Grupo 2",AND(H1122&gt;6666,H1122&lt;=10000),"Grupo 3")</f>
        <v>Grupo 2</v>
      </c>
    </row>
    <row r="1123" spans="1:17" x14ac:dyDescent="0.25">
      <c r="A1123" t="s">
        <v>133</v>
      </c>
      <c r="B1123" s="2">
        <v>45118.634722222218</v>
      </c>
      <c r="C1123" t="s">
        <v>293</v>
      </c>
      <c r="D1123" t="s">
        <v>214</v>
      </c>
      <c r="E1123">
        <v>4</v>
      </c>
      <c r="F1123">
        <v>46.39</v>
      </c>
      <c r="G1123" t="s">
        <v>222</v>
      </c>
      <c r="H1123">
        <v>185.56</v>
      </c>
      <c r="I1123">
        <v>2023</v>
      </c>
      <c r="J1123">
        <v>7</v>
      </c>
      <c r="K1123">
        <v>15</v>
      </c>
      <c r="L1123" s="14">
        <v>46.39</v>
      </c>
      <c r="M1123" s="4" t="str">
        <f t="shared" si="68"/>
        <v>martes</v>
      </c>
      <c r="N1123" s="4" t="str">
        <f t="shared" si="69"/>
        <v>julio</v>
      </c>
      <c r="O1123" s="4" t="str">
        <f t="shared" si="70"/>
        <v>NO</v>
      </c>
      <c r="P1123" s="4" t="str">
        <f t="shared" si="71"/>
        <v>NO</v>
      </c>
      <c r="Q1123" s="4" t="str" cm="1">
        <f t="array" ref="Q1123">_xlfn.IFS(AND(H1123&gt;=0,H1123&lt;=3333),"Grupo 1",AND(H1123&gt;3333,H1123&lt;=6666),"Grupo 2",AND(H1123&gt;6666,H1123&lt;=10000),"Grupo 3")</f>
        <v>Grupo 1</v>
      </c>
    </row>
    <row r="1124" spans="1:17" x14ac:dyDescent="0.25">
      <c r="A1124" t="s">
        <v>134</v>
      </c>
      <c r="B1124" s="2">
        <v>45232.75</v>
      </c>
      <c r="C1124" t="s">
        <v>294</v>
      </c>
      <c r="D1124" t="s">
        <v>217</v>
      </c>
      <c r="E1124">
        <v>1</v>
      </c>
      <c r="F1124">
        <v>754.07</v>
      </c>
      <c r="G1124" t="s">
        <v>220</v>
      </c>
      <c r="H1124">
        <v>754.07</v>
      </c>
      <c r="I1124">
        <v>2023</v>
      </c>
      <c r="J1124">
        <v>11</v>
      </c>
      <c r="K1124">
        <v>18</v>
      </c>
      <c r="L1124" s="14">
        <v>754.07</v>
      </c>
      <c r="M1124" s="4" t="str">
        <f t="shared" si="68"/>
        <v>jueves</v>
      </c>
      <c r="N1124" s="4" t="str">
        <f t="shared" si="69"/>
        <v>noviembre</v>
      </c>
      <c r="O1124" s="4" t="str">
        <f t="shared" si="70"/>
        <v>NO</v>
      </c>
      <c r="P1124" s="4" t="str">
        <f t="shared" si="71"/>
        <v>NO</v>
      </c>
      <c r="Q1124" s="4" t="str" cm="1">
        <f t="array" ref="Q1124">_xlfn.IFS(AND(H1124&gt;=0,H1124&lt;=3333),"Grupo 1",AND(H1124&gt;3333,H1124&lt;=6666),"Grupo 2",AND(H1124&gt;6666,H1124&lt;=10000),"Grupo 3")</f>
        <v>Grupo 1</v>
      </c>
    </row>
    <row r="1125" spans="1:17" x14ac:dyDescent="0.25">
      <c r="A1125" t="s">
        <v>135</v>
      </c>
      <c r="B1125" s="2">
        <v>45745.421527777777</v>
      </c>
      <c r="C1125" t="s">
        <v>295</v>
      </c>
      <c r="D1125" t="s">
        <v>219</v>
      </c>
      <c r="E1125">
        <v>1</v>
      </c>
      <c r="F1125">
        <v>1681.02</v>
      </c>
      <c r="G1125" t="s">
        <v>221</v>
      </c>
      <c r="H1125">
        <v>1681.02</v>
      </c>
      <c r="I1125">
        <v>2025</v>
      </c>
      <c r="J1125">
        <v>3</v>
      </c>
      <c r="K1125">
        <v>10</v>
      </c>
      <c r="L1125" s="14">
        <v>1681.02</v>
      </c>
      <c r="M1125" s="4" t="str">
        <f t="shared" si="68"/>
        <v>sábado</v>
      </c>
      <c r="N1125" s="4" t="str">
        <f t="shared" si="69"/>
        <v>marzo</v>
      </c>
      <c r="O1125" s="4" t="str">
        <f t="shared" si="70"/>
        <v>NO</v>
      </c>
      <c r="P1125" s="4" t="str">
        <f t="shared" si="71"/>
        <v>SI</v>
      </c>
      <c r="Q1125" s="4" t="str" cm="1">
        <f t="array" ref="Q1125">_xlfn.IFS(AND(H1125&gt;=0,H1125&lt;=3333),"Grupo 1",AND(H1125&gt;3333,H1125&lt;=6666),"Grupo 2",AND(H1125&gt;6666,H1125&lt;=10000),"Grupo 3")</f>
        <v>Grupo 1</v>
      </c>
    </row>
    <row r="1126" spans="1:17" x14ac:dyDescent="0.25">
      <c r="A1126" t="s">
        <v>136</v>
      </c>
      <c r="B1126" s="2">
        <v>45802.370833333327</v>
      </c>
      <c r="C1126" t="s">
        <v>296</v>
      </c>
      <c r="D1126" t="s">
        <v>212</v>
      </c>
      <c r="E1126">
        <v>2</v>
      </c>
      <c r="F1126">
        <v>1198.72</v>
      </c>
      <c r="G1126" t="s">
        <v>220</v>
      </c>
      <c r="H1126">
        <v>2397.44</v>
      </c>
      <c r="I1126">
        <v>2025</v>
      </c>
      <c r="J1126">
        <v>5</v>
      </c>
      <c r="K1126">
        <v>8</v>
      </c>
      <c r="L1126" s="14">
        <v>1198.72</v>
      </c>
      <c r="M1126" s="4" t="str">
        <f t="shared" si="68"/>
        <v>domingo</v>
      </c>
      <c r="N1126" s="4" t="str">
        <f t="shared" si="69"/>
        <v>mayo</v>
      </c>
      <c r="O1126" s="4" t="str">
        <f t="shared" si="70"/>
        <v>NO</v>
      </c>
      <c r="P1126" s="4" t="str">
        <f t="shared" si="71"/>
        <v>SI</v>
      </c>
      <c r="Q1126" s="4" t="str" cm="1">
        <f t="array" ref="Q1126">_xlfn.IFS(AND(H1126&gt;=0,H1126&lt;=3333),"Grupo 1",AND(H1126&gt;3333,H1126&lt;=6666),"Grupo 2",AND(H1126&gt;6666,H1126&lt;=10000),"Grupo 3")</f>
        <v>Grupo 1</v>
      </c>
    </row>
    <row r="1127" spans="1:17" x14ac:dyDescent="0.25">
      <c r="A1127" t="s">
        <v>137</v>
      </c>
      <c r="B1127" s="2">
        <v>45249.604861111111</v>
      </c>
      <c r="C1127" t="s">
        <v>297</v>
      </c>
      <c r="D1127" t="s">
        <v>219</v>
      </c>
      <c r="E1127">
        <v>2</v>
      </c>
      <c r="F1127">
        <v>1040.2</v>
      </c>
      <c r="G1127" t="s">
        <v>221</v>
      </c>
      <c r="H1127">
        <v>2080.4</v>
      </c>
      <c r="I1127">
        <v>2023</v>
      </c>
      <c r="J1127">
        <v>11</v>
      </c>
      <c r="K1127">
        <v>14</v>
      </c>
      <c r="L1127" s="14">
        <v>1040.2</v>
      </c>
      <c r="M1127" s="4" t="str">
        <f t="shared" si="68"/>
        <v>domingo</v>
      </c>
      <c r="N1127" s="4" t="str">
        <f t="shared" si="69"/>
        <v>noviembre</v>
      </c>
      <c r="O1127" s="4" t="str">
        <f t="shared" si="70"/>
        <v>NO</v>
      </c>
      <c r="P1127" s="4" t="str">
        <f t="shared" si="71"/>
        <v>SI</v>
      </c>
      <c r="Q1127" s="4" t="str" cm="1">
        <f t="array" ref="Q1127">_xlfn.IFS(AND(H1127&gt;=0,H1127&lt;=3333),"Grupo 1",AND(H1127&gt;3333,H1127&lt;=6666),"Grupo 2",AND(H1127&gt;6666,H1127&lt;=10000),"Grupo 3")</f>
        <v>Grupo 1</v>
      </c>
    </row>
    <row r="1128" spans="1:17" x14ac:dyDescent="0.25">
      <c r="A1128" t="s">
        <v>138</v>
      </c>
      <c r="B1128" s="2">
        <v>45854.013194444437</v>
      </c>
      <c r="C1128" t="s">
        <v>298</v>
      </c>
      <c r="D1128" t="s">
        <v>213</v>
      </c>
      <c r="E1128">
        <v>3</v>
      </c>
      <c r="F1128">
        <v>107.53</v>
      </c>
      <c r="G1128" t="s">
        <v>221</v>
      </c>
      <c r="H1128">
        <v>322.58999999999997</v>
      </c>
      <c r="I1128">
        <v>2025</v>
      </c>
      <c r="J1128">
        <v>7</v>
      </c>
      <c r="K1128">
        <v>0</v>
      </c>
      <c r="L1128" s="14">
        <v>107.53</v>
      </c>
      <c r="M1128" s="4" t="str">
        <f t="shared" si="68"/>
        <v>miércoles</v>
      </c>
      <c r="N1128" s="4" t="str">
        <f t="shared" si="69"/>
        <v>julio</v>
      </c>
      <c r="O1128" s="4" t="str">
        <f t="shared" si="70"/>
        <v>NO</v>
      </c>
      <c r="P1128" s="4" t="str">
        <f t="shared" si="71"/>
        <v>NO</v>
      </c>
      <c r="Q1128" s="4" t="str" cm="1">
        <f t="array" ref="Q1128">_xlfn.IFS(AND(H1128&gt;=0,H1128&lt;=3333),"Grupo 1",AND(H1128&gt;3333,H1128&lt;=6666),"Grupo 2",AND(H1128&gt;6666,H1128&lt;=10000),"Grupo 3")</f>
        <v>Grupo 1</v>
      </c>
    </row>
    <row r="1129" spans="1:17" x14ac:dyDescent="0.25">
      <c r="A1129" t="s">
        <v>139</v>
      </c>
      <c r="B1129" s="2">
        <v>45828.018055555563</v>
      </c>
      <c r="C1129" t="s">
        <v>299</v>
      </c>
      <c r="D1129" t="s">
        <v>215</v>
      </c>
      <c r="E1129">
        <v>4</v>
      </c>
      <c r="F1129">
        <v>380.66</v>
      </c>
      <c r="G1129" t="s">
        <v>220</v>
      </c>
      <c r="H1129">
        <v>1522.64</v>
      </c>
      <c r="I1129">
        <v>2025</v>
      </c>
      <c r="J1129">
        <v>6</v>
      </c>
      <c r="K1129">
        <v>0</v>
      </c>
      <c r="L1129" s="14">
        <v>380.66</v>
      </c>
      <c r="M1129" s="4" t="str">
        <f t="shared" si="68"/>
        <v>viernes</v>
      </c>
      <c r="N1129" s="4" t="str">
        <f t="shared" si="69"/>
        <v>junio</v>
      </c>
      <c r="O1129" s="4" t="str">
        <f t="shared" si="70"/>
        <v>NO</v>
      </c>
      <c r="P1129" s="4" t="str">
        <f t="shared" si="71"/>
        <v>NO</v>
      </c>
      <c r="Q1129" s="4" t="str" cm="1">
        <f t="array" ref="Q1129">_xlfn.IFS(AND(H1129&gt;=0,H1129&lt;=3333),"Grupo 1",AND(H1129&gt;3333,H1129&lt;=6666),"Grupo 2",AND(H1129&gt;6666,H1129&lt;=10000),"Grupo 3")</f>
        <v>Grupo 1</v>
      </c>
    </row>
    <row r="1130" spans="1:17" x14ac:dyDescent="0.25">
      <c r="A1130" t="s">
        <v>140</v>
      </c>
      <c r="B1130" s="2">
        <v>45673.40902777778</v>
      </c>
      <c r="C1130" t="s">
        <v>300</v>
      </c>
      <c r="D1130" t="s">
        <v>212</v>
      </c>
      <c r="E1130">
        <v>2</v>
      </c>
      <c r="F1130">
        <v>700.11</v>
      </c>
      <c r="G1130" t="s">
        <v>220</v>
      </c>
      <c r="H1130">
        <v>1400.22</v>
      </c>
      <c r="I1130">
        <v>2025</v>
      </c>
      <c r="J1130">
        <v>1</v>
      </c>
      <c r="K1130">
        <v>9</v>
      </c>
      <c r="L1130" s="14">
        <v>700.11</v>
      </c>
      <c r="M1130" s="4" t="str">
        <f t="shared" si="68"/>
        <v>jueves</v>
      </c>
      <c r="N1130" s="4" t="str">
        <f t="shared" si="69"/>
        <v>enero</v>
      </c>
      <c r="O1130" s="4" t="str">
        <f t="shared" si="70"/>
        <v>NO</v>
      </c>
      <c r="P1130" s="4" t="str">
        <f t="shared" si="71"/>
        <v>NO</v>
      </c>
      <c r="Q1130" s="4" t="str" cm="1">
        <f t="array" ref="Q1130">_xlfn.IFS(AND(H1130&gt;=0,H1130&lt;=3333),"Grupo 1",AND(H1130&gt;3333,H1130&lt;=6666),"Grupo 2",AND(H1130&gt;6666,H1130&lt;=10000),"Grupo 3")</f>
        <v>Grupo 1</v>
      </c>
    </row>
    <row r="1131" spans="1:17" x14ac:dyDescent="0.25">
      <c r="A1131" t="s">
        <v>141</v>
      </c>
      <c r="B1131" s="2">
        <v>44932.951388888891</v>
      </c>
      <c r="C1131" t="s">
        <v>301</v>
      </c>
      <c r="D1131" t="s">
        <v>215</v>
      </c>
      <c r="E1131">
        <v>5</v>
      </c>
      <c r="F1131">
        <v>358.48</v>
      </c>
      <c r="G1131" t="s">
        <v>220</v>
      </c>
      <c r="H1131">
        <v>1792.4</v>
      </c>
      <c r="I1131">
        <v>2023</v>
      </c>
      <c r="J1131">
        <v>1</v>
      </c>
      <c r="K1131">
        <v>22</v>
      </c>
      <c r="L1131" s="14">
        <v>358.48</v>
      </c>
      <c r="M1131" s="4" t="str">
        <f t="shared" si="68"/>
        <v>viernes</v>
      </c>
      <c r="N1131" s="4" t="str">
        <f t="shared" si="69"/>
        <v>enero</v>
      </c>
      <c r="O1131" s="4" t="str">
        <f t="shared" si="70"/>
        <v>NO</v>
      </c>
      <c r="P1131" s="4" t="str">
        <f t="shared" si="71"/>
        <v>NO</v>
      </c>
      <c r="Q1131" s="4" t="str" cm="1">
        <f t="array" ref="Q1131">_xlfn.IFS(AND(H1131&gt;=0,H1131&lt;=3333),"Grupo 1",AND(H1131&gt;3333,H1131&lt;=6666),"Grupo 2",AND(H1131&gt;6666,H1131&lt;=10000),"Grupo 3")</f>
        <v>Grupo 1</v>
      </c>
    </row>
    <row r="1132" spans="1:17" x14ac:dyDescent="0.25">
      <c r="A1132" t="s">
        <v>142</v>
      </c>
      <c r="B1132" s="2">
        <v>45381.871527777781</v>
      </c>
      <c r="C1132" t="s">
        <v>302</v>
      </c>
      <c r="D1132" t="s">
        <v>214</v>
      </c>
      <c r="E1132">
        <v>4</v>
      </c>
      <c r="F1132">
        <v>746.6</v>
      </c>
      <c r="G1132" t="s">
        <v>222</v>
      </c>
      <c r="H1132">
        <v>2986.4</v>
      </c>
      <c r="I1132">
        <v>2024</v>
      </c>
      <c r="J1132">
        <v>3</v>
      </c>
      <c r="K1132">
        <v>20</v>
      </c>
      <c r="L1132" s="14">
        <v>746.6</v>
      </c>
      <c r="M1132" s="4" t="str">
        <f t="shared" si="68"/>
        <v>sábado</v>
      </c>
      <c r="N1132" s="4" t="str">
        <f t="shared" si="69"/>
        <v>marzo</v>
      </c>
      <c r="O1132" s="4" t="str">
        <f t="shared" si="70"/>
        <v>SI</v>
      </c>
      <c r="P1132" s="4" t="str">
        <f t="shared" si="71"/>
        <v>NO</v>
      </c>
      <c r="Q1132" s="4" t="str" cm="1">
        <f t="array" ref="Q1132">_xlfn.IFS(AND(H1132&gt;=0,H1132&lt;=3333),"Grupo 1",AND(H1132&gt;3333,H1132&lt;=6666),"Grupo 2",AND(H1132&gt;6666,H1132&lt;=10000),"Grupo 3")</f>
        <v>Grupo 1</v>
      </c>
    </row>
    <row r="1133" spans="1:17" x14ac:dyDescent="0.25">
      <c r="A1133" t="s">
        <v>143</v>
      </c>
      <c r="B1133" s="2">
        <v>45450.97152777778</v>
      </c>
      <c r="C1133" t="s">
        <v>303</v>
      </c>
      <c r="D1133" t="s">
        <v>217</v>
      </c>
      <c r="E1133">
        <v>1</v>
      </c>
      <c r="F1133">
        <v>751.43</v>
      </c>
      <c r="G1133" t="s">
        <v>220</v>
      </c>
      <c r="H1133">
        <v>751.43</v>
      </c>
      <c r="I1133">
        <v>2024</v>
      </c>
      <c r="J1133">
        <v>6</v>
      </c>
      <c r="K1133">
        <v>23</v>
      </c>
      <c r="L1133" s="14">
        <v>751.43</v>
      </c>
      <c r="M1133" s="4" t="str">
        <f t="shared" si="68"/>
        <v>viernes</v>
      </c>
      <c r="N1133" s="4" t="str">
        <f t="shared" si="69"/>
        <v>junio</v>
      </c>
      <c r="O1133" s="4" t="str">
        <f t="shared" si="70"/>
        <v>NO</v>
      </c>
      <c r="P1133" s="4" t="str">
        <f t="shared" si="71"/>
        <v>NO</v>
      </c>
      <c r="Q1133" s="4" t="str" cm="1">
        <f t="array" ref="Q1133">_xlfn.IFS(AND(H1133&gt;=0,H1133&lt;=3333),"Grupo 1",AND(H1133&gt;3333,H1133&lt;=6666),"Grupo 2",AND(H1133&gt;6666,H1133&lt;=10000),"Grupo 3")</f>
        <v>Grupo 1</v>
      </c>
    </row>
    <row r="1134" spans="1:17" x14ac:dyDescent="0.25">
      <c r="A1134" t="s">
        <v>144</v>
      </c>
      <c r="B1134" s="2">
        <v>45122.813888888893</v>
      </c>
      <c r="C1134" t="s">
        <v>304</v>
      </c>
      <c r="D1134" t="s">
        <v>218</v>
      </c>
      <c r="E1134">
        <v>5</v>
      </c>
      <c r="F1134">
        <v>1109.08</v>
      </c>
      <c r="G1134" t="s">
        <v>221</v>
      </c>
      <c r="H1134">
        <v>5545.4</v>
      </c>
      <c r="I1134">
        <v>2023</v>
      </c>
      <c r="J1134">
        <v>7</v>
      </c>
      <c r="K1134">
        <v>19</v>
      </c>
      <c r="L1134" s="14">
        <v>1109.08</v>
      </c>
      <c r="M1134" s="4" t="str">
        <f t="shared" si="68"/>
        <v>sábado</v>
      </c>
      <c r="N1134" s="4" t="str">
        <f t="shared" si="69"/>
        <v>julio</v>
      </c>
      <c r="O1134" s="4" t="str">
        <f t="shared" si="70"/>
        <v>SI</v>
      </c>
      <c r="P1134" s="4" t="str">
        <f t="shared" si="71"/>
        <v>SI</v>
      </c>
      <c r="Q1134" s="4" t="str" cm="1">
        <f t="array" ref="Q1134">_xlfn.IFS(AND(H1134&gt;=0,H1134&lt;=3333),"Grupo 1",AND(H1134&gt;3333,H1134&lt;=6666),"Grupo 2",AND(H1134&gt;6666,H1134&lt;=10000),"Grupo 3")</f>
        <v>Grupo 2</v>
      </c>
    </row>
    <row r="1135" spans="1:17" x14ac:dyDescent="0.25">
      <c r="A1135" t="s">
        <v>145</v>
      </c>
      <c r="B1135" s="2">
        <v>45329.842361111107</v>
      </c>
      <c r="C1135" t="s">
        <v>305</v>
      </c>
      <c r="D1135" t="s">
        <v>212</v>
      </c>
      <c r="E1135">
        <v>5</v>
      </c>
      <c r="F1135">
        <v>642.74</v>
      </c>
      <c r="G1135" t="s">
        <v>220</v>
      </c>
      <c r="H1135">
        <v>3213.7</v>
      </c>
      <c r="I1135">
        <v>2024</v>
      </c>
      <c r="J1135">
        <v>2</v>
      </c>
      <c r="K1135">
        <v>20</v>
      </c>
      <c r="L1135" s="14">
        <v>642.74</v>
      </c>
      <c r="M1135" s="4" t="str">
        <f t="shared" si="68"/>
        <v>miércoles</v>
      </c>
      <c r="N1135" s="4" t="str">
        <f t="shared" si="69"/>
        <v>febrero</v>
      </c>
      <c r="O1135" s="4" t="str">
        <f t="shared" si="70"/>
        <v>SI</v>
      </c>
      <c r="P1135" s="4" t="str">
        <f t="shared" si="71"/>
        <v>NO</v>
      </c>
      <c r="Q1135" s="4" t="str" cm="1">
        <f t="array" ref="Q1135">_xlfn.IFS(AND(H1135&gt;=0,H1135&lt;=3333),"Grupo 1",AND(H1135&gt;3333,H1135&lt;=6666),"Grupo 2",AND(H1135&gt;6666,H1135&lt;=10000),"Grupo 3")</f>
        <v>Grupo 1</v>
      </c>
    </row>
    <row r="1136" spans="1:17" x14ac:dyDescent="0.25">
      <c r="A1136" t="s">
        <v>146</v>
      </c>
      <c r="B1136" s="2">
        <v>45615.539583333331</v>
      </c>
      <c r="C1136" t="s">
        <v>306</v>
      </c>
      <c r="D1136" t="s">
        <v>219</v>
      </c>
      <c r="E1136">
        <v>5</v>
      </c>
      <c r="F1136">
        <v>245.73</v>
      </c>
      <c r="G1136" t="s">
        <v>221</v>
      </c>
      <c r="H1136">
        <v>1228.6500000000001</v>
      </c>
      <c r="I1136">
        <v>2024</v>
      </c>
      <c r="J1136">
        <v>11</v>
      </c>
      <c r="K1136">
        <v>12</v>
      </c>
      <c r="L1136" s="14">
        <v>245.73</v>
      </c>
      <c r="M1136" s="4" t="str">
        <f t="shared" si="68"/>
        <v>martes</v>
      </c>
      <c r="N1136" s="4" t="str">
        <f t="shared" si="69"/>
        <v>noviembre</v>
      </c>
      <c r="O1136" s="4" t="str">
        <f t="shared" si="70"/>
        <v>NO</v>
      </c>
      <c r="P1136" s="4" t="str">
        <f t="shared" si="71"/>
        <v>NO</v>
      </c>
      <c r="Q1136" s="4" t="str" cm="1">
        <f t="array" ref="Q1136">_xlfn.IFS(AND(H1136&gt;=0,H1136&lt;=3333),"Grupo 1",AND(H1136&gt;3333,H1136&lt;=6666),"Grupo 2",AND(H1136&gt;6666,H1136&lt;=10000),"Grupo 3")</f>
        <v>Grupo 1</v>
      </c>
    </row>
    <row r="1137" spans="1:17" x14ac:dyDescent="0.25">
      <c r="A1137" t="s">
        <v>147</v>
      </c>
      <c r="B1137" s="2">
        <v>45222.775694444441</v>
      </c>
      <c r="C1137" t="s">
        <v>307</v>
      </c>
      <c r="D1137" t="s">
        <v>216</v>
      </c>
      <c r="E1137">
        <v>3</v>
      </c>
      <c r="F1137">
        <v>1782.13</v>
      </c>
      <c r="G1137" t="s">
        <v>221</v>
      </c>
      <c r="H1137">
        <v>5346.39</v>
      </c>
      <c r="I1137">
        <v>2023</v>
      </c>
      <c r="J1137">
        <v>10</v>
      </c>
      <c r="K1137">
        <v>18</v>
      </c>
      <c r="L1137" s="14">
        <v>1782.13</v>
      </c>
      <c r="M1137" s="4" t="str">
        <f t="shared" si="68"/>
        <v>lunes</v>
      </c>
      <c r="N1137" s="4" t="str">
        <f t="shared" si="69"/>
        <v>octubre</v>
      </c>
      <c r="O1137" s="4" t="str">
        <f t="shared" si="70"/>
        <v>SI</v>
      </c>
      <c r="P1137" s="4" t="str">
        <f t="shared" si="71"/>
        <v>SI</v>
      </c>
      <c r="Q1137" s="4" t="str" cm="1">
        <f t="array" ref="Q1137">_xlfn.IFS(AND(H1137&gt;=0,H1137&lt;=3333),"Grupo 1",AND(H1137&gt;3333,H1137&lt;=6666),"Grupo 2",AND(H1137&gt;6666,H1137&lt;=10000),"Grupo 3")</f>
        <v>Grupo 2</v>
      </c>
    </row>
    <row r="1138" spans="1:17" x14ac:dyDescent="0.25">
      <c r="A1138" t="s">
        <v>148</v>
      </c>
      <c r="B1138" s="2">
        <v>45525.048611111109</v>
      </c>
      <c r="C1138" t="s">
        <v>308</v>
      </c>
      <c r="D1138" t="s">
        <v>215</v>
      </c>
      <c r="E1138">
        <v>5</v>
      </c>
      <c r="F1138">
        <v>1137.1400000000001</v>
      </c>
      <c r="G1138" t="s">
        <v>220</v>
      </c>
      <c r="H1138">
        <v>5685.7000000000007</v>
      </c>
      <c r="I1138">
        <v>2024</v>
      </c>
      <c r="J1138">
        <v>8</v>
      </c>
      <c r="K1138">
        <v>1</v>
      </c>
      <c r="L1138" s="14">
        <v>1137.1400000000001</v>
      </c>
      <c r="M1138" s="4" t="str">
        <f t="shared" si="68"/>
        <v>miércoles</v>
      </c>
      <c r="N1138" s="4" t="str">
        <f t="shared" si="69"/>
        <v>agosto</v>
      </c>
      <c r="O1138" s="4" t="str">
        <f t="shared" si="70"/>
        <v>SI</v>
      </c>
      <c r="P1138" s="4" t="str">
        <f t="shared" si="71"/>
        <v>SI</v>
      </c>
      <c r="Q1138" s="4" t="str" cm="1">
        <f t="array" ref="Q1138">_xlfn.IFS(AND(H1138&gt;=0,H1138&lt;=3333),"Grupo 1",AND(H1138&gt;3333,H1138&lt;=6666),"Grupo 2",AND(H1138&gt;6666,H1138&lt;=10000),"Grupo 3")</f>
        <v>Grupo 2</v>
      </c>
    </row>
    <row r="1139" spans="1:17" x14ac:dyDescent="0.25">
      <c r="A1139" t="s">
        <v>149</v>
      </c>
      <c r="B1139" s="2">
        <v>45520.686111111107</v>
      </c>
      <c r="C1139" t="s">
        <v>309</v>
      </c>
      <c r="D1139" t="s">
        <v>213</v>
      </c>
      <c r="E1139">
        <v>4</v>
      </c>
      <c r="F1139">
        <v>966.72</v>
      </c>
      <c r="G1139" t="s">
        <v>221</v>
      </c>
      <c r="H1139">
        <v>3866.88</v>
      </c>
      <c r="I1139">
        <v>2024</v>
      </c>
      <c r="J1139">
        <v>8</v>
      </c>
      <c r="K1139">
        <v>16</v>
      </c>
      <c r="L1139" s="14">
        <v>966.72</v>
      </c>
      <c r="M1139" s="4" t="str">
        <f t="shared" si="68"/>
        <v>viernes</v>
      </c>
      <c r="N1139" s="4" t="str">
        <f t="shared" si="69"/>
        <v>agosto</v>
      </c>
      <c r="O1139" s="4" t="str">
        <f t="shared" si="70"/>
        <v>SI</v>
      </c>
      <c r="P1139" s="4" t="str">
        <f t="shared" si="71"/>
        <v>NO</v>
      </c>
      <c r="Q1139" s="4" t="str" cm="1">
        <f t="array" ref="Q1139">_xlfn.IFS(AND(H1139&gt;=0,H1139&lt;=3333),"Grupo 1",AND(H1139&gt;3333,H1139&lt;=6666),"Grupo 2",AND(H1139&gt;6666,H1139&lt;=10000),"Grupo 3")</f>
        <v>Grupo 2</v>
      </c>
    </row>
    <row r="1140" spans="1:17" x14ac:dyDescent="0.25">
      <c r="A1140" t="s">
        <v>150</v>
      </c>
      <c r="B1140" s="2">
        <v>45484.331944444442</v>
      </c>
      <c r="C1140" t="s">
        <v>310</v>
      </c>
      <c r="D1140" t="s">
        <v>215</v>
      </c>
      <c r="E1140">
        <v>5</v>
      </c>
      <c r="F1140">
        <v>754.88</v>
      </c>
      <c r="G1140" t="s">
        <v>220</v>
      </c>
      <c r="H1140">
        <v>3774.4</v>
      </c>
      <c r="I1140">
        <v>2024</v>
      </c>
      <c r="J1140">
        <v>7</v>
      </c>
      <c r="K1140">
        <v>7</v>
      </c>
      <c r="L1140" s="14">
        <v>754.88</v>
      </c>
      <c r="M1140" s="4" t="str">
        <f t="shared" si="68"/>
        <v>jueves</v>
      </c>
      <c r="N1140" s="4" t="str">
        <f t="shared" si="69"/>
        <v>julio</v>
      </c>
      <c r="O1140" s="4" t="str">
        <f t="shared" si="70"/>
        <v>SI</v>
      </c>
      <c r="P1140" s="4" t="str">
        <f t="shared" si="71"/>
        <v>NO</v>
      </c>
      <c r="Q1140" s="4" t="str" cm="1">
        <f t="array" ref="Q1140">_xlfn.IFS(AND(H1140&gt;=0,H1140&lt;=3333),"Grupo 1",AND(H1140&gt;3333,H1140&lt;=6666),"Grupo 2",AND(H1140&gt;6666,H1140&lt;=10000),"Grupo 3")</f>
        <v>Grupo 2</v>
      </c>
    </row>
    <row r="1141" spans="1:17" x14ac:dyDescent="0.25">
      <c r="A1141" t="s">
        <v>151</v>
      </c>
      <c r="B1141" s="2">
        <v>45842.433333333327</v>
      </c>
      <c r="C1141" t="s">
        <v>311</v>
      </c>
      <c r="D1141" t="s">
        <v>216</v>
      </c>
      <c r="E1141">
        <v>4</v>
      </c>
      <c r="F1141">
        <v>902.5</v>
      </c>
      <c r="G1141" t="s">
        <v>221</v>
      </c>
      <c r="H1141">
        <v>3610</v>
      </c>
      <c r="I1141">
        <v>2025</v>
      </c>
      <c r="J1141">
        <v>7</v>
      </c>
      <c r="K1141">
        <v>10</v>
      </c>
      <c r="L1141" s="14">
        <v>902.5</v>
      </c>
      <c r="M1141" s="4" t="str">
        <f t="shared" si="68"/>
        <v>viernes</v>
      </c>
      <c r="N1141" s="4" t="str">
        <f t="shared" si="69"/>
        <v>julio</v>
      </c>
      <c r="O1141" s="4" t="str">
        <f t="shared" si="70"/>
        <v>SI</v>
      </c>
      <c r="P1141" s="4" t="str">
        <f t="shared" si="71"/>
        <v>NO</v>
      </c>
      <c r="Q1141" s="4" t="str" cm="1">
        <f t="array" ref="Q1141">_xlfn.IFS(AND(H1141&gt;=0,H1141&lt;=3333),"Grupo 1",AND(H1141&gt;3333,H1141&lt;=6666),"Grupo 2",AND(H1141&gt;6666,H1141&lt;=10000),"Grupo 3")</f>
        <v>Grupo 2</v>
      </c>
    </row>
    <row r="1142" spans="1:17" x14ac:dyDescent="0.25">
      <c r="A1142" t="s">
        <v>152</v>
      </c>
      <c r="B1142" s="2">
        <v>45697.842361111107</v>
      </c>
      <c r="C1142" t="s">
        <v>312</v>
      </c>
      <c r="D1142" t="s">
        <v>218</v>
      </c>
      <c r="E1142">
        <v>2</v>
      </c>
      <c r="F1142">
        <v>78.180000000000007</v>
      </c>
      <c r="G1142" t="s">
        <v>221</v>
      </c>
      <c r="H1142">
        <v>156.36000000000001</v>
      </c>
      <c r="I1142">
        <v>2025</v>
      </c>
      <c r="J1142">
        <v>2</v>
      </c>
      <c r="K1142">
        <v>20</v>
      </c>
      <c r="L1142" s="14">
        <v>78.180000000000007</v>
      </c>
      <c r="M1142" s="4" t="str">
        <f t="shared" si="68"/>
        <v>domingo</v>
      </c>
      <c r="N1142" s="4" t="str">
        <f t="shared" si="69"/>
        <v>febrero</v>
      </c>
      <c r="O1142" s="4" t="str">
        <f t="shared" si="70"/>
        <v>NO</v>
      </c>
      <c r="P1142" s="4" t="str">
        <f t="shared" si="71"/>
        <v>NO</v>
      </c>
      <c r="Q1142" s="4" t="str" cm="1">
        <f t="array" ref="Q1142">_xlfn.IFS(AND(H1142&gt;=0,H1142&lt;=3333),"Grupo 1",AND(H1142&gt;3333,H1142&lt;=6666),"Grupo 2",AND(H1142&gt;6666,H1142&lt;=10000),"Grupo 3")</f>
        <v>Grupo 1</v>
      </c>
    </row>
    <row r="1143" spans="1:17" x14ac:dyDescent="0.25">
      <c r="A1143" t="s">
        <v>153</v>
      </c>
      <c r="B1143" s="2">
        <v>45927.180555555547</v>
      </c>
      <c r="C1143" t="s">
        <v>313</v>
      </c>
      <c r="D1143" t="s">
        <v>212</v>
      </c>
      <c r="E1143">
        <v>2</v>
      </c>
      <c r="F1143">
        <v>1615.41</v>
      </c>
      <c r="G1143" t="s">
        <v>220</v>
      </c>
      <c r="H1143">
        <v>3230.82</v>
      </c>
      <c r="I1143">
        <v>2025</v>
      </c>
      <c r="J1143">
        <v>9</v>
      </c>
      <c r="K1143">
        <v>4</v>
      </c>
      <c r="L1143" s="14">
        <v>1615.41</v>
      </c>
      <c r="M1143" s="4" t="str">
        <f t="shared" si="68"/>
        <v>sábado</v>
      </c>
      <c r="N1143" s="4" t="str">
        <f t="shared" si="69"/>
        <v>septiembre</v>
      </c>
      <c r="O1143" s="4" t="str">
        <f t="shared" si="70"/>
        <v>SI</v>
      </c>
      <c r="P1143" s="4" t="str">
        <f t="shared" si="71"/>
        <v>SI</v>
      </c>
      <c r="Q1143" s="4" t="str" cm="1">
        <f t="array" ref="Q1143">_xlfn.IFS(AND(H1143&gt;=0,H1143&lt;=3333),"Grupo 1",AND(H1143&gt;3333,H1143&lt;=6666),"Grupo 2",AND(H1143&gt;6666,H1143&lt;=10000),"Grupo 3")</f>
        <v>Grupo 1</v>
      </c>
    </row>
    <row r="1144" spans="1:17" x14ac:dyDescent="0.25">
      <c r="A1144" t="s">
        <v>154</v>
      </c>
      <c r="B1144" s="2">
        <v>45511.748611111107</v>
      </c>
      <c r="C1144" t="s">
        <v>314</v>
      </c>
      <c r="D1144" t="s">
        <v>212</v>
      </c>
      <c r="E1144">
        <v>5</v>
      </c>
      <c r="F1144">
        <v>149.54</v>
      </c>
      <c r="G1144" t="s">
        <v>220</v>
      </c>
      <c r="H1144">
        <v>747.69999999999993</v>
      </c>
      <c r="I1144">
        <v>2024</v>
      </c>
      <c r="J1144">
        <v>8</v>
      </c>
      <c r="K1144">
        <v>17</v>
      </c>
      <c r="L1144" s="14">
        <v>149.54</v>
      </c>
      <c r="M1144" s="4" t="str">
        <f t="shared" si="68"/>
        <v>miércoles</v>
      </c>
      <c r="N1144" s="4" t="str">
        <f t="shared" si="69"/>
        <v>agosto</v>
      </c>
      <c r="O1144" s="4" t="str">
        <f t="shared" si="70"/>
        <v>NO</v>
      </c>
      <c r="P1144" s="4" t="str">
        <f t="shared" si="71"/>
        <v>NO</v>
      </c>
      <c r="Q1144" s="4" t="str" cm="1">
        <f t="array" ref="Q1144">_xlfn.IFS(AND(H1144&gt;=0,H1144&lt;=3333),"Grupo 1",AND(H1144&gt;3333,H1144&lt;=6666),"Grupo 2",AND(H1144&gt;6666,H1144&lt;=10000),"Grupo 3")</f>
        <v>Grupo 1</v>
      </c>
    </row>
    <row r="1145" spans="1:17" x14ac:dyDescent="0.25">
      <c r="A1145" t="s">
        <v>155</v>
      </c>
      <c r="B1145" s="2">
        <v>45867.710416666669</v>
      </c>
      <c r="C1145" t="s">
        <v>315</v>
      </c>
      <c r="D1145" t="s">
        <v>213</v>
      </c>
      <c r="E1145">
        <v>5</v>
      </c>
      <c r="F1145">
        <v>955.39</v>
      </c>
      <c r="G1145" t="s">
        <v>221</v>
      </c>
      <c r="H1145">
        <v>4776.95</v>
      </c>
      <c r="I1145">
        <v>2025</v>
      </c>
      <c r="J1145">
        <v>7</v>
      </c>
      <c r="K1145">
        <v>17</v>
      </c>
      <c r="L1145" s="14">
        <v>955.39</v>
      </c>
      <c r="M1145" s="4" t="str">
        <f t="shared" si="68"/>
        <v>martes</v>
      </c>
      <c r="N1145" s="4" t="str">
        <f t="shared" si="69"/>
        <v>julio</v>
      </c>
      <c r="O1145" s="4" t="str">
        <f t="shared" si="70"/>
        <v>SI</v>
      </c>
      <c r="P1145" s="4" t="str">
        <f t="shared" si="71"/>
        <v>NO</v>
      </c>
      <c r="Q1145" s="4" t="str" cm="1">
        <f t="array" ref="Q1145">_xlfn.IFS(AND(H1145&gt;=0,H1145&lt;=3333),"Grupo 1",AND(H1145&gt;3333,H1145&lt;=6666),"Grupo 2",AND(H1145&gt;6666,H1145&lt;=10000),"Grupo 3")</f>
        <v>Grupo 2</v>
      </c>
    </row>
    <row r="1146" spans="1:17" x14ac:dyDescent="0.25">
      <c r="A1146" t="s">
        <v>156</v>
      </c>
      <c r="B1146" s="2">
        <v>45339.555555555547</v>
      </c>
      <c r="C1146" t="s">
        <v>316</v>
      </c>
      <c r="D1146" t="s">
        <v>214</v>
      </c>
      <c r="E1146">
        <v>2</v>
      </c>
      <c r="F1146">
        <v>1963.63</v>
      </c>
      <c r="G1146" t="s">
        <v>222</v>
      </c>
      <c r="H1146">
        <v>3927.26</v>
      </c>
      <c r="I1146">
        <v>2024</v>
      </c>
      <c r="J1146">
        <v>2</v>
      </c>
      <c r="K1146">
        <v>13</v>
      </c>
      <c r="L1146" s="14">
        <v>1963.63</v>
      </c>
      <c r="M1146" s="4" t="str">
        <f t="shared" si="68"/>
        <v>sábado</v>
      </c>
      <c r="N1146" s="4" t="str">
        <f t="shared" si="69"/>
        <v>febrero</v>
      </c>
      <c r="O1146" s="4" t="str">
        <f t="shared" si="70"/>
        <v>SI</v>
      </c>
      <c r="P1146" s="4" t="str">
        <f t="shared" si="71"/>
        <v>SI</v>
      </c>
      <c r="Q1146" s="4" t="str" cm="1">
        <f t="array" ref="Q1146">_xlfn.IFS(AND(H1146&gt;=0,H1146&lt;=3333),"Grupo 1",AND(H1146&gt;3333,H1146&lt;=6666),"Grupo 2",AND(H1146&gt;6666,H1146&lt;=10000),"Grupo 3")</f>
        <v>Grupo 2</v>
      </c>
    </row>
    <row r="1147" spans="1:17" x14ac:dyDescent="0.25">
      <c r="A1147" t="s">
        <v>157</v>
      </c>
      <c r="B1147" s="2">
        <v>45538.998611111107</v>
      </c>
      <c r="C1147" t="s">
        <v>317</v>
      </c>
      <c r="D1147" t="s">
        <v>216</v>
      </c>
      <c r="E1147">
        <v>5</v>
      </c>
      <c r="F1147">
        <v>1440.14</v>
      </c>
      <c r="G1147" t="s">
        <v>221</v>
      </c>
      <c r="H1147">
        <v>7200.7000000000007</v>
      </c>
      <c r="I1147">
        <v>2024</v>
      </c>
      <c r="J1147">
        <v>9</v>
      </c>
      <c r="K1147">
        <v>23</v>
      </c>
      <c r="L1147" s="14">
        <v>1440.14</v>
      </c>
      <c r="M1147" s="4" t="str">
        <f t="shared" si="68"/>
        <v>martes</v>
      </c>
      <c r="N1147" s="4" t="str">
        <f t="shared" si="69"/>
        <v>septiembre</v>
      </c>
      <c r="O1147" s="4" t="str">
        <f t="shared" si="70"/>
        <v>SI</v>
      </c>
      <c r="P1147" s="4" t="str">
        <f t="shared" si="71"/>
        <v>SI</v>
      </c>
      <c r="Q1147" s="4" t="str" cm="1">
        <f t="array" ref="Q1147">_xlfn.IFS(AND(H1147&gt;=0,H1147&lt;=3333),"Grupo 1",AND(H1147&gt;3333,H1147&lt;=6666),"Grupo 2",AND(H1147&gt;6666,H1147&lt;=10000),"Grupo 3")</f>
        <v>Grupo 3</v>
      </c>
    </row>
    <row r="1148" spans="1:17" x14ac:dyDescent="0.25">
      <c r="A1148" t="s">
        <v>158</v>
      </c>
      <c r="B1148" s="2">
        <v>45105.837500000001</v>
      </c>
      <c r="C1148" t="s">
        <v>318</v>
      </c>
      <c r="D1148" t="s">
        <v>212</v>
      </c>
      <c r="E1148">
        <v>4</v>
      </c>
      <c r="F1148">
        <v>283.7</v>
      </c>
      <c r="G1148" t="s">
        <v>220</v>
      </c>
      <c r="H1148">
        <v>1134.8</v>
      </c>
      <c r="I1148">
        <v>2023</v>
      </c>
      <c r="J1148">
        <v>6</v>
      </c>
      <c r="K1148">
        <v>20</v>
      </c>
      <c r="L1148" s="14">
        <v>283.7</v>
      </c>
      <c r="M1148" s="4" t="str">
        <f t="shared" si="68"/>
        <v>miércoles</v>
      </c>
      <c r="N1148" s="4" t="str">
        <f t="shared" si="69"/>
        <v>junio</v>
      </c>
      <c r="O1148" s="4" t="str">
        <f t="shared" si="70"/>
        <v>NO</v>
      </c>
      <c r="P1148" s="4" t="str">
        <f t="shared" si="71"/>
        <v>NO</v>
      </c>
      <c r="Q1148" s="4" t="str" cm="1">
        <f t="array" ref="Q1148">_xlfn.IFS(AND(H1148&gt;=0,H1148&lt;=3333),"Grupo 1",AND(H1148&gt;3333,H1148&lt;=6666),"Grupo 2",AND(H1148&gt;6666,H1148&lt;=10000),"Grupo 3")</f>
        <v>Grupo 1</v>
      </c>
    </row>
    <row r="1149" spans="1:17" x14ac:dyDescent="0.25">
      <c r="A1149" t="s">
        <v>159</v>
      </c>
      <c r="B1149" s="2">
        <v>45470.283333333333</v>
      </c>
      <c r="C1149" t="s">
        <v>319</v>
      </c>
      <c r="D1149" t="s">
        <v>215</v>
      </c>
      <c r="E1149">
        <v>3</v>
      </c>
      <c r="F1149">
        <v>687.51</v>
      </c>
      <c r="G1149" t="s">
        <v>220</v>
      </c>
      <c r="H1149">
        <v>2062.5300000000002</v>
      </c>
      <c r="I1149">
        <v>2024</v>
      </c>
      <c r="J1149">
        <v>6</v>
      </c>
      <c r="K1149">
        <v>6</v>
      </c>
      <c r="L1149" s="14">
        <v>687.50999999999988</v>
      </c>
      <c r="M1149" s="4" t="str">
        <f t="shared" si="68"/>
        <v>jueves</v>
      </c>
      <c r="N1149" s="4" t="str">
        <f t="shared" si="69"/>
        <v>junio</v>
      </c>
      <c r="O1149" s="4" t="str">
        <f t="shared" si="70"/>
        <v>NO</v>
      </c>
      <c r="P1149" s="4" t="str">
        <f t="shared" si="71"/>
        <v>NO</v>
      </c>
      <c r="Q1149" s="4" t="str" cm="1">
        <f t="array" ref="Q1149">_xlfn.IFS(AND(H1149&gt;=0,H1149&lt;=3333),"Grupo 1",AND(H1149&gt;3333,H1149&lt;=6666),"Grupo 2",AND(H1149&gt;6666,H1149&lt;=10000),"Grupo 3")</f>
        <v>Grupo 1</v>
      </c>
    </row>
    <row r="1150" spans="1:17" x14ac:dyDescent="0.25">
      <c r="A1150" t="s">
        <v>160</v>
      </c>
      <c r="B1150" s="2">
        <v>45122.511805555558</v>
      </c>
      <c r="C1150" t="s">
        <v>320</v>
      </c>
      <c r="D1150" t="s">
        <v>216</v>
      </c>
      <c r="E1150">
        <v>2</v>
      </c>
      <c r="F1150">
        <v>282</v>
      </c>
      <c r="G1150" t="s">
        <v>221</v>
      </c>
      <c r="H1150">
        <v>564</v>
      </c>
      <c r="I1150">
        <v>2023</v>
      </c>
      <c r="J1150">
        <v>7</v>
      </c>
      <c r="K1150">
        <v>12</v>
      </c>
      <c r="L1150" s="14">
        <v>282</v>
      </c>
      <c r="M1150" s="4" t="str">
        <f t="shared" si="68"/>
        <v>sábado</v>
      </c>
      <c r="N1150" s="4" t="str">
        <f t="shared" si="69"/>
        <v>julio</v>
      </c>
      <c r="O1150" s="4" t="str">
        <f t="shared" si="70"/>
        <v>NO</v>
      </c>
      <c r="P1150" s="4" t="str">
        <f t="shared" si="71"/>
        <v>NO</v>
      </c>
      <c r="Q1150" s="4" t="str" cm="1">
        <f t="array" ref="Q1150">_xlfn.IFS(AND(H1150&gt;=0,H1150&lt;=3333),"Grupo 1",AND(H1150&gt;3333,H1150&lt;=6666),"Grupo 2",AND(H1150&gt;6666,H1150&lt;=10000),"Grupo 3")</f>
        <v>Grupo 1</v>
      </c>
    </row>
    <row r="1151" spans="1:17" x14ac:dyDescent="0.25">
      <c r="A1151" t="s">
        <v>161</v>
      </c>
      <c r="B1151" s="2">
        <v>45878.351388888892</v>
      </c>
      <c r="C1151" t="s">
        <v>321</v>
      </c>
      <c r="D1151" t="s">
        <v>215</v>
      </c>
      <c r="E1151">
        <v>4</v>
      </c>
      <c r="F1151">
        <v>1471.38</v>
      </c>
      <c r="G1151" t="s">
        <v>220</v>
      </c>
      <c r="H1151">
        <v>5885.52</v>
      </c>
      <c r="I1151">
        <v>2025</v>
      </c>
      <c r="J1151">
        <v>8</v>
      </c>
      <c r="K1151">
        <v>8</v>
      </c>
      <c r="L1151" s="14">
        <v>1471.38</v>
      </c>
      <c r="M1151" s="4" t="str">
        <f t="shared" si="68"/>
        <v>sábado</v>
      </c>
      <c r="N1151" s="4" t="str">
        <f t="shared" si="69"/>
        <v>agosto</v>
      </c>
      <c r="O1151" s="4" t="str">
        <f t="shared" si="70"/>
        <v>SI</v>
      </c>
      <c r="P1151" s="4" t="str">
        <f t="shared" si="71"/>
        <v>SI</v>
      </c>
      <c r="Q1151" s="4" t="str" cm="1">
        <f t="array" ref="Q1151">_xlfn.IFS(AND(H1151&gt;=0,H1151&lt;=3333),"Grupo 1",AND(H1151&gt;3333,H1151&lt;=6666),"Grupo 2",AND(H1151&gt;6666,H1151&lt;=10000),"Grupo 3")</f>
        <v>Grupo 2</v>
      </c>
    </row>
    <row r="1152" spans="1:17" x14ac:dyDescent="0.25">
      <c r="A1152" t="s">
        <v>162</v>
      </c>
      <c r="B1152" s="2">
        <v>45894.257638888892</v>
      </c>
      <c r="C1152" t="s">
        <v>322</v>
      </c>
      <c r="D1152" t="s">
        <v>216</v>
      </c>
      <c r="E1152">
        <v>1</v>
      </c>
      <c r="F1152">
        <v>1463.91</v>
      </c>
      <c r="G1152" t="s">
        <v>221</v>
      </c>
      <c r="H1152">
        <v>1463.91</v>
      </c>
      <c r="I1152">
        <v>2025</v>
      </c>
      <c r="J1152">
        <v>8</v>
      </c>
      <c r="K1152">
        <v>6</v>
      </c>
      <c r="L1152" s="14">
        <v>1463.91</v>
      </c>
      <c r="M1152" s="4" t="str">
        <f t="shared" si="68"/>
        <v>lunes</v>
      </c>
      <c r="N1152" s="4" t="str">
        <f t="shared" si="69"/>
        <v>agosto</v>
      </c>
      <c r="O1152" s="4" t="str">
        <f t="shared" si="70"/>
        <v>NO</v>
      </c>
      <c r="P1152" s="4" t="str">
        <f t="shared" si="71"/>
        <v>SI</v>
      </c>
      <c r="Q1152" s="4" t="str" cm="1">
        <f t="array" ref="Q1152">_xlfn.IFS(AND(H1152&gt;=0,H1152&lt;=3333),"Grupo 1",AND(H1152&gt;3333,H1152&lt;=6666),"Grupo 2",AND(H1152&gt;6666,H1152&lt;=10000),"Grupo 3")</f>
        <v>Grupo 1</v>
      </c>
    </row>
    <row r="1153" spans="1:17" x14ac:dyDescent="0.25">
      <c r="A1153" t="s">
        <v>163</v>
      </c>
      <c r="B1153" s="2">
        <v>45321.105555555558</v>
      </c>
      <c r="C1153" t="s">
        <v>323</v>
      </c>
      <c r="D1153" t="s">
        <v>213</v>
      </c>
      <c r="E1153">
        <v>4</v>
      </c>
      <c r="F1153">
        <v>1585.49</v>
      </c>
      <c r="G1153" t="s">
        <v>221</v>
      </c>
      <c r="H1153">
        <v>6341.96</v>
      </c>
      <c r="I1153">
        <v>2024</v>
      </c>
      <c r="J1153">
        <v>1</v>
      </c>
      <c r="K1153">
        <v>2</v>
      </c>
      <c r="L1153" s="14">
        <v>1585.49</v>
      </c>
      <c r="M1153" s="4" t="str">
        <f t="shared" si="68"/>
        <v>martes</v>
      </c>
      <c r="N1153" s="4" t="str">
        <f t="shared" si="69"/>
        <v>enero</v>
      </c>
      <c r="O1153" s="4" t="str">
        <f t="shared" si="70"/>
        <v>SI</v>
      </c>
      <c r="P1153" s="4" t="str">
        <f t="shared" si="71"/>
        <v>SI</v>
      </c>
      <c r="Q1153" s="4" t="str" cm="1">
        <f t="array" ref="Q1153">_xlfn.IFS(AND(H1153&gt;=0,H1153&lt;=3333),"Grupo 1",AND(H1153&gt;3333,H1153&lt;=6666),"Grupo 2",AND(H1153&gt;6666,H1153&lt;=10000),"Grupo 3")</f>
        <v>Grupo 2</v>
      </c>
    </row>
    <row r="1154" spans="1:17" x14ac:dyDescent="0.25">
      <c r="A1154" t="s">
        <v>164</v>
      </c>
      <c r="B1154" s="2">
        <v>45571.035416666673</v>
      </c>
      <c r="C1154" t="s">
        <v>324</v>
      </c>
      <c r="D1154" t="s">
        <v>213</v>
      </c>
      <c r="E1154">
        <v>1</v>
      </c>
      <c r="F1154">
        <v>662.17</v>
      </c>
      <c r="G1154" t="s">
        <v>221</v>
      </c>
      <c r="H1154">
        <v>662.17</v>
      </c>
      <c r="I1154">
        <v>2024</v>
      </c>
      <c r="J1154">
        <v>10</v>
      </c>
      <c r="K1154">
        <v>0</v>
      </c>
      <c r="L1154" s="14">
        <v>662.17</v>
      </c>
      <c r="M1154" s="4" t="str">
        <f t="shared" ref="M1154:M1217" si="72">TEXT(B1154,"dddd")</f>
        <v>domingo</v>
      </c>
      <c r="N1154" s="4" t="str">
        <f t="shared" ref="N1154:N1217" si="73">TEXT(B1154,"mmmm")</f>
        <v>octubre</v>
      </c>
      <c r="O1154" s="4" t="str">
        <f t="shared" si="70"/>
        <v>NO</v>
      </c>
      <c r="P1154" s="4" t="str">
        <f t="shared" si="71"/>
        <v>NO</v>
      </c>
      <c r="Q1154" s="4" t="str" cm="1">
        <f t="array" ref="Q1154">_xlfn.IFS(AND(H1154&gt;=0,H1154&lt;=3333),"Grupo 1",AND(H1154&gt;3333,H1154&lt;=6666),"Grupo 2",AND(H1154&gt;6666,H1154&lt;=10000),"Grupo 3")</f>
        <v>Grupo 1</v>
      </c>
    </row>
    <row r="1155" spans="1:17" x14ac:dyDescent="0.25">
      <c r="A1155" t="s">
        <v>165</v>
      </c>
      <c r="B1155" s="2">
        <v>45442.757638888892</v>
      </c>
      <c r="C1155" t="s">
        <v>325</v>
      </c>
      <c r="D1155" t="s">
        <v>216</v>
      </c>
      <c r="E1155">
        <v>2</v>
      </c>
      <c r="F1155">
        <v>136.68</v>
      </c>
      <c r="G1155" t="s">
        <v>221</v>
      </c>
      <c r="H1155">
        <v>273.36</v>
      </c>
      <c r="I1155">
        <v>2024</v>
      </c>
      <c r="J1155">
        <v>5</v>
      </c>
      <c r="K1155">
        <v>18</v>
      </c>
      <c r="L1155" s="14">
        <v>136.68</v>
      </c>
      <c r="M1155" s="4" t="str">
        <f t="shared" si="72"/>
        <v>jueves</v>
      </c>
      <c r="N1155" s="4" t="str">
        <f t="shared" si="73"/>
        <v>mayo</v>
      </c>
      <c r="O1155" s="4" t="str">
        <f t="shared" ref="O1155:O1218" si="74">IF(H1155&gt;AVERAGE(H:H),"SI","NO")</f>
        <v>NO</v>
      </c>
      <c r="P1155" s="4" t="str">
        <f t="shared" ref="P1155:P1218" si="75">IF(L1155&gt;AVERAGE(L:L),"SI","NO")</f>
        <v>NO</v>
      </c>
      <c r="Q1155" s="4" t="str" cm="1">
        <f t="array" ref="Q1155">_xlfn.IFS(AND(H1155&gt;=0,H1155&lt;=3333),"Grupo 1",AND(H1155&gt;3333,H1155&lt;=6666),"Grupo 2",AND(H1155&gt;6666,H1155&lt;=10000),"Grupo 3")</f>
        <v>Grupo 1</v>
      </c>
    </row>
    <row r="1156" spans="1:17" x14ac:dyDescent="0.25">
      <c r="A1156" t="s">
        <v>166</v>
      </c>
      <c r="B1156" s="2">
        <v>45889.054166666669</v>
      </c>
      <c r="C1156" t="s">
        <v>326</v>
      </c>
      <c r="D1156" t="s">
        <v>215</v>
      </c>
      <c r="E1156">
        <v>4</v>
      </c>
      <c r="F1156">
        <v>118.64</v>
      </c>
      <c r="G1156" t="s">
        <v>220</v>
      </c>
      <c r="H1156">
        <v>474.56</v>
      </c>
      <c r="I1156">
        <v>2025</v>
      </c>
      <c r="J1156">
        <v>8</v>
      </c>
      <c r="K1156">
        <v>1</v>
      </c>
      <c r="L1156" s="14">
        <v>118.64</v>
      </c>
      <c r="M1156" s="4" t="str">
        <f t="shared" si="72"/>
        <v>miércoles</v>
      </c>
      <c r="N1156" s="4" t="str">
        <f t="shared" si="73"/>
        <v>agosto</v>
      </c>
      <c r="O1156" s="4" t="str">
        <f t="shared" si="74"/>
        <v>NO</v>
      </c>
      <c r="P1156" s="4" t="str">
        <f t="shared" si="75"/>
        <v>NO</v>
      </c>
      <c r="Q1156" s="4" t="str" cm="1">
        <f t="array" ref="Q1156">_xlfn.IFS(AND(H1156&gt;=0,H1156&lt;=3333),"Grupo 1",AND(H1156&gt;3333,H1156&lt;=6666),"Grupo 2",AND(H1156&gt;6666,H1156&lt;=10000),"Grupo 3")</f>
        <v>Grupo 1</v>
      </c>
    </row>
    <row r="1157" spans="1:17" x14ac:dyDescent="0.25">
      <c r="A1157" t="s">
        <v>167</v>
      </c>
      <c r="B1157" s="2">
        <v>45468.727083333331</v>
      </c>
      <c r="C1157" t="s">
        <v>327</v>
      </c>
      <c r="D1157" t="s">
        <v>217</v>
      </c>
      <c r="E1157">
        <v>3</v>
      </c>
      <c r="F1157">
        <v>933.49</v>
      </c>
      <c r="G1157" t="s">
        <v>220</v>
      </c>
      <c r="H1157">
        <v>2800.47</v>
      </c>
      <c r="I1157">
        <v>2024</v>
      </c>
      <c r="J1157">
        <v>6</v>
      </c>
      <c r="K1157">
        <v>17</v>
      </c>
      <c r="L1157" s="14">
        <v>933.49000000000012</v>
      </c>
      <c r="M1157" s="4" t="str">
        <f t="shared" si="72"/>
        <v>martes</v>
      </c>
      <c r="N1157" s="4" t="str">
        <f t="shared" si="73"/>
        <v>junio</v>
      </c>
      <c r="O1157" s="4" t="str">
        <f t="shared" si="74"/>
        <v>NO</v>
      </c>
      <c r="P1157" s="4" t="str">
        <f t="shared" si="75"/>
        <v>NO</v>
      </c>
      <c r="Q1157" s="4" t="str" cm="1">
        <f t="array" ref="Q1157">_xlfn.IFS(AND(H1157&gt;=0,H1157&lt;=3333),"Grupo 1",AND(H1157&gt;3333,H1157&lt;=6666),"Grupo 2",AND(H1157&gt;6666,H1157&lt;=10000),"Grupo 3")</f>
        <v>Grupo 1</v>
      </c>
    </row>
    <row r="1158" spans="1:17" x14ac:dyDescent="0.25">
      <c r="A1158" t="s">
        <v>168</v>
      </c>
      <c r="B1158" s="2">
        <v>45202.955555555563</v>
      </c>
      <c r="C1158" t="s">
        <v>328</v>
      </c>
      <c r="D1158" t="s">
        <v>219</v>
      </c>
      <c r="E1158">
        <v>2</v>
      </c>
      <c r="F1158">
        <v>1035.0899999999999</v>
      </c>
      <c r="G1158" t="s">
        <v>221</v>
      </c>
      <c r="H1158">
        <v>2070.1799999999998</v>
      </c>
      <c r="I1158">
        <v>2023</v>
      </c>
      <c r="J1158">
        <v>10</v>
      </c>
      <c r="K1158">
        <v>22</v>
      </c>
      <c r="L1158" s="14">
        <v>1035.0899999999999</v>
      </c>
      <c r="M1158" s="4" t="str">
        <f t="shared" si="72"/>
        <v>martes</v>
      </c>
      <c r="N1158" s="4" t="str">
        <f t="shared" si="73"/>
        <v>octubre</v>
      </c>
      <c r="O1158" s="4" t="str">
        <f t="shared" si="74"/>
        <v>NO</v>
      </c>
      <c r="P1158" s="4" t="str">
        <f t="shared" si="75"/>
        <v>SI</v>
      </c>
      <c r="Q1158" s="4" t="str" cm="1">
        <f t="array" ref="Q1158">_xlfn.IFS(AND(H1158&gt;=0,H1158&lt;=3333),"Grupo 1",AND(H1158&gt;3333,H1158&lt;=6666),"Grupo 2",AND(H1158&gt;6666,H1158&lt;=10000),"Grupo 3")</f>
        <v>Grupo 1</v>
      </c>
    </row>
    <row r="1159" spans="1:17" x14ac:dyDescent="0.25">
      <c r="A1159" t="s">
        <v>169</v>
      </c>
      <c r="B1159" s="2">
        <v>45323.202777777777</v>
      </c>
      <c r="C1159" t="s">
        <v>329</v>
      </c>
      <c r="D1159" t="s">
        <v>215</v>
      </c>
      <c r="E1159">
        <v>2</v>
      </c>
      <c r="F1159">
        <v>1325.01</v>
      </c>
      <c r="G1159" t="s">
        <v>220</v>
      </c>
      <c r="H1159">
        <v>2650.02</v>
      </c>
      <c r="I1159">
        <v>2024</v>
      </c>
      <c r="J1159">
        <v>2</v>
      </c>
      <c r="K1159">
        <v>4</v>
      </c>
      <c r="L1159" s="14">
        <v>1325.01</v>
      </c>
      <c r="M1159" s="4" t="str">
        <f t="shared" si="72"/>
        <v>jueves</v>
      </c>
      <c r="N1159" s="4" t="str">
        <f t="shared" si="73"/>
        <v>febrero</v>
      </c>
      <c r="O1159" s="4" t="str">
        <f t="shared" si="74"/>
        <v>NO</v>
      </c>
      <c r="P1159" s="4" t="str">
        <f t="shared" si="75"/>
        <v>SI</v>
      </c>
      <c r="Q1159" s="4" t="str" cm="1">
        <f t="array" ref="Q1159">_xlfn.IFS(AND(H1159&gt;=0,H1159&lt;=3333),"Grupo 1",AND(H1159&gt;3333,H1159&lt;=6666),"Grupo 2",AND(H1159&gt;6666,H1159&lt;=10000),"Grupo 3")</f>
        <v>Grupo 1</v>
      </c>
    </row>
    <row r="1160" spans="1:17" x14ac:dyDescent="0.25">
      <c r="A1160" t="s">
        <v>170</v>
      </c>
      <c r="B1160" s="2">
        <v>45288.395833333343</v>
      </c>
      <c r="C1160" t="s">
        <v>330</v>
      </c>
      <c r="D1160" t="s">
        <v>213</v>
      </c>
      <c r="E1160">
        <v>4</v>
      </c>
      <c r="F1160">
        <v>710.84</v>
      </c>
      <c r="G1160" t="s">
        <v>221</v>
      </c>
      <c r="H1160">
        <v>2843.36</v>
      </c>
      <c r="I1160">
        <v>2023</v>
      </c>
      <c r="J1160">
        <v>12</v>
      </c>
      <c r="K1160">
        <v>9</v>
      </c>
      <c r="L1160" s="14">
        <v>710.84</v>
      </c>
      <c r="M1160" s="4" t="str">
        <f t="shared" si="72"/>
        <v>jueves</v>
      </c>
      <c r="N1160" s="4" t="str">
        <f t="shared" si="73"/>
        <v>diciembre</v>
      </c>
      <c r="O1160" s="4" t="str">
        <f t="shared" si="74"/>
        <v>NO</v>
      </c>
      <c r="P1160" s="4" t="str">
        <f t="shared" si="75"/>
        <v>NO</v>
      </c>
      <c r="Q1160" s="4" t="str" cm="1">
        <f t="array" ref="Q1160">_xlfn.IFS(AND(H1160&gt;=0,H1160&lt;=3333),"Grupo 1",AND(H1160&gt;3333,H1160&lt;=6666),"Grupo 2",AND(H1160&gt;6666,H1160&lt;=10000),"Grupo 3")</f>
        <v>Grupo 1</v>
      </c>
    </row>
    <row r="1161" spans="1:17" x14ac:dyDescent="0.25">
      <c r="A1161" t="s">
        <v>171</v>
      </c>
      <c r="B1161" s="2">
        <v>45900.337500000001</v>
      </c>
      <c r="C1161" t="s">
        <v>331</v>
      </c>
      <c r="D1161" t="s">
        <v>214</v>
      </c>
      <c r="E1161">
        <v>3</v>
      </c>
      <c r="F1161">
        <v>97.27</v>
      </c>
      <c r="G1161" t="s">
        <v>222</v>
      </c>
      <c r="H1161">
        <v>291.81</v>
      </c>
      <c r="I1161">
        <v>2025</v>
      </c>
      <c r="J1161">
        <v>8</v>
      </c>
      <c r="K1161">
        <v>8</v>
      </c>
      <c r="L1161" s="14">
        <v>97.27</v>
      </c>
      <c r="M1161" s="4" t="str">
        <f t="shared" si="72"/>
        <v>domingo</v>
      </c>
      <c r="N1161" s="4" t="str">
        <f t="shared" si="73"/>
        <v>agosto</v>
      </c>
      <c r="O1161" s="4" t="str">
        <f t="shared" si="74"/>
        <v>NO</v>
      </c>
      <c r="P1161" s="4" t="str">
        <f t="shared" si="75"/>
        <v>NO</v>
      </c>
      <c r="Q1161" s="4" t="str" cm="1">
        <f t="array" ref="Q1161">_xlfn.IFS(AND(H1161&gt;=0,H1161&lt;=3333),"Grupo 1",AND(H1161&gt;3333,H1161&lt;=6666),"Grupo 2",AND(H1161&gt;6666,H1161&lt;=10000),"Grupo 3")</f>
        <v>Grupo 1</v>
      </c>
    </row>
    <row r="1162" spans="1:17" x14ac:dyDescent="0.25">
      <c r="A1162" t="s">
        <v>172</v>
      </c>
      <c r="B1162" s="2">
        <v>45576.732638888891</v>
      </c>
      <c r="C1162" t="s">
        <v>332</v>
      </c>
      <c r="D1162" t="s">
        <v>215</v>
      </c>
      <c r="E1162">
        <v>5</v>
      </c>
      <c r="F1162">
        <v>498.36</v>
      </c>
      <c r="G1162" t="s">
        <v>220</v>
      </c>
      <c r="H1162">
        <v>2491.8000000000002</v>
      </c>
      <c r="I1162">
        <v>2024</v>
      </c>
      <c r="J1162">
        <v>10</v>
      </c>
      <c r="K1162">
        <v>17</v>
      </c>
      <c r="L1162" s="14">
        <v>498.36</v>
      </c>
      <c r="M1162" s="4" t="str">
        <f t="shared" si="72"/>
        <v>viernes</v>
      </c>
      <c r="N1162" s="4" t="str">
        <f t="shared" si="73"/>
        <v>octubre</v>
      </c>
      <c r="O1162" s="4" t="str">
        <f t="shared" si="74"/>
        <v>NO</v>
      </c>
      <c r="P1162" s="4" t="str">
        <f t="shared" si="75"/>
        <v>NO</v>
      </c>
      <c r="Q1162" s="4" t="str" cm="1">
        <f t="array" ref="Q1162">_xlfn.IFS(AND(H1162&gt;=0,H1162&lt;=3333),"Grupo 1",AND(H1162&gt;3333,H1162&lt;=6666),"Grupo 2",AND(H1162&gt;6666,H1162&lt;=10000),"Grupo 3")</f>
        <v>Grupo 1</v>
      </c>
    </row>
    <row r="1163" spans="1:17" x14ac:dyDescent="0.25">
      <c r="A1163" t="s">
        <v>173</v>
      </c>
      <c r="B1163" s="2">
        <v>45392.97152777778</v>
      </c>
      <c r="C1163" t="s">
        <v>333</v>
      </c>
      <c r="D1163" t="s">
        <v>214</v>
      </c>
      <c r="E1163">
        <v>5</v>
      </c>
      <c r="F1163">
        <v>980.89</v>
      </c>
      <c r="G1163" t="s">
        <v>222</v>
      </c>
      <c r="H1163">
        <v>4904.45</v>
      </c>
      <c r="I1163">
        <v>2024</v>
      </c>
      <c r="J1163">
        <v>4</v>
      </c>
      <c r="K1163">
        <v>23</v>
      </c>
      <c r="L1163" s="14">
        <v>980.89</v>
      </c>
      <c r="M1163" s="4" t="str">
        <f t="shared" si="72"/>
        <v>miércoles</v>
      </c>
      <c r="N1163" s="4" t="str">
        <f t="shared" si="73"/>
        <v>abril</v>
      </c>
      <c r="O1163" s="4" t="str">
        <f t="shared" si="74"/>
        <v>SI</v>
      </c>
      <c r="P1163" s="4" t="str">
        <f t="shared" si="75"/>
        <v>NO</v>
      </c>
      <c r="Q1163" s="4" t="str" cm="1">
        <f t="array" ref="Q1163">_xlfn.IFS(AND(H1163&gt;=0,H1163&lt;=3333),"Grupo 1",AND(H1163&gt;3333,H1163&lt;=6666),"Grupo 2",AND(H1163&gt;6666,H1163&lt;=10000),"Grupo 3")</f>
        <v>Grupo 2</v>
      </c>
    </row>
    <row r="1164" spans="1:17" x14ac:dyDescent="0.25">
      <c r="A1164" t="s">
        <v>174</v>
      </c>
      <c r="B1164" s="2">
        <v>45584.049305555563</v>
      </c>
      <c r="C1164" t="s">
        <v>334</v>
      </c>
      <c r="D1164" t="s">
        <v>213</v>
      </c>
      <c r="E1164">
        <v>1</v>
      </c>
      <c r="F1164">
        <v>1390.33</v>
      </c>
      <c r="G1164" t="s">
        <v>221</v>
      </c>
      <c r="H1164">
        <v>1390.33</v>
      </c>
      <c r="I1164">
        <v>2024</v>
      </c>
      <c r="J1164">
        <v>10</v>
      </c>
      <c r="K1164">
        <v>1</v>
      </c>
      <c r="L1164" s="14">
        <v>1390.33</v>
      </c>
      <c r="M1164" s="4" t="str">
        <f t="shared" si="72"/>
        <v>sábado</v>
      </c>
      <c r="N1164" s="4" t="str">
        <f t="shared" si="73"/>
        <v>octubre</v>
      </c>
      <c r="O1164" s="4" t="str">
        <f t="shared" si="74"/>
        <v>NO</v>
      </c>
      <c r="P1164" s="4" t="str">
        <f t="shared" si="75"/>
        <v>SI</v>
      </c>
      <c r="Q1164" s="4" t="str" cm="1">
        <f t="array" ref="Q1164">_xlfn.IFS(AND(H1164&gt;=0,H1164&lt;=3333),"Grupo 1",AND(H1164&gt;3333,H1164&lt;=6666),"Grupo 2",AND(H1164&gt;6666,H1164&lt;=10000),"Grupo 3")</f>
        <v>Grupo 1</v>
      </c>
    </row>
    <row r="1165" spans="1:17" x14ac:dyDescent="0.25">
      <c r="A1165" t="s">
        <v>175</v>
      </c>
      <c r="B1165" s="2">
        <v>44941.657638888893</v>
      </c>
      <c r="C1165" t="s">
        <v>335</v>
      </c>
      <c r="D1165" t="s">
        <v>217</v>
      </c>
      <c r="E1165">
        <v>5</v>
      </c>
      <c r="F1165">
        <v>1708.09</v>
      </c>
      <c r="G1165" t="s">
        <v>220</v>
      </c>
      <c r="H1165">
        <v>8540.4499999999989</v>
      </c>
      <c r="I1165">
        <v>2023</v>
      </c>
      <c r="J1165">
        <v>1</v>
      </c>
      <c r="K1165">
        <v>15</v>
      </c>
      <c r="L1165" s="14">
        <v>1708.09</v>
      </c>
      <c r="M1165" s="4" t="str">
        <f t="shared" si="72"/>
        <v>domingo</v>
      </c>
      <c r="N1165" s="4" t="str">
        <f t="shared" si="73"/>
        <v>enero</v>
      </c>
      <c r="O1165" s="4" t="str">
        <f t="shared" si="74"/>
        <v>SI</v>
      </c>
      <c r="P1165" s="4" t="str">
        <f t="shared" si="75"/>
        <v>SI</v>
      </c>
      <c r="Q1165" s="4" t="str" cm="1">
        <f t="array" ref="Q1165">_xlfn.IFS(AND(H1165&gt;=0,H1165&lt;=3333),"Grupo 1",AND(H1165&gt;3333,H1165&lt;=6666),"Grupo 2",AND(H1165&gt;6666,H1165&lt;=10000),"Grupo 3")</f>
        <v>Grupo 3</v>
      </c>
    </row>
    <row r="1166" spans="1:17" x14ac:dyDescent="0.25">
      <c r="A1166" t="s">
        <v>176</v>
      </c>
      <c r="B1166" s="2">
        <v>45238.718055555553</v>
      </c>
      <c r="C1166" t="s">
        <v>336</v>
      </c>
      <c r="D1166" t="s">
        <v>219</v>
      </c>
      <c r="E1166">
        <v>3</v>
      </c>
      <c r="F1166">
        <v>459.4</v>
      </c>
      <c r="G1166" t="s">
        <v>221</v>
      </c>
      <c r="H1166">
        <v>1378.2</v>
      </c>
      <c r="I1166">
        <v>2023</v>
      </c>
      <c r="J1166">
        <v>11</v>
      </c>
      <c r="K1166">
        <v>17</v>
      </c>
      <c r="L1166" s="14">
        <v>459.39999999999992</v>
      </c>
      <c r="M1166" s="4" t="str">
        <f t="shared" si="72"/>
        <v>miércoles</v>
      </c>
      <c r="N1166" s="4" t="str">
        <f t="shared" si="73"/>
        <v>noviembre</v>
      </c>
      <c r="O1166" s="4" t="str">
        <f t="shared" si="74"/>
        <v>NO</v>
      </c>
      <c r="P1166" s="4" t="str">
        <f t="shared" si="75"/>
        <v>NO</v>
      </c>
      <c r="Q1166" s="4" t="str" cm="1">
        <f t="array" ref="Q1166">_xlfn.IFS(AND(H1166&gt;=0,H1166&lt;=3333),"Grupo 1",AND(H1166&gt;3333,H1166&lt;=6666),"Grupo 2",AND(H1166&gt;6666,H1166&lt;=10000),"Grupo 3")</f>
        <v>Grupo 1</v>
      </c>
    </row>
    <row r="1167" spans="1:17" x14ac:dyDescent="0.25">
      <c r="A1167" t="s">
        <v>177</v>
      </c>
      <c r="B1167" s="2">
        <v>44973.59652777778</v>
      </c>
      <c r="C1167" t="s">
        <v>337</v>
      </c>
      <c r="D1167" t="s">
        <v>215</v>
      </c>
      <c r="E1167">
        <v>1</v>
      </c>
      <c r="F1167">
        <v>1578.33</v>
      </c>
      <c r="G1167" t="s">
        <v>220</v>
      </c>
      <c r="H1167">
        <v>1578.33</v>
      </c>
      <c r="I1167">
        <v>2023</v>
      </c>
      <c r="J1167">
        <v>2</v>
      </c>
      <c r="K1167">
        <v>14</v>
      </c>
      <c r="L1167" s="14">
        <v>1578.33</v>
      </c>
      <c r="M1167" s="4" t="str">
        <f t="shared" si="72"/>
        <v>jueves</v>
      </c>
      <c r="N1167" s="4" t="str">
        <f t="shared" si="73"/>
        <v>febrero</v>
      </c>
      <c r="O1167" s="4" t="str">
        <f t="shared" si="74"/>
        <v>NO</v>
      </c>
      <c r="P1167" s="4" t="str">
        <f t="shared" si="75"/>
        <v>SI</v>
      </c>
      <c r="Q1167" s="4" t="str" cm="1">
        <f t="array" ref="Q1167">_xlfn.IFS(AND(H1167&gt;=0,H1167&lt;=3333),"Grupo 1",AND(H1167&gt;3333,H1167&lt;=6666),"Grupo 2",AND(H1167&gt;6666,H1167&lt;=10000),"Grupo 3")</f>
        <v>Grupo 1</v>
      </c>
    </row>
    <row r="1168" spans="1:17" x14ac:dyDescent="0.25">
      <c r="A1168" t="s">
        <v>178</v>
      </c>
      <c r="B1168" s="2">
        <v>45445.690972222219</v>
      </c>
      <c r="C1168" t="s">
        <v>338</v>
      </c>
      <c r="D1168" t="s">
        <v>213</v>
      </c>
      <c r="E1168">
        <v>5</v>
      </c>
      <c r="F1168">
        <v>1602.39</v>
      </c>
      <c r="G1168" t="s">
        <v>221</v>
      </c>
      <c r="H1168">
        <v>8011.9500000000007</v>
      </c>
      <c r="I1168">
        <v>2024</v>
      </c>
      <c r="J1168">
        <v>6</v>
      </c>
      <c r="K1168">
        <v>16</v>
      </c>
      <c r="L1168" s="14">
        <v>1602.39</v>
      </c>
      <c r="M1168" s="4" t="str">
        <f t="shared" si="72"/>
        <v>domingo</v>
      </c>
      <c r="N1168" s="4" t="str">
        <f t="shared" si="73"/>
        <v>junio</v>
      </c>
      <c r="O1168" s="4" t="str">
        <f t="shared" si="74"/>
        <v>SI</v>
      </c>
      <c r="P1168" s="4" t="str">
        <f t="shared" si="75"/>
        <v>SI</v>
      </c>
      <c r="Q1168" s="4" t="str" cm="1">
        <f t="array" ref="Q1168">_xlfn.IFS(AND(H1168&gt;=0,H1168&lt;=3333),"Grupo 1",AND(H1168&gt;3333,H1168&lt;=6666),"Grupo 2",AND(H1168&gt;6666,H1168&lt;=10000),"Grupo 3")</f>
        <v>Grupo 3</v>
      </c>
    </row>
    <row r="1169" spans="1:17" x14ac:dyDescent="0.25">
      <c r="A1169" t="s">
        <v>179</v>
      </c>
      <c r="B1169" s="2">
        <v>45035.472916666673</v>
      </c>
      <c r="C1169" t="s">
        <v>339</v>
      </c>
      <c r="D1169" t="s">
        <v>213</v>
      </c>
      <c r="E1169">
        <v>2</v>
      </c>
      <c r="F1169">
        <v>714.55</v>
      </c>
      <c r="G1169" t="s">
        <v>221</v>
      </c>
      <c r="H1169">
        <v>1429.1</v>
      </c>
      <c r="I1169">
        <v>2023</v>
      </c>
      <c r="J1169">
        <v>4</v>
      </c>
      <c r="K1169">
        <v>11</v>
      </c>
      <c r="L1169" s="14">
        <v>714.55</v>
      </c>
      <c r="M1169" s="4" t="str">
        <f t="shared" si="72"/>
        <v>miércoles</v>
      </c>
      <c r="N1169" s="4" t="str">
        <f t="shared" si="73"/>
        <v>abril</v>
      </c>
      <c r="O1169" s="4" t="str">
        <f t="shared" si="74"/>
        <v>NO</v>
      </c>
      <c r="P1169" s="4" t="str">
        <f t="shared" si="75"/>
        <v>NO</v>
      </c>
      <c r="Q1169" s="4" t="str" cm="1">
        <f t="array" ref="Q1169">_xlfn.IFS(AND(H1169&gt;=0,H1169&lt;=3333),"Grupo 1",AND(H1169&gt;3333,H1169&lt;=6666),"Grupo 2",AND(H1169&gt;6666,H1169&lt;=10000),"Grupo 3")</f>
        <v>Grupo 1</v>
      </c>
    </row>
    <row r="1170" spans="1:17" x14ac:dyDescent="0.25">
      <c r="A1170" t="s">
        <v>180</v>
      </c>
      <c r="B1170" s="2">
        <v>45836.104166666657</v>
      </c>
      <c r="C1170" t="s">
        <v>340</v>
      </c>
      <c r="D1170" t="s">
        <v>214</v>
      </c>
      <c r="E1170">
        <v>2</v>
      </c>
      <c r="F1170">
        <v>140.54</v>
      </c>
      <c r="G1170" t="s">
        <v>222</v>
      </c>
      <c r="H1170">
        <v>281.08</v>
      </c>
      <c r="I1170">
        <v>2025</v>
      </c>
      <c r="J1170">
        <v>6</v>
      </c>
      <c r="K1170">
        <v>2</v>
      </c>
      <c r="L1170" s="14">
        <v>140.54</v>
      </c>
      <c r="M1170" s="4" t="str">
        <f t="shared" si="72"/>
        <v>sábado</v>
      </c>
      <c r="N1170" s="4" t="str">
        <f t="shared" si="73"/>
        <v>junio</v>
      </c>
      <c r="O1170" s="4" t="str">
        <f t="shared" si="74"/>
        <v>NO</v>
      </c>
      <c r="P1170" s="4" t="str">
        <f t="shared" si="75"/>
        <v>NO</v>
      </c>
      <c r="Q1170" s="4" t="str" cm="1">
        <f t="array" ref="Q1170">_xlfn.IFS(AND(H1170&gt;=0,H1170&lt;=3333),"Grupo 1",AND(H1170&gt;3333,H1170&lt;=6666),"Grupo 2",AND(H1170&gt;6666,H1170&lt;=10000),"Grupo 3")</f>
        <v>Grupo 1</v>
      </c>
    </row>
    <row r="1171" spans="1:17" x14ac:dyDescent="0.25">
      <c r="A1171" t="s">
        <v>181</v>
      </c>
      <c r="B1171" s="2">
        <v>45584.553472222222</v>
      </c>
      <c r="C1171" t="s">
        <v>341</v>
      </c>
      <c r="D1171" t="s">
        <v>218</v>
      </c>
      <c r="E1171">
        <v>5</v>
      </c>
      <c r="F1171">
        <v>286.87</v>
      </c>
      <c r="G1171" t="s">
        <v>221</v>
      </c>
      <c r="H1171">
        <v>1434.35</v>
      </c>
      <c r="I1171">
        <v>2024</v>
      </c>
      <c r="J1171">
        <v>10</v>
      </c>
      <c r="K1171">
        <v>13</v>
      </c>
      <c r="L1171" s="14">
        <v>286.87</v>
      </c>
      <c r="M1171" s="4" t="str">
        <f t="shared" si="72"/>
        <v>sábado</v>
      </c>
      <c r="N1171" s="4" t="str">
        <f t="shared" si="73"/>
        <v>octubre</v>
      </c>
      <c r="O1171" s="4" t="str">
        <f t="shared" si="74"/>
        <v>NO</v>
      </c>
      <c r="P1171" s="4" t="str">
        <f t="shared" si="75"/>
        <v>NO</v>
      </c>
      <c r="Q1171" s="4" t="str" cm="1">
        <f t="array" ref="Q1171">_xlfn.IFS(AND(H1171&gt;=0,H1171&lt;=3333),"Grupo 1",AND(H1171&gt;3333,H1171&lt;=6666),"Grupo 2",AND(H1171&gt;6666,H1171&lt;=10000),"Grupo 3")</f>
        <v>Grupo 1</v>
      </c>
    </row>
    <row r="1172" spans="1:17" x14ac:dyDescent="0.25">
      <c r="A1172" t="s">
        <v>182</v>
      </c>
      <c r="B1172" s="2">
        <v>45338.585416666669</v>
      </c>
      <c r="C1172" t="s">
        <v>342</v>
      </c>
      <c r="D1172" t="s">
        <v>216</v>
      </c>
      <c r="E1172">
        <v>5</v>
      </c>
      <c r="F1172">
        <v>1897.97</v>
      </c>
      <c r="G1172" t="s">
        <v>221</v>
      </c>
      <c r="H1172">
        <v>9489.85</v>
      </c>
      <c r="I1172">
        <v>2024</v>
      </c>
      <c r="J1172">
        <v>2</v>
      </c>
      <c r="K1172">
        <v>14</v>
      </c>
      <c r="L1172" s="14">
        <v>1897.97</v>
      </c>
      <c r="M1172" s="4" t="str">
        <f t="shared" si="72"/>
        <v>viernes</v>
      </c>
      <c r="N1172" s="4" t="str">
        <f t="shared" si="73"/>
        <v>febrero</v>
      </c>
      <c r="O1172" s="4" t="str">
        <f t="shared" si="74"/>
        <v>SI</v>
      </c>
      <c r="P1172" s="4" t="str">
        <f t="shared" si="75"/>
        <v>SI</v>
      </c>
      <c r="Q1172" s="4" t="str" cm="1">
        <f t="array" ref="Q1172">_xlfn.IFS(AND(H1172&gt;=0,H1172&lt;=3333),"Grupo 1",AND(H1172&gt;3333,H1172&lt;=6666),"Grupo 2",AND(H1172&gt;6666,H1172&lt;=10000),"Grupo 3")</f>
        <v>Grupo 3</v>
      </c>
    </row>
    <row r="1173" spans="1:17" x14ac:dyDescent="0.25">
      <c r="A1173" t="s">
        <v>183</v>
      </c>
      <c r="B1173" s="2">
        <v>45625.480555555558</v>
      </c>
      <c r="C1173" t="s">
        <v>343</v>
      </c>
      <c r="D1173" t="s">
        <v>213</v>
      </c>
      <c r="E1173">
        <v>2</v>
      </c>
      <c r="F1173">
        <v>587.71</v>
      </c>
      <c r="G1173" t="s">
        <v>221</v>
      </c>
      <c r="H1173">
        <v>1175.42</v>
      </c>
      <c r="I1173">
        <v>2024</v>
      </c>
      <c r="J1173">
        <v>11</v>
      </c>
      <c r="K1173">
        <v>11</v>
      </c>
      <c r="L1173" s="14">
        <v>587.71</v>
      </c>
      <c r="M1173" s="4" t="str">
        <f t="shared" si="72"/>
        <v>viernes</v>
      </c>
      <c r="N1173" s="4" t="str">
        <f t="shared" si="73"/>
        <v>noviembre</v>
      </c>
      <c r="O1173" s="4" t="str">
        <f t="shared" si="74"/>
        <v>NO</v>
      </c>
      <c r="P1173" s="4" t="str">
        <f t="shared" si="75"/>
        <v>NO</v>
      </c>
      <c r="Q1173" s="4" t="str" cm="1">
        <f t="array" ref="Q1173">_xlfn.IFS(AND(H1173&gt;=0,H1173&lt;=3333),"Grupo 1",AND(H1173&gt;3333,H1173&lt;=6666),"Grupo 2",AND(H1173&gt;6666,H1173&lt;=10000),"Grupo 3")</f>
        <v>Grupo 1</v>
      </c>
    </row>
    <row r="1174" spans="1:17" x14ac:dyDescent="0.25">
      <c r="A1174" t="s">
        <v>184</v>
      </c>
      <c r="B1174" s="2">
        <v>45291</v>
      </c>
      <c r="C1174" t="s">
        <v>344</v>
      </c>
      <c r="D1174" t="s">
        <v>216</v>
      </c>
      <c r="E1174">
        <v>4</v>
      </c>
      <c r="F1174">
        <v>895.13</v>
      </c>
      <c r="G1174" t="s">
        <v>221</v>
      </c>
      <c r="H1174">
        <v>3580.52</v>
      </c>
      <c r="I1174">
        <v>2023</v>
      </c>
      <c r="J1174">
        <v>12</v>
      </c>
      <c r="K1174">
        <v>0</v>
      </c>
      <c r="L1174" s="14">
        <v>895.13</v>
      </c>
      <c r="M1174" s="4" t="str">
        <f t="shared" si="72"/>
        <v>domingo</v>
      </c>
      <c r="N1174" s="4" t="str">
        <f t="shared" si="73"/>
        <v>diciembre</v>
      </c>
      <c r="O1174" s="4" t="str">
        <f t="shared" si="74"/>
        <v>SI</v>
      </c>
      <c r="P1174" s="4" t="str">
        <f t="shared" si="75"/>
        <v>NO</v>
      </c>
      <c r="Q1174" s="4" t="str" cm="1">
        <f t="array" ref="Q1174">_xlfn.IFS(AND(H1174&gt;=0,H1174&lt;=3333),"Grupo 1",AND(H1174&gt;3333,H1174&lt;=6666),"Grupo 2",AND(H1174&gt;6666,H1174&lt;=10000),"Grupo 3")</f>
        <v>Grupo 2</v>
      </c>
    </row>
    <row r="1175" spans="1:17" x14ac:dyDescent="0.25">
      <c r="A1175" t="s">
        <v>185</v>
      </c>
      <c r="B1175" s="2">
        <v>45548.488194444442</v>
      </c>
      <c r="C1175" t="s">
        <v>345</v>
      </c>
      <c r="D1175" t="s">
        <v>215</v>
      </c>
      <c r="E1175">
        <v>3</v>
      </c>
      <c r="F1175">
        <v>1457.35</v>
      </c>
      <c r="G1175" t="s">
        <v>220</v>
      </c>
      <c r="H1175">
        <v>4372.0499999999993</v>
      </c>
      <c r="I1175">
        <v>2024</v>
      </c>
      <c r="J1175">
        <v>9</v>
      </c>
      <c r="K1175">
        <v>11</v>
      </c>
      <c r="L1175" s="14">
        <v>1457.35</v>
      </c>
      <c r="M1175" s="4" t="str">
        <f t="shared" si="72"/>
        <v>viernes</v>
      </c>
      <c r="N1175" s="4" t="str">
        <f t="shared" si="73"/>
        <v>septiembre</v>
      </c>
      <c r="O1175" s="4" t="str">
        <f t="shared" si="74"/>
        <v>SI</v>
      </c>
      <c r="P1175" s="4" t="str">
        <f t="shared" si="75"/>
        <v>SI</v>
      </c>
      <c r="Q1175" s="4" t="str" cm="1">
        <f t="array" ref="Q1175">_xlfn.IFS(AND(H1175&gt;=0,H1175&lt;=3333),"Grupo 1",AND(H1175&gt;3333,H1175&lt;=6666),"Grupo 2",AND(H1175&gt;6666,H1175&lt;=10000),"Grupo 3")</f>
        <v>Grupo 2</v>
      </c>
    </row>
    <row r="1176" spans="1:17" x14ac:dyDescent="0.25">
      <c r="A1176" t="s">
        <v>186</v>
      </c>
      <c r="B1176" s="2">
        <v>45540.261805555558</v>
      </c>
      <c r="C1176" t="s">
        <v>346</v>
      </c>
      <c r="D1176" t="s">
        <v>214</v>
      </c>
      <c r="E1176">
        <v>3</v>
      </c>
      <c r="F1176">
        <v>1083.32</v>
      </c>
      <c r="G1176" t="s">
        <v>222</v>
      </c>
      <c r="H1176">
        <v>3249.96</v>
      </c>
      <c r="I1176">
        <v>2024</v>
      </c>
      <c r="J1176">
        <v>9</v>
      </c>
      <c r="K1176">
        <v>6</v>
      </c>
      <c r="L1176" s="14">
        <v>1083.32</v>
      </c>
      <c r="M1176" s="4" t="str">
        <f t="shared" si="72"/>
        <v>jueves</v>
      </c>
      <c r="N1176" s="4" t="str">
        <f t="shared" si="73"/>
        <v>septiembre</v>
      </c>
      <c r="O1176" s="4" t="str">
        <f t="shared" si="74"/>
        <v>SI</v>
      </c>
      <c r="P1176" s="4" t="str">
        <f t="shared" si="75"/>
        <v>SI</v>
      </c>
      <c r="Q1176" s="4" t="str" cm="1">
        <f t="array" ref="Q1176">_xlfn.IFS(AND(H1176&gt;=0,H1176&lt;=3333),"Grupo 1",AND(H1176&gt;3333,H1176&lt;=6666),"Grupo 2",AND(H1176&gt;6666,H1176&lt;=10000),"Grupo 3")</f>
        <v>Grupo 1</v>
      </c>
    </row>
    <row r="1177" spans="1:17" x14ac:dyDescent="0.25">
      <c r="A1177" t="s">
        <v>187</v>
      </c>
      <c r="B1177" s="2">
        <v>45783.684027777781</v>
      </c>
      <c r="C1177" t="s">
        <v>347</v>
      </c>
      <c r="D1177" t="s">
        <v>217</v>
      </c>
      <c r="E1177">
        <v>3</v>
      </c>
      <c r="F1177">
        <v>1542.71</v>
      </c>
      <c r="G1177" t="s">
        <v>220</v>
      </c>
      <c r="H1177">
        <v>4628.13</v>
      </c>
      <c r="I1177">
        <v>2025</v>
      </c>
      <c r="J1177">
        <v>5</v>
      </c>
      <c r="K1177">
        <v>16</v>
      </c>
      <c r="L1177" s="14">
        <v>1542.71</v>
      </c>
      <c r="M1177" s="4" t="str">
        <f t="shared" si="72"/>
        <v>martes</v>
      </c>
      <c r="N1177" s="4" t="str">
        <f t="shared" si="73"/>
        <v>mayo</v>
      </c>
      <c r="O1177" s="4" t="str">
        <f t="shared" si="74"/>
        <v>SI</v>
      </c>
      <c r="P1177" s="4" t="str">
        <f t="shared" si="75"/>
        <v>SI</v>
      </c>
      <c r="Q1177" s="4" t="str" cm="1">
        <f t="array" ref="Q1177">_xlfn.IFS(AND(H1177&gt;=0,H1177&lt;=3333),"Grupo 1",AND(H1177&gt;3333,H1177&lt;=6666),"Grupo 2",AND(H1177&gt;6666,H1177&lt;=10000),"Grupo 3")</f>
        <v>Grupo 2</v>
      </c>
    </row>
    <row r="1178" spans="1:17" x14ac:dyDescent="0.25">
      <c r="A1178" t="s">
        <v>188</v>
      </c>
      <c r="B1178" s="2">
        <v>45692.470138888893</v>
      </c>
      <c r="C1178" t="s">
        <v>348</v>
      </c>
      <c r="D1178" t="s">
        <v>215</v>
      </c>
      <c r="E1178">
        <v>5</v>
      </c>
      <c r="F1178">
        <v>723.8</v>
      </c>
      <c r="G1178" t="s">
        <v>220</v>
      </c>
      <c r="H1178">
        <v>3619</v>
      </c>
      <c r="I1178">
        <v>2025</v>
      </c>
      <c r="J1178">
        <v>2</v>
      </c>
      <c r="K1178">
        <v>11</v>
      </c>
      <c r="L1178" s="14">
        <v>723.8</v>
      </c>
      <c r="M1178" s="4" t="str">
        <f t="shared" si="72"/>
        <v>martes</v>
      </c>
      <c r="N1178" s="4" t="str">
        <f t="shared" si="73"/>
        <v>febrero</v>
      </c>
      <c r="O1178" s="4" t="str">
        <f t="shared" si="74"/>
        <v>SI</v>
      </c>
      <c r="P1178" s="4" t="str">
        <f t="shared" si="75"/>
        <v>NO</v>
      </c>
      <c r="Q1178" s="4" t="str" cm="1">
        <f t="array" ref="Q1178">_xlfn.IFS(AND(H1178&gt;=0,H1178&lt;=3333),"Grupo 1",AND(H1178&gt;3333,H1178&lt;=6666),"Grupo 2",AND(H1178&gt;6666,H1178&lt;=10000),"Grupo 3")</f>
        <v>Grupo 2</v>
      </c>
    </row>
    <row r="1179" spans="1:17" x14ac:dyDescent="0.25">
      <c r="A1179" t="s">
        <v>189</v>
      </c>
      <c r="B1179" s="2">
        <v>45186.410416666673</v>
      </c>
      <c r="C1179" t="s">
        <v>349</v>
      </c>
      <c r="D1179" t="s">
        <v>213</v>
      </c>
      <c r="E1179">
        <v>5</v>
      </c>
      <c r="F1179">
        <v>179.97</v>
      </c>
      <c r="G1179" t="s">
        <v>221</v>
      </c>
      <c r="H1179">
        <v>899.85</v>
      </c>
      <c r="I1179">
        <v>2023</v>
      </c>
      <c r="J1179">
        <v>9</v>
      </c>
      <c r="K1179">
        <v>9</v>
      </c>
      <c r="L1179" s="14">
        <v>179.97</v>
      </c>
      <c r="M1179" s="4" t="str">
        <f t="shared" si="72"/>
        <v>domingo</v>
      </c>
      <c r="N1179" s="4" t="str">
        <f t="shared" si="73"/>
        <v>septiembre</v>
      </c>
      <c r="O1179" s="4" t="str">
        <f t="shared" si="74"/>
        <v>NO</v>
      </c>
      <c r="P1179" s="4" t="str">
        <f t="shared" si="75"/>
        <v>NO</v>
      </c>
      <c r="Q1179" s="4" t="str" cm="1">
        <f t="array" ref="Q1179">_xlfn.IFS(AND(H1179&gt;=0,H1179&lt;=3333),"Grupo 1",AND(H1179&gt;3333,H1179&lt;=6666),"Grupo 2",AND(H1179&gt;6666,H1179&lt;=10000),"Grupo 3")</f>
        <v>Grupo 1</v>
      </c>
    </row>
    <row r="1180" spans="1:17" x14ac:dyDescent="0.25">
      <c r="A1180" t="s">
        <v>190</v>
      </c>
      <c r="B1180" s="2">
        <v>45539.616666666669</v>
      </c>
      <c r="C1180" t="s">
        <v>350</v>
      </c>
      <c r="D1180" t="s">
        <v>217</v>
      </c>
      <c r="E1180">
        <v>1</v>
      </c>
      <c r="F1180">
        <v>1318.43</v>
      </c>
      <c r="G1180" t="s">
        <v>220</v>
      </c>
      <c r="H1180">
        <v>1318.43</v>
      </c>
      <c r="I1180">
        <v>2024</v>
      </c>
      <c r="J1180">
        <v>9</v>
      </c>
      <c r="K1180">
        <v>14</v>
      </c>
      <c r="L1180" s="14">
        <v>1318.43</v>
      </c>
      <c r="M1180" s="4" t="str">
        <f t="shared" si="72"/>
        <v>miércoles</v>
      </c>
      <c r="N1180" s="4" t="str">
        <f t="shared" si="73"/>
        <v>septiembre</v>
      </c>
      <c r="O1180" s="4" t="str">
        <f t="shared" si="74"/>
        <v>NO</v>
      </c>
      <c r="P1180" s="4" t="str">
        <f t="shared" si="75"/>
        <v>SI</v>
      </c>
      <c r="Q1180" s="4" t="str" cm="1">
        <f t="array" ref="Q1180">_xlfn.IFS(AND(H1180&gt;=0,H1180&lt;=3333),"Grupo 1",AND(H1180&gt;3333,H1180&lt;=6666),"Grupo 2",AND(H1180&gt;6666,H1180&lt;=10000),"Grupo 3")</f>
        <v>Grupo 1</v>
      </c>
    </row>
    <row r="1181" spans="1:17" x14ac:dyDescent="0.25">
      <c r="A1181" t="s">
        <v>191</v>
      </c>
      <c r="B1181" s="2">
        <v>45073.392361111109</v>
      </c>
      <c r="C1181" t="s">
        <v>351</v>
      </c>
      <c r="D1181" t="s">
        <v>215</v>
      </c>
      <c r="E1181">
        <v>2</v>
      </c>
      <c r="F1181">
        <v>307.37</v>
      </c>
      <c r="G1181" t="s">
        <v>220</v>
      </c>
      <c r="H1181">
        <v>614.74</v>
      </c>
      <c r="I1181">
        <v>2023</v>
      </c>
      <c r="J1181">
        <v>5</v>
      </c>
      <c r="K1181">
        <v>9</v>
      </c>
      <c r="L1181" s="14">
        <v>307.37</v>
      </c>
      <c r="M1181" s="4" t="str">
        <f t="shared" si="72"/>
        <v>sábado</v>
      </c>
      <c r="N1181" s="4" t="str">
        <f t="shared" si="73"/>
        <v>mayo</v>
      </c>
      <c r="O1181" s="4" t="str">
        <f t="shared" si="74"/>
        <v>NO</v>
      </c>
      <c r="P1181" s="4" t="str">
        <f t="shared" si="75"/>
        <v>NO</v>
      </c>
      <c r="Q1181" s="4" t="str" cm="1">
        <f t="array" ref="Q1181">_xlfn.IFS(AND(H1181&gt;=0,H1181&lt;=3333),"Grupo 1",AND(H1181&gt;3333,H1181&lt;=6666),"Grupo 2",AND(H1181&gt;6666,H1181&lt;=10000),"Grupo 3")</f>
        <v>Grupo 1</v>
      </c>
    </row>
    <row r="1182" spans="1:17" x14ac:dyDescent="0.25">
      <c r="A1182" t="s">
        <v>192</v>
      </c>
      <c r="B1182" s="2">
        <v>45287.277777777781</v>
      </c>
      <c r="C1182" t="s">
        <v>352</v>
      </c>
      <c r="D1182" t="s">
        <v>214</v>
      </c>
      <c r="E1182">
        <v>1</v>
      </c>
      <c r="F1182">
        <v>1364.97</v>
      </c>
      <c r="G1182" t="s">
        <v>222</v>
      </c>
      <c r="H1182">
        <v>1364.97</v>
      </c>
      <c r="I1182">
        <v>2023</v>
      </c>
      <c r="J1182">
        <v>12</v>
      </c>
      <c r="K1182">
        <v>6</v>
      </c>
      <c r="L1182" s="14">
        <v>1364.97</v>
      </c>
      <c r="M1182" s="4" t="str">
        <f t="shared" si="72"/>
        <v>miércoles</v>
      </c>
      <c r="N1182" s="4" t="str">
        <f t="shared" si="73"/>
        <v>diciembre</v>
      </c>
      <c r="O1182" s="4" t="str">
        <f t="shared" si="74"/>
        <v>NO</v>
      </c>
      <c r="P1182" s="4" t="str">
        <f t="shared" si="75"/>
        <v>SI</v>
      </c>
      <c r="Q1182" s="4" t="str" cm="1">
        <f t="array" ref="Q1182">_xlfn.IFS(AND(H1182&gt;=0,H1182&lt;=3333),"Grupo 1",AND(H1182&gt;3333,H1182&lt;=6666),"Grupo 2",AND(H1182&gt;6666,H1182&lt;=10000),"Grupo 3")</f>
        <v>Grupo 1</v>
      </c>
    </row>
    <row r="1183" spans="1:17" x14ac:dyDescent="0.25">
      <c r="A1183" t="s">
        <v>193</v>
      </c>
      <c r="B1183" s="2">
        <v>45398.678472222222</v>
      </c>
      <c r="C1183" t="s">
        <v>353</v>
      </c>
      <c r="D1183" t="s">
        <v>219</v>
      </c>
      <c r="E1183">
        <v>3</v>
      </c>
      <c r="F1183">
        <v>244.23</v>
      </c>
      <c r="G1183" t="s">
        <v>221</v>
      </c>
      <c r="H1183">
        <v>732.68999999999994</v>
      </c>
      <c r="I1183">
        <v>2024</v>
      </c>
      <c r="J1183">
        <v>4</v>
      </c>
      <c r="K1183">
        <v>16</v>
      </c>
      <c r="L1183" s="14">
        <v>244.23</v>
      </c>
      <c r="M1183" s="4" t="str">
        <f t="shared" si="72"/>
        <v>martes</v>
      </c>
      <c r="N1183" s="4" t="str">
        <f t="shared" si="73"/>
        <v>abril</v>
      </c>
      <c r="O1183" s="4" t="str">
        <f t="shared" si="74"/>
        <v>NO</v>
      </c>
      <c r="P1183" s="4" t="str">
        <f t="shared" si="75"/>
        <v>NO</v>
      </c>
      <c r="Q1183" s="4" t="str" cm="1">
        <f t="array" ref="Q1183">_xlfn.IFS(AND(H1183&gt;=0,H1183&lt;=3333),"Grupo 1",AND(H1183&gt;3333,H1183&lt;=6666),"Grupo 2",AND(H1183&gt;6666,H1183&lt;=10000),"Grupo 3")</f>
        <v>Grupo 1</v>
      </c>
    </row>
    <row r="1184" spans="1:17" x14ac:dyDescent="0.25">
      <c r="A1184" t="s">
        <v>194</v>
      </c>
      <c r="B1184" s="2">
        <v>44949.395833333343</v>
      </c>
      <c r="C1184" t="s">
        <v>354</v>
      </c>
      <c r="D1184" t="s">
        <v>216</v>
      </c>
      <c r="E1184">
        <v>3</v>
      </c>
      <c r="F1184">
        <v>245.64</v>
      </c>
      <c r="G1184" t="s">
        <v>221</v>
      </c>
      <c r="H1184">
        <v>736.92</v>
      </c>
      <c r="I1184">
        <v>2023</v>
      </c>
      <c r="J1184">
        <v>1</v>
      </c>
      <c r="K1184">
        <v>9</v>
      </c>
      <c r="L1184" s="14">
        <v>245.64</v>
      </c>
      <c r="M1184" s="4" t="str">
        <f t="shared" si="72"/>
        <v>lunes</v>
      </c>
      <c r="N1184" s="4" t="str">
        <f t="shared" si="73"/>
        <v>enero</v>
      </c>
      <c r="O1184" s="4" t="str">
        <f t="shared" si="74"/>
        <v>NO</v>
      </c>
      <c r="P1184" s="4" t="str">
        <f t="shared" si="75"/>
        <v>NO</v>
      </c>
      <c r="Q1184" s="4" t="str" cm="1">
        <f t="array" ref="Q1184">_xlfn.IFS(AND(H1184&gt;=0,H1184&lt;=3333),"Grupo 1",AND(H1184&gt;3333,H1184&lt;=6666),"Grupo 2",AND(H1184&gt;6666,H1184&lt;=10000),"Grupo 3")</f>
        <v>Grupo 1</v>
      </c>
    </row>
    <row r="1185" spans="1:17" x14ac:dyDescent="0.25">
      <c r="A1185" t="s">
        <v>195</v>
      </c>
      <c r="B1185" s="2">
        <v>45560.538194444453</v>
      </c>
      <c r="C1185" t="s">
        <v>355</v>
      </c>
      <c r="D1185" t="s">
        <v>216</v>
      </c>
      <c r="E1185">
        <v>1</v>
      </c>
      <c r="F1185">
        <v>1501.34</v>
      </c>
      <c r="G1185" t="s">
        <v>221</v>
      </c>
      <c r="H1185">
        <v>1501.34</v>
      </c>
      <c r="I1185">
        <v>2024</v>
      </c>
      <c r="J1185">
        <v>9</v>
      </c>
      <c r="K1185">
        <v>12</v>
      </c>
      <c r="L1185" s="14">
        <v>1501.34</v>
      </c>
      <c r="M1185" s="4" t="str">
        <f t="shared" si="72"/>
        <v>miércoles</v>
      </c>
      <c r="N1185" s="4" t="str">
        <f t="shared" si="73"/>
        <v>septiembre</v>
      </c>
      <c r="O1185" s="4" t="str">
        <f t="shared" si="74"/>
        <v>NO</v>
      </c>
      <c r="P1185" s="4" t="str">
        <f t="shared" si="75"/>
        <v>SI</v>
      </c>
      <c r="Q1185" s="4" t="str" cm="1">
        <f t="array" ref="Q1185">_xlfn.IFS(AND(H1185&gt;=0,H1185&lt;=3333),"Grupo 1",AND(H1185&gt;3333,H1185&lt;=6666),"Grupo 2",AND(H1185&gt;6666,H1185&lt;=10000),"Grupo 3")</f>
        <v>Grupo 1</v>
      </c>
    </row>
    <row r="1186" spans="1:17" x14ac:dyDescent="0.25">
      <c r="A1186" t="s">
        <v>196</v>
      </c>
      <c r="B1186" s="2">
        <v>45636.231249999997</v>
      </c>
      <c r="C1186" t="s">
        <v>356</v>
      </c>
      <c r="D1186" t="s">
        <v>213</v>
      </c>
      <c r="E1186">
        <v>4</v>
      </c>
      <c r="F1186">
        <v>995.18</v>
      </c>
      <c r="G1186" t="s">
        <v>221</v>
      </c>
      <c r="H1186">
        <v>3980.72</v>
      </c>
      <c r="I1186">
        <v>2024</v>
      </c>
      <c r="J1186">
        <v>12</v>
      </c>
      <c r="K1186">
        <v>5</v>
      </c>
      <c r="L1186" s="14">
        <v>995.18</v>
      </c>
      <c r="M1186" s="4" t="str">
        <f t="shared" si="72"/>
        <v>martes</v>
      </c>
      <c r="N1186" s="4" t="str">
        <f t="shared" si="73"/>
        <v>diciembre</v>
      </c>
      <c r="O1186" s="4" t="str">
        <f t="shared" si="74"/>
        <v>SI</v>
      </c>
      <c r="P1186" s="4" t="str">
        <f t="shared" si="75"/>
        <v>SI</v>
      </c>
      <c r="Q1186" s="4" t="str" cm="1">
        <f t="array" ref="Q1186">_xlfn.IFS(AND(H1186&gt;=0,H1186&lt;=3333),"Grupo 1",AND(H1186&gt;3333,H1186&lt;=6666),"Grupo 2",AND(H1186&gt;6666,H1186&lt;=10000),"Grupo 3")</f>
        <v>Grupo 2</v>
      </c>
    </row>
    <row r="1187" spans="1:17" x14ac:dyDescent="0.25">
      <c r="A1187" t="s">
        <v>197</v>
      </c>
      <c r="B1187" s="2">
        <v>45218.252083333333</v>
      </c>
      <c r="C1187" t="s">
        <v>357</v>
      </c>
      <c r="D1187" t="s">
        <v>213</v>
      </c>
      <c r="E1187">
        <v>2</v>
      </c>
      <c r="F1187">
        <v>1834.72</v>
      </c>
      <c r="G1187" t="s">
        <v>221</v>
      </c>
      <c r="H1187">
        <v>3669.44</v>
      </c>
      <c r="I1187">
        <v>2023</v>
      </c>
      <c r="J1187">
        <v>10</v>
      </c>
      <c r="K1187">
        <v>6</v>
      </c>
      <c r="L1187" s="14">
        <v>1834.72</v>
      </c>
      <c r="M1187" s="4" t="str">
        <f t="shared" si="72"/>
        <v>jueves</v>
      </c>
      <c r="N1187" s="4" t="str">
        <f t="shared" si="73"/>
        <v>octubre</v>
      </c>
      <c r="O1187" s="4" t="str">
        <f t="shared" si="74"/>
        <v>SI</v>
      </c>
      <c r="P1187" s="4" t="str">
        <f t="shared" si="75"/>
        <v>SI</v>
      </c>
      <c r="Q1187" s="4" t="str" cm="1">
        <f t="array" ref="Q1187">_xlfn.IFS(AND(H1187&gt;=0,H1187&lt;=3333),"Grupo 1",AND(H1187&gt;3333,H1187&lt;=6666),"Grupo 2",AND(H1187&gt;6666,H1187&lt;=10000),"Grupo 3")</f>
        <v>Grupo 2</v>
      </c>
    </row>
    <row r="1188" spans="1:17" x14ac:dyDescent="0.25">
      <c r="A1188" t="s">
        <v>198</v>
      </c>
      <c r="B1188" s="2">
        <v>45615.827777777777</v>
      </c>
      <c r="C1188" t="s">
        <v>358</v>
      </c>
      <c r="D1188" t="s">
        <v>219</v>
      </c>
      <c r="E1188">
        <v>2</v>
      </c>
      <c r="F1188">
        <v>1942.31</v>
      </c>
      <c r="G1188" t="s">
        <v>221</v>
      </c>
      <c r="H1188">
        <v>3884.62</v>
      </c>
      <c r="I1188">
        <v>2024</v>
      </c>
      <c r="J1188">
        <v>11</v>
      </c>
      <c r="K1188">
        <v>19</v>
      </c>
      <c r="L1188" s="14">
        <v>1942.31</v>
      </c>
      <c r="M1188" s="4" t="str">
        <f t="shared" si="72"/>
        <v>martes</v>
      </c>
      <c r="N1188" s="4" t="str">
        <f t="shared" si="73"/>
        <v>noviembre</v>
      </c>
      <c r="O1188" s="4" t="str">
        <f t="shared" si="74"/>
        <v>SI</v>
      </c>
      <c r="P1188" s="4" t="str">
        <f t="shared" si="75"/>
        <v>SI</v>
      </c>
      <c r="Q1188" s="4" t="str" cm="1">
        <f t="array" ref="Q1188">_xlfn.IFS(AND(H1188&gt;=0,H1188&lt;=3333),"Grupo 1",AND(H1188&gt;3333,H1188&lt;=6666),"Grupo 2",AND(H1188&gt;6666,H1188&lt;=10000),"Grupo 3")</f>
        <v>Grupo 2</v>
      </c>
    </row>
    <row r="1189" spans="1:17" x14ac:dyDescent="0.25">
      <c r="A1189" t="s">
        <v>199</v>
      </c>
      <c r="B1189" s="2">
        <v>45755.705555555563</v>
      </c>
      <c r="C1189" t="s">
        <v>359</v>
      </c>
      <c r="D1189" t="s">
        <v>219</v>
      </c>
      <c r="E1189">
        <v>3</v>
      </c>
      <c r="F1189">
        <v>1025.57</v>
      </c>
      <c r="G1189" t="s">
        <v>221</v>
      </c>
      <c r="H1189">
        <v>3076.71</v>
      </c>
      <c r="I1189">
        <v>2025</v>
      </c>
      <c r="J1189">
        <v>4</v>
      </c>
      <c r="K1189">
        <v>16</v>
      </c>
      <c r="L1189" s="14">
        <v>1025.57</v>
      </c>
      <c r="M1189" s="4" t="str">
        <f t="shared" si="72"/>
        <v>martes</v>
      </c>
      <c r="N1189" s="4" t="str">
        <f t="shared" si="73"/>
        <v>abril</v>
      </c>
      <c r="O1189" s="4" t="str">
        <f t="shared" si="74"/>
        <v>SI</v>
      </c>
      <c r="P1189" s="4" t="str">
        <f t="shared" si="75"/>
        <v>SI</v>
      </c>
      <c r="Q1189" s="4" t="str" cm="1">
        <f t="array" ref="Q1189">_xlfn.IFS(AND(H1189&gt;=0,H1189&lt;=3333),"Grupo 1",AND(H1189&gt;3333,H1189&lt;=6666),"Grupo 2",AND(H1189&gt;6666,H1189&lt;=10000),"Grupo 3")</f>
        <v>Grupo 1</v>
      </c>
    </row>
    <row r="1190" spans="1:17" x14ac:dyDescent="0.25">
      <c r="A1190" t="s">
        <v>200</v>
      </c>
      <c r="B1190" s="2">
        <v>44962.009722222218</v>
      </c>
      <c r="C1190" t="s">
        <v>261</v>
      </c>
      <c r="D1190" t="s">
        <v>215</v>
      </c>
      <c r="E1190">
        <v>4</v>
      </c>
      <c r="F1190">
        <v>555.19000000000005</v>
      </c>
      <c r="G1190" t="s">
        <v>220</v>
      </c>
      <c r="H1190">
        <v>2220.7600000000002</v>
      </c>
      <c r="I1190">
        <v>2023</v>
      </c>
      <c r="J1190">
        <v>2</v>
      </c>
      <c r="K1190">
        <v>0</v>
      </c>
      <c r="L1190" s="14">
        <v>555.19000000000005</v>
      </c>
      <c r="M1190" s="4" t="str">
        <f t="shared" si="72"/>
        <v>domingo</v>
      </c>
      <c r="N1190" s="4" t="str">
        <f t="shared" si="73"/>
        <v>febrero</v>
      </c>
      <c r="O1190" s="4" t="str">
        <f t="shared" si="74"/>
        <v>NO</v>
      </c>
      <c r="P1190" s="4" t="str">
        <f t="shared" si="75"/>
        <v>NO</v>
      </c>
      <c r="Q1190" s="4" t="str" cm="1">
        <f t="array" ref="Q1190">_xlfn.IFS(AND(H1190&gt;=0,H1190&lt;=3333),"Grupo 1",AND(H1190&gt;3333,H1190&lt;=6666),"Grupo 2",AND(H1190&gt;6666,H1190&lt;=10000),"Grupo 3")</f>
        <v>Grupo 1</v>
      </c>
    </row>
    <row r="1191" spans="1:17" x14ac:dyDescent="0.25">
      <c r="A1191" t="s">
        <v>201</v>
      </c>
      <c r="B1191" s="2">
        <v>45194.675000000003</v>
      </c>
      <c r="C1191" t="s">
        <v>262</v>
      </c>
      <c r="D1191" t="s">
        <v>214</v>
      </c>
      <c r="E1191">
        <v>5</v>
      </c>
      <c r="F1191">
        <v>750.82</v>
      </c>
      <c r="G1191" t="s">
        <v>222</v>
      </c>
      <c r="H1191">
        <v>3754.1</v>
      </c>
      <c r="I1191">
        <v>2023</v>
      </c>
      <c r="J1191">
        <v>9</v>
      </c>
      <c r="K1191">
        <v>16</v>
      </c>
      <c r="L1191" s="14">
        <v>750.82</v>
      </c>
      <c r="M1191" s="4" t="str">
        <f t="shared" si="72"/>
        <v>lunes</v>
      </c>
      <c r="N1191" s="4" t="str">
        <f t="shared" si="73"/>
        <v>septiembre</v>
      </c>
      <c r="O1191" s="4" t="str">
        <f t="shared" si="74"/>
        <v>SI</v>
      </c>
      <c r="P1191" s="4" t="str">
        <f t="shared" si="75"/>
        <v>NO</v>
      </c>
      <c r="Q1191" s="4" t="str" cm="1">
        <f t="array" ref="Q1191">_xlfn.IFS(AND(H1191&gt;=0,H1191&lt;=3333),"Grupo 1",AND(H1191&gt;3333,H1191&lt;=6666),"Grupo 2",AND(H1191&gt;6666,H1191&lt;=10000),"Grupo 3")</f>
        <v>Grupo 2</v>
      </c>
    </row>
    <row r="1192" spans="1:17" x14ac:dyDescent="0.25">
      <c r="A1192" t="s">
        <v>202</v>
      </c>
      <c r="B1192" s="2">
        <v>45818.179861111108</v>
      </c>
      <c r="C1192" t="s">
        <v>263</v>
      </c>
      <c r="D1192" t="s">
        <v>215</v>
      </c>
      <c r="E1192">
        <v>2</v>
      </c>
      <c r="F1192">
        <v>1609.9</v>
      </c>
      <c r="G1192" t="s">
        <v>220</v>
      </c>
      <c r="H1192">
        <v>3219.8</v>
      </c>
      <c r="I1192">
        <v>2025</v>
      </c>
      <c r="J1192">
        <v>6</v>
      </c>
      <c r="K1192">
        <v>4</v>
      </c>
      <c r="L1192" s="14">
        <v>1609.9</v>
      </c>
      <c r="M1192" s="4" t="str">
        <f t="shared" si="72"/>
        <v>martes</v>
      </c>
      <c r="N1192" s="4" t="str">
        <f t="shared" si="73"/>
        <v>junio</v>
      </c>
      <c r="O1192" s="4" t="str">
        <f t="shared" si="74"/>
        <v>SI</v>
      </c>
      <c r="P1192" s="4" t="str">
        <f t="shared" si="75"/>
        <v>SI</v>
      </c>
      <c r="Q1192" s="4" t="str" cm="1">
        <f t="array" ref="Q1192">_xlfn.IFS(AND(H1192&gt;=0,H1192&lt;=3333),"Grupo 1",AND(H1192&gt;3333,H1192&lt;=6666),"Grupo 2",AND(H1192&gt;6666,H1192&lt;=10000),"Grupo 3")</f>
        <v>Grupo 1</v>
      </c>
    </row>
    <row r="1193" spans="1:17" x14ac:dyDescent="0.25">
      <c r="A1193" t="s">
        <v>203</v>
      </c>
      <c r="B1193" s="2">
        <v>45755.011111111111</v>
      </c>
      <c r="C1193" t="s">
        <v>264</v>
      </c>
      <c r="D1193" t="s">
        <v>214</v>
      </c>
      <c r="E1193">
        <v>3</v>
      </c>
      <c r="F1193">
        <v>27.89</v>
      </c>
      <c r="G1193" t="s">
        <v>222</v>
      </c>
      <c r="H1193">
        <v>83.67</v>
      </c>
      <c r="I1193">
        <v>2025</v>
      </c>
      <c r="J1193">
        <v>4</v>
      </c>
      <c r="K1193">
        <v>0</v>
      </c>
      <c r="L1193" s="14">
        <v>27.89</v>
      </c>
      <c r="M1193" s="4" t="str">
        <f t="shared" si="72"/>
        <v>martes</v>
      </c>
      <c r="N1193" s="4" t="str">
        <f t="shared" si="73"/>
        <v>abril</v>
      </c>
      <c r="O1193" s="4" t="str">
        <f t="shared" si="74"/>
        <v>NO</v>
      </c>
      <c r="P1193" s="4" t="str">
        <f t="shared" si="75"/>
        <v>NO</v>
      </c>
      <c r="Q1193" s="4" t="str" cm="1">
        <f t="array" ref="Q1193">_xlfn.IFS(AND(H1193&gt;=0,H1193&lt;=3333),"Grupo 1",AND(H1193&gt;3333,H1193&lt;=6666),"Grupo 2",AND(H1193&gt;6666,H1193&lt;=10000),"Grupo 3")</f>
        <v>Grupo 1</v>
      </c>
    </row>
    <row r="1194" spans="1:17" x14ac:dyDescent="0.25">
      <c r="A1194" t="s">
        <v>204</v>
      </c>
      <c r="B1194" s="2">
        <v>45862.584722222222</v>
      </c>
      <c r="C1194" t="s">
        <v>265</v>
      </c>
      <c r="D1194" t="s">
        <v>219</v>
      </c>
      <c r="E1194">
        <v>1</v>
      </c>
      <c r="F1194">
        <v>1700.54</v>
      </c>
      <c r="G1194" t="s">
        <v>221</v>
      </c>
      <c r="H1194">
        <v>1700.54</v>
      </c>
      <c r="I1194">
        <v>2025</v>
      </c>
      <c r="J1194">
        <v>7</v>
      </c>
      <c r="K1194">
        <v>14</v>
      </c>
      <c r="L1194" s="14">
        <v>1700.54</v>
      </c>
      <c r="M1194" s="4" t="str">
        <f t="shared" si="72"/>
        <v>jueves</v>
      </c>
      <c r="N1194" s="4" t="str">
        <f t="shared" si="73"/>
        <v>julio</v>
      </c>
      <c r="O1194" s="4" t="str">
        <f t="shared" si="74"/>
        <v>NO</v>
      </c>
      <c r="P1194" s="4" t="str">
        <f t="shared" si="75"/>
        <v>SI</v>
      </c>
      <c r="Q1194" s="4" t="str" cm="1">
        <f t="array" ref="Q1194">_xlfn.IFS(AND(H1194&gt;=0,H1194&lt;=3333),"Grupo 1",AND(H1194&gt;3333,H1194&lt;=6666),"Grupo 2",AND(H1194&gt;6666,H1194&lt;=10000),"Grupo 3")</f>
        <v>Grupo 1</v>
      </c>
    </row>
    <row r="1195" spans="1:17" x14ac:dyDescent="0.25">
      <c r="A1195" t="s">
        <v>205</v>
      </c>
      <c r="B1195" s="2">
        <v>45802.370833333327</v>
      </c>
      <c r="C1195" t="s">
        <v>266</v>
      </c>
      <c r="D1195" t="s">
        <v>219</v>
      </c>
      <c r="E1195">
        <v>3</v>
      </c>
      <c r="F1195">
        <v>473.4</v>
      </c>
      <c r="G1195" t="s">
        <v>221</v>
      </c>
      <c r="H1195">
        <v>1420.2</v>
      </c>
      <c r="I1195">
        <v>2025</v>
      </c>
      <c r="J1195">
        <v>5</v>
      </c>
      <c r="K1195">
        <v>8</v>
      </c>
      <c r="L1195" s="14">
        <v>473.39999999999992</v>
      </c>
      <c r="M1195" s="4" t="str">
        <f t="shared" si="72"/>
        <v>domingo</v>
      </c>
      <c r="N1195" s="4" t="str">
        <f t="shared" si="73"/>
        <v>mayo</v>
      </c>
      <c r="O1195" s="4" t="str">
        <f t="shared" si="74"/>
        <v>NO</v>
      </c>
      <c r="P1195" s="4" t="str">
        <f t="shared" si="75"/>
        <v>NO</v>
      </c>
      <c r="Q1195" s="4" t="str" cm="1">
        <f t="array" ref="Q1195">_xlfn.IFS(AND(H1195&gt;=0,H1195&lt;=3333),"Grupo 1",AND(H1195&gt;3333,H1195&lt;=6666),"Grupo 2",AND(H1195&gt;6666,H1195&lt;=10000),"Grupo 3")</f>
        <v>Grupo 1</v>
      </c>
    </row>
    <row r="1196" spans="1:17" x14ac:dyDescent="0.25">
      <c r="A1196" t="s">
        <v>206</v>
      </c>
      <c r="B1196" s="2">
        <v>45178.038888888892</v>
      </c>
      <c r="C1196" t="s">
        <v>267</v>
      </c>
      <c r="D1196" t="s">
        <v>215</v>
      </c>
      <c r="E1196">
        <v>1</v>
      </c>
      <c r="F1196">
        <v>521.32000000000005</v>
      </c>
      <c r="G1196" t="s">
        <v>220</v>
      </c>
      <c r="H1196">
        <v>521.32000000000005</v>
      </c>
      <c r="I1196">
        <v>2023</v>
      </c>
      <c r="J1196">
        <v>9</v>
      </c>
      <c r="K1196">
        <v>0</v>
      </c>
      <c r="L1196" s="14">
        <v>521.32000000000005</v>
      </c>
      <c r="M1196" s="4" t="str">
        <f t="shared" si="72"/>
        <v>sábado</v>
      </c>
      <c r="N1196" s="4" t="str">
        <f t="shared" si="73"/>
        <v>septiembre</v>
      </c>
      <c r="O1196" s="4" t="str">
        <f t="shared" si="74"/>
        <v>NO</v>
      </c>
      <c r="P1196" s="4" t="str">
        <f t="shared" si="75"/>
        <v>NO</v>
      </c>
      <c r="Q1196" s="4" t="str" cm="1">
        <f t="array" ref="Q1196">_xlfn.IFS(AND(H1196&gt;=0,H1196&lt;=3333),"Grupo 1",AND(H1196&gt;3333,H1196&lt;=6666),"Grupo 2",AND(H1196&gt;6666,H1196&lt;=10000),"Grupo 3")</f>
        <v>Grupo 1</v>
      </c>
    </row>
    <row r="1197" spans="1:17" x14ac:dyDescent="0.25">
      <c r="A1197" t="s">
        <v>207</v>
      </c>
      <c r="B1197" s="2">
        <v>45748.34097222222</v>
      </c>
      <c r="C1197" t="s">
        <v>268</v>
      </c>
      <c r="D1197" t="s">
        <v>213</v>
      </c>
      <c r="E1197">
        <v>1</v>
      </c>
      <c r="F1197">
        <v>1067.6400000000001</v>
      </c>
      <c r="G1197" t="s">
        <v>221</v>
      </c>
      <c r="H1197">
        <v>1067.6400000000001</v>
      </c>
      <c r="I1197">
        <v>2025</v>
      </c>
      <c r="J1197">
        <v>4</v>
      </c>
      <c r="K1197">
        <v>8</v>
      </c>
      <c r="L1197" s="14">
        <v>1067.6400000000001</v>
      </c>
      <c r="M1197" s="4" t="str">
        <f t="shared" si="72"/>
        <v>martes</v>
      </c>
      <c r="N1197" s="4" t="str">
        <f t="shared" si="73"/>
        <v>abril</v>
      </c>
      <c r="O1197" s="4" t="str">
        <f t="shared" si="74"/>
        <v>NO</v>
      </c>
      <c r="P1197" s="4" t="str">
        <f t="shared" si="75"/>
        <v>SI</v>
      </c>
      <c r="Q1197" s="4" t="str" cm="1">
        <f t="array" ref="Q1197">_xlfn.IFS(AND(H1197&gt;=0,H1197&lt;=3333),"Grupo 1",AND(H1197&gt;3333,H1197&lt;=6666),"Grupo 2",AND(H1197&gt;6666,H1197&lt;=10000),"Grupo 3")</f>
        <v>Grupo 1</v>
      </c>
    </row>
    <row r="1198" spans="1:17" x14ac:dyDescent="0.25">
      <c r="A1198" t="s">
        <v>208</v>
      </c>
      <c r="B1198" s="2">
        <v>45055.556250000001</v>
      </c>
      <c r="C1198" t="s">
        <v>269</v>
      </c>
      <c r="D1198" t="s">
        <v>218</v>
      </c>
      <c r="E1198">
        <v>1</v>
      </c>
      <c r="F1198">
        <v>1903.64</v>
      </c>
      <c r="G1198" t="s">
        <v>221</v>
      </c>
      <c r="H1198">
        <v>1903.64</v>
      </c>
      <c r="I1198">
        <v>2023</v>
      </c>
      <c r="J1198">
        <v>5</v>
      </c>
      <c r="K1198">
        <v>13</v>
      </c>
      <c r="L1198" s="14">
        <v>1903.64</v>
      </c>
      <c r="M1198" s="4" t="str">
        <f t="shared" si="72"/>
        <v>martes</v>
      </c>
      <c r="N1198" s="4" t="str">
        <f t="shared" si="73"/>
        <v>mayo</v>
      </c>
      <c r="O1198" s="4" t="str">
        <f t="shared" si="74"/>
        <v>NO</v>
      </c>
      <c r="P1198" s="4" t="str">
        <f t="shared" si="75"/>
        <v>SI</v>
      </c>
      <c r="Q1198" s="4" t="str" cm="1">
        <f t="array" ref="Q1198">_xlfn.IFS(AND(H1198&gt;=0,H1198&lt;=3333),"Grupo 1",AND(H1198&gt;3333,H1198&lt;=6666),"Grupo 2",AND(H1198&gt;6666,H1198&lt;=10000),"Grupo 3")</f>
        <v>Grupo 1</v>
      </c>
    </row>
    <row r="1199" spans="1:17" x14ac:dyDescent="0.25">
      <c r="A1199" t="s">
        <v>209</v>
      </c>
      <c r="B1199" s="2">
        <v>44958.773611111108</v>
      </c>
      <c r="C1199" t="s">
        <v>270</v>
      </c>
      <c r="D1199" t="s">
        <v>214</v>
      </c>
      <c r="E1199">
        <v>2</v>
      </c>
      <c r="F1199">
        <v>1460.16</v>
      </c>
      <c r="G1199" t="s">
        <v>222</v>
      </c>
      <c r="H1199">
        <v>2920.32</v>
      </c>
      <c r="I1199">
        <v>2023</v>
      </c>
      <c r="J1199">
        <v>2</v>
      </c>
      <c r="K1199">
        <v>18</v>
      </c>
      <c r="L1199" s="14">
        <v>1460.16</v>
      </c>
      <c r="M1199" s="4" t="str">
        <f t="shared" si="72"/>
        <v>miércoles</v>
      </c>
      <c r="N1199" s="4" t="str">
        <f t="shared" si="73"/>
        <v>febrero</v>
      </c>
      <c r="O1199" s="4" t="str">
        <f t="shared" si="74"/>
        <v>SI</v>
      </c>
      <c r="P1199" s="4" t="str">
        <f t="shared" si="75"/>
        <v>SI</v>
      </c>
      <c r="Q1199" s="4" t="str" cm="1">
        <f t="array" ref="Q1199">_xlfn.IFS(AND(H1199&gt;=0,H1199&lt;=3333),"Grupo 1",AND(H1199&gt;3333,H1199&lt;=6666),"Grupo 2",AND(H1199&gt;6666,H1199&lt;=10000),"Grupo 3")</f>
        <v>Grupo 1</v>
      </c>
    </row>
    <row r="1200" spans="1:17" x14ac:dyDescent="0.25">
      <c r="A1200" t="s">
        <v>210</v>
      </c>
      <c r="B1200" s="2">
        <v>45816.563888888893</v>
      </c>
      <c r="C1200" t="s">
        <v>271</v>
      </c>
      <c r="D1200" t="s">
        <v>212</v>
      </c>
      <c r="E1200">
        <v>4</v>
      </c>
      <c r="F1200">
        <v>847</v>
      </c>
      <c r="G1200" t="s">
        <v>220</v>
      </c>
      <c r="H1200">
        <v>3388</v>
      </c>
      <c r="I1200">
        <v>2025</v>
      </c>
      <c r="J1200">
        <v>6</v>
      </c>
      <c r="K1200">
        <v>13</v>
      </c>
      <c r="L1200" s="14">
        <v>847</v>
      </c>
      <c r="M1200" s="4" t="str">
        <f t="shared" si="72"/>
        <v>domingo</v>
      </c>
      <c r="N1200" s="4" t="str">
        <f t="shared" si="73"/>
        <v>junio</v>
      </c>
      <c r="O1200" s="4" t="str">
        <f t="shared" si="74"/>
        <v>SI</v>
      </c>
      <c r="P1200" s="4" t="str">
        <f t="shared" si="75"/>
        <v>NO</v>
      </c>
      <c r="Q1200" s="4" t="str" cm="1">
        <f t="array" ref="Q1200">_xlfn.IFS(AND(H1200&gt;=0,H1200&lt;=3333),"Grupo 1",AND(H1200&gt;3333,H1200&lt;=6666),"Grupo 2",AND(H1200&gt;6666,H1200&lt;=10000),"Grupo 3")</f>
        <v>Grupo 2</v>
      </c>
    </row>
    <row r="1201" spans="1:17" x14ac:dyDescent="0.25">
      <c r="A1201" t="s">
        <v>211</v>
      </c>
      <c r="B1201" s="2">
        <v>45089.396527777782</v>
      </c>
      <c r="C1201" t="s">
        <v>272</v>
      </c>
      <c r="D1201" t="s">
        <v>218</v>
      </c>
      <c r="E1201">
        <v>2</v>
      </c>
      <c r="F1201">
        <v>1243.3399999999999</v>
      </c>
      <c r="G1201" t="s">
        <v>221</v>
      </c>
      <c r="H1201">
        <v>2486.6799999999998</v>
      </c>
      <c r="I1201">
        <v>2023</v>
      </c>
      <c r="J1201">
        <v>6</v>
      </c>
      <c r="K1201">
        <v>9</v>
      </c>
      <c r="L1201" s="14">
        <v>1243.3399999999999</v>
      </c>
      <c r="M1201" s="4" t="str">
        <f t="shared" si="72"/>
        <v>lunes</v>
      </c>
      <c r="N1201" s="4" t="str">
        <f t="shared" si="73"/>
        <v>junio</v>
      </c>
      <c r="O1201" s="4" t="str">
        <f t="shared" si="74"/>
        <v>NO</v>
      </c>
      <c r="P1201" s="4" t="str">
        <f t="shared" si="75"/>
        <v>SI</v>
      </c>
      <c r="Q1201" s="4" t="str" cm="1">
        <f t="array" ref="Q1201">_xlfn.IFS(AND(H1201&gt;=0,H1201&lt;=3333),"Grupo 1",AND(H1201&gt;3333,H1201&lt;=6666),"Grupo 2",AND(H1201&gt;6666,H1201&lt;=10000),"Grupo 3")</f>
        <v>Grupo 1</v>
      </c>
    </row>
    <row r="1202" spans="1:17" x14ac:dyDescent="0.25">
      <c r="A1202" t="s">
        <v>12</v>
      </c>
      <c r="B1202" s="2">
        <v>45280.478472222218</v>
      </c>
      <c r="C1202" t="s">
        <v>273</v>
      </c>
      <c r="D1202" t="s">
        <v>212</v>
      </c>
      <c r="E1202">
        <v>5</v>
      </c>
      <c r="F1202">
        <v>1497.24</v>
      </c>
      <c r="G1202" t="s">
        <v>220</v>
      </c>
      <c r="H1202">
        <v>7486.2</v>
      </c>
      <c r="I1202">
        <v>2023</v>
      </c>
      <c r="J1202">
        <v>12</v>
      </c>
      <c r="K1202">
        <v>11</v>
      </c>
      <c r="L1202" s="14">
        <v>1497.24</v>
      </c>
      <c r="M1202" s="4" t="str">
        <f t="shared" si="72"/>
        <v>miércoles</v>
      </c>
      <c r="N1202" s="4" t="str">
        <f t="shared" si="73"/>
        <v>diciembre</v>
      </c>
      <c r="O1202" s="4" t="str">
        <f t="shared" si="74"/>
        <v>SI</v>
      </c>
      <c r="P1202" s="4" t="str">
        <f t="shared" si="75"/>
        <v>SI</v>
      </c>
      <c r="Q1202" s="4" t="str" cm="1">
        <f t="array" ref="Q1202">_xlfn.IFS(AND(H1202&gt;=0,H1202&lt;=3333),"Grupo 1",AND(H1202&gt;3333,H1202&lt;=6666),"Grupo 2",AND(H1202&gt;6666,H1202&lt;=10000),"Grupo 3")</f>
        <v>Grupo 3</v>
      </c>
    </row>
    <row r="1203" spans="1:17" x14ac:dyDescent="0.25">
      <c r="A1203" t="s">
        <v>13</v>
      </c>
      <c r="B1203" s="2">
        <v>45008.840277777781</v>
      </c>
      <c r="C1203" t="s">
        <v>274</v>
      </c>
      <c r="D1203" t="s">
        <v>212</v>
      </c>
      <c r="E1203">
        <v>1</v>
      </c>
      <c r="F1203">
        <v>1687.54</v>
      </c>
      <c r="G1203" t="s">
        <v>220</v>
      </c>
      <c r="H1203">
        <v>1687.54</v>
      </c>
      <c r="I1203">
        <v>2023</v>
      </c>
      <c r="J1203">
        <v>3</v>
      </c>
      <c r="K1203">
        <v>20</v>
      </c>
      <c r="L1203" s="14">
        <v>1687.54</v>
      </c>
      <c r="M1203" s="4" t="str">
        <f t="shared" si="72"/>
        <v>jueves</v>
      </c>
      <c r="N1203" s="4" t="str">
        <f t="shared" si="73"/>
        <v>marzo</v>
      </c>
      <c r="O1203" s="4" t="str">
        <f t="shared" si="74"/>
        <v>NO</v>
      </c>
      <c r="P1203" s="4" t="str">
        <f t="shared" si="75"/>
        <v>SI</v>
      </c>
      <c r="Q1203" s="4" t="str" cm="1">
        <f t="array" ref="Q1203">_xlfn.IFS(AND(H1203&gt;=0,H1203&lt;=3333),"Grupo 1",AND(H1203&gt;3333,H1203&lt;=6666),"Grupo 2",AND(H1203&gt;6666,H1203&lt;=10000),"Grupo 3")</f>
        <v>Grupo 1</v>
      </c>
    </row>
    <row r="1204" spans="1:17" x14ac:dyDescent="0.25">
      <c r="A1204" t="s">
        <v>14</v>
      </c>
      <c r="B1204" s="2">
        <v>45355.443749999999</v>
      </c>
      <c r="C1204" t="s">
        <v>275</v>
      </c>
      <c r="D1204" t="s">
        <v>213</v>
      </c>
      <c r="E1204">
        <v>3</v>
      </c>
      <c r="F1204">
        <v>768.8</v>
      </c>
      <c r="G1204" t="s">
        <v>221</v>
      </c>
      <c r="H1204">
        <v>2306.4</v>
      </c>
      <c r="I1204">
        <v>2024</v>
      </c>
      <c r="J1204">
        <v>3</v>
      </c>
      <c r="K1204">
        <v>10</v>
      </c>
      <c r="L1204" s="14">
        <v>768.79999999999984</v>
      </c>
      <c r="M1204" s="4" t="str">
        <f t="shared" si="72"/>
        <v>lunes</v>
      </c>
      <c r="N1204" s="4" t="str">
        <f t="shared" si="73"/>
        <v>marzo</v>
      </c>
      <c r="O1204" s="4" t="str">
        <f t="shared" si="74"/>
        <v>NO</v>
      </c>
      <c r="P1204" s="4" t="str">
        <f t="shared" si="75"/>
        <v>NO</v>
      </c>
      <c r="Q1204" s="4" t="str" cm="1">
        <f t="array" ref="Q1204">_xlfn.IFS(AND(H1204&gt;=0,H1204&lt;=3333),"Grupo 1",AND(H1204&gt;3333,H1204&lt;=6666),"Grupo 2",AND(H1204&gt;6666,H1204&lt;=10000),"Grupo 3")</f>
        <v>Grupo 1</v>
      </c>
    </row>
    <row r="1205" spans="1:17" x14ac:dyDescent="0.25">
      <c r="A1205" t="s">
        <v>15</v>
      </c>
      <c r="B1205" s="2">
        <v>45704.374305555553</v>
      </c>
      <c r="C1205" t="s">
        <v>276</v>
      </c>
      <c r="D1205" t="s">
        <v>214</v>
      </c>
      <c r="E1205">
        <v>1</v>
      </c>
      <c r="F1205">
        <v>1532.67</v>
      </c>
      <c r="G1205" t="s">
        <v>222</v>
      </c>
      <c r="H1205">
        <v>1532.67</v>
      </c>
      <c r="I1205">
        <v>2025</v>
      </c>
      <c r="J1205">
        <v>2</v>
      </c>
      <c r="K1205">
        <v>8</v>
      </c>
      <c r="L1205" s="14">
        <v>1532.67</v>
      </c>
      <c r="M1205" s="4" t="str">
        <f t="shared" si="72"/>
        <v>domingo</v>
      </c>
      <c r="N1205" s="4" t="str">
        <f t="shared" si="73"/>
        <v>febrero</v>
      </c>
      <c r="O1205" s="4" t="str">
        <f t="shared" si="74"/>
        <v>NO</v>
      </c>
      <c r="P1205" s="4" t="str">
        <f t="shared" si="75"/>
        <v>SI</v>
      </c>
      <c r="Q1205" s="4" t="str" cm="1">
        <f t="array" ref="Q1205">_xlfn.IFS(AND(H1205&gt;=0,H1205&lt;=3333),"Grupo 1",AND(H1205&gt;3333,H1205&lt;=6666),"Grupo 2",AND(H1205&gt;6666,H1205&lt;=10000),"Grupo 3")</f>
        <v>Grupo 1</v>
      </c>
    </row>
    <row r="1206" spans="1:17" x14ac:dyDescent="0.25">
      <c r="A1206" t="s">
        <v>16</v>
      </c>
      <c r="B1206" s="2">
        <v>45772.848611111112</v>
      </c>
      <c r="C1206" t="s">
        <v>277</v>
      </c>
      <c r="D1206" t="s">
        <v>214</v>
      </c>
      <c r="E1206">
        <v>3</v>
      </c>
      <c r="F1206">
        <v>1709.47</v>
      </c>
      <c r="G1206" t="s">
        <v>222</v>
      </c>
      <c r="H1206">
        <v>5128.41</v>
      </c>
      <c r="I1206">
        <v>2025</v>
      </c>
      <c r="J1206">
        <v>4</v>
      </c>
      <c r="K1206">
        <v>20</v>
      </c>
      <c r="L1206" s="14">
        <v>1709.47</v>
      </c>
      <c r="M1206" s="4" t="str">
        <f t="shared" si="72"/>
        <v>viernes</v>
      </c>
      <c r="N1206" s="4" t="str">
        <f t="shared" si="73"/>
        <v>abril</v>
      </c>
      <c r="O1206" s="4" t="str">
        <f t="shared" si="74"/>
        <v>SI</v>
      </c>
      <c r="P1206" s="4" t="str">
        <f t="shared" si="75"/>
        <v>SI</v>
      </c>
      <c r="Q1206" s="4" t="str" cm="1">
        <f t="array" ref="Q1206">_xlfn.IFS(AND(H1206&gt;=0,H1206&lt;=3333),"Grupo 1",AND(H1206&gt;3333,H1206&lt;=6666),"Grupo 2",AND(H1206&gt;6666,H1206&lt;=10000),"Grupo 3")</f>
        <v>Grupo 2</v>
      </c>
    </row>
    <row r="1207" spans="1:17" x14ac:dyDescent="0.25">
      <c r="A1207" t="s">
        <v>17</v>
      </c>
      <c r="B1207" s="2">
        <v>45101.225694444453</v>
      </c>
      <c r="C1207" t="s">
        <v>278</v>
      </c>
      <c r="D1207" t="s">
        <v>215</v>
      </c>
      <c r="E1207">
        <v>3</v>
      </c>
      <c r="F1207">
        <v>297.54000000000002</v>
      </c>
      <c r="G1207" t="s">
        <v>220</v>
      </c>
      <c r="H1207">
        <v>892.62000000000012</v>
      </c>
      <c r="I1207">
        <v>2023</v>
      </c>
      <c r="J1207">
        <v>6</v>
      </c>
      <c r="K1207">
        <v>5</v>
      </c>
      <c r="L1207" s="14">
        <v>297.54000000000002</v>
      </c>
      <c r="M1207" s="4" t="str">
        <f t="shared" si="72"/>
        <v>sábado</v>
      </c>
      <c r="N1207" s="4" t="str">
        <f t="shared" si="73"/>
        <v>junio</v>
      </c>
      <c r="O1207" s="4" t="str">
        <f t="shared" si="74"/>
        <v>NO</v>
      </c>
      <c r="P1207" s="4" t="str">
        <f t="shared" si="75"/>
        <v>NO</v>
      </c>
      <c r="Q1207" s="4" t="str" cm="1">
        <f t="array" ref="Q1207">_xlfn.IFS(AND(H1207&gt;=0,H1207&lt;=3333),"Grupo 1",AND(H1207&gt;3333,H1207&lt;=6666),"Grupo 2",AND(H1207&gt;6666,H1207&lt;=10000),"Grupo 3")</f>
        <v>Grupo 1</v>
      </c>
    </row>
    <row r="1208" spans="1:17" x14ac:dyDescent="0.25">
      <c r="A1208" t="s">
        <v>18</v>
      </c>
      <c r="B1208" s="2">
        <v>45694.432638888888</v>
      </c>
      <c r="C1208" t="s">
        <v>279</v>
      </c>
      <c r="D1208" t="s">
        <v>216</v>
      </c>
      <c r="E1208">
        <v>4</v>
      </c>
      <c r="F1208">
        <v>1546.65</v>
      </c>
      <c r="G1208" t="s">
        <v>221</v>
      </c>
      <c r="H1208">
        <v>6186.6</v>
      </c>
      <c r="I1208">
        <v>2025</v>
      </c>
      <c r="J1208">
        <v>2</v>
      </c>
      <c r="K1208">
        <v>10</v>
      </c>
      <c r="L1208" s="14">
        <v>1546.65</v>
      </c>
      <c r="M1208" s="4" t="str">
        <f t="shared" si="72"/>
        <v>jueves</v>
      </c>
      <c r="N1208" s="4" t="str">
        <f t="shared" si="73"/>
        <v>febrero</v>
      </c>
      <c r="O1208" s="4" t="str">
        <f t="shared" si="74"/>
        <v>SI</v>
      </c>
      <c r="P1208" s="4" t="str">
        <f t="shared" si="75"/>
        <v>SI</v>
      </c>
      <c r="Q1208" s="4" t="str" cm="1">
        <f t="array" ref="Q1208">_xlfn.IFS(AND(H1208&gt;=0,H1208&lt;=3333),"Grupo 1",AND(H1208&gt;3333,H1208&lt;=6666),"Grupo 2",AND(H1208&gt;6666,H1208&lt;=10000),"Grupo 3")</f>
        <v>Grupo 2</v>
      </c>
    </row>
    <row r="1209" spans="1:17" x14ac:dyDescent="0.25">
      <c r="A1209" t="s">
        <v>19</v>
      </c>
      <c r="B1209" s="2">
        <v>45798.69027777778</v>
      </c>
      <c r="C1209" t="s">
        <v>280</v>
      </c>
      <c r="D1209" t="s">
        <v>212</v>
      </c>
      <c r="E1209">
        <v>1</v>
      </c>
      <c r="F1209">
        <v>1575.18</v>
      </c>
      <c r="G1209" t="s">
        <v>220</v>
      </c>
      <c r="H1209">
        <v>1575.18</v>
      </c>
      <c r="I1209">
        <v>2025</v>
      </c>
      <c r="J1209">
        <v>5</v>
      </c>
      <c r="K1209">
        <v>16</v>
      </c>
      <c r="L1209" s="14">
        <v>1575.18</v>
      </c>
      <c r="M1209" s="4" t="str">
        <f t="shared" si="72"/>
        <v>miércoles</v>
      </c>
      <c r="N1209" s="4" t="str">
        <f t="shared" si="73"/>
        <v>mayo</v>
      </c>
      <c r="O1209" s="4" t="str">
        <f t="shared" si="74"/>
        <v>NO</v>
      </c>
      <c r="P1209" s="4" t="str">
        <f t="shared" si="75"/>
        <v>SI</v>
      </c>
      <c r="Q1209" s="4" t="str" cm="1">
        <f t="array" ref="Q1209">_xlfn.IFS(AND(H1209&gt;=0,H1209&lt;=3333),"Grupo 1",AND(H1209&gt;3333,H1209&lt;=6666),"Grupo 2",AND(H1209&gt;6666,H1209&lt;=10000),"Grupo 3")</f>
        <v>Grupo 1</v>
      </c>
    </row>
    <row r="1210" spans="1:17" x14ac:dyDescent="0.25">
      <c r="A1210" t="s">
        <v>20</v>
      </c>
      <c r="B1210" s="2">
        <v>45425.797222222223</v>
      </c>
      <c r="C1210" t="s">
        <v>281</v>
      </c>
      <c r="D1210" t="s">
        <v>217</v>
      </c>
      <c r="E1210">
        <v>5</v>
      </c>
      <c r="F1210">
        <v>1815.86</v>
      </c>
      <c r="G1210" t="s">
        <v>220</v>
      </c>
      <c r="H1210">
        <v>9079.2999999999993</v>
      </c>
      <c r="I1210">
        <v>2024</v>
      </c>
      <c r="J1210">
        <v>5</v>
      </c>
      <c r="K1210">
        <v>19</v>
      </c>
      <c r="L1210" s="14">
        <v>1815.86</v>
      </c>
      <c r="M1210" s="4" t="str">
        <f t="shared" si="72"/>
        <v>lunes</v>
      </c>
      <c r="N1210" s="4" t="str">
        <f t="shared" si="73"/>
        <v>mayo</v>
      </c>
      <c r="O1210" s="4" t="str">
        <f t="shared" si="74"/>
        <v>SI</v>
      </c>
      <c r="P1210" s="4" t="str">
        <f t="shared" si="75"/>
        <v>SI</v>
      </c>
      <c r="Q1210" s="4" t="str" cm="1">
        <f t="array" ref="Q1210">_xlfn.IFS(AND(H1210&gt;=0,H1210&lt;=3333),"Grupo 1",AND(H1210&gt;3333,H1210&lt;=6666),"Grupo 2",AND(H1210&gt;6666,H1210&lt;=10000),"Grupo 3")</f>
        <v>Grupo 3</v>
      </c>
    </row>
    <row r="1211" spans="1:17" x14ac:dyDescent="0.25">
      <c r="A1211" t="s">
        <v>21</v>
      </c>
      <c r="B1211" s="2">
        <v>45525.152083333327</v>
      </c>
      <c r="C1211" t="s">
        <v>282</v>
      </c>
      <c r="D1211" t="s">
        <v>212</v>
      </c>
      <c r="E1211">
        <v>1</v>
      </c>
      <c r="F1211">
        <v>564.11</v>
      </c>
      <c r="G1211" t="s">
        <v>220</v>
      </c>
      <c r="H1211">
        <v>564.11</v>
      </c>
      <c r="I1211">
        <v>2024</v>
      </c>
      <c r="J1211">
        <v>8</v>
      </c>
      <c r="K1211">
        <v>3</v>
      </c>
      <c r="L1211" s="14">
        <v>564.11</v>
      </c>
      <c r="M1211" s="4" t="str">
        <f t="shared" si="72"/>
        <v>miércoles</v>
      </c>
      <c r="N1211" s="4" t="str">
        <f t="shared" si="73"/>
        <v>agosto</v>
      </c>
      <c r="O1211" s="4" t="str">
        <f t="shared" si="74"/>
        <v>NO</v>
      </c>
      <c r="P1211" s="4" t="str">
        <f t="shared" si="75"/>
        <v>NO</v>
      </c>
      <c r="Q1211" s="4" t="str" cm="1">
        <f t="array" ref="Q1211">_xlfn.IFS(AND(H1211&gt;=0,H1211&lt;=3333),"Grupo 1",AND(H1211&gt;3333,H1211&lt;=6666),"Grupo 2",AND(H1211&gt;6666,H1211&lt;=10000),"Grupo 3")</f>
        <v>Grupo 1</v>
      </c>
    </row>
    <row r="1212" spans="1:17" x14ac:dyDescent="0.25">
      <c r="A1212" t="s">
        <v>22</v>
      </c>
      <c r="B1212" s="2">
        <v>45580.043749999997</v>
      </c>
      <c r="C1212" t="s">
        <v>283</v>
      </c>
      <c r="D1212" t="s">
        <v>217</v>
      </c>
      <c r="E1212">
        <v>1</v>
      </c>
      <c r="F1212">
        <v>454.9</v>
      </c>
      <c r="G1212" t="s">
        <v>220</v>
      </c>
      <c r="H1212">
        <v>454.9</v>
      </c>
      <c r="I1212">
        <v>2024</v>
      </c>
      <c r="J1212">
        <v>10</v>
      </c>
      <c r="K1212">
        <v>1</v>
      </c>
      <c r="L1212" s="14">
        <v>454.9</v>
      </c>
      <c r="M1212" s="4" t="str">
        <f t="shared" si="72"/>
        <v>martes</v>
      </c>
      <c r="N1212" s="4" t="str">
        <f t="shared" si="73"/>
        <v>octubre</v>
      </c>
      <c r="O1212" s="4" t="str">
        <f t="shared" si="74"/>
        <v>NO</v>
      </c>
      <c r="P1212" s="4" t="str">
        <f t="shared" si="75"/>
        <v>NO</v>
      </c>
      <c r="Q1212" s="4" t="str" cm="1">
        <f t="array" ref="Q1212">_xlfn.IFS(AND(H1212&gt;=0,H1212&lt;=3333),"Grupo 1",AND(H1212&gt;3333,H1212&lt;=6666),"Grupo 2",AND(H1212&gt;6666,H1212&lt;=10000),"Grupo 3")</f>
        <v>Grupo 1</v>
      </c>
    </row>
    <row r="1213" spans="1:17" x14ac:dyDescent="0.25">
      <c r="A1213" t="s">
        <v>23</v>
      </c>
      <c r="B1213" s="2">
        <v>45551.151388888888</v>
      </c>
      <c r="C1213" t="s">
        <v>284</v>
      </c>
      <c r="D1213" t="s">
        <v>218</v>
      </c>
      <c r="E1213">
        <v>3</v>
      </c>
      <c r="F1213">
        <v>1277.51</v>
      </c>
      <c r="G1213" t="s">
        <v>221</v>
      </c>
      <c r="H1213">
        <v>3832.53</v>
      </c>
      <c r="I1213">
        <v>2024</v>
      </c>
      <c r="J1213">
        <v>9</v>
      </c>
      <c r="K1213">
        <v>3</v>
      </c>
      <c r="L1213" s="14">
        <v>1277.51</v>
      </c>
      <c r="M1213" s="4" t="str">
        <f t="shared" si="72"/>
        <v>lunes</v>
      </c>
      <c r="N1213" s="4" t="str">
        <f t="shared" si="73"/>
        <v>septiembre</v>
      </c>
      <c r="O1213" s="4" t="str">
        <f t="shared" si="74"/>
        <v>SI</v>
      </c>
      <c r="P1213" s="4" t="str">
        <f t="shared" si="75"/>
        <v>SI</v>
      </c>
      <c r="Q1213" s="4" t="str" cm="1">
        <f t="array" ref="Q1213">_xlfn.IFS(AND(H1213&gt;=0,H1213&lt;=3333),"Grupo 1",AND(H1213&gt;3333,H1213&lt;=6666),"Grupo 2",AND(H1213&gt;6666,H1213&lt;=10000),"Grupo 3")</f>
        <v>Grupo 2</v>
      </c>
    </row>
    <row r="1214" spans="1:17" x14ac:dyDescent="0.25">
      <c r="A1214" t="s">
        <v>24</v>
      </c>
      <c r="B1214" s="2">
        <v>45230.395833333343</v>
      </c>
      <c r="C1214" t="s">
        <v>285</v>
      </c>
      <c r="D1214" t="s">
        <v>214</v>
      </c>
      <c r="E1214">
        <v>2</v>
      </c>
      <c r="F1214">
        <v>1870.95</v>
      </c>
      <c r="G1214" t="s">
        <v>222</v>
      </c>
      <c r="H1214">
        <v>3741.9</v>
      </c>
      <c r="I1214">
        <v>2023</v>
      </c>
      <c r="J1214">
        <v>10</v>
      </c>
      <c r="K1214">
        <v>9</v>
      </c>
      <c r="L1214" s="14">
        <v>1870.95</v>
      </c>
      <c r="M1214" s="4" t="str">
        <f t="shared" si="72"/>
        <v>martes</v>
      </c>
      <c r="N1214" s="4" t="str">
        <f t="shared" si="73"/>
        <v>octubre</v>
      </c>
      <c r="O1214" s="4" t="str">
        <f t="shared" si="74"/>
        <v>SI</v>
      </c>
      <c r="P1214" s="4" t="str">
        <f t="shared" si="75"/>
        <v>SI</v>
      </c>
      <c r="Q1214" s="4" t="str" cm="1">
        <f t="array" ref="Q1214">_xlfn.IFS(AND(H1214&gt;=0,H1214&lt;=3333),"Grupo 1",AND(H1214&gt;3333,H1214&lt;=6666),"Grupo 2",AND(H1214&gt;6666,H1214&lt;=10000),"Grupo 3")</f>
        <v>Grupo 2</v>
      </c>
    </row>
    <row r="1215" spans="1:17" x14ac:dyDescent="0.25">
      <c r="A1215" t="s">
        <v>25</v>
      </c>
      <c r="B1215" s="2">
        <v>45234.645833333343</v>
      </c>
      <c r="C1215" t="s">
        <v>286</v>
      </c>
      <c r="D1215" t="s">
        <v>212</v>
      </c>
      <c r="E1215">
        <v>4</v>
      </c>
      <c r="F1215">
        <v>1227.23</v>
      </c>
      <c r="G1215" t="s">
        <v>220</v>
      </c>
      <c r="H1215">
        <v>4908.92</v>
      </c>
      <c r="I1215">
        <v>2023</v>
      </c>
      <c r="J1215">
        <v>11</v>
      </c>
      <c r="K1215">
        <v>15</v>
      </c>
      <c r="L1215" s="14">
        <v>1227.23</v>
      </c>
      <c r="M1215" s="4" t="str">
        <f t="shared" si="72"/>
        <v>sábado</v>
      </c>
      <c r="N1215" s="4" t="str">
        <f t="shared" si="73"/>
        <v>noviembre</v>
      </c>
      <c r="O1215" s="4" t="str">
        <f t="shared" si="74"/>
        <v>SI</v>
      </c>
      <c r="P1215" s="4" t="str">
        <f t="shared" si="75"/>
        <v>SI</v>
      </c>
      <c r="Q1215" s="4" t="str" cm="1">
        <f t="array" ref="Q1215">_xlfn.IFS(AND(H1215&gt;=0,H1215&lt;=3333),"Grupo 1",AND(H1215&gt;3333,H1215&lt;=6666),"Grupo 2",AND(H1215&gt;6666,H1215&lt;=10000),"Grupo 3")</f>
        <v>Grupo 2</v>
      </c>
    </row>
    <row r="1216" spans="1:17" x14ac:dyDescent="0.25">
      <c r="A1216" t="s">
        <v>26</v>
      </c>
      <c r="B1216" s="2">
        <v>45464.76666666667</v>
      </c>
      <c r="C1216" t="s">
        <v>287</v>
      </c>
      <c r="D1216" t="s">
        <v>215</v>
      </c>
      <c r="E1216">
        <v>1</v>
      </c>
      <c r="F1216">
        <v>1329.6</v>
      </c>
      <c r="G1216" t="s">
        <v>220</v>
      </c>
      <c r="H1216">
        <v>1329.6</v>
      </c>
      <c r="I1216">
        <v>2024</v>
      </c>
      <c r="J1216">
        <v>6</v>
      </c>
      <c r="K1216">
        <v>18</v>
      </c>
      <c r="L1216" s="14">
        <v>1329.6</v>
      </c>
      <c r="M1216" s="4" t="str">
        <f t="shared" si="72"/>
        <v>viernes</v>
      </c>
      <c r="N1216" s="4" t="str">
        <f t="shared" si="73"/>
        <v>junio</v>
      </c>
      <c r="O1216" s="4" t="str">
        <f t="shared" si="74"/>
        <v>NO</v>
      </c>
      <c r="P1216" s="4" t="str">
        <f t="shared" si="75"/>
        <v>SI</v>
      </c>
      <c r="Q1216" s="4" t="str" cm="1">
        <f t="array" ref="Q1216">_xlfn.IFS(AND(H1216&gt;=0,H1216&lt;=3333),"Grupo 1",AND(H1216&gt;3333,H1216&lt;=6666),"Grupo 2",AND(H1216&gt;6666,H1216&lt;=10000),"Grupo 3")</f>
        <v>Grupo 1</v>
      </c>
    </row>
    <row r="1217" spans="1:17" x14ac:dyDescent="0.25">
      <c r="A1217" t="s">
        <v>27</v>
      </c>
      <c r="B1217" s="2">
        <v>45138.240277777782</v>
      </c>
      <c r="C1217" t="s">
        <v>288</v>
      </c>
      <c r="D1217" t="s">
        <v>212</v>
      </c>
      <c r="E1217">
        <v>3</v>
      </c>
      <c r="F1217">
        <v>1734.12</v>
      </c>
      <c r="G1217" t="s">
        <v>220</v>
      </c>
      <c r="H1217">
        <v>5202.3599999999997</v>
      </c>
      <c r="I1217">
        <v>2023</v>
      </c>
      <c r="J1217">
        <v>7</v>
      </c>
      <c r="K1217">
        <v>5</v>
      </c>
      <c r="L1217" s="14">
        <v>1734.12</v>
      </c>
      <c r="M1217" s="4" t="str">
        <f t="shared" si="72"/>
        <v>lunes</v>
      </c>
      <c r="N1217" s="4" t="str">
        <f t="shared" si="73"/>
        <v>julio</v>
      </c>
      <c r="O1217" s="4" t="str">
        <f t="shared" si="74"/>
        <v>SI</v>
      </c>
      <c r="P1217" s="4" t="str">
        <f t="shared" si="75"/>
        <v>SI</v>
      </c>
      <c r="Q1217" s="4" t="str" cm="1">
        <f t="array" ref="Q1217">_xlfn.IFS(AND(H1217&gt;=0,H1217&lt;=3333),"Grupo 1",AND(H1217&gt;3333,H1217&lt;=6666),"Grupo 2",AND(H1217&gt;6666,H1217&lt;=10000),"Grupo 3")</f>
        <v>Grupo 2</v>
      </c>
    </row>
    <row r="1218" spans="1:17" x14ac:dyDescent="0.25">
      <c r="A1218" t="s">
        <v>28</v>
      </c>
      <c r="B1218" s="2">
        <v>45455.688888888893</v>
      </c>
      <c r="C1218" t="s">
        <v>289</v>
      </c>
      <c r="D1218" t="s">
        <v>212</v>
      </c>
      <c r="E1218">
        <v>1</v>
      </c>
      <c r="F1218">
        <v>1209.6199999999999</v>
      </c>
      <c r="G1218" t="s">
        <v>220</v>
      </c>
      <c r="H1218">
        <v>1209.6199999999999</v>
      </c>
      <c r="I1218">
        <v>2024</v>
      </c>
      <c r="J1218">
        <v>6</v>
      </c>
      <c r="K1218">
        <v>16</v>
      </c>
      <c r="L1218" s="14">
        <v>1209.6199999999999</v>
      </c>
      <c r="M1218" s="4" t="str">
        <f t="shared" ref="M1218:M1281" si="76">TEXT(B1218,"dddd")</f>
        <v>miércoles</v>
      </c>
      <c r="N1218" s="4" t="str">
        <f t="shared" ref="N1218:N1281" si="77">TEXT(B1218,"mmmm")</f>
        <v>junio</v>
      </c>
      <c r="O1218" s="4" t="str">
        <f t="shared" si="74"/>
        <v>NO</v>
      </c>
      <c r="P1218" s="4" t="str">
        <f t="shared" si="75"/>
        <v>SI</v>
      </c>
      <c r="Q1218" s="4" t="str" cm="1">
        <f t="array" ref="Q1218">_xlfn.IFS(AND(H1218&gt;=0,H1218&lt;=3333),"Grupo 1",AND(H1218&gt;3333,H1218&lt;=6666),"Grupo 2",AND(H1218&gt;6666,H1218&lt;=10000),"Grupo 3")</f>
        <v>Grupo 1</v>
      </c>
    </row>
    <row r="1219" spans="1:17" x14ac:dyDescent="0.25">
      <c r="A1219" t="s">
        <v>29</v>
      </c>
      <c r="B1219" s="2">
        <v>45301.151388888888</v>
      </c>
      <c r="C1219" t="s">
        <v>290</v>
      </c>
      <c r="D1219" t="s">
        <v>218</v>
      </c>
      <c r="E1219">
        <v>3</v>
      </c>
      <c r="F1219">
        <v>922.33</v>
      </c>
      <c r="G1219" t="s">
        <v>221</v>
      </c>
      <c r="H1219">
        <v>2766.99</v>
      </c>
      <c r="I1219">
        <v>2024</v>
      </c>
      <c r="J1219">
        <v>1</v>
      </c>
      <c r="K1219">
        <v>3</v>
      </c>
      <c r="L1219" s="14">
        <v>922.33</v>
      </c>
      <c r="M1219" s="4" t="str">
        <f t="shared" si="76"/>
        <v>miércoles</v>
      </c>
      <c r="N1219" s="4" t="str">
        <f t="shared" si="77"/>
        <v>enero</v>
      </c>
      <c r="O1219" s="4" t="str">
        <f t="shared" ref="O1219:O1282" si="78">IF(H1219&gt;AVERAGE(H:H),"SI","NO")</f>
        <v>NO</v>
      </c>
      <c r="P1219" s="4" t="str">
        <f t="shared" ref="P1219:P1282" si="79">IF(L1219&gt;AVERAGE(L:L),"SI","NO")</f>
        <v>NO</v>
      </c>
      <c r="Q1219" s="4" t="str" cm="1">
        <f t="array" ref="Q1219">_xlfn.IFS(AND(H1219&gt;=0,H1219&lt;=3333),"Grupo 1",AND(H1219&gt;3333,H1219&lt;=6666),"Grupo 2",AND(H1219&gt;6666,H1219&lt;=10000),"Grupo 3")</f>
        <v>Grupo 1</v>
      </c>
    </row>
    <row r="1220" spans="1:17" x14ac:dyDescent="0.25">
      <c r="A1220" t="s">
        <v>30</v>
      </c>
      <c r="B1220" s="2">
        <v>45677.761111111111</v>
      </c>
      <c r="C1220" t="s">
        <v>291</v>
      </c>
      <c r="D1220" t="s">
        <v>216</v>
      </c>
      <c r="E1220">
        <v>4</v>
      </c>
      <c r="F1220">
        <v>54.42</v>
      </c>
      <c r="G1220" t="s">
        <v>221</v>
      </c>
      <c r="H1220">
        <v>217.68</v>
      </c>
      <c r="I1220">
        <v>2025</v>
      </c>
      <c r="J1220">
        <v>1</v>
      </c>
      <c r="K1220">
        <v>18</v>
      </c>
      <c r="L1220" s="14">
        <v>54.42</v>
      </c>
      <c r="M1220" s="4" t="str">
        <f t="shared" si="76"/>
        <v>lunes</v>
      </c>
      <c r="N1220" s="4" t="str">
        <f t="shared" si="77"/>
        <v>enero</v>
      </c>
      <c r="O1220" s="4" t="str">
        <f t="shared" si="78"/>
        <v>NO</v>
      </c>
      <c r="P1220" s="4" t="str">
        <f t="shared" si="79"/>
        <v>NO</v>
      </c>
      <c r="Q1220" s="4" t="str" cm="1">
        <f t="array" ref="Q1220">_xlfn.IFS(AND(H1220&gt;=0,H1220&lt;=3333),"Grupo 1",AND(H1220&gt;3333,H1220&lt;=6666),"Grupo 2",AND(H1220&gt;6666,H1220&lt;=10000),"Grupo 3")</f>
        <v>Grupo 1</v>
      </c>
    </row>
    <row r="1221" spans="1:17" x14ac:dyDescent="0.25">
      <c r="A1221" t="s">
        <v>31</v>
      </c>
      <c r="B1221" s="2">
        <v>45238.713888888888</v>
      </c>
      <c r="C1221" t="s">
        <v>292</v>
      </c>
      <c r="D1221" t="s">
        <v>218</v>
      </c>
      <c r="E1221">
        <v>2</v>
      </c>
      <c r="F1221">
        <v>1567.18</v>
      </c>
      <c r="G1221" t="s">
        <v>221</v>
      </c>
      <c r="H1221">
        <v>3134.36</v>
      </c>
      <c r="I1221">
        <v>2023</v>
      </c>
      <c r="J1221">
        <v>11</v>
      </c>
      <c r="K1221">
        <v>17</v>
      </c>
      <c r="L1221" s="14">
        <v>1567.18</v>
      </c>
      <c r="M1221" s="4" t="str">
        <f t="shared" si="76"/>
        <v>miércoles</v>
      </c>
      <c r="N1221" s="4" t="str">
        <f t="shared" si="77"/>
        <v>noviembre</v>
      </c>
      <c r="O1221" s="4" t="str">
        <f t="shared" si="78"/>
        <v>SI</v>
      </c>
      <c r="P1221" s="4" t="str">
        <f t="shared" si="79"/>
        <v>SI</v>
      </c>
      <c r="Q1221" s="4" t="str" cm="1">
        <f t="array" ref="Q1221">_xlfn.IFS(AND(H1221&gt;=0,H1221&lt;=3333),"Grupo 1",AND(H1221&gt;3333,H1221&lt;=6666),"Grupo 2",AND(H1221&gt;6666,H1221&lt;=10000),"Grupo 3")</f>
        <v>Grupo 1</v>
      </c>
    </row>
    <row r="1222" spans="1:17" x14ac:dyDescent="0.25">
      <c r="A1222" t="s">
        <v>32</v>
      </c>
      <c r="B1222" s="2">
        <v>45231.386111111111</v>
      </c>
      <c r="C1222" t="s">
        <v>293</v>
      </c>
      <c r="D1222" t="s">
        <v>213</v>
      </c>
      <c r="E1222">
        <v>2</v>
      </c>
      <c r="F1222">
        <v>519.79999999999995</v>
      </c>
      <c r="G1222" t="s">
        <v>221</v>
      </c>
      <c r="H1222">
        <v>1039.5999999999999</v>
      </c>
      <c r="I1222">
        <v>2023</v>
      </c>
      <c r="J1222">
        <v>11</v>
      </c>
      <c r="K1222">
        <v>9</v>
      </c>
      <c r="L1222" s="14">
        <v>519.79999999999995</v>
      </c>
      <c r="M1222" s="4" t="str">
        <f t="shared" si="76"/>
        <v>miércoles</v>
      </c>
      <c r="N1222" s="4" t="str">
        <f t="shared" si="77"/>
        <v>noviembre</v>
      </c>
      <c r="O1222" s="4" t="str">
        <f t="shared" si="78"/>
        <v>NO</v>
      </c>
      <c r="P1222" s="4" t="str">
        <f t="shared" si="79"/>
        <v>NO</v>
      </c>
      <c r="Q1222" s="4" t="str" cm="1">
        <f t="array" ref="Q1222">_xlfn.IFS(AND(H1222&gt;=0,H1222&lt;=3333),"Grupo 1",AND(H1222&gt;3333,H1222&lt;=6666),"Grupo 2",AND(H1222&gt;6666,H1222&lt;=10000),"Grupo 3")</f>
        <v>Grupo 1</v>
      </c>
    </row>
    <row r="1223" spans="1:17" x14ac:dyDescent="0.25">
      <c r="A1223" t="s">
        <v>33</v>
      </c>
      <c r="B1223" s="2">
        <v>45421.563888888893</v>
      </c>
      <c r="C1223" t="s">
        <v>294</v>
      </c>
      <c r="D1223" t="s">
        <v>214</v>
      </c>
      <c r="E1223">
        <v>1</v>
      </c>
      <c r="F1223">
        <v>1267.01</v>
      </c>
      <c r="G1223" t="s">
        <v>222</v>
      </c>
      <c r="H1223">
        <v>1267.01</v>
      </c>
      <c r="I1223">
        <v>2024</v>
      </c>
      <c r="J1223">
        <v>5</v>
      </c>
      <c r="K1223">
        <v>13</v>
      </c>
      <c r="L1223" s="14">
        <v>1267.01</v>
      </c>
      <c r="M1223" s="4" t="str">
        <f t="shared" si="76"/>
        <v>jueves</v>
      </c>
      <c r="N1223" s="4" t="str">
        <f t="shared" si="77"/>
        <v>mayo</v>
      </c>
      <c r="O1223" s="4" t="str">
        <f t="shared" si="78"/>
        <v>NO</v>
      </c>
      <c r="P1223" s="4" t="str">
        <f t="shared" si="79"/>
        <v>SI</v>
      </c>
      <c r="Q1223" s="4" t="str" cm="1">
        <f t="array" ref="Q1223">_xlfn.IFS(AND(H1223&gt;=0,H1223&lt;=3333),"Grupo 1",AND(H1223&gt;3333,H1223&lt;=6666),"Grupo 2",AND(H1223&gt;6666,H1223&lt;=10000),"Grupo 3")</f>
        <v>Grupo 1</v>
      </c>
    </row>
    <row r="1224" spans="1:17" x14ac:dyDescent="0.25">
      <c r="A1224" t="s">
        <v>34</v>
      </c>
      <c r="B1224" s="2">
        <v>45437.592361111107</v>
      </c>
      <c r="C1224" t="s">
        <v>295</v>
      </c>
      <c r="D1224" t="s">
        <v>212</v>
      </c>
      <c r="E1224">
        <v>4</v>
      </c>
      <c r="F1224">
        <v>1027.81</v>
      </c>
      <c r="G1224" t="s">
        <v>220</v>
      </c>
      <c r="H1224">
        <v>4111.24</v>
      </c>
      <c r="I1224">
        <v>2024</v>
      </c>
      <c r="J1224">
        <v>5</v>
      </c>
      <c r="K1224">
        <v>14</v>
      </c>
      <c r="L1224" s="14">
        <v>1027.81</v>
      </c>
      <c r="M1224" s="4" t="str">
        <f t="shared" si="76"/>
        <v>sábado</v>
      </c>
      <c r="N1224" s="4" t="str">
        <f t="shared" si="77"/>
        <v>mayo</v>
      </c>
      <c r="O1224" s="4" t="str">
        <f t="shared" si="78"/>
        <v>SI</v>
      </c>
      <c r="P1224" s="4" t="str">
        <f t="shared" si="79"/>
        <v>SI</v>
      </c>
      <c r="Q1224" s="4" t="str" cm="1">
        <f t="array" ref="Q1224">_xlfn.IFS(AND(H1224&gt;=0,H1224&lt;=3333),"Grupo 1",AND(H1224&gt;3333,H1224&lt;=6666),"Grupo 2",AND(H1224&gt;6666,H1224&lt;=10000),"Grupo 3")</f>
        <v>Grupo 2</v>
      </c>
    </row>
    <row r="1225" spans="1:17" x14ac:dyDescent="0.25">
      <c r="A1225" t="s">
        <v>35</v>
      </c>
      <c r="B1225" s="2">
        <v>45355.487500000003</v>
      </c>
      <c r="C1225" t="s">
        <v>296</v>
      </c>
      <c r="D1225" t="s">
        <v>216</v>
      </c>
      <c r="E1225">
        <v>3</v>
      </c>
      <c r="F1225">
        <v>925.62</v>
      </c>
      <c r="G1225" t="s">
        <v>221</v>
      </c>
      <c r="H1225">
        <v>2776.86</v>
      </c>
      <c r="I1225">
        <v>2024</v>
      </c>
      <c r="J1225">
        <v>3</v>
      </c>
      <c r="K1225">
        <v>11</v>
      </c>
      <c r="L1225" s="14">
        <v>925.62</v>
      </c>
      <c r="M1225" s="4" t="str">
        <f t="shared" si="76"/>
        <v>lunes</v>
      </c>
      <c r="N1225" s="4" t="str">
        <f t="shared" si="77"/>
        <v>marzo</v>
      </c>
      <c r="O1225" s="4" t="str">
        <f t="shared" si="78"/>
        <v>NO</v>
      </c>
      <c r="P1225" s="4" t="str">
        <f t="shared" si="79"/>
        <v>NO</v>
      </c>
      <c r="Q1225" s="4" t="str" cm="1">
        <f t="array" ref="Q1225">_xlfn.IFS(AND(H1225&gt;=0,H1225&lt;=3333),"Grupo 1",AND(H1225&gt;3333,H1225&lt;=6666),"Grupo 2",AND(H1225&gt;6666,H1225&lt;=10000),"Grupo 3")</f>
        <v>Grupo 1</v>
      </c>
    </row>
    <row r="1226" spans="1:17" x14ac:dyDescent="0.25">
      <c r="A1226" t="s">
        <v>36</v>
      </c>
      <c r="B1226" s="2">
        <v>45924.43472222222</v>
      </c>
      <c r="C1226" t="s">
        <v>297</v>
      </c>
      <c r="D1226" t="s">
        <v>212</v>
      </c>
      <c r="E1226">
        <v>3</v>
      </c>
      <c r="F1226">
        <v>213.71</v>
      </c>
      <c r="G1226" t="s">
        <v>220</v>
      </c>
      <c r="H1226">
        <v>641.13</v>
      </c>
      <c r="I1226">
        <v>2025</v>
      </c>
      <c r="J1226">
        <v>9</v>
      </c>
      <c r="K1226">
        <v>10</v>
      </c>
      <c r="L1226" s="14">
        <v>213.71</v>
      </c>
      <c r="M1226" s="4" t="str">
        <f t="shared" si="76"/>
        <v>miércoles</v>
      </c>
      <c r="N1226" s="4" t="str">
        <f t="shared" si="77"/>
        <v>septiembre</v>
      </c>
      <c r="O1226" s="4" t="str">
        <f t="shared" si="78"/>
        <v>NO</v>
      </c>
      <c r="P1226" s="4" t="str">
        <f t="shared" si="79"/>
        <v>NO</v>
      </c>
      <c r="Q1226" s="4" t="str" cm="1">
        <f t="array" ref="Q1226">_xlfn.IFS(AND(H1226&gt;=0,H1226&lt;=3333),"Grupo 1",AND(H1226&gt;3333,H1226&lt;=6666),"Grupo 2",AND(H1226&gt;6666,H1226&lt;=10000),"Grupo 3")</f>
        <v>Grupo 1</v>
      </c>
    </row>
    <row r="1227" spans="1:17" x14ac:dyDescent="0.25">
      <c r="A1227" t="s">
        <v>37</v>
      </c>
      <c r="B1227" s="2">
        <v>45471.931250000001</v>
      </c>
      <c r="C1227" t="s">
        <v>298</v>
      </c>
      <c r="D1227" t="s">
        <v>217</v>
      </c>
      <c r="E1227">
        <v>2</v>
      </c>
      <c r="F1227">
        <v>1146.75</v>
      </c>
      <c r="G1227" t="s">
        <v>220</v>
      </c>
      <c r="H1227">
        <v>2293.5</v>
      </c>
      <c r="I1227">
        <v>2024</v>
      </c>
      <c r="J1227">
        <v>6</v>
      </c>
      <c r="K1227">
        <v>22</v>
      </c>
      <c r="L1227" s="14">
        <v>1146.75</v>
      </c>
      <c r="M1227" s="4" t="str">
        <f t="shared" si="76"/>
        <v>viernes</v>
      </c>
      <c r="N1227" s="4" t="str">
        <f t="shared" si="77"/>
        <v>junio</v>
      </c>
      <c r="O1227" s="4" t="str">
        <f t="shared" si="78"/>
        <v>NO</v>
      </c>
      <c r="P1227" s="4" t="str">
        <f t="shared" si="79"/>
        <v>SI</v>
      </c>
      <c r="Q1227" s="4" t="str" cm="1">
        <f t="array" ref="Q1227">_xlfn.IFS(AND(H1227&gt;=0,H1227&lt;=3333),"Grupo 1",AND(H1227&gt;3333,H1227&lt;=6666),"Grupo 2",AND(H1227&gt;6666,H1227&lt;=10000),"Grupo 3")</f>
        <v>Grupo 1</v>
      </c>
    </row>
    <row r="1228" spans="1:17" x14ac:dyDescent="0.25">
      <c r="A1228" t="s">
        <v>38</v>
      </c>
      <c r="B1228" s="2">
        <v>45003.59097222222</v>
      </c>
      <c r="C1228" t="s">
        <v>299</v>
      </c>
      <c r="D1228" t="s">
        <v>217</v>
      </c>
      <c r="E1228">
        <v>5</v>
      </c>
      <c r="F1228">
        <v>907.28</v>
      </c>
      <c r="G1228" t="s">
        <v>220</v>
      </c>
      <c r="H1228">
        <v>4536.3999999999996</v>
      </c>
      <c r="I1228">
        <v>2023</v>
      </c>
      <c r="J1228">
        <v>3</v>
      </c>
      <c r="K1228">
        <v>14</v>
      </c>
      <c r="L1228" s="14">
        <v>907.28</v>
      </c>
      <c r="M1228" s="4" t="str">
        <f t="shared" si="76"/>
        <v>sábado</v>
      </c>
      <c r="N1228" s="4" t="str">
        <f t="shared" si="77"/>
        <v>marzo</v>
      </c>
      <c r="O1228" s="4" t="str">
        <f t="shared" si="78"/>
        <v>SI</v>
      </c>
      <c r="P1228" s="4" t="str">
        <f t="shared" si="79"/>
        <v>NO</v>
      </c>
      <c r="Q1228" s="4" t="str" cm="1">
        <f t="array" ref="Q1228">_xlfn.IFS(AND(H1228&gt;=0,H1228&lt;=3333),"Grupo 1",AND(H1228&gt;3333,H1228&lt;=6666),"Grupo 2",AND(H1228&gt;6666,H1228&lt;=10000),"Grupo 3")</f>
        <v>Grupo 2</v>
      </c>
    </row>
    <row r="1229" spans="1:17" x14ac:dyDescent="0.25">
      <c r="A1229" t="s">
        <v>39</v>
      </c>
      <c r="B1229" s="2">
        <v>45206.394444444442</v>
      </c>
      <c r="C1229" t="s">
        <v>300</v>
      </c>
      <c r="D1229" t="s">
        <v>216</v>
      </c>
      <c r="E1229">
        <v>2</v>
      </c>
      <c r="F1229">
        <v>1734.44</v>
      </c>
      <c r="G1229" t="s">
        <v>221</v>
      </c>
      <c r="H1229">
        <v>3468.88</v>
      </c>
      <c r="I1229">
        <v>2023</v>
      </c>
      <c r="J1229">
        <v>10</v>
      </c>
      <c r="K1229">
        <v>9</v>
      </c>
      <c r="L1229" s="14">
        <v>1734.44</v>
      </c>
      <c r="M1229" s="4" t="str">
        <f t="shared" si="76"/>
        <v>sábado</v>
      </c>
      <c r="N1229" s="4" t="str">
        <f t="shared" si="77"/>
        <v>octubre</v>
      </c>
      <c r="O1229" s="4" t="str">
        <f t="shared" si="78"/>
        <v>SI</v>
      </c>
      <c r="P1229" s="4" t="str">
        <f t="shared" si="79"/>
        <v>SI</v>
      </c>
      <c r="Q1229" s="4" t="str" cm="1">
        <f t="array" ref="Q1229">_xlfn.IFS(AND(H1229&gt;=0,H1229&lt;=3333),"Grupo 1",AND(H1229&gt;3333,H1229&lt;=6666),"Grupo 2",AND(H1229&gt;6666,H1229&lt;=10000),"Grupo 3")</f>
        <v>Grupo 2</v>
      </c>
    </row>
    <row r="1230" spans="1:17" x14ac:dyDescent="0.25">
      <c r="A1230" t="s">
        <v>40</v>
      </c>
      <c r="B1230" s="2">
        <v>45595.773611111108</v>
      </c>
      <c r="C1230" t="s">
        <v>301</v>
      </c>
      <c r="D1230" t="s">
        <v>213</v>
      </c>
      <c r="E1230">
        <v>1</v>
      </c>
      <c r="F1230">
        <v>424.35</v>
      </c>
      <c r="G1230" t="s">
        <v>221</v>
      </c>
      <c r="H1230">
        <v>424.35</v>
      </c>
      <c r="I1230">
        <v>2024</v>
      </c>
      <c r="J1230">
        <v>10</v>
      </c>
      <c r="K1230">
        <v>18</v>
      </c>
      <c r="L1230" s="14">
        <v>424.35</v>
      </c>
      <c r="M1230" s="4" t="str">
        <f t="shared" si="76"/>
        <v>miércoles</v>
      </c>
      <c r="N1230" s="4" t="str">
        <f t="shared" si="77"/>
        <v>octubre</v>
      </c>
      <c r="O1230" s="4" t="str">
        <f t="shared" si="78"/>
        <v>NO</v>
      </c>
      <c r="P1230" s="4" t="str">
        <f t="shared" si="79"/>
        <v>NO</v>
      </c>
      <c r="Q1230" s="4" t="str" cm="1">
        <f t="array" ref="Q1230">_xlfn.IFS(AND(H1230&gt;=0,H1230&lt;=3333),"Grupo 1",AND(H1230&gt;3333,H1230&lt;=6666),"Grupo 2",AND(H1230&gt;6666,H1230&lt;=10000),"Grupo 3")</f>
        <v>Grupo 1</v>
      </c>
    </row>
    <row r="1231" spans="1:17" x14ac:dyDescent="0.25">
      <c r="A1231" t="s">
        <v>41</v>
      </c>
      <c r="B1231" s="2">
        <v>45888.736805555563</v>
      </c>
      <c r="C1231" t="s">
        <v>302</v>
      </c>
      <c r="D1231" t="s">
        <v>212</v>
      </c>
      <c r="E1231">
        <v>1</v>
      </c>
      <c r="F1231">
        <v>252.57</v>
      </c>
      <c r="G1231" t="s">
        <v>220</v>
      </c>
      <c r="H1231">
        <v>252.57</v>
      </c>
      <c r="I1231">
        <v>2025</v>
      </c>
      <c r="J1231">
        <v>8</v>
      </c>
      <c r="K1231">
        <v>17</v>
      </c>
      <c r="L1231" s="14">
        <v>252.57</v>
      </c>
      <c r="M1231" s="4" t="str">
        <f t="shared" si="76"/>
        <v>martes</v>
      </c>
      <c r="N1231" s="4" t="str">
        <f t="shared" si="77"/>
        <v>agosto</v>
      </c>
      <c r="O1231" s="4" t="str">
        <f t="shared" si="78"/>
        <v>NO</v>
      </c>
      <c r="P1231" s="4" t="str">
        <f t="shared" si="79"/>
        <v>NO</v>
      </c>
      <c r="Q1231" s="4" t="str" cm="1">
        <f t="array" ref="Q1231">_xlfn.IFS(AND(H1231&gt;=0,H1231&lt;=3333),"Grupo 1",AND(H1231&gt;3333,H1231&lt;=6666),"Grupo 2",AND(H1231&gt;6666,H1231&lt;=10000),"Grupo 3")</f>
        <v>Grupo 1</v>
      </c>
    </row>
    <row r="1232" spans="1:17" x14ac:dyDescent="0.25">
      <c r="A1232" t="s">
        <v>42</v>
      </c>
      <c r="B1232" s="2">
        <v>45478.06527777778</v>
      </c>
      <c r="C1232" t="s">
        <v>303</v>
      </c>
      <c r="D1232" t="s">
        <v>218</v>
      </c>
      <c r="E1232">
        <v>3</v>
      </c>
      <c r="F1232">
        <v>21.56</v>
      </c>
      <c r="G1232" t="s">
        <v>221</v>
      </c>
      <c r="H1232">
        <v>64.679999999999993</v>
      </c>
      <c r="I1232">
        <v>2024</v>
      </c>
      <c r="J1232">
        <v>7</v>
      </c>
      <c r="K1232">
        <v>1</v>
      </c>
      <c r="L1232" s="14">
        <v>21.56</v>
      </c>
      <c r="M1232" s="4" t="str">
        <f t="shared" si="76"/>
        <v>viernes</v>
      </c>
      <c r="N1232" s="4" t="str">
        <f t="shared" si="77"/>
        <v>julio</v>
      </c>
      <c r="O1232" s="4" t="str">
        <f t="shared" si="78"/>
        <v>NO</v>
      </c>
      <c r="P1232" s="4" t="str">
        <f t="shared" si="79"/>
        <v>NO</v>
      </c>
      <c r="Q1232" s="4" t="str" cm="1">
        <f t="array" ref="Q1232">_xlfn.IFS(AND(H1232&gt;=0,H1232&lt;=3333),"Grupo 1",AND(H1232&gt;3333,H1232&lt;=6666),"Grupo 2",AND(H1232&gt;6666,H1232&lt;=10000),"Grupo 3")</f>
        <v>Grupo 1</v>
      </c>
    </row>
    <row r="1233" spans="1:17" x14ac:dyDescent="0.25">
      <c r="A1233" t="s">
        <v>43</v>
      </c>
      <c r="B1233" s="2">
        <v>45402.668749999997</v>
      </c>
      <c r="C1233" t="s">
        <v>304</v>
      </c>
      <c r="D1233" t="s">
        <v>214</v>
      </c>
      <c r="E1233">
        <v>1</v>
      </c>
      <c r="F1233">
        <v>446.81</v>
      </c>
      <c r="G1233" t="s">
        <v>222</v>
      </c>
      <c r="H1233">
        <v>446.81</v>
      </c>
      <c r="I1233">
        <v>2024</v>
      </c>
      <c r="J1233">
        <v>4</v>
      </c>
      <c r="K1233">
        <v>16</v>
      </c>
      <c r="L1233" s="14">
        <v>446.81</v>
      </c>
      <c r="M1233" s="4" t="str">
        <f t="shared" si="76"/>
        <v>sábado</v>
      </c>
      <c r="N1233" s="4" t="str">
        <f t="shared" si="77"/>
        <v>abril</v>
      </c>
      <c r="O1233" s="4" t="str">
        <f t="shared" si="78"/>
        <v>NO</v>
      </c>
      <c r="P1233" s="4" t="str">
        <f t="shared" si="79"/>
        <v>NO</v>
      </c>
      <c r="Q1233" s="4" t="str" cm="1">
        <f t="array" ref="Q1233">_xlfn.IFS(AND(H1233&gt;=0,H1233&lt;=3333),"Grupo 1",AND(H1233&gt;3333,H1233&lt;=6666),"Grupo 2",AND(H1233&gt;6666,H1233&lt;=10000),"Grupo 3")</f>
        <v>Grupo 1</v>
      </c>
    </row>
    <row r="1234" spans="1:17" x14ac:dyDescent="0.25">
      <c r="A1234" t="s">
        <v>44</v>
      </c>
      <c r="B1234" s="2">
        <v>45033.806944444441</v>
      </c>
      <c r="C1234" t="s">
        <v>305</v>
      </c>
      <c r="D1234" t="s">
        <v>218</v>
      </c>
      <c r="E1234">
        <v>2</v>
      </c>
      <c r="F1234">
        <v>64.67</v>
      </c>
      <c r="G1234" t="s">
        <v>221</v>
      </c>
      <c r="H1234">
        <v>129.34</v>
      </c>
      <c r="I1234">
        <v>2023</v>
      </c>
      <c r="J1234">
        <v>4</v>
      </c>
      <c r="K1234">
        <v>19</v>
      </c>
      <c r="L1234" s="14">
        <v>64.67</v>
      </c>
      <c r="M1234" s="4" t="str">
        <f t="shared" si="76"/>
        <v>lunes</v>
      </c>
      <c r="N1234" s="4" t="str">
        <f t="shared" si="77"/>
        <v>abril</v>
      </c>
      <c r="O1234" s="4" t="str">
        <f t="shared" si="78"/>
        <v>NO</v>
      </c>
      <c r="P1234" s="4" t="str">
        <f t="shared" si="79"/>
        <v>NO</v>
      </c>
      <c r="Q1234" s="4" t="str" cm="1">
        <f t="array" ref="Q1234">_xlfn.IFS(AND(H1234&gt;=0,H1234&lt;=3333),"Grupo 1",AND(H1234&gt;3333,H1234&lt;=6666),"Grupo 2",AND(H1234&gt;6666,H1234&lt;=10000),"Grupo 3")</f>
        <v>Grupo 1</v>
      </c>
    </row>
    <row r="1235" spans="1:17" x14ac:dyDescent="0.25">
      <c r="A1235" t="s">
        <v>45</v>
      </c>
      <c r="B1235" s="2">
        <v>45432.781944444447</v>
      </c>
      <c r="C1235" t="s">
        <v>306</v>
      </c>
      <c r="D1235" t="s">
        <v>216</v>
      </c>
      <c r="E1235">
        <v>5</v>
      </c>
      <c r="F1235">
        <v>1168.3499999999999</v>
      </c>
      <c r="G1235" t="s">
        <v>221</v>
      </c>
      <c r="H1235">
        <v>5841.75</v>
      </c>
      <c r="I1235">
        <v>2024</v>
      </c>
      <c r="J1235">
        <v>5</v>
      </c>
      <c r="K1235">
        <v>18</v>
      </c>
      <c r="L1235" s="14">
        <v>1168.3499999999999</v>
      </c>
      <c r="M1235" s="4" t="str">
        <f t="shared" si="76"/>
        <v>lunes</v>
      </c>
      <c r="N1235" s="4" t="str">
        <f t="shared" si="77"/>
        <v>mayo</v>
      </c>
      <c r="O1235" s="4" t="str">
        <f t="shared" si="78"/>
        <v>SI</v>
      </c>
      <c r="P1235" s="4" t="str">
        <f t="shared" si="79"/>
        <v>SI</v>
      </c>
      <c r="Q1235" s="4" t="str" cm="1">
        <f t="array" ref="Q1235">_xlfn.IFS(AND(H1235&gt;=0,H1235&lt;=3333),"Grupo 1",AND(H1235&gt;3333,H1235&lt;=6666),"Grupo 2",AND(H1235&gt;6666,H1235&lt;=10000),"Grupo 3")</f>
        <v>Grupo 2</v>
      </c>
    </row>
    <row r="1236" spans="1:17" x14ac:dyDescent="0.25">
      <c r="A1236" t="s">
        <v>46</v>
      </c>
      <c r="B1236" s="2">
        <v>45746.083333333343</v>
      </c>
      <c r="C1236" t="s">
        <v>307</v>
      </c>
      <c r="D1236" t="s">
        <v>214</v>
      </c>
      <c r="E1236">
        <v>2</v>
      </c>
      <c r="F1236">
        <v>349.3</v>
      </c>
      <c r="G1236" t="s">
        <v>222</v>
      </c>
      <c r="H1236">
        <v>698.6</v>
      </c>
      <c r="I1236">
        <v>2025</v>
      </c>
      <c r="J1236">
        <v>3</v>
      </c>
      <c r="K1236">
        <v>2</v>
      </c>
      <c r="L1236" s="14">
        <v>349.3</v>
      </c>
      <c r="M1236" s="4" t="str">
        <f t="shared" si="76"/>
        <v>domingo</v>
      </c>
      <c r="N1236" s="4" t="str">
        <f t="shared" si="77"/>
        <v>marzo</v>
      </c>
      <c r="O1236" s="4" t="str">
        <f t="shared" si="78"/>
        <v>NO</v>
      </c>
      <c r="P1236" s="4" t="str">
        <f t="shared" si="79"/>
        <v>NO</v>
      </c>
      <c r="Q1236" s="4" t="str" cm="1">
        <f t="array" ref="Q1236">_xlfn.IFS(AND(H1236&gt;=0,H1236&lt;=3333),"Grupo 1",AND(H1236&gt;3333,H1236&lt;=6666),"Grupo 2",AND(H1236&gt;6666,H1236&lt;=10000),"Grupo 3")</f>
        <v>Grupo 1</v>
      </c>
    </row>
    <row r="1237" spans="1:17" x14ac:dyDescent="0.25">
      <c r="A1237" t="s">
        <v>47</v>
      </c>
      <c r="B1237" s="2">
        <v>45515.355555555558</v>
      </c>
      <c r="C1237" t="s">
        <v>308</v>
      </c>
      <c r="D1237" t="s">
        <v>216</v>
      </c>
      <c r="E1237">
        <v>3</v>
      </c>
      <c r="F1237">
        <v>1154.06</v>
      </c>
      <c r="G1237" t="s">
        <v>221</v>
      </c>
      <c r="H1237">
        <v>3462.18</v>
      </c>
      <c r="I1237">
        <v>2024</v>
      </c>
      <c r="J1237">
        <v>8</v>
      </c>
      <c r="K1237">
        <v>8</v>
      </c>
      <c r="L1237" s="14">
        <v>1154.06</v>
      </c>
      <c r="M1237" s="4" t="str">
        <f t="shared" si="76"/>
        <v>domingo</v>
      </c>
      <c r="N1237" s="4" t="str">
        <f t="shared" si="77"/>
        <v>agosto</v>
      </c>
      <c r="O1237" s="4" t="str">
        <f t="shared" si="78"/>
        <v>SI</v>
      </c>
      <c r="P1237" s="4" t="str">
        <f t="shared" si="79"/>
        <v>SI</v>
      </c>
      <c r="Q1237" s="4" t="str" cm="1">
        <f t="array" ref="Q1237">_xlfn.IFS(AND(H1237&gt;=0,H1237&lt;=3333),"Grupo 1",AND(H1237&gt;3333,H1237&lt;=6666),"Grupo 2",AND(H1237&gt;6666,H1237&lt;=10000),"Grupo 3")</f>
        <v>Grupo 2</v>
      </c>
    </row>
    <row r="1238" spans="1:17" x14ac:dyDescent="0.25">
      <c r="A1238" t="s">
        <v>48</v>
      </c>
      <c r="B1238" s="2">
        <v>45730.554861111108</v>
      </c>
      <c r="C1238" t="s">
        <v>309</v>
      </c>
      <c r="D1238" t="s">
        <v>215</v>
      </c>
      <c r="E1238">
        <v>4</v>
      </c>
      <c r="F1238">
        <v>1566.37</v>
      </c>
      <c r="G1238" t="s">
        <v>220</v>
      </c>
      <c r="H1238">
        <v>6265.48</v>
      </c>
      <c r="I1238">
        <v>2025</v>
      </c>
      <c r="J1238">
        <v>3</v>
      </c>
      <c r="K1238">
        <v>13</v>
      </c>
      <c r="L1238" s="14">
        <v>1566.37</v>
      </c>
      <c r="M1238" s="4" t="str">
        <f t="shared" si="76"/>
        <v>viernes</v>
      </c>
      <c r="N1238" s="4" t="str">
        <f t="shared" si="77"/>
        <v>marzo</v>
      </c>
      <c r="O1238" s="4" t="str">
        <f t="shared" si="78"/>
        <v>SI</v>
      </c>
      <c r="P1238" s="4" t="str">
        <f t="shared" si="79"/>
        <v>SI</v>
      </c>
      <c r="Q1238" s="4" t="str" cm="1">
        <f t="array" ref="Q1238">_xlfn.IFS(AND(H1238&gt;=0,H1238&lt;=3333),"Grupo 1",AND(H1238&gt;3333,H1238&lt;=6666),"Grupo 2",AND(H1238&gt;6666,H1238&lt;=10000),"Grupo 3")</f>
        <v>Grupo 2</v>
      </c>
    </row>
    <row r="1239" spans="1:17" x14ac:dyDescent="0.25">
      <c r="A1239" t="s">
        <v>49</v>
      </c>
      <c r="B1239" s="2">
        <v>45603.252083333333</v>
      </c>
      <c r="C1239" t="s">
        <v>310</v>
      </c>
      <c r="D1239" t="s">
        <v>212</v>
      </c>
      <c r="E1239">
        <v>2</v>
      </c>
      <c r="F1239">
        <v>674.48</v>
      </c>
      <c r="G1239" t="s">
        <v>220</v>
      </c>
      <c r="H1239">
        <v>1348.96</v>
      </c>
      <c r="I1239">
        <v>2024</v>
      </c>
      <c r="J1239">
        <v>11</v>
      </c>
      <c r="K1239">
        <v>6</v>
      </c>
      <c r="L1239" s="14">
        <v>674.48</v>
      </c>
      <c r="M1239" s="4" t="str">
        <f t="shared" si="76"/>
        <v>jueves</v>
      </c>
      <c r="N1239" s="4" t="str">
        <f t="shared" si="77"/>
        <v>noviembre</v>
      </c>
      <c r="O1239" s="4" t="str">
        <f t="shared" si="78"/>
        <v>NO</v>
      </c>
      <c r="P1239" s="4" t="str">
        <f t="shared" si="79"/>
        <v>NO</v>
      </c>
      <c r="Q1239" s="4" t="str" cm="1">
        <f t="array" ref="Q1239">_xlfn.IFS(AND(H1239&gt;=0,H1239&lt;=3333),"Grupo 1",AND(H1239&gt;3333,H1239&lt;=6666),"Grupo 2",AND(H1239&gt;6666,H1239&lt;=10000),"Grupo 3")</f>
        <v>Grupo 1</v>
      </c>
    </row>
    <row r="1240" spans="1:17" x14ac:dyDescent="0.25">
      <c r="A1240" t="s">
        <v>50</v>
      </c>
      <c r="B1240" s="2">
        <v>45420.054861111108</v>
      </c>
      <c r="C1240" t="s">
        <v>311</v>
      </c>
      <c r="D1240" t="s">
        <v>212</v>
      </c>
      <c r="E1240">
        <v>2</v>
      </c>
      <c r="F1240">
        <v>1543.98</v>
      </c>
      <c r="G1240" t="s">
        <v>220</v>
      </c>
      <c r="H1240">
        <v>3087.96</v>
      </c>
      <c r="I1240">
        <v>2024</v>
      </c>
      <c r="J1240">
        <v>5</v>
      </c>
      <c r="K1240">
        <v>1</v>
      </c>
      <c r="L1240" s="14">
        <v>1543.98</v>
      </c>
      <c r="M1240" s="4" t="str">
        <f t="shared" si="76"/>
        <v>miércoles</v>
      </c>
      <c r="N1240" s="4" t="str">
        <f t="shared" si="77"/>
        <v>mayo</v>
      </c>
      <c r="O1240" s="4" t="str">
        <f t="shared" si="78"/>
        <v>SI</v>
      </c>
      <c r="P1240" s="4" t="str">
        <f t="shared" si="79"/>
        <v>SI</v>
      </c>
      <c r="Q1240" s="4" t="str" cm="1">
        <f t="array" ref="Q1240">_xlfn.IFS(AND(H1240&gt;=0,H1240&lt;=3333),"Grupo 1",AND(H1240&gt;3333,H1240&lt;=6666),"Grupo 2",AND(H1240&gt;6666,H1240&lt;=10000),"Grupo 3")</f>
        <v>Grupo 1</v>
      </c>
    </row>
    <row r="1241" spans="1:17" x14ac:dyDescent="0.25">
      <c r="A1241" t="s">
        <v>51</v>
      </c>
      <c r="B1241" s="2">
        <v>44931.743055555547</v>
      </c>
      <c r="C1241" t="s">
        <v>312</v>
      </c>
      <c r="D1241" t="s">
        <v>217</v>
      </c>
      <c r="E1241">
        <v>5</v>
      </c>
      <c r="F1241">
        <v>917.31</v>
      </c>
      <c r="G1241" t="s">
        <v>220</v>
      </c>
      <c r="H1241">
        <v>4586.5499999999993</v>
      </c>
      <c r="I1241">
        <v>2023</v>
      </c>
      <c r="J1241">
        <v>1</v>
      </c>
      <c r="K1241">
        <v>17</v>
      </c>
      <c r="L1241" s="14">
        <v>917.30999999999983</v>
      </c>
      <c r="M1241" s="4" t="str">
        <f t="shared" si="76"/>
        <v>jueves</v>
      </c>
      <c r="N1241" s="4" t="str">
        <f t="shared" si="77"/>
        <v>enero</v>
      </c>
      <c r="O1241" s="4" t="str">
        <f t="shared" si="78"/>
        <v>SI</v>
      </c>
      <c r="P1241" s="4" t="str">
        <f t="shared" si="79"/>
        <v>NO</v>
      </c>
      <c r="Q1241" s="4" t="str" cm="1">
        <f t="array" ref="Q1241">_xlfn.IFS(AND(H1241&gt;=0,H1241&lt;=3333),"Grupo 1",AND(H1241&gt;3333,H1241&lt;=6666),"Grupo 2",AND(H1241&gt;6666,H1241&lt;=10000),"Grupo 3")</f>
        <v>Grupo 2</v>
      </c>
    </row>
    <row r="1242" spans="1:17" x14ac:dyDescent="0.25">
      <c r="A1242" t="s">
        <v>52</v>
      </c>
      <c r="B1242" s="2">
        <v>45326.684027777781</v>
      </c>
      <c r="C1242" t="s">
        <v>313</v>
      </c>
      <c r="D1242" t="s">
        <v>219</v>
      </c>
      <c r="E1242">
        <v>4</v>
      </c>
      <c r="F1242">
        <v>450.36</v>
      </c>
      <c r="G1242" t="s">
        <v>221</v>
      </c>
      <c r="H1242">
        <v>1801.44</v>
      </c>
      <c r="I1242">
        <v>2024</v>
      </c>
      <c r="J1242">
        <v>2</v>
      </c>
      <c r="K1242">
        <v>16</v>
      </c>
      <c r="L1242" s="14">
        <v>450.36</v>
      </c>
      <c r="M1242" s="4" t="str">
        <f t="shared" si="76"/>
        <v>domingo</v>
      </c>
      <c r="N1242" s="4" t="str">
        <f t="shared" si="77"/>
        <v>febrero</v>
      </c>
      <c r="O1242" s="4" t="str">
        <f t="shared" si="78"/>
        <v>NO</v>
      </c>
      <c r="P1242" s="4" t="str">
        <f t="shared" si="79"/>
        <v>NO</v>
      </c>
      <c r="Q1242" s="4" t="str" cm="1">
        <f t="array" ref="Q1242">_xlfn.IFS(AND(H1242&gt;=0,H1242&lt;=3333),"Grupo 1",AND(H1242&gt;3333,H1242&lt;=6666),"Grupo 2",AND(H1242&gt;6666,H1242&lt;=10000),"Grupo 3")</f>
        <v>Grupo 1</v>
      </c>
    </row>
    <row r="1243" spans="1:17" x14ac:dyDescent="0.25">
      <c r="A1243" t="s">
        <v>53</v>
      </c>
      <c r="B1243" s="2">
        <v>45146.872916666667</v>
      </c>
      <c r="C1243" t="s">
        <v>314</v>
      </c>
      <c r="D1243" t="s">
        <v>215</v>
      </c>
      <c r="E1243">
        <v>2</v>
      </c>
      <c r="F1243">
        <v>755.48</v>
      </c>
      <c r="G1243" t="s">
        <v>220</v>
      </c>
      <c r="H1243">
        <v>1510.96</v>
      </c>
      <c r="I1243">
        <v>2023</v>
      </c>
      <c r="J1243">
        <v>8</v>
      </c>
      <c r="K1243">
        <v>20</v>
      </c>
      <c r="L1243" s="14">
        <v>755.48</v>
      </c>
      <c r="M1243" s="4" t="str">
        <f t="shared" si="76"/>
        <v>martes</v>
      </c>
      <c r="N1243" s="4" t="str">
        <f t="shared" si="77"/>
        <v>agosto</v>
      </c>
      <c r="O1243" s="4" t="str">
        <f t="shared" si="78"/>
        <v>NO</v>
      </c>
      <c r="P1243" s="4" t="str">
        <f t="shared" si="79"/>
        <v>NO</v>
      </c>
      <c r="Q1243" s="4" t="str" cm="1">
        <f t="array" ref="Q1243">_xlfn.IFS(AND(H1243&gt;=0,H1243&lt;=3333),"Grupo 1",AND(H1243&gt;3333,H1243&lt;=6666),"Grupo 2",AND(H1243&gt;6666,H1243&lt;=10000),"Grupo 3")</f>
        <v>Grupo 1</v>
      </c>
    </row>
    <row r="1244" spans="1:17" x14ac:dyDescent="0.25">
      <c r="A1244" t="s">
        <v>54</v>
      </c>
      <c r="B1244" s="2">
        <v>45464.595833333333</v>
      </c>
      <c r="C1244" t="s">
        <v>315</v>
      </c>
      <c r="D1244" t="s">
        <v>213</v>
      </c>
      <c r="E1244">
        <v>3</v>
      </c>
      <c r="F1244">
        <v>1855.55</v>
      </c>
      <c r="G1244" t="s">
        <v>221</v>
      </c>
      <c r="H1244">
        <v>5566.65</v>
      </c>
      <c r="I1244">
        <v>2024</v>
      </c>
      <c r="J1244">
        <v>6</v>
      </c>
      <c r="K1244">
        <v>14</v>
      </c>
      <c r="L1244" s="14">
        <v>1855.55</v>
      </c>
      <c r="M1244" s="4" t="str">
        <f t="shared" si="76"/>
        <v>viernes</v>
      </c>
      <c r="N1244" s="4" t="str">
        <f t="shared" si="77"/>
        <v>junio</v>
      </c>
      <c r="O1244" s="4" t="str">
        <f t="shared" si="78"/>
        <v>SI</v>
      </c>
      <c r="P1244" s="4" t="str">
        <f t="shared" si="79"/>
        <v>SI</v>
      </c>
      <c r="Q1244" s="4" t="str" cm="1">
        <f t="array" ref="Q1244">_xlfn.IFS(AND(H1244&gt;=0,H1244&lt;=3333),"Grupo 1",AND(H1244&gt;3333,H1244&lt;=6666),"Grupo 2",AND(H1244&gt;6666,H1244&lt;=10000),"Grupo 3")</f>
        <v>Grupo 2</v>
      </c>
    </row>
    <row r="1245" spans="1:17" x14ac:dyDescent="0.25">
      <c r="A1245" t="s">
        <v>55</v>
      </c>
      <c r="B1245" s="2">
        <v>45171.9</v>
      </c>
      <c r="C1245" t="s">
        <v>316</v>
      </c>
      <c r="D1245" t="s">
        <v>216</v>
      </c>
      <c r="E1245">
        <v>5</v>
      </c>
      <c r="F1245">
        <v>1011.75</v>
      </c>
      <c r="G1245" t="s">
        <v>221</v>
      </c>
      <c r="H1245">
        <v>5058.75</v>
      </c>
      <c r="I1245">
        <v>2023</v>
      </c>
      <c r="J1245">
        <v>9</v>
      </c>
      <c r="K1245">
        <v>21</v>
      </c>
      <c r="L1245" s="14">
        <v>1011.75</v>
      </c>
      <c r="M1245" s="4" t="str">
        <f t="shared" si="76"/>
        <v>sábado</v>
      </c>
      <c r="N1245" s="4" t="str">
        <f t="shared" si="77"/>
        <v>septiembre</v>
      </c>
      <c r="O1245" s="4" t="str">
        <f t="shared" si="78"/>
        <v>SI</v>
      </c>
      <c r="P1245" s="4" t="str">
        <f t="shared" si="79"/>
        <v>SI</v>
      </c>
      <c r="Q1245" s="4" t="str" cm="1">
        <f t="array" ref="Q1245">_xlfn.IFS(AND(H1245&gt;=0,H1245&lt;=3333),"Grupo 1",AND(H1245&gt;3333,H1245&lt;=6666),"Grupo 2",AND(H1245&gt;6666,H1245&lt;=10000),"Grupo 3")</f>
        <v>Grupo 2</v>
      </c>
    </row>
    <row r="1246" spans="1:17" x14ac:dyDescent="0.25">
      <c r="A1246" t="s">
        <v>56</v>
      </c>
      <c r="B1246" s="2">
        <v>44992.136111111111</v>
      </c>
      <c r="C1246" t="s">
        <v>317</v>
      </c>
      <c r="D1246" t="s">
        <v>213</v>
      </c>
      <c r="E1246">
        <v>5</v>
      </c>
      <c r="F1246">
        <v>1218.3399999999999</v>
      </c>
      <c r="G1246" t="s">
        <v>221</v>
      </c>
      <c r="H1246">
        <v>6091.7</v>
      </c>
      <c r="I1246">
        <v>2023</v>
      </c>
      <c r="J1246">
        <v>3</v>
      </c>
      <c r="K1246">
        <v>3</v>
      </c>
      <c r="L1246" s="14">
        <v>1218.3399999999999</v>
      </c>
      <c r="M1246" s="4" t="str">
        <f t="shared" si="76"/>
        <v>martes</v>
      </c>
      <c r="N1246" s="4" t="str">
        <f t="shared" si="77"/>
        <v>marzo</v>
      </c>
      <c r="O1246" s="4" t="str">
        <f t="shared" si="78"/>
        <v>SI</v>
      </c>
      <c r="P1246" s="4" t="str">
        <f t="shared" si="79"/>
        <v>SI</v>
      </c>
      <c r="Q1246" s="4" t="str" cm="1">
        <f t="array" ref="Q1246">_xlfn.IFS(AND(H1246&gt;=0,H1246&lt;=3333),"Grupo 1",AND(H1246&gt;3333,H1246&lt;=6666),"Grupo 2",AND(H1246&gt;6666,H1246&lt;=10000),"Grupo 3")</f>
        <v>Grupo 2</v>
      </c>
    </row>
    <row r="1247" spans="1:17" x14ac:dyDescent="0.25">
      <c r="A1247" t="s">
        <v>57</v>
      </c>
      <c r="B1247" s="2">
        <v>44927.061111111107</v>
      </c>
      <c r="C1247" t="s">
        <v>318</v>
      </c>
      <c r="D1247" t="s">
        <v>216</v>
      </c>
      <c r="E1247">
        <v>2</v>
      </c>
      <c r="F1247">
        <v>361.59</v>
      </c>
      <c r="G1247" t="s">
        <v>221</v>
      </c>
      <c r="H1247">
        <v>723.18</v>
      </c>
      <c r="I1247">
        <v>2023</v>
      </c>
      <c r="J1247">
        <v>1</v>
      </c>
      <c r="K1247">
        <v>1</v>
      </c>
      <c r="L1247" s="14">
        <v>361.59</v>
      </c>
      <c r="M1247" s="4" t="str">
        <f t="shared" si="76"/>
        <v>domingo</v>
      </c>
      <c r="N1247" s="4" t="str">
        <f t="shared" si="77"/>
        <v>enero</v>
      </c>
      <c r="O1247" s="4" t="str">
        <f t="shared" si="78"/>
        <v>NO</v>
      </c>
      <c r="P1247" s="4" t="str">
        <f t="shared" si="79"/>
        <v>NO</v>
      </c>
      <c r="Q1247" s="4" t="str" cm="1">
        <f t="array" ref="Q1247">_xlfn.IFS(AND(H1247&gt;=0,H1247&lt;=3333),"Grupo 1",AND(H1247&gt;3333,H1247&lt;=6666),"Grupo 2",AND(H1247&gt;6666,H1247&lt;=10000),"Grupo 3")</f>
        <v>Grupo 1</v>
      </c>
    </row>
    <row r="1248" spans="1:17" x14ac:dyDescent="0.25">
      <c r="A1248" t="s">
        <v>58</v>
      </c>
      <c r="B1248" s="2">
        <v>45097.359027777777</v>
      </c>
      <c r="C1248" t="s">
        <v>319</v>
      </c>
      <c r="D1248" t="s">
        <v>213</v>
      </c>
      <c r="E1248">
        <v>5</v>
      </c>
      <c r="F1248">
        <v>958.8</v>
      </c>
      <c r="G1248" t="s">
        <v>221</v>
      </c>
      <c r="H1248">
        <v>4794</v>
      </c>
      <c r="I1248">
        <v>2023</v>
      </c>
      <c r="J1248">
        <v>6</v>
      </c>
      <c r="K1248">
        <v>8</v>
      </c>
      <c r="L1248" s="14">
        <v>958.8</v>
      </c>
      <c r="M1248" s="4" t="str">
        <f t="shared" si="76"/>
        <v>martes</v>
      </c>
      <c r="N1248" s="4" t="str">
        <f t="shared" si="77"/>
        <v>junio</v>
      </c>
      <c r="O1248" s="4" t="str">
        <f t="shared" si="78"/>
        <v>SI</v>
      </c>
      <c r="P1248" s="4" t="str">
        <f t="shared" si="79"/>
        <v>NO</v>
      </c>
      <c r="Q1248" s="4" t="str" cm="1">
        <f t="array" ref="Q1248">_xlfn.IFS(AND(H1248&gt;=0,H1248&lt;=3333),"Grupo 1",AND(H1248&gt;3333,H1248&lt;=6666),"Grupo 2",AND(H1248&gt;6666,H1248&lt;=10000),"Grupo 3")</f>
        <v>Grupo 2</v>
      </c>
    </row>
    <row r="1249" spans="1:17" x14ac:dyDescent="0.25">
      <c r="A1249" t="s">
        <v>59</v>
      </c>
      <c r="B1249" s="2">
        <v>45755.288194444453</v>
      </c>
      <c r="C1249" t="s">
        <v>320</v>
      </c>
      <c r="D1249" t="s">
        <v>214</v>
      </c>
      <c r="E1249">
        <v>5</v>
      </c>
      <c r="F1249">
        <v>1776.87</v>
      </c>
      <c r="G1249" t="s">
        <v>222</v>
      </c>
      <c r="H1249">
        <v>8884.3499999999985</v>
      </c>
      <c r="I1249">
        <v>2025</v>
      </c>
      <c r="J1249">
        <v>4</v>
      </c>
      <c r="K1249">
        <v>6</v>
      </c>
      <c r="L1249" s="14">
        <v>1776.87</v>
      </c>
      <c r="M1249" s="4" t="str">
        <f t="shared" si="76"/>
        <v>martes</v>
      </c>
      <c r="N1249" s="4" t="str">
        <f t="shared" si="77"/>
        <v>abril</v>
      </c>
      <c r="O1249" s="4" t="str">
        <f t="shared" si="78"/>
        <v>SI</v>
      </c>
      <c r="P1249" s="4" t="str">
        <f t="shared" si="79"/>
        <v>SI</v>
      </c>
      <c r="Q1249" s="4" t="str" cm="1">
        <f t="array" ref="Q1249">_xlfn.IFS(AND(H1249&gt;=0,H1249&lt;=3333),"Grupo 1",AND(H1249&gt;3333,H1249&lt;=6666),"Grupo 2",AND(H1249&gt;6666,H1249&lt;=10000),"Grupo 3")</f>
        <v>Grupo 3</v>
      </c>
    </row>
    <row r="1250" spans="1:17" x14ac:dyDescent="0.25">
      <c r="A1250" t="s">
        <v>60</v>
      </c>
      <c r="B1250" s="2">
        <v>45782.866666666669</v>
      </c>
      <c r="C1250" t="s">
        <v>321</v>
      </c>
      <c r="D1250" t="s">
        <v>219</v>
      </c>
      <c r="E1250">
        <v>1</v>
      </c>
      <c r="F1250">
        <v>1467.34</v>
      </c>
      <c r="G1250" t="s">
        <v>221</v>
      </c>
      <c r="H1250">
        <v>1467.34</v>
      </c>
      <c r="I1250">
        <v>2025</v>
      </c>
      <c r="J1250">
        <v>5</v>
      </c>
      <c r="K1250">
        <v>20</v>
      </c>
      <c r="L1250" s="14">
        <v>1467.34</v>
      </c>
      <c r="M1250" s="4" t="str">
        <f t="shared" si="76"/>
        <v>lunes</v>
      </c>
      <c r="N1250" s="4" t="str">
        <f t="shared" si="77"/>
        <v>mayo</v>
      </c>
      <c r="O1250" s="4" t="str">
        <f t="shared" si="78"/>
        <v>NO</v>
      </c>
      <c r="P1250" s="4" t="str">
        <f t="shared" si="79"/>
        <v>SI</v>
      </c>
      <c r="Q1250" s="4" t="str" cm="1">
        <f t="array" ref="Q1250">_xlfn.IFS(AND(H1250&gt;=0,H1250&lt;=3333),"Grupo 1",AND(H1250&gt;3333,H1250&lt;=6666),"Grupo 2",AND(H1250&gt;6666,H1250&lt;=10000),"Grupo 3")</f>
        <v>Grupo 1</v>
      </c>
    </row>
    <row r="1251" spans="1:17" x14ac:dyDescent="0.25">
      <c r="A1251" t="s">
        <v>61</v>
      </c>
      <c r="B1251" s="2">
        <v>45819.341666666667</v>
      </c>
      <c r="C1251" t="s">
        <v>322</v>
      </c>
      <c r="D1251" t="s">
        <v>214</v>
      </c>
      <c r="E1251">
        <v>3</v>
      </c>
      <c r="F1251">
        <v>683.91</v>
      </c>
      <c r="G1251" t="s">
        <v>222</v>
      </c>
      <c r="H1251">
        <v>2051.73</v>
      </c>
      <c r="I1251">
        <v>2025</v>
      </c>
      <c r="J1251">
        <v>6</v>
      </c>
      <c r="K1251">
        <v>8</v>
      </c>
      <c r="L1251" s="14">
        <v>683.91</v>
      </c>
      <c r="M1251" s="4" t="str">
        <f t="shared" si="76"/>
        <v>miércoles</v>
      </c>
      <c r="N1251" s="4" t="str">
        <f t="shared" si="77"/>
        <v>junio</v>
      </c>
      <c r="O1251" s="4" t="str">
        <f t="shared" si="78"/>
        <v>NO</v>
      </c>
      <c r="P1251" s="4" t="str">
        <f t="shared" si="79"/>
        <v>NO</v>
      </c>
      <c r="Q1251" s="4" t="str" cm="1">
        <f t="array" ref="Q1251">_xlfn.IFS(AND(H1251&gt;=0,H1251&lt;=3333),"Grupo 1",AND(H1251&gt;3333,H1251&lt;=6666),"Grupo 2",AND(H1251&gt;6666,H1251&lt;=10000),"Grupo 3")</f>
        <v>Grupo 1</v>
      </c>
    </row>
    <row r="1252" spans="1:17" x14ac:dyDescent="0.25">
      <c r="A1252" t="s">
        <v>62</v>
      </c>
      <c r="B1252" s="2">
        <v>45441.993055555547</v>
      </c>
      <c r="C1252" t="s">
        <v>323</v>
      </c>
      <c r="D1252" t="s">
        <v>214</v>
      </c>
      <c r="E1252">
        <v>1</v>
      </c>
      <c r="F1252">
        <v>1083.8599999999999</v>
      </c>
      <c r="G1252" t="s">
        <v>222</v>
      </c>
      <c r="H1252">
        <v>1083.8599999999999</v>
      </c>
      <c r="I1252">
        <v>2024</v>
      </c>
      <c r="J1252">
        <v>5</v>
      </c>
      <c r="K1252">
        <v>23</v>
      </c>
      <c r="L1252" s="14">
        <v>1083.8599999999999</v>
      </c>
      <c r="M1252" s="4" t="str">
        <f t="shared" si="76"/>
        <v>miércoles</v>
      </c>
      <c r="N1252" s="4" t="str">
        <f t="shared" si="77"/>
        <v>mayo</v>
      </c>
      <c r="O1252" s="4" t="str">
        <f t="shared" si="78"/>
        <v>NO</v>
      </c>
      <c r="P1252" s="4" t="str">
        <f t="shared" si="79"/>
        <v>SI</v>
      </c>
      <c r="Q1252" s="4" t="str" cm="1">
        <f t="array" ref="Q1252">_xlfn.IFS(AND(H1252&gt;=0,H1252&lt;=3333),"Grupo 1",AND(H1252&gt;3333,H1252&lt;=6666),"Grupo 2",AND(H1252&gt;6666,H1252&lt;=10000),"Grupo 3")</f>
        <v>Grupo 1</v>
      </c>
    </row>
    <row r="1253" spans="1:17" x14ac:dyDescent="0.25">
      <c r="A1253" t="s">
        <v>63</v>
      </c>
      <c r="B1253" s="2">
        <v>45180.999305555553</v>
      </c>
      <c r="C1253" t="s">
        <v>324</v>
      </c>
      <c r="D1253" t="s">
        <v>212</v>
      </c>
      <c r="E1253">
        <v>2</v>
      </c>
      <c r="F1253">
        <v>1551.85</v>
      </c>
      <c r="G1253" t="s">
        <v>220</v>
      </c>
      <c r="H1253">
        <v>3103.7</v>
      </c>
      <c r="I1253">
        <v>2023</v>
      </c>
      <c r="J1253">
        <v>9</v>
      </c>
      <c r="K1253">
        <v>23</v>
      </c>
      <c r="L1253" s="14">
        <v>1551.85</v>
      </c>
      <c r="M1253" s="4" t="str">
        <f t="shared" si="76"/>
        <v>lunes</v>
      </c>
      <c r="N1253" s="4" t="str">
        <f t="shared" si="77"/>
        <v>septiembre</v>
      </c>
      <c r="O1253" s="4" t="str">
        <f t="shared" si="78"/>
        <v>SI</v>
      </c>
      <c r="P1253" s="4" t="str">
        <f t="shared" si="79"/>
        <v>SI</v>
      </c>
      <c r="Q1253" s="4" t="str" cm="1">
        <f t="array" ref="Q1253">_xlfn.IFS(AND(H1253&gt;=0,H1253&lt;=3333),"Grupo 1",AND(H1253&gt;3333,H1253&lt;=6666),"Grupo 2",AND(H1253&gt;6666,H1253&lt;=10000),"Grupo 3")</f>
        <v>Grupo 1</v>
      </c>
    </row>
    <row r="1254" spans="1:17" x14ac:dyDescent="0.25">
      <c r="A1254" t="s">
        <v>64</v>
      </c>
      <c r="B1254" s="2">
        <v>45624.619444444441</v>
      </c>
      <c r="C1254" t="s">
        <v>325</v>
      </c>
      <c r="D1254" t="s">
        <v>217</v>
      </c>
      <c r="E1254">
        <v>5</v>
      </c>
      <c r="F1254">
        <v>1368.27</v>
      </c>
      <c r="G1254" t="s">
        <v>220</v>
      </c>
      <c r="H1254">
        <v>6841.35</v>
      </c>
      <c r="I1254">
        <v>2024</v>
      </c>
      <c r="J1254">
        <v>11</v>
      </c>
      <c r="K1254">
        <v>14</v>
      </c>
      <c r="L1254" s="14">
        <v>1368.27</v>
      </c>
      <c r="M1254" s="4" t="str">
        <f t="shared" si="76"/>
        <v>jueves</v>
      </c>
      <c r="N1254" s="4" t="str">
        <f t="shared" si="77"/>
        <v>noviembre</v>
      </c>
      <c r="O1254" s="4" t="str">
        <f t="shared" si="78"/>
        <v>SI</v>
      </c>
      <c r="P1254" s="4" t="str">
        <f t="shared" si="79"/>
        <v>SI</v>
      </c>
      <c r="Q1254" s="4" t="str" cm="1">
        <f t="array" ref="Q1254">_xlfn.IFS(AND(H1254&gt;=0,H1254&lt;=3333),"Grupo 1",AND(H1254&gt;3333,H1254&lt;=6666),"Grupo 2",AND(H1254&gt;6666,H1254&lt;=10000),"Grupo 3")</f>
        <v>Grupo 3</v>
      </c>
    </row>
    <row r="1255" spans="1:17" x14ac:dyDescent="0.25">
      <c r="A1255" t="s">
        <v>65</v>
      </c>
      <c r="B1255" s="2">
        <v>45447.955555555563</v>
      </c>
      <c r="C1255" t="s">
        <v>326</v>
      </c>
      <c r="D1255" t="s">
        <v>217</v>
      </c>
      <c r="E1255">
        <v>4</v>
      </c>
      <c r="F1255">
        <v>1818.88</v>
      </c>
      <c r="G1255" t="s">
        <v>220</v>
      </c>
      <c r="H1255">
        <v>7275.52</v>
      </c>
      <c r="I1255">
        <v>2024</v>
      </c>
      <c r="J1255">
        <v>6</v>
      </c>
      <c r="K1255">
        <v>22</v>
      </c>
      <c r="L1255" s="14">
        <v>1818.88</v>
      </c>
      <c r="M1255" s="4" t="str">
        <f t="shared" si="76"/>
        <v>martes</v>
      </c>
      <c r="N1255" s="4" t="str">
        <f t="shared" si="77"/>
        <v>junio</v>
      </c>
      <c r="O1255" s="4" t="str">
        <f t="shared" si="78"/>
        <v>SI</v>
      </c>
      <c r="P1255" s="4" t="str">
        <f t="shared" si="79"/>
        <v>SI</v>
      </c>
      <c r="Q1255" s="4" t="str" cm="1">
        <f t="array" ref="Q1255">_xlfn.IFS(AND(H1255&gt;=0,H1255&lt;=3333),"Grupo 1",AND(H1255&gt;3333,H1255&lt;=6666),"Grupo 2",AND(H1255&gt;6666,H1255&lt;=10000),"Grupo 3")</f>
        <v>Grupo 3</v>
      </c>
    </row>
    <row r="1256" spans="1:17" x14ac:dyDescent="0.25">
      <c r="A1256" t="s">
        <v>66</v>
      </c>
      <c r="B1256" s="2">
        <v>45051.74722222222</v>
      </c>
      <c r="C1256" t="s">
        <v>327</v>
      </c>
      <c r="D1256" t="s">
        <v>218</v>
      </c>
      <c r="E1256">
        <v>4</v>
      </c>
      <c r="F1256">
        <v>1601.32</v>
      </c>
      <c r="G1256" t="s">
        <v>221</v>
      </c>
      <c r="H1256">
        <v>6405.28</v>
      </c>
      <c r="I1256">
        <v>2023</v>
      </c>
      <c r="J1256">
        <v>5</v>
      </c>
      <c r="K1256">
        <v>17</v>
      </c>
      <c r="L1256" s="14">
        <v>1601.32</v>
      </c>
      <c r="M1256" s="4" t="str">
        <f t="shared" si="76"/>
        <v>viernes</v>
      </c>
      <c r="N1256" s="4" t="str">
        <f t="shared" si="77"/>
        <v>mayo</v>
      </c>
      <c r="O1256" s="4" t="str">
        <f t="shared" si="78"/>
        <v>SI</v>
      </c>
      <c r="P1256" s="4" t="str">
        <f t="shared" si="79"/>
        <v>SI</v>
      </c>
      <c r="Q1256" s="4" t="str" cm="1">
        <f t="array" ref="Q1256">_xlfn.IFS(AND(H1256&gt;=0,H1256&lt;=3333),"Grupo 1",AND(H1256&gt;3333,H1256&lt;=6666),"Grupo 2",AND(H1256&gt;6666,H1256&lt;=10000),"Grupo 3")</f>
        <v>Grupo 2</v>
      </c>
    </row>
    <row r="1257" spans="1:17" x14ac:dyDescent="0.25">
      <c r="A1257" t="s">
        <v>67</v>
      </c>
      <c r="B1257" s="2">
        <v>45019.26666666667</v>
      </c>
      <c r="C1257" t="s">
        <v>328</v>
      </c>
      <c r="D1257" t="s">
        <v>213</v>
      </c>
      <c r="E1257">
        <v>4</v>
      </c>
      <c r="F1257">
        <v>177.79</v>
      </c>
      <c r="G1257" t="s">
        <v>221</v>
      </c>
      <c r="H1257">
        <v>711.16</v>
      </c>
      <c r="I1257">
        <v>2023</v>
      </c>
      <c r="J1257">
        <v>4</v>
      </c>
      <c r="K1257">
        <v>6</v>
      </c>
      <c r="L1257" s="14">
        <v>177.79</v>
      </c>
      <c r="M1257" s="4" t="str">
        <f t="shared" si="76"/>
        <v>lunes</v>
      </c>
      <c r="N1257" s="4" t="str">
        <f t="shared" si="77"/>
        <v>abril</v>
      </c>
      <c r="O1257" s="4" t="str">
        <f t="shared" si="78"/>
        <v>NO</v>
      </c>
      <c r="P1257" s="4" t="str">
        <f t="shared" si="79"/>
        <v>NO</v>
      </c>
      <c r="Q1257" s="4" t="str" cm="1">
        <f t="array" ref="Q1257">_xlfn.IFS(AND(H1257&gt;=0,H1257&lt;=3333),"Grupo 1",AND(H1257&gt;3333,H1257&lt;=6666),"Grupo 2",AND(H1257&gt;6666,H1257&lt;=10000),"Grupo 3")</f>
        <v>Grupo 1</v>
      </c>
    </row>
    <row r="1258" spans="1:17" x14ac:dyDescent="0.25">
      <c r="A1258" t="s">
        <v>68</v>
      </c>
      <c r="B1258" s="2">
        <v>44969.094444444447</v>
      </c>
      <c r="C1258" t="s">
        <v>329</v>
      </c>
      <c r="D1258" t="s">
        <v>213</v>
      </c>
      <c r="E1258">
        <v>1</v>
      </c>
      <c r="F1258">
        <v>83.48</v>
      </c>
      <c r="G1258" t="s">
        <v>221</v>
      </c>
      <c r="H1258">
        <v>83.48</v>
      </c>
      <c r="I1258">
        <v>2023</v>
      </c>
      <c r="J1258">
        <v>2</v>
      </c>
      <c r="K1258">
        <v>2</v>
      </c>
      <c r="L1258" s="14">
        <v>83.48</v>
      </c>
      <c r="M1258" s="4" t="str">
        <f t="shared" si="76"/>
        <v>domingo</v>
      </c>
      <c r="N1258" s="4" t="str">
        <f t="shared" si="77"/>
        <v>febrero</v>
      </c>
      <c r="O1258" s="4" t="str">
        <f t="shared" si="78"/>
        <v>NO</v>
      </c>
      <c r="P1258" s="4" t="str">
        <f t="shared" si="79"/>
        <v>NO</v>
      </c>
      <c r="Q1258" s="4" t="str" cm="1">
        <f t="array" ref="Q1258">_xlfn.IFS(AND(H1258&gt;=0,H1258&lt;=3333),"Grupo 1",AND(H1258&gt;3333,H1258&lt;=6666),"Grupo 2",AND(H1258&gt;6666,H1258&lt;=10000),"Grupo 3")</f>
        <v>Grupo 1</v>
      </c>
    </row>
    <row r="1259" spans="1:17" x14ac:dyDescent="0.25">
      <c r="A1259" t="s">
        <v>69</v>
      </c>
      <c r="B1259" s="2">
        <v>45091.519444444442</v>
      </c>
      <c r="C1259" t="s">
        <v>330</v>
      </c>
      <c r="D1259" t="s">
        <v>219</v>
      </c>
      <c r="E1259">
        <v>1</v>
      </c>
      <c r="F1259">
        <v>1372.72</v>
      </c>
      <c r="G1259" t="s">
        <v>221</v>
      </c>
      <c r="H1259">
        <v>1372.72</v>
      </c>
      <c r="I1259">
        <v>2023</v>
      </c>
      <c r="J1259">
        <v>6</v>
      </c>
      <c r="K1259">
        <v>12</v>
      </c>
      <c r="L1259" s="14">
        <v>1372.72</v>
      </c>
      <c r="M1259" s="4" t="str">
        <f t="shared" si="76"/>
        <v>miércoles</v>
      </c>
      <c r="N1259" s="4" t="str">
        <f t="shared" si="77"/>
        <v>junio</v>
      </c>
      <c r="O1259" s="4" t="str">
        <f t="shared" si="78"/>
        <v>NO</v>
      </c>
      <c r="P1259" s="4" t="str">
        <f t="shared" si="79"/>
        <v>SI</v>
      </c>
      <c r="Q1259" s="4" t="str" cm="1">
        <f t="array" ref="Q1259">_xlfn.IFS(AND(H1259&gt;=0,H1259&lt;=3333),"Grupo 1",AND(H1259&gt;3333,H1259&lt;=6666),"Grupo 2",AND(H1259&gt;6666,H1259&lt;=10000),"Grupo 3")</f>
        <v>Grupo 1</v>
      </c>
    </row>
    <row r="1260" spans="1:17" x14ac:dyDescent="0.25">
      <c r="A1260" t="s">
        <v>70</v>
      </c>
      <c r="B1260" s="2">
        <v>45494</v>
      </c>
      <c r="C1260" t="s">
        <v>331</v>
      </c>
      <c r="D1260" t="s">
        <v>212</v>
      </c>
      <c r="E1260">
        <v>1</v>
      </c>
      <c r="F1260">
        <v>1618.91</v>
      </c>
      <c r="G1260" t="s">
        <v>220</v>
      </c>
      <c r="H1260">
        <v>1618.91</v>
      </c>
      <c r="I1260">
        <v>2024</v>
      </c>
      <c r="J1260">
        <v>7</v>
      </c>
      <c r="K1260">
        <v>0</v>
      </c>
      <c r="L1260" s="14">
        <v>1618.91</v>
      </c>
      <c r="M1260" s="4" t="str">
        <f t="shared" si="76"/>
        <v>domingo</v>
      </c>
      <c r="N1260" s="4" t="str">
        <f t="shared" si="77"/>
        <v>julio</v>
      </c>
      <c r="O1260" s="4" t="str">
        <f t="shared" si="78"/>
        <v>NO</v>
      </c>
      <c r="P1260" s="4" t="str">
        <f t="shared" si="79"/>
        <v>SI</v>
      </c>
      <c r="Q1260" s="4" t="str" cm="1">
        <f t="array" ref="Q1260">_xlfn.IFS(AND(H1260&gt;=0,H1260&lt;=3333),"Grupo 1",AND(H1260&gt;3333,H1260&lt;=6666),"Grupo 2",AND(H1260&gt;6666,H1260&lt;=10000),"Grupo 3")</f>
        <v>Grupo 1</v>
      </c>
    </row>
    <row r="1261" spans="1:17" x14ac:dyDescent="0.25">
      <c r="A1261" t="s">
        <v>71</v>
      </c>
      <c r="B1261" s="2">
        <v>45364.463194444441</v>
      </c>
      <c r="C1261" t="s">
        <v>332</v>
      </c>
      <c r="D1261" t="s">
        <v>215</v>
      </c>
      <c r="E1261">
        <v>4</v>
      </c>
      <c r="F1261">
        <v>530.65</v>
      </c>
      <c r="G1261" t="s">
        <v>220</v>
      </c>
      <c r="H1261">
        <v>2122.6</v>
      </c>
      <c r="I1261">
        <v>2024</v>
      </c>
      <c r="J1261">
        <v>3</v>
      </c>
      <c r="K1261">
        <v>11</v>
      </c>
      <c r="L1261" s="14">
        <v>530.65</v>
      </c>
      <c r="M1261" s="4" t="str">
        <f t="shared" si="76"/>
        <v>miércoles</v>
      </c>
      <c r="N1261" s="4" t="str">
        <f t="shared" si="77"/>
        <v>marzo</v>
      </c>
      <c r="O1261" s="4" t="str">
        <f t="shared" si="78"/>
        <v>NO</v>
      </c>
      <c r="P1261" s="4" t="str">
        <f t="shared" si="79"/>
        <v>NO</v>
      </c>
      <c r="Q1261" s="4" t="str" cm="1">
        <f t="array" ref="Q1261">_xlfn.IFS(AND(H1261&gt;=0,H1261&lt;=3333),"Grupo 1",AND(H1261&gt;3333,H1261&lt;=6666),"Grupo 2",AND(H1261&gt;6666,H1261&lt;=10000),"Grupo 3")</f>
        <v>Grupo 1</v>
      </c>
    </row>
    <row r="1262" spans="1:17" x14ac:dyDescent="0.25">
      <c r="A1262" t="s">
        <v>72</v>
      </c>
      <c r="B1262" s="2">
        <v>45583.023611111108</v>
      </c>
      <c r="C1262" t="s">
        <v>333</v>
      </c>
      <c r="D1262" t="s">
        <v>216</v>
      </c>
      <c r="E1262">
        <v>5</v>
      </c>
      <c r="F1262">
        <v>418.83</v>
      </c>
      <c r="G1262" t="s">
        <v>221</v>
      </c>
      <c r="H1262">
        <v>2094.15</v>
      </c>
      <c r="I1262">
        <v>2024</v>
      </c>
      <c r="J1262">
        <v>10</v>
      </c>
      <c r="K1262">
        <v>0</v>
      </c>
      <c r="L1262" s="14">
        <v>418.83</v>
      </c>
      <c r="M1262" s="4" t="str">
        <f t="shared" si="76"/>
        <v>viernes</v>
      </c>
      <c r="N1262" s="4" t="str">
        <f t="shared" si="77"/>
        <v>octubre</v>
      </c>
      <c r="O1262" s="4" t="str">
        <f t="shared" si="78"/>
        <v>NO</v>
      </c>
      <c r="P1262" s="4" t="str">
        <f t="shared" si="79"/>
        <v>NO</v>
      </c>
      <c r="Q1262" s="4" t="str" cm="1">
        <f t="array" ref="Q1262">_xlfn.IFS(AND(H1262&gt;=0,H1262&lt;=3333),"Grupo 1",AND(H1262&gt;3333,H1262&lt;=6666),"Grupo 2",AND(H1262&gt;6666,H1262&lt;=10000),"Grupo 3")</f>
        <v>Grupo 1</v>
      </c>
    </row>
    <row r="1263" spans="1:17" x14ac:dyDescent="0.25">
      <c r="A1263" t="s">
        <v>73</v>
      </c>
      <c r="B1263" s="2">
        <v>45779.546527777777</v>
      </c>
      <c r="C1263" t="s">
        <v>334</v>
      </c>
      <c r="D1263" t="s">
        <v>214</v>
      </c>
      <c r="E1263">
        <v>3</v>
      </c>
      <c r="F1263">
        <v>664.98</v>
      </c>
      <c r="G1263" t="s">
        <v>222</v>
      </c>
      <c r="H1263">
        <v>1994.94</v>
      </c>
      <c r="I1263">
        <v>2025</v>
      </c>
      <c r="J1263">
        <v>5</v>
      </c>
      <c r="K1263">
        <v>13</v>
      </c>
      <c r="L1263" s="14">
        <v>664.98</v>
      </c>
      <c r="M1263" s="4" t="str">
        <f t="shared" si="76"/>
        <v>viernes</v>
      </c>
      <c r="N1263" s="4" t="str">
        <f t="shared" si="77"/>
        <v>mayo</v>
      </c>
      <c r="O1263" s="4" t="str">
        <f t="shared" si="78"/>
        <v>NO</v>
      </c>
      <c r="P1263" s="4" t="str">
        <f t="shared" si="79"/>
        <v>NO</v>
      </c>
      <c r="Q1263" s="4" t="str" cm="1">
        <f t="array" ref="Q1263">_xlfn.IFS(AND(H1263&gt;=0,H1263&lt;=3333),"Grupo 1",AND(H1263&gt;3333,H1263&lt;=6666),"Grupo 2",AND(H1263&gt;6666,H1263&lt;=10000),"Grupo 3")</f>
        <v>Grupo 1</v>
      </c>
    </row>
    <row r="1264" spans="1:17" x14ac:dyDescent="0.25">
      <c r="A1264" t="s">
        <v>74</v>
      </c>
      <c r="B1264" s="2">
        <v>45516.480555555558</v>
      </c>
      <c r="C1264" t="s">
        <v>335</v>
      </c>
      <c r="D1264" t="s">
        <v>217</v>
      </c>
      <c r="E1264">
        <v>1</v>
      </c>
      <c r="F1264">
        <v>1322.41</v>
      </c>
      <c r="G1264" t="s">
        <v>220</v>
      </c>
      <c r="H1264">
        <v>1322.41</v>
      </c>
      <c r="I1264">
        <v>2024</v>
      </c>
      <c r="J1264">
        <v>8</v>
      </c>
      <c r="K1264">
        <v>11</v>
      </c>
      <c r="L1264" s="14">
        <v>1322.41</v>
      </c>
      <c r="M1264" s="4" t="str">
        <f t="shared" si="76"/>
        <v>lunes</v>
      </c>
      <c r="N1264" s="4" t="str">
        <f t="shared" si="77"/>
        <v>agosto</v>
      </c>
      <c r="O1264" s="4" t="str">
        <f t="shared" si="78"/>
        <v>NO</v>
      </c>
      <c r="P1264" s="4" t="str">
        <f t="shared" si="79"/>
        <v>SI</v>
      </c>
      <c r="Q1264" s="4" t="str" cm="1">
        <f t="array" ref="Q1264">_xlfn.IFS(AND(H1264&gt;=0,H1264&lt;=3333),"Grupo 1",AND(H1264&gt;3333,H1264&lt;=6666),"Grupo 2",AND(H1264&gt;6666,H1264&lt;=10000),"Grupo 3")</f>
        <v>Grupo 1</v>
      </c>
    </row>
    <row r="1265" spans="1:17" x14ac:dyDescent="0.25">
      <c r="A1265" t="s">
        <v>75</v>
      </c>
      <c r="B1265" s="2">
        <v>45285.25277777778</v>
      </c>
      <c r="C1265" t="s">
        <v>336</v>
      </c>
      <c r="D1265" t="s">
        <v>212</v>
      </c>
      <c r="E1265">
        <v>4</v>
      </c>
      <c r="F1265">
        <v>1467.27</v>
      </c>
      <c r="G1265" t="s">
        <v>220</v>
      </c>
      <c r="H1265">
        <v>5869.08</v>
      </c>
      <c r="I1265">
        <v>2023</v>
      </c>
      <c r="J1265">
        <v>12</v>
      </c>
      <c r="K1265">
        <v>6</v>
      </c>
      <c r="L1265" s="14">
        <v>1467.27</v>
      </c>
      <c r="M1265" s="4" t="str">
        <f t="shared" si="76"/>
        <v>lunes</v>
      </c>
      <c r="N1265" s="4" t="str">
        <f t="shared" si="77"/>
        <v>diciembre</v>
      </c>
      <c r="O1265" s="4" t="str">
        <f t="shared" si="78"/>
        <v>SI</v>
      </c>
      <c r="P1265" s="4" t="str">
        <f t="shared" si="79"/>
        <v>SI</v>
      </c>
      <c r="Q1265" s="4" t="str" cm="1">
        <f t="array" ref="Q1265">_xlfn.IFS(AND(H1265&gt;=0,H1265&lt;=3333),"Grupo 1",AND(H1265&gt;3333,H1265&lt;=6666),"Grupo 2",AND(H1265&gt;6666,H1265&lt;=10000),"Grupo 3")</f>
        <v>Grupo 2</v>
      </c>
    </row>
    <row r="1266" spans="1:17" x14ac:dyDescent="0.25">
      <c r="A1266" t="s">
        <v>76</v>
      </c>
      <c r="B1266" s="2">
        <v>45297.965277777781</v>
      </c>
      <c r="C1266" t="s">
        <v>337</v>
      </c>
      <c r="D1266" t="s">
        <v>215</v>
      </c>
      <c r="E1266">
        <v>4</v>
      </c>
      <c r="F1266">
        <v>1804.12</v>
      </c>
      <c r="G1266" t="s">
        <v>220</v>
      </c>
      <c r="H1266">
        <v>7216.48</v>
      </c>
      <c r="I1266">
        <v>2024</v>
      </c>
      <c r="J1266">
        <v>1</v>
      </c>
      <c r="K1266">
        <v>23</v>
      </c>
      <c r="L1266" s="14">
        <v>1804.12</v>
      </c>
      <c r="M1266" s="4" t="str">
        <f t="shared" si="76"/>
        <v>sábado</v>
      </c>
      <c r="N1266" s="4" t="str">
        <f t="shared" si="77"/>
        <v>enero</v>
      </c>
      <c r="O1266" s="4" t="str">
        <f t="shared" si="78"/>
        <v>SI</v>
      </c>
      <c r="P1266" s="4" t="str">
        <f t="shared" si="79"/>
        <v>SI</v>
      </c>
      <c r="Q1266" s="4" t="str" cm="1">
        <f t="array" ref="Q1266">_xlfn.IFS(AND(H1266&gt;=0,H1266&lt;=3333),"Grupo 1",AND(H1266&gt;3333,H1266&lt;=6666),"Grupo 2",AND(H1266&gt;6666,H1266&lt;=10000),"Grupo 3")</f>
        <v>Grupo 3</v>
      </c>
    </row>
    <row r="1267" spans="1:17" x14ac:dyDescent="0.25">
      <c r="A1267" t="s">
        <v>77</v>
      </c>
      <c r="B1267" s="2">
        <v>45434.519444444442</v>
      </c>
      <c r="C1267" t="s">
        <v>338</v>
      </c>
      <c r="D1267" t="s">
        <v>219</v>
      </c>
      <c r="E1267">
        <v>1</v>
      </c>
      <c r="F1267">
        <v>1172.72</v>
      </c>
      <c r="G1267" t="s">
        <v>221</v>
      </c>
      <c r="H1267">
        <v>1172.72</v>
      </c>
      <c r="I1267">
        <v>2024</v>
      </c>
      <c r="J1267">
        <v>5</v>
      </c>
      <c r="K1267">
        <v>12</v>
      </c>
      <c r="L1267" s="14">
        <v>1172.72</v>
      </c>
      <c r="M1267" s="4" t="str">
        <f t="shared" si="76"/>
        <v>miércoles</v>
      </c>
      <c r="N1267" s="4" t="str">
        <f t="shared" si="77"/>
        <v>mayo</v>
      </c>
      <c r="O1267" s="4" t="str">
        <f t="shared" si="78"/>
        <v>NO</v>
      </c>
      <c r="P1267" s="4" t="str">
        <f t="shared" si="79"/>
        <v>SI</v>
      </c>
      <c r="Q1267" s="4" t="str" cm="1">
        <f t="array" ref="Q1267">_xlfn.IFS(AND(H1267&gt;=0,H1267&lt;=3333),"Grupo 1",AND(H1267&gt;3333,H1267&lt;=6666),"Grupo 2",AND(H1267&gt;6666,H1267&lt;=10000),"Grupo 3")</f>
        <v>Grupo 1</v>
      </c>
    </row>
    <row r="1268" spans="1:17" x14ac:dyDescent="0.25">
      <c r="A1268" t="s">
        <v>78</v>
      </c>
      <c r="B1268" s="2">
        <v>45290.050694444442</v>
      </c>
      <c r="C1268" t="s">
        <v>339</v>
      </c>
      <c r="D1268" t="s">
        <v>218</v>
      </c>
      <c r="E1268">
        <v>1</v>
      </c>
      <c r="F1268">
        <v>725.07</v>
      </c>
      <c r="G1268" t="s">
        <v>221</v>
      </c>
      <c r="H1268">
        <v>725.07</v>
      </c>
      <c r="I1268">
        <v>2023</v>
      </c>
      <c r="J1268">
        <v>12</v>
      </c>
      <c r="K1268">
        <v>1</v>
      </c>
      <c r="L1268" s="14">
        <v>725.07</v>
      </c>
      <c r="M1268" s="4" t="str">
        <f t="shared" si="76"/>
        <v>sábado</v>
      </c>
      <c r="N1268" s="4" t="str">
        <f t="shared" si="77"/>
        <v>diciembre</v>
      </c>
      <c r="O1268" s="4" t="str">
        <f t="shared" si="78"/>
        <v>NO</v>
      </c>
      <c r="P1268" s="4" t="str">
        <f t="shared" si="79"/>
        <v>NO</v>
      </c>
      <c r="Q1268" s="4" t="str" cm="1">
        <f t="array" ref="Q1268">_xlfn.IFS(AND(H1268&gt;=0,H1268&lt;=3333),"Grupo 1",AND(H1268&gt;3333,H1268&lt;=6666),"Grupo 2",AND(H1268&gt;6666,H1268&lt;=10000),"Grupo 3")</f>
        <v>Grupo 1</v>
      </c>
    </row>
    <row r="1269" spans="1:17" x14ac:dyDescent="0.25">
      <c r="A1269" t="s">
        <v>79</v>
      </c>
      <c r="B1269" s="2">
        <v>45684.334027777782</v>
      </c>
      <c r="C1269" t="s">
        <v>340</v>
      </c>
      <c r="D1269" t="s">
        <v>212</v>
      </c>
      <c r="E1269">
        <v>5</v>
      </c>
      <c r="F1269">
        <v>563.69000000000005</v>
      </c>
      <c r="G1269" t="s">
        <v>220</v>
      </c>
      <c r="H1269">
        <v>2818.45</v>
      </c>
      <c r="I1269">
        <v>2025</v>
      </c>
      <c r="J1269">
        <v>1</v>
      </c>
      <c r="K1269">
        <v>8</v>
      </c>
      <c r="L1269" s="14">
        <v>563.69000000000005</v>
      </c>
      <c r="M1269" s="4" t="str">
        <f t="shared" si="76"/>
        <v>lunes</v>
      </c>
      <c r="N1269" s="4" t="str">
        <f t="shared" si="77"/>
        <v>enero</v>
      </c>
      <c r="O1269" s="4" t="str">
        <f t="shared" si="78"/>
        <v>NO</v>
      </c>
      <c r="P1269" s="4" t="str">
        <f t="shared" si="79"/>
        <v>NO</v>
      </c>
      <c r="Q1269" s="4" t="str" cm="1">
        <f t="array" ref="Q1269">_xlfn.IFS(AND(H1269&gt;=0,H1269&lt;=3333),"Grupo 1",AND(H1269&gt;3333,H1269&lt;=6666),"Grupo 2",AND(H1269&gt;6666,H1269&lt;=10000),"Grupo 3")</f>
        <v>Grupo 1</v>
      </c>
    </row>
    <row r="1270" spans="1:17" x14ac:dyDescent="0.25">
      <c r="A1270" t="s">
        <v>80</v>
      </c>
      <c r="B1270" s="2">
        <v>45222.202777777777</v>
      </c>
      <c r="C1270" t="s">
        <v>341</v>
      </c>
      <c r="D1270" t="s">
        <v>219</v>
      </c>
      <c r="E1270">
        <v>5</v>
      </c>
      <c r="F1270">
        <v>1547.41</v>
      </c>
      <c r="G1270" t="s">
        <v>221</v>
      </c>
      <c r="H1270">
        <v>7737.05</v>
      </c>
      <c r="I1270">
        <v>2023</v>
      </c>
      <c r="J1270">
        <v>10</v>
      </c>
      <c r="K1270">
        <v>4</v>
      </c>
      <c r="L1270" s="14">
        <v>1547.41</v>
      </c>
      <c r="M1270" s="4" t="str">
        <f t="shared" si="76"/>
        <v>lunes</v>
      </c>
      <c r="N1270" s="4" t="str">
        <f t="shared" si="77"/>
        <v>octubre</v>
      </c>
      <c r="O1270" s="4" t="str">
        <f t="shared" si="78"/>
        <v>SI</v>
      </c>
      <c r="P1270" s="4" t="str">
        <f t="shared" si="79"/>
        <v>SI</v>
      </c>
      <c r="Q1270" s="4" t="str" cm="1">
        <f t="array" ref="Q1270">_xlfn.IFS(AND(H1270&gt;=0,H1270&lt;=3333),"Grupo 1",AND(H1270&gt;3333,H1270&lt;=6666),"Grupo 2",AND(H1270&gt;6666,H1270&lt;=10000),"Grupo 3")</f>
        <v>Grupo 3</v>
      </c>
    </row>
    <row r="1271" spans="1:17" x14ac:dyDescent="0.25">
      <c r="A1271" t="s">
        <v>81</v>
      </c>
      <c r="B1271" s="2">
        <v>45274.597916666673</v>
      </c>
      <c r="C1271" t="s">
        <v>342</v>
      </c>
      <c r="D1271" t="s">
        <v>216</v>
      </c>
      <c r="E1271">
        <v>2</v>
      </c>
      <c r="F1271">
        <v>1903.65</v>
      </c>
      <c r="G1271" t="s">
        <v>221</v>
      </c>
      <c r="H1271">
        <v>3807.3</v>
      </c>
      <c r="I1271">
        <v>2023</v>
      </c>
      <c r="J1271">
        <v>12</v>
      </c>
      <c r="K1271">
        <v>14</v>
      </c>
      <c r="L1271" s="14">
        <v>1903.65</v>
      </c>
      <c r="M1271" s="4" t="str">
        <f t="shared" si="76"/>
        <v>jueves</v>
      </c>
      <c r="N1271" s="4" t="str">
        <f t="shared" si="77"/>
        <v>diciembre</v>
      </c>
      <c r="O1271" s="4" t="str">
        <f t="shared" si="78"/>
        <v>SI</v>
      </c>
      <c r="P1271" s="4" t="str">
        <f t="shared" si="79"/>
        <v>SI</v>
      </c>
      <c r="Q1271" s="4" t="str" cm="1">
        <f t="array" ref="Q1271">_xlfn.IFS(AND(H1271&gt;=0,H1271&lt;=3333),"Grupo 1",AND(H1271&gt;3333,H1271&lt;=6666),"Grupo 2",AND(H1271&gt;6666,H1271&lt;=10000),"Grupo 3")</f>
        <v>Grupo 2</v>
      </c>
    </row>
    <row r="1272" spans="1:17" x14ac:dyDescent="0.25">
      <c r="A1272" t="s">
        <v>82</v>
      </c>
      <c r="B1272" s="2">
        <v>45358.874305555553</v>
      </c>
      <c r="C1272" t="s">
        <v>343</v>
      </c>
      <c r="D1272" t="s">
        <v>215</v>
      </c>
      <c r="E1272">
        <v>2</v>
      </c>
      <c r="F1272">
        <v>1198.2</v>
      </c>
      <c r="G1272" t="s">
        <v>220</v>
      </c>
      <c r="H1272">
        <v>2396.4</v>
      </c>
      <c r="I1272">
        <v>2024</v>
      </c>
      <c r="J1272">
        <v>3</v>
      </c>
      <c r="K1272">
        <v>20</v>
      </c>
      <c r="L1272" s="14">
        <v>1198.2</v>
      </c>
      <c r="M1272" s="4" t="str">
        <f t="shared" si="76"/>
        <v>jueves</v>
      </c>
      <c r="N1272" s="4" t="str">
        <f t="shared" si="77"/>
        <v>marzo</v>
      </c>
      <c r="O1272" s="4" t="str">
        <f t="shared" si="78"/>
        <v>NO</v>
      </c>
      <c r="P1272" s="4" t="str">
        <f t="shared" si="79"/>
        <v>SI</v>
      </c>
      <c r="Q1272" s="4" t="str" cm="1">
        <f t="array" ref="Q1272">_xlfn.IFS(AND(H1272&gt;=0,H1272&lt;=3333),"Grupo 1",AND(H1272&gt;3333,H1272&lt;=6666),"Grupo 2",AND(H1272&gt;6666,H1272&lt;=10000),"Grupo 3")</f>
        <v>Grupo 1</v>
      </c>
    </row>
    <row r="1273" spans="1:17" x14ac:dyDescent="0.25">
      <c r="A1273" t="s">
        <v>83</v>
      </c>
      <c r="B1273" s="2">
        <v>45850.171527777777</v>
      </c>
      <c r="C1273" t="s">
        <v>344</v>
      </c>
      <c r="D1273" t="s">
        <v>213</v>
      </c>
      <c r="E1273">
        <v>3</v>
      </c>
      <c r="F1273">
        <v>543.72</v>
      </c>
      <c r="G1273" t="s">
        <v>221</v>
      </c>
      <c r="H1273">
        <v>1631.16</v>
      </c>
      <c r="I1273">
        <v>2025</v>
      </c>
      <c r="J1273">
        <v>7</v>
      </c>
      <c r="K1273">
        <v>4</v>
      </c>
      <c r="L1273" s="14">
        <v>543.72</v>
      </c>
      <c r="M1273" s="4" t="str">
        <f t="shared" si="76"/>
        <v>sábado</v>
      </c>
      <c r="N1273" s="4" t="str">
        <f t="shared" si="77"/>
        <v>julio</v>
      </c>
      <c r="O1273" s="4" t="str">
        <f t="shared" si="78"/>
        <v>NO</v>
      </c>
      <c r="P1273" s="4" t="str">
        <f t="shared" si="79"/>
        <v>NO</v>
      </c>
      <c r="Q1273" s="4" t="str" cm="1">
        <f t="array" ref="Q1273">_xlfn.IFS(AND(H1273&gt;=0,H1273&lt;=3333),"Grupo 1",AND(H1273&gt;3333,H1273&lt;=6666),"Grupo 2",AND(H1273&gt;6666,H1273&lt;=10000),"Grupo 3")</f>
        <v>Grupo 1</v>
      </c>
    </row>
    <row r="1274" spans="1:17" x14ac:dyDescent="0.25">
      <c r="A1274" t="s">
        <v>84</v>
      </c>
      <c r="B1274" s="2">
        <v>45041.884027777778</v>
      </c>
      <c r="C1274" t="s">
        <v>345</v>
      </c>
      <c r="D1274" t="s">
        <v>216</v>
      </c>
      <c r="E1274">
        <v>2</v>
      </c>
      <c r="F1274">
        <v>1449.53</v>
      </c>
      <c r="G1274" t="s">
        <v>221</v>
      </c>
      <c r="H1274">
        <v>2899.06</v>
      </c>
      <c r="I1274">
        <v>2023</v>
      </c>
      <c r="J1274">
        <v>4</v>
      </c>
      <c r="K1274">
        <v>21</v>
      </c>
      <c r="L1274" s="14">
        <v>1449.53</v>
      </c>
      <c r="M1274" s="4" t="str">
        <f t="shared" si="76"/>
        <v>martes</v>
      </c>
      <c r="N1274" s="4" t="str">
        <f t="shared" si="77"/>
        <v>abril</v>
      </c>
      <c r="O1274" s="4" t="str">
        <f t="shared" si="78"/>
        <v>SI</v>
      </c>
      <c r="P1274" s="4" t="str">
        <f t="shared" si="79"/>
        <v>SI</v>
      </c>
      <c r="Q1274" s="4" t="str" cm="1">
        <f t="array" ref="Q1274">_xlfn.IFS(AND(H1274&gt;=0,H1274&lt;=3333),"Grupo 1",AND(H1274&gt;3333,H1274&lt;=6666),"Grupo 2",AND(H1274&gt;6666,H1274&lt;=10000),"Grupo 3")</f>
        <v>Grupo 1</v>
      </c>
    </row>
    <row r="1275" spans="1:17" x14ac:dyDescent="0.25">
      <c r="A1275" t="s">
        <v>85</v>
      </c>
      <c r="B1275" s="2">
        <v>45564.772916666669</v>
      </c>
      <c r="C1275" t="s">
        <v>346</v>
      </c>
      <c r="D1275" t="s">
        <v>214</v>
      </c>
      <c r="E1275">
        <v>5</v>
      </c>
      <c r="F1275">
        <v>472.42</v>
      </c>
      <c r="G1275" t="s">
        <v>222</v>
      </c>
      <c r="H1275">
        <v>2362.1</v>
      </c>
      <c r="I1275">
        <v>2024</v>
      </c>
      <c r="J1275">
        <v>9</v>
      </c>
      <c r="K1275">
        <v>18</v>
      </c>
      <c r="L1275" s="14">
        <v>472.42</v>
      </c>
      <c r="M1275" s="4" t="str">
        <f t="shared" si="76"/>
        <v>domingo</v>
      </c>
      <c r="N1275" s="4" t="str">
        <f t="shared" si="77"/>
        <v>septiembre</v>
      </c>
      <c r="O1275" s="4" t="str">
        <f t="shared" si="78"/>
        <v>NO</v>
      </c>
      <c r="P1275" s="4" t="str">
        <f t="shared" si="79"/>
        <v>NO</v>
      </c>
      <c r="Q1275" s="4" t="str" cm="1">
        <f t="array" ref="Q1275">_xlfn.IFS(AND(H1275&gt;=0,H1275&lt;=3333),"Grupo 1",AND(H1275&gt;3333,H1275&lt;=6666),"Grupo 2",AND(H1275&gt;6666,H1275&lt;=10000),"Grupo 3")</f>
        <v>Grupo 1</v>
      </c>
    </row>
    <row r="1276" spans="1:17" x14ac:dyDescent="0.25">
      <c r="A1276" t="s">
        <v>86</v>
      </c>
      <c r="B1276" s="2">
        <v>45118.247916666667</v>
      </c>
      <c r="C1276" t="s">
        <v>347</v>
      </c>
      <c r="D1276" t="s">
        <v>219</v>
      </c>
      <c r="E1276">
        <v>3</v>
      </c>
      <c r="F1276">
        <v>367.9</v>
      </c>
      <c r="G1276" t="s">
        <v>221</v>
      </c>
      <c r="H1276">
        <v>1103.7</v>
      </c>
      <c r="I1276">
        <v>2023</v>
      </c>
      <c r="J1276">
        <v>7</v>
      </c>
      <c r="K1276">
        <v>5</v>
      </c>
      <c r="L1276" s="14">
        <v>367.89999999999992</v>
      </c>
      <c r="M1276" s="4" t="str">
        <f t="shared" si="76"/>
        <v>martes</v>
      </c>
      <c r="N1276" s="4" t="str">
        <f t="shared" si="77"/>
        <v>julio</v>
      </c>
      <c r="O1276" s="4" t="str">
        <f t="shared" si="78"/>
        <v>NO</v>
      </c>
      <c r="P1276" s="4" t="str">
        <f t="shared" si="79"/>
        <v>NO</v>
      </c>
      <c r="Q1276" s="4" t="str" cm="1">
        <f t="array" ref="Q1276">_xlfn.IFS(AND(H1276&gt;=0,H1276&lt;=3333),"Grupo 1",AND(H1276&gt;3333,H1276&lt;=6666),"Grupo 2",AND(H1276&gt;6666,H1276&lt;=10000),"Grupo 3")</f>
        <v>Grupo 1</v>
      </c>
    </row>
    <row r="1277" spans="1:17" x14ac:dyDescent="0.25">
      <c r="A1277" t="s">
        <v>87</v>
      </c>
      <c r="B1277" s="2">
        <v>45717.986111111109</v>
      </c>
      <c r="C1277" t="s">
        <v>348</v>
      </c>
      <c r="D1277" t="s">
        <v>219</v>
      </c>
      <c r="E1277">
        <v>5</v>
      </c>
      <c r="F1277">
        <v>739.51</v>
      </c>
      <c r="G1277" t="s">
        <v>221</v>
      </c>
      <c r="H1277">
        <v>3697.55</v>
      </c>
      <c r="I1277">
        <v>2025</v>
      </c>
      <c r="J1277">
        <v>3</v>
      </c>
      <c r="K1277">
        <v>23</v>
      </c>
      <c r="L1277" s="14">
        <v>739.51</v>
      </c>
      <c r="M1277" s="4" t="str">
        <f t="shared" si="76"/>
        <v>sábado</v>
      </c>
      <c r="N1277" s="4" t="str">
        <f t="shared" si="77"/>
        <v>marzo</v>
      </c>
      <c r="O1277" s="4" t="str">
        <f t="shared" si="78"/>
        <v>SI</v>
      </c>
      <c r="P1277" s="4" t="str">
        <f t="shared" si="79"/>
        <v>NO</v>
      </c>
      <c r="Q1277" s="4" t="str" cm="1">
        <f t="array" ref="Q1277">_xlfn.IFS(AND(H1277&gt;=0,H1277&lt;=3333),"Grupo 1",AND(H1277&gt;3333,H1277&lt;=6666),"Grupo 2",AND(H1277&gt;6666,H1277&lt;=10000),"Grupo 3")</f>
        <v>Grupo 2</v>
      </c>
    </row>
    <row r="1278" spans="1:17" x14ac:dyDescent="0.25">
      <c r="A1278" t="s">
        <v>88</v>
      </c>
      <c r="B1278" s="2">
        <v>45162.795138888891</v>
      </c>
      <c r="C1278" t="s">
        <v>349</v>
      </c>
      <c r="D1278" t="s">
        <v>217</v>
      </c>
      <c r="E1278">
        <v>2</v>
      </c>
      <c r="F1278">
        <v>1089.1300000000001</v>
      </c>
      <c r="G1278" t="s">
        <v>220</v>
      </c>
      <c r="H1278">
        <v>2178.2600000000002</v>
      </c>
      <c r="I1278">
        <v>2023</v>
      </c>
      <c r="J1278">
        <v>8</v>
      </c>
      <c r="K1278">
        <v>19</v>
      </c>
      <c r="L1278" s="14">
        <v>1089.1300000000001</v>
      </c>
      <c r="M1278" s="4" t="str">
        <f t="shared" si="76"/>
        <v>jueves</v>
      </c>
      <c r="N1278" s="4" t="str">
        <f t="shared" si="77"/>
        <v>agosto</v>
      </c>
      <c r="O1278" s="4" t="str">
        <f t="shared" si="78"/>
        <v>NO</v>
      </c>
      <c r="P1278" s="4" t="str">
        <f t="shared" si="79"/>
        <v>SI</v>
      </c>
      <c r="Q1278" s="4" t="str" cm="1">
        <f t="array" ref="Q1278">_xlfn.IFS(AND(H1278&gt;=0,H1278&lt;=3333),"Grupo 1",AND(H1278&gt;3333,H1278&lt;=6666),"Grupo 2",AND(H1278&gt;6666,H1278&lt;=10000),"Grupo 3")</f>
        <v>Grupo 1</v>
      </c>
    </row>
    <row r="1279" spans="1:17" x14ac:dyDescent="0.25">
      <c r="A1279" t="s">
        <v>89</v>
      </c>
      <c r="B1279" s="2">
        <v>45517.353472222218</v>
      </c>
      <c r="C1279" t="s">
        <v>350</v>
      </c>
      <c r="D1279" t="s">
        <v>216</v>
      </c>
      <c r="E1279">
        <v>5</v>
      </c>
      <c r="F1279">
        <v>1632.75</v>
      </c>
      <c r="G1279" t="s">
        <v>221</v>
      </c>
      <c r="H1279">
        <v>8163.75</v>
      </c>
      <c r="I1279">
        <v>2024</v>
      </c>
      <c r="J1279">
        <v>8</v>
      </c>
      <c r="K1279">
        <v>8</v>
      </c>
      <c r="L1279" s="14">
        <v>1632.75</v>
      </c>
      <c r="M1279" s="4" t="str">
        <f t="shared" si="76"/>
        <v>martes</v>
      </c>
      <c r="N1279" s="4" t="str">
        <f t="shared" si="77"/>
        <v>agosto</v>
      </c>
      <c r="O1279" s="4" t="str">
        <f t="shared" si="78"/>
        <v>SI</v>
      </c>
      <c r="P1279" s="4" t="str">
        <f t="shared" si="79"/>
        <v>SI</v>
      </c>
      <c r="Q1279" s="4" t="str" cm="1">
        <f t="array" ref="Q1279">_xlfn.IFS(AND(H1279&gt;=0,H1279&lt;=3333),"Grupo 1",AND(H1279&gt;3333,H1279&lt;=6666),"Grupo 2",AND(H1279&gt;6666,H1279&lt;=10000),"Grupo 3")</f>
        <v>Grupo 3</v>
      </c>
    </row>
    <row r="1280" spans="1:17" x14ac:dyDescent="0.25">
      <c r="A1280" t="s">
        <v>90</v>
      </c>
      <c r="B1280" s="2">
        <v>45245.664583333331</v>
      </c>
      <c r="C1280" t="s">
        <v>351</v>
      </c>
      <c r="D1280" t="s">
        <v>212</v>
      </c>
      <c r="E1280">
        <v>3</v>
      </c>
      <c r="F1280">
        <v>817.35</v>
      </c>
      <c r="G1280" t="s">
        <v>220</v>
      </c>
      <c r="H1280">
        <v>2452.0500000000002</v>
      </c>
      <c r="I1280">
        <v>2023</v>
      </c>
      <c r="J1280">
        <v>11</v>
      </c>
      <c r="K1280">
        <v>15</v>
      </c>
      <c r="L1280" s="14">
        <v>817.35</v>
      </c>
      <c r="M1280" s="4" t="str">
        <f t="shared" si="76"/>
        <v>miércoles</v>
      </c>
      <c r="N1280" s="4" t="str">
        <f t="shared" si="77"/>
        <v>noviembre</v>
      </c>
      <c r="O1280" s="4" t="str">
        <f t="shared" si="78"/>
        <v>NO</v>
      </c>
      <c r="P1280" s="4" t="str">
        <f t="shared" si="79"/>
        <v>NO</v>
      </c>
      <c r="Q1280" s="4" t="str" cm="1">
        <f t="array" ref="Q1280">_xlfn.IFS(AND(H1280&gt;=0,H1280&lt;=3333),"Grupo 1",AND(H1280&gt;3333,H1280&lt;=6666),"Grupo 2",AND(H1280&gt;6666,H1280&lt;=10000),"Grupo 3")</f>
        <v>Grupo 1</v>
      </c>
    </row>
    <row r="1281" spans="1:17" x14ac:dyDescent="0.25">
      <c r="A1281" t="s">
        <v>91</v>
      </c>
      <c r="B1281" s="2">
        <v>45603.368055555547</v>
      </c>
      <c r="C1281" t="s">
        <v>352</v>
      </c>
      <c r="D1281" t="s">
        <v>213</v>
      </c>
      <c r="E1281">
        <v>2</v>
      </c>
      <c r="F1281">
        <v>1186.58</v>
      </c>
      <c r="G1281" t="s">
        <v>221</v>
      </c>
      <c r="H1281">
        <v>2373.16</v>
      </c>
      <c r="I1281">
        <v>2024</v>
      </c>
      <c r="J1281">
        <v>11</v>
      </c>
      <c r="K1281">
        <v>8</v>
      </c>
      <c r="L1281" s="14">
        <v>1186.58</v>
      </c>
      <c r="M1281" s="4" t="str">
        <f t="shared" si="76"/>
        <v>jueves</v>
      </c>
      <c r="N1281" s="4" t="str">
        <f t="shared" si="77"/>
        <v>noviembre</v>
      </c>
      <c r="O1281" s="4" t="str">
        <f t="shared" si="78"/>
        <v>NO</v>
      </c>
      <c r="P1281" s="4" t="str">
        <f t="shared" si="79"/>
        <v>SI</v>
      </c>
      <c r="Q1281" s="4" t="str" cm="1">
        <f t="array" ref="Q1281">_xlfn.IFS(AND(H1281&gt;=0,H1281&lt;=3333),"Grupo 1",AND(H1281&gt;3333,H1281&lt;=6666),"Grupo 2",AND(H1281&gt;6666,H1281&lt;=10000),"Grupo 3")</f>
        <v>Grupo 1</v>
      </c>
    </row>
    <row r="1282" spans="1:17" x14ac:dyDescent="0.25">
      <c r="A1282" t="s">
        <v>92</v>
      </c>
      <c r="B1282" s="2">
        <v>44990.597916666673</v>
      </c>
      <c r="C1282" t="s">
        <v>353</v>
      </c>
      <c r="D1282" t="s">
        <v>215</v>
      </c>
      <c r="E1282">
        <v>2</v>
      </c>
      <c r="F1282">
        <v>1872.8</v>
      </c>
      <c r="G1282" t="s">
        <v>220</v>
      </c>
      <c r="H1282">
        <v>3745.6</v>
      </c>
      <c r="I1282">
        <v>2023</v>
      </c>
      <c r="J1282">
        <v>3</v>
      </c>
      <c r="K1282">
        <v>14</v>
      </c>
      <c r="L1282" s="14">
        <v>1872.8</v>
      </c>
      <c r="M1282" s="4" t="str">
        <f t="shared" ref="M1282:M1345" si="80">TEXT(B1282,"dddd")</f>
        <v>domingo</v>
      </c>
      <c r="N1282" s="4" t="str">
        <f t="shared" ref="N1282:N1345" si="81">TEXT(B1282,"mmmm")</f>
        <v>marzo</v>
      </c>
      <c r="O1282" s="4" t="str">
        <f t="shared" si="78"/>
        <v>SI</v>
      </c>
      <c r="P1282" s="4" t="str">
        <f t="shared" si="79"/>
        <v>SI</v>
      </c>
      <c r="Q1282" s="4" t="str" cm="1">
        <f t="array" ref="Q1282">_xlfn.IFS(AND(H1282&gt;=0,H1282&lt;=3333),"Grupo 1",AND(H1282&gt;3333,H1282&lt;=6666),"Grupo 2",AND(H1282&gt;6666,H1282&lt;=10000),"Grupo 3")</f>
        <v>Grupo 2</v>
      </c>
    </row>
    <row r="1283" spans="1:17" x14ac:dyDescent="0.25">
      <c r="A1283" t="s">
        <v>93</v>
      </c>
      <c r="B1283" s="2">
        <v>45273.106249999997</v>
      </c>
      <c r="C1283" t="s">
        <v>354</v>
      </c>
      <c r="D1283" t="s">
        <v>214</v>
      </c>
      <c r="E1283">
        <v>3</v>
      </c>
      <c r="F1283">
        <v>680.19</v>
      </c>
      <c r="G1283" t="s">
        <v>222</v>
      </c>
      <c r="H1283">
        <v>2040.57</v>
      </c>
      <c r="I1283">
        <v>2023</v>
      </c>
      <c r="J1283">
        <v>12</v>
      </c>
      <c r="K1283">
        <v>2</v>
      </c>
      <c r="L1283" s="14">
        <v>680.19</v>
      </c>
      <c r="M1283" s="4" t="str">
        <f t="shared" si="80"/>
        <v>miércoles</v>
      </c>
      <c r="N1283" s="4" t="str">
        <f t="shared" si="81"/>
        <v>diciembre</v>
      </c>
      <c r="O1283" s="4" t="str">
        <f t="shared" ref="O1283:O1346" si="82">IF(H1283&gt;AVERAGE(H:H),"SI","NO")</f>
        <v>NO</v>
      </c>
      <c r="P1283" s="4" t="str">
        <f t="shared" ref="P1283:P1346" si="83">IF(L1283&gt;AVERAGE(L:L),"SI","NO")</f>
        <v>NO</v>
      </c>
      <c r="Q1283" s="4" t="str" cm="1">
        <f t="array" ref="Q1283">_xlfn.IFS(AND(H1283&gt;=0,H1283&lt;=3333),"Grupo 1",AND(H1283&gt;3333,H1283&lt;=6666),"Grupo 2",AND(H1283&gt;6666,H1283&lt;=10000),"Grupo 3")</f>
        <v>Grupo 1</v>
      </c>
    </row>
    <row r="1284" spans="1:17" x14ac:dyDescent="0.25">
      <c r="A1284" t="s">
        <v>94</v>
      </c>
      <c r="B1284" s="2">
        <v>45022.271527777782</v>
      </c>
      <c r="C1284" t="s">
        <v>355</v>
      </c>
      <c r="D1284" t="s">
        <v>216</v>
      </c>
      <c r="E1284">
        <v>4</v>
      </c>
      <c r="F1284">
        <v>262.82</v>
      </c>
      <c r="G1284" t="s">
        <v>221</v>
      </c>
      <c r="H1284">
        <v>1051.28</v>
      </c>
      <c r="I1284">
        <v>2023</v>
      </c>
      <c r="J1284">
        <v>4</v>
      </c>
      <c r="K1284">
        <v>6</v>
      </c>
      <c r="L1284" s="14">
        <v>262.82</v>
      </c>
      <c r="M1284" s="4" t="str">
        <f t="shared" si="80"/>
        <v>jueves</v>
      </c>
      <c r="N1284" s="4" t="str">
        <f t="shared" si="81"/>
        <v>abril</v>
      </c>
      <c r="O1284" s="4" t="str">
        <f t="shared" si="82"/>
        <v>NO</v>
      </c>
      <c r="P1284" s="4" t="str">
        <f t="shared" si="83"/>
        <v>NO</v>
      </c>
      <c r="Q1284" s="4" t="str" cm="1">
        <f t="array" ref="Q1284">_xlfn.IFS(AND(H1284&gt;=0,H1284&lt;=3333),"Grupo 1",AND(H1284&gt;3333,H1284&lt;=6666),"Grupo 2",AND(H1284&gt;6666,H1284&lt;=10000),"Grupo 3")</f>
        <v>Grupo 1</v>
      </c>
    </row>
    <row r="1285" spans="1:17" x14ac:dyDescent="0.25">
      <c r="A1285" t="s">
        <v>95</v>
      </c>
      <c r="B1285" s="2">
        <v>45682.68472222222</v>
      </c>
      <c r="C1285" t="s">
        <v>356</v>
      </c>
      <c r="D1285" t="s">
        <v>215</v>
      </c>
      <c r="E1285">
        <v>4</v>
      </c>
      <c r="F1285">
        <v>1531.75</v>
      </c>
      <c r="G1285" t="s">
        <v>220</v>
      </c>
      <c r="H1285">
        <v>6127</v>
      </c>
      <c r="I1285">
        <v>2025</v>
      </c>
      <c r="J1285">
        <v>1</v>
      </c>
      <c r="K1285">
        <v>16</v>
      </c>
      <c r="L1285" s="14">
        <v>1531.75</v>
      </c>
      <c r="M1285" s="4" t="str">
        <f t="shared" si="80"/>
        <v>sábado</v>
      </c>
      <c r="N1285" s="4" t="str">
        <f t="shared" si="81"/>
        <v>enero</v>
      </c>
      <c r="O1285" s="4" t="str">
        <f t="shared" si="82"/>
        <v>SI</v>
      </c>
      <c r="P1285" s="4" t="str">
        <f t="shared" si="83"/>
        <v>SI</v>
      </c>
      <c r="Q1285" s="4" t="str" cm="1">
        <f t="array" ref="Q1285">_xlfn.IFS(AND(H1285&gt;=0,H1285&lt;=3333),"Grupo 1",AND(H1285&gt;3333,H1285&lt;=6666),"Grupo 2",AND(H1285&gt;6666,H1285&lt;=10000),"Grupo 3")</f>
        <v>Grupo 2</v>
      </c>
    </row>
    <row r="1286" spans="1:17" x14ac:dyDescent="0.25">
      <c r="A1286" t="s">
        <v>96</v>
      </c>
      <c r="B1286" s="2">
        <v>45099.143750000003</v>
      </c>
      <c r="C1286" t="s">
        <v>357</v>
      </c>
      <c r="D1286" t="s">
        <v>215</v>
      </c>
      <c r="E1286">
        <v>1</v>
      </c>
      <c r="F1286">
        <v>503.84</v>
      </c>
      <c r="G1286" t="s">
        <v>220</v>
      </c>
      <c r="H1286">
        <v>503.84</v>
      </c>
      <c r="I1286">
        <v>2023</v>
      </c>
      <c r="J1286">
        <v>6</v>
      </c>
      <c r="K1286">
        <v>3</v>
      </c>
      <c r="L1286" s="14">
        <v>503.84</v>
      </c>
      <c r="M1286" s="4" t="str">
        <f t="shared" si="80"/>
        <v>jueves</v>
      </c>
      <c r="N1286" s="4" t="str">
        <f t="shared" si="81"/>
        <v>junio</v>
      </c>
      <c r="O1286" s="4" t="str">
        <f t="shared" si="82"/>
        <v>NO</v>
      </c>
      <c r="P1286" s="4" t="str">
        <f t="shared" si="83"/>
        <v>NO</v>
      </c>
      <c r="Q1286" s="4" t="str" cm="1">
        <f t="array" ref="Q1286">_xlfn.IFS(AND(H1286&gt;=0,H1286&lt;=3333),"Grupo 1",AND(H1286&gt;3333,H1286&lt;=6666),"Grupo 2",AND(H1286&gt;6666,H1286&lt;=10000),"Grupo 3")</f>
        <v>Grupo 1</v>
      </c>
    </row>
    <row r="1287" spans="1:17" x14ac:dyDescent="0.25">
      <c r="A1287" t="s">
        <v>97</v>
      </c>
      <c r="B1287" s="2">
        <v>45546.810416666667</v>
      </c>
      <c r="C1287" t="s">
        <v>358</v>
      </c>
      <c r="D1287" t="s">
        <v>217</v>
      </c>
      <c r="E1287">
        <v>4</v>
      </c>
      <c r="F1287">
        <v>1908.41</v>
      </c>
      <c r="G1287" t="s">
        <v>220</v>
      </c>
      <c r="H1287">
        <v>7633.64</v>
      </c>
      <c r="I1287">
        <v>2024</v>
      </c>
      <c r="J1287">
        <v>9</v>
      </c>
      <c r="K1287">
        <v>19</v>
      </c>
      <c r="L1287" s="14">
        <v>1908.41</v>
      </c>
      <c r="M1287" s="4" t="str">
        <f t="shared" si="80"/>
        <v>miércoles</v>
      </c>
      <c r="N1287" s="4" t="str">
        <f t="shared" si="81"/>
        <v>septiembre</v>
      </c>
      <c r="O1287" s="4" t="str">
        <f t="shared" si="82"/>
        <v>SI</v>
      </c>
      <c r="P1287" s="4" t="str">
        <f t="shared" si="83"/>
        <v>SI</v>
      </c>
      <c r="Q1287" s="4" t="str" cm="1">
        <f t="array" ref="Q1287">_xlfn.IFS(AND(H1287&gt;=0,H1287&lt;=3333),"Grupo 1",AND(H1287&gt;3333,H1287&lt;=6666),"Grupo 2",AND(H1287&gt;6666,H1287&lt;=10000),"Grupo 3")</f>
        <v>Grupo 3</v>
      </c>
    </row>
    <row r="1288" spans="1:17" x14ac:dyDescent="0.25">
      <c r="A1288" t="s">
        <v>98</v>
      </c>
      <c r="B1288" s="2">
        <v>45451.106249999997</v>
      </c>
      <c r="C1288" t="s">
        <v>359</v>
      </c>
      <c r="D1288" t="s">
        <v>215</v>
      </c>
      <c r="E1288">
        <v>2</v>
      </c>
      <c r="F1288">
        <v>114.6</v>
      </c>
      <c r="G1288" t="s">
        <v>220</v>
      </c>
      <c r="H1288">
        <v>229.2</v>
      </c>
      <c r="I1288">
        <v>2024</v>
      </c>
      <c r="J1288">
        <v>6</v>
      </c>
      <c r="K1288">
        <v>2</v>
      </c>
      <c r="L1288" s="14">
        <v>114.6</v>
      </c>
      <c r="M1288" s="4" t="str">
        <f t="shared" si="80"/>
        <v>sábado</v>
      </c>
      <c r="N1288" s="4" t="str">
        <f t="shared" si="81"/>
        <v>junio</v>
      </c>
      <c r="O1288" s="4" t="str">
        <f t="shared" si="82"/>
        <v>NO</v>
      </c>
      <c r="P1288" s="4" t="str">
        <f t="shared" si="83"/>
        <v>NO</v>
      </c>
      <c r="Q1288" s="4" t="str" cm="1">
        <f t="array" ref="Q1288">_xlfn.IFS(AND(H1288&gt;=0,H1288&lt;=3333),"Grupo 1",AND(H1288&gt;3333,H1288&lt;=6666),"Grupo 2",AND(H1288&gt;6666,H1288&lt;=10000),"Grupo 3")</f>
        <v>Grupo 1</v>
      </c>
    </row>
    <row r="1289" spans="1:17" x14ac:dyDescent="0.25">
      <c r="A1289" t="s">
        <v>99</v>
      </c>
      <c r="B1289" s="2">
        <v>45101.551388888889</v>
      </c>
      <c r="C1289" t="s">
        <v>261</v>
      </c>
      <c r="D1289" t="s">
        <v>215</v>
      </c>
      <c r="E1289">
        <v>2</v>
      </c>
      <c r="F1289">
        <v>595.78</v>
      </c>
      <c r="G1289" t="s">
        <v>220</v>
      </c>
      <c r="H1289">
        <v>1191.56</v>
      </c>
      <c r="I1289">
        <v>2023</v>
      </c>
      <c r="J1289">
        <v>6</v>
      </c>
      <c r="K1289">
        <v>13</v>
      </c>
      <c r="L1289" s="14">
        <v>595.78</v>
      </c>
      <c r="M1289" s="4" t="str">
        <f t="shared" si="80"/>
        <v>sábado</v>
      </c>
      <c r="N1289" s="4" t="str">
        <f t="shared" si="81"/>
        <v>junio</v>
      </c>
      <c r="O1289" s="4" t="str">
        <f t="shared" si="82"/>
        <v>NO</v>
      </c>
      <c r="P1289" s="4" t="str">
        <f t="shared" si="83"/>
        <v>NO</v>
      </c>
      <c r="Q1289" s="4" t="str" cm="1">
        <f t="array" ref="Q1289">_xlfn.IFS(AND(H1289&gt;=0,H1289&lt;=3333),"Grupo 1",AND(H1289&gt;3333,H1289&lt;=6666),"Grupo 2",AND(H1289&gt;6666,H1289&lt;=10000),"Grupo 3")</f>
        <v>Grupo 1</v>
      </c>
    </row>
    <row r="1290" spans="1:17" x14ac:dyDescent="0.25">
      <c r="A1290" t="s">
        <v>100</v>
      </c>
      <c r="B1290" s="2">
        <v>45405.413194444453</v>
      </c>
      <c r="C1290" t="s">
        <v>262</v>
      </c>
      <c r="D1290" t="s">
        <v>217</v>
      </c>
      <c r="E1290">
        <v>2</v>
      </c>
      <c r="F1290">
        <v>75.02</v>
      </c>
      <c r="G1290" t="s">
        <v>220</v>
      </c>
      <c r="H1290">
        <v>150.04</v>
      </c>
      <c r="I1290">
        <v>2024</v>
      </c>
      <c r="J1290">
        <v>4</v>
      </c>
      <c r="K1290">
        <v>9</v>
      </c>
      <c r="L1290" s="14">
        <v>75.02</v>
      </c>
      <c r="M1290" s="4" t="str">
        <f t="shared" si="80"/>
        <v>martes</v>
      </c>
      <c r="N1290" s="4" t="str">
        <f t="shared" si="81"/>
        <v>abril</v>
      </c>
      <c r="O1290" s="4" t="str">
        <f t="shared" si="82"/>
        <v>NO</v>
      </c>
      <c r="P1290" s="4" t="str">
        <f t="shared" si="83"/>
        <v>NO</v>
      </c>
      <c r="Q1290" s="4" t="str" cm="1">
        <f t="array" ref="Q1290">_xlfn.IFS(AND(H1290&gt;=0,H1290&lt;=3333),"Grupo 1",AND(H1290&gt;3333,H1290&lt;=6666),"Grupo 2",AND(H1290&gt;6666,H1290&lt;=10000),"Grupo 3")</f>
        <v>Grupo 1</v>
      </c>
    </row>
    <row r="1291" spans="1:17" x14ac:dyDescent="0.25">
      <c r="A1291" t="s">
        <v>101</v>
      </c>
      <c r="B1291" s="2">
        <v>45465.332638888889</v>
      </c>
      <c r="C1291" t="s">
        <v>263</v>
      </c>
      <c r="D1291" t="s">
        <v>216</v>
      </c>
      <c r="E1291">
        <v>5</v>
      </c>
      <c r="F1291">
        <v>540.91999999999996</v>
      </c>
      <c r="G1291" t="s">
        <v>221</v>
      </c>
      <c r="H1291">
        <v>2704.6</v>
      </c>
      <c r="I1291">
        <v>2024</v>
      </c>
      <c r="J1291">
        <v>6</v>
      </c>
      <c r="K1291">
        <v>7</v>
      </c>
      <c r="L1291" s="14">
        <v>540.91999999999996</v>
      </c>
      <c r="M1291" s="4" t="str">
        <f t="shared" si="80"/>
        <v>sábado</v>
      </c>
      <c r="N1291" s="4" t="str">
        <f t="shared" si="81"/>
        <v>junio</v>
      </c>
      <c r="O1291" s="4" t="str">
        <f t="shared" si="82"/>
        <v>NO</v>
      </c>
      <c r="P1291" s="4" t="str">
        <f t="shared" si="83"/>
        <v>NO</v>
      </c>
      <c r="Q1291" s="4" t="str" cm="1">
        <f t="array" ref="Q1291">_xlfn.IFS(AND(H1291&gt;=0,H1291&lt;=3333),"Grupo 1",AND(H1291&gt;3333,H1291&lt;=6666),"Grupo 2",AND(H1291&gt;6666,H1291&lt;=10000),"Grupo 3")</f>
        <v>Grupo 1</v>
      </c>
    </row>
    <row r="1292" spans="1:17" x14ac:dyDescent="0.25">
      <c r="A1292" t="s">
        <v>102</v>
      </c>
      <c r="B1292" s="2">
        <v>45863.330555555563</v>
      </c>
      <c r="C1292" t="s">
        <v>264</v>
      </c>
      <c r="D1292" t="s">
        <v>212</v>
      </c>
      <c r="E1292">
        <v>2</v>
      </c>
      <c r="F1292">
        <v>356.91</v>
      </c>
      <c r="G1292" t="s">
        <v>220</v>
      </c>
      <c r="H1292">
        <v>713.82</v>
      </c>
      <c r="I1292">
        <v>2025</v>
      </c>
      <c r="J1292">
        <v>7</v>
      </c>
      <c r="K1292">
        <v>7</v>
      </c>
      <c r="L1292" s="14">
        <v>356.91</v>
      </c>
      <c r="M1292" s="4" t="str">
        <f t="shared" si="80"/>
        <v>viernes</v>
      </c>
      <c r="N1292" s="4" t="str">
        <f t="shared" si="81"/>
        <v>julio</v>
      </c>
      <c r="O1292" s="4" t="str">
        <f t="shared" si="82"/>
        <v>NO</v>
      </c>
      <c r="P1292" s="4" t="str">
        <f t="shared" si="83"/>
        <v>NO</v>
      </c>
      <c r="Q1292" s="4" t="str" cm="1">
        <f t="array" ref="Q1292">_xlfn.IFS(AND(H1292&gt;=0,H1292&lt;=3333),"Grupo 1",AND(H1292&gt;3333,H1292&lt;=6666),"Grupo 2",AND(H1292&gt;6666,H1292&lt;=10000),"Grupo 3")</f>
        <v>Grupo 1</v>
      </c>
    </row>
    <row r="1293" spans="1:17" x14ac:dyDescent="0.25">
      <c r="A1293" t="s">
        <v>103</v>
      </c>
      <c r="B1293" s="2">
        <v>45727.712500000001</v>
      </c>
      <c r="C1293" t="s">
        <v>265</v>
      </c>
      <c r="D1293" t="s">
        <v>219</v>
      </c>
      <c r="E1293">
        <v>3</v>
      </c>
      <c r="F1293">
        <v>1135.67</v>
      </c>
      <c r="G1293" t="s">
        <v>221</v>
      </c>
      <c r="H1293">
        <v>3407.01</v>
      </c>
      <c r="I1293">
        <v>2025</v>
      </c>
      <c r="J1293">
        <v>3</v>
      </c>
      <c r="K1293">
        <v>17</v>
      </c>
      <c r="L1293" s="14">
        <v>1135.67</v>
      </c>
      <c r="M1293" s="4" t="str">
        <f t="shared" si="80"/>
        <v>martes</v>
      </c>
      <c r="N1293" s="4" t="str">
        <f t="shared" si="81"/>
        <v>marzo</v>
      </c>
      <c r="O1293" s="4" t="str">
        <f t="shared" si="82"/>
        <v>SI</v>
      </c>
      <c r="P1293" s="4" t="str">
        <f t="shared" si="83"/>
        <v>SI</v>
      </c>
      <c r="Q1293" s="4" t="str" cm="1">
        <f t="array" ref="Q1293">_xlfn.IFS(AND(H1293&gt;=0,H1293&lt;=3333),"Grupo 1",AND(H1293&gt;3333,H1293&lt;=6666),"Grupo 2",AND(H1293&gt;6666,H1293&lt;=10000),"Grupo 3")</f>
        <v>Grupo 2</v>
      </c>
    </row>
    <row r="1294" spans="1:17" x14ac:dyDescent="0.25">
      <c r="A1294" t="s">
        <v>104</v>
      </c>
      <c r="B1294" s="2">
        <v>45676.398611111108</v>
      </c>
      <c r="C1294" t="s">
        <v>266</v>
      </c>
      <c r="D1294" t="s">
        <v>215</v>
      </c>
      <c r="E1294">
        <v>3</v>
      </c>
      <c r="F1294">
        <v>805.69</v>
      </c>
      <c r="G1294" t="s">
        <v>220</v>
      </c>
      <c r="H1294">
        <v>2417.0700000000002</v>
      </c>
      <c r="I1294">
        <v>2025</v>
      </c>
      <c r="J1294">
        <v>1</v>
      </c>
      <c r="K1294">
        <v>9</v>
      </c>
      <c r="L1294" s="14">
        <v>805.69</v>
      </c>
      <c r="M1294" s="4" t="str">
        <f t="shared" si="80"/>
        <v>domingo</v>
      </c>
      <c r="N1294" s="4" t="str">
        <f t="shared" si="81"/>
        <v>enero</v>
      </c>
      <c r="O1294" s="4" t="str">
        <f t="shared" si="82"/>
        <v>NO</v>
      </c>
      <c r="P1294" s="4" t="str">
        <f t="shared" si="83"/>
        <v>NO</v>
      </c>
      <c r="Q1294" s="4" t="str" cm="1">
        <f t="array" ref="Q1294">_xlfn.IFS(AND(H1294&gt;=0,H1294&lt;=3333),"Grupo 1",AND(H1294&gt;3333,H1294&lt;=6666),"Grupo 2",AND(H1294&gt;6666,H1294&lt;=10000),"Grupo 3")</f>
        <v>Grupo 1</v>
      </c>
    </row>
    <row r="1295" spans="1:17" x14ac:dyDescent="0.25">
      <c r="A1295" t="s">
        <v>105</v>
      </c>
      <c r="B1295" s="2">
        <v>45289.026388888888</v>
      </c>
      <c r="C1295" t="s">
        <v>267</v>
      </c>
      <c r="D1295" t="s">
        <v>217</v>
      </c>
      <c r="E1295">
        <v>2</v>
      </c>
      <c r="F1295">
        <v>1259.07</v>
      </c>
      <c r="G1295" t="s">
        <v>220</v>
      </c>
      <c r="H1295">
        <v>2518.14</v>
      </c>
      <c r="I1295">
        <v>2023</v>
      </c>
      <c r="J1295">
        <v>12</v>
      </c>
      <c r="K1295">
        <v>0</v>
      </c>
      <c r="L1295" s="14">
        <v>1259.07</v>
      </c>
      <c r="M1295" s="4" t="str">
        <f t="shared" si="80"/>
        <v>viernes</v>
      </c>
      <c r="N1295" s="4" t="str">
        <f t="shared" si="81"/>
        <v>diciembre</v>
      </c>
      <c r="O1295" s="4" t="str">
        <f t="shared" si="82"/>
        <v>NO</v>
      </c>
      <c r="P1295" s="4" t="str">
        <f t="shared" si="83"/>
        <v>SI</v>
      </c>
      <c r="Q1295" s="4" t="str" cm="1">
        <f t="array" ref="Q1295">_xlfn.IFS(AND(H1295&gt;=0,H1295&lt;=3333),"Grupo 1",AND(H1295&gt;3333,H1295&lt;=6666),"Grupo 2",AND(H1295&gt;6666,H1295&lt;=10000),"Grupo 3")</f>
        <v>Grupo 1</v>
      </c>
    </row>
    <row r="1296" spans="1:17" x14ac:dyDescent="0.25">
      <c r="A1296" t="s">
        <v>106</v>
      </c>
      <c r="B1296" s="2">
        <v>45473.418749999997</v>
      </c>
      <c r="C1296" t="s">
        <v>268</v>
      </c>
      <c r="D1296" t="s">
        <v>218</v>
      </c>
      <c r="E1296">
        <v>3</v>
      </c>
      <c r="F1296">
        <v>600.4</v>
      </c>
      <c r="G1296" t="s">
        <v>221</v>
      </c>
      <c r="H1296">
        <v>1801.2</v>
      </c>
      <c r="I1296">
        <v>2024</v>
      </c>
      <c r="J1296">
        <v>6</v>
      </c>
      <c r="K1296">
        <v>10</v>
      </c>
      <c r="L1296" s="14">
        <v>600.4</v>
      </c>
      <c r="M1296" s="4" t="str">
        <f t="shared" si="80"/>
        <v>domingo</v>
      </c>
      <c r="N1296" s="4" t="str">
        <f t="shared" si="81"/>
        <v>junio</v>
      </c>
      <c r="O1296" s="4" t="str">
        <f t="shared" si="82"/>
        <v>NO</v>
      </c>
      <c r="P1296" s="4" t="str">
        <f t="shared" si="83"/>
        <v>NO</v>
      </c>
      <c r="Q1296" s="4" t="str" cm="1">
        <f t="array" ref="Q1296">_xlfn.IFS(AND(H1296&gt;=0,H1296&lt;=3333),"Grupo 1",AND(H1296&gt;3333,H1296&lt;=6666),"Grupo 2",AND(H1296&gt;6666,H1296&lt;=10000),"Grupo 3")</f>
        <v>Grupo 1</v>
      </c>
    </row>
    <row r="1297" spans="1:17" x14ac:dyDescent="0.25">
      <c r="A1297" t="s">
        <v>107</v>
      </c>
      <c r="B1297" s="2">
        <v>45499.757638888892</v>
      </c>
      <c r="C1297" t="s">
        <v>269</v>
      </c>
      <c r="D1297" t="s">
        <v>214</v>
      </c>
      <c r="E1297">
        <v>2</v>
      </c>
      <c r="F1297">
        <v>479.81</v>
      </c>
      <c r="G1297" t="s">
        <v>222</v>
      </c>
      <c r="H1297">
        <v>959.62</v>
      </c>
      <c r="I1297">
        <v>2024</v>
      </c>
      <c r="J1297">
        <v>7</v>
      </c>
      <c r="K1297">
        <v>18</v>
      </c>
      <c r="L1297" s="14">
        <v>479.81</v>
      </c>
      <c r="M1297" s="4" t="str">
        <f t="shared" si="80"/>
        <v>viernes</v>
      </c>
      <c r="N1297" s="4" t="str">
        <f t="shared" si="81"/>
        <v>julio</v>
      </c>
      <c r="O1297" s="4" t="str">
        <f t="shared" si="82"/>
        <v>NO</v>
      </c>
      <c r="P1297" s="4" t="str">
        <f t="shared" si="83"/>
        <v>NO</v>
      </c>
      <c r="Q1297" s="4" t="str" cm="1">
        <f t="array" ref="Q1297">_xlfn.IFS(AND(H1297&gt;=0,H1297&lt;=3333),"Grupo 1",AND(H1297&gt;3333,H1297&lt;=6666),"Grupo 2",AND(H1297&gt;6666,H1297&lt;=10000),"Grupo 3")</f>
        <v>Grupo 1</v>
      </c>
    </row>
    <row r="1298" spans="1:17" x14ac:dyDescent="0.25">
      <c r="A1298" t="s">
        <v>108</v>
      </c>
      <c r="B1298" s="2">
        <v>45541.331250000003</v>
      </c>
      <c r="C1298" t="s">
        <v>270</v>
      </c>
      <c r="D1298" t="s">
        <v>216</v>
      </c>
      <c r="E1298">
        <v>1</v>
      </c>
      <c r="F1298">
        <v>1888.86</v>
      </c>
      <c r="G1298" t="s">
        <v>221</v>
      </c>
      <c r="H1298">
        <v>1888.86</v>
      </c>
      <c r="I1298">
        <v>2024</v>
      </c>
      <c r="J1298">
        <v>9</v>
      </c>
      <c r="K1298">
        <v>7</v>
      </c>
      <c r="L1298" s="14">
        <v>1888.86</v>
      </c>
      <c r="M1298" s="4" t="str">
        <f t="shared" si="80"/>
        <v>viernes</v>
      </c>
      <c r="N1298" s="4" t="str">
        <f t="shared" si="81"/>
        <v>septiembre</v>
      </c>
      <c r="O1298" s="4" t="str">
        <f t="shared" si="82"/>
        <v>NO</v>
      </c>
      <c r="P1298" s="4" t="str">
        <f t="shared" si="83"/>
        <v>SI</v>
      </c>
      <c r="Q1298" s="4" t="str" cm="1">
        <f t="array" ref="Q1298">_xlfn.IFS(AND(H1298&gt;=0,H1298&lt;=3333),"Grupo 1",AND(H1298&gt;3333,H1298&lt;=6666),"Grupo 2",AND(H1298&gt;6666,H1298&lt;=10000),"Grupo 3")</f>
        <v>Grupo 1</v>
      </c>
    </row>
    <row r="1299" spans="1:17" x14ac:dyDescent="0.25">
      <c r="A1299" t="s">
        <v>109</v>
      </c>
      <c r="B1299" s="2">
        <v>45542.574305555558</v>
      </c>
      <c r="C1299" t="s">
        <v>271</v>
      </c>
      <c r="D1299" t="s">
        <v>217</v>
      </c>
      <c r="E1299">
        <v>4</v>
      </c>
      <c r="F1299">
        <v>1821.05</v>
      </c>
      <c r="G1299" t="s">
        <v>220</v>
      </c>
      <c r="H1299">
        <v>7284.2</v>
      </c>
      <c r="I1299">
        <v>2024</v>
      </c>
      <c r="J1299">
        <v>9</v>
      </c>
      <c r="K1299">
        <v>13</v>
      </c>
      <c r="L1299" s="14">
        <v>1821.05</v>
      </c>
      <c r="M1299" s="4" t="str">
        <f t="shared" si="80"/>
        <v>sábado</v>
      </c>
      <c r="N1299" s="4" t="str">
        <f t="shared" si="81"/>
        <v>septiembre</v>
      </c>
      <c r="O1299" s="4" t="str">
        <f t="shared" si="82"/>
        <v>SI</v>
      </c>
      <c r="P1299" s="4" t="str">
        <f t="shared" si="83"/>
        <v>SI</v>
      </c>
      <c r="Q1299" s="4" t="str" cm="1">
        <f t="array" ref="Q1299">_xlfn.IFS(AND(H1299&gt;=0,H1299&lt;=3333),"Grupo 1",AND(H1299&gt;3333,H1299&lt;=6666),"Grupo 2",AND(H1299&gt;6666,H1299&lt;=10000),"Grupo 3")</f>
        <v>Grupo 3</v>
      </c>
    </row>
    <row r="1300" spans="1:17" x14ac:dyDescent="0.25">
      <c r="A1300" t="s">
        <v>110</v>
      </c>
      <c r="B1300" s="2">
        <v>45846.336805555547</v>
      </c>
      <c r="C1300" t="s">
        <v>272</v>
      </c>
      <c r="D1300" t="s">
        <v>218</v>
      </c>
      <c r="E1300">
        <v>3</v>
      </c>
      <c r="F1300">
        <v>1537.23</v>
      </c>
      <c r="G1300" t="s">
        <v>221</v>
      </c>
      <c r="H1300">
        <v>4611.6900000000014</v>
      </c>
      <c r="I1300">
        <v>2025</v>
      </c>
      <c r="J1300">
        <v>7</v>
      </c>
      <c r="K1300">
        <v>8</v>
      </c>
      <c r="L1300" s="14">
        <v>1537.23</v>
      </c>
      <c r="M1300" s="4" t="str">
        <f t="shared" si="80"/>
        <v>martes</v>
      </c>
      <c r="N1300" s="4" t="str">
        <f t="shared" si="81"/>
        <v>julio</v>
      </c>
      <c r="O1300" s="4" t="str">
        <f t="shared" si="82"/>
        <v>SI</v>
      </c>
      <c r="P1300" s="4" t="str">
        <f t="shared" si="83"/>
        <v>SI</v>
      </c>
      <c r="Q1300" s="4" t="str" cm="1">
        <f t="array" ref="Q1300">_xlfn.IFS(AND(H1300&gt;=0,H1300&lt;=3333),"Grupo 1",AND(H1300&gt;3333,H1300&lt;=6666),"Grupo 2",AND(H1300&gt;6666,H1300&lt;=10000),"Grupo 3")</f>
        <v>Grupo 2</v>
      </c>
    </row>
    <row r="1301" spans="1:17" x14ac:dyDescent="0.25">
      <c r="A1301" t="s">
        <v>111</v>
      </c>
      <c r="B1301" s="2">
        <v>45318.705555555563</v>
      </c>
      <c r="C1301" t="s">
        <v>273</v>
      </c>
      <c r="D1301" t="s">
        <v>214</v>
      </c>
      <c r="E1301">
        <v>3</v>
      </c>
      <c r="F1301">
        <v>311.66000000000003</v>
      </c>
      <c r="G1301" t="s">
        <v>222</v>
      </c>
      <c r="H1301">
        <v>934.98</v>
      </c>
      <c r="I1301">
        <v>2024</v>
      </c>
      <c r="J1301">
        <v>1</v>
      </c>
      <c r="K1301">
        <v>16</v>
      </c>
      <c r="L1301" s="14">
        <v>311.66000000000003</v>
      </c>
      <c r="M1301" s="4" t="str">
        <f t="shared" si="80"/>
        <v>sábado</v>
      </c>
      <c r="N1301" s="4" t="str">
        <f t="shared" si="81"/>
        <v>enero</v>
      </c>
      <c r="O1301" s="4" t="str">
        <f t="shared" si="82"/>
        <v>NO</v>
      </c>
      <c r="P1301" s="4" t="str">
        <f t="shared" si="83"/>
        <v>NO</v>
      </c>
      <c r="Q1301" s="4" t="str" cm="1">
        <f t="array" ref="Q1301">_xlfn.IFS(AND(H1301&gt;=0,H1301&lt;=3333),"Grupo 1",AND(H1301&gt;3333,H1301&lt;=6666),"Grupo 2",AND(H1301&gt;6666,H1301&lt;=10000),"Grupo 3")</f>
        <v>Grupo 1</v>
      </c>
    </row>
    <row r="1302" spans="1:17" x14ac:dyDescent="0.25">
      <c r="A1302" t="s">
        <v>112</v>
      </c>
      <c r="B1302" s="2">
        <v>45595.668055555558</v>
      </c>
      <c r="C1302" t="s">
        <v>274</v>
      </c>
      <c r="D1302" t="s">
        <v>213</v>
      </c>
      <c r="E1302">
        <v>5</v>
      </c>
      <c r="F1302">
        <v>149.09</v>
      </c>
      <c r="G1302" t="s">
        <v>221</v>
      </c>
      <c r="H1302">
        <v>745.45</v>
      </c>
      <c r="I1302">
        <v>2024</v>
      </c>
      <c r="J1302">
        <v>10</v>
      </c>
      <c r="K1302">
        <v>16</v>
      </c>
      <c r="L1302" s="14">
        <v>149.09</v>
      </c>
      <c r="M1302" s="4" t="str">
        <f t="shared" si="80"/>
        <v>miércoles</v>
      </c>
      <c r="N1302" s="4" t="str">
        <f t="shared" si="81"/>
        <v>octubre</v>
      </c>
      <c r="O1302" s="4" t="str">
        <f t="shared" si="82"/>
        <v>NO</v>
      </c>
      <c r="P1302" s="4" t="str">
        <f t="shared" si="83"/>
        <v>NO</v>
      </c>
      <c r="Q1302" s="4" t="str" cm="1">
        <f t="array" ref="Q1302">_xlfn.IFS(AND(H1302&gt;=0,H1302&lt;=3333),"Grupo 1",AND(H1302&gt;3333,H1302&lt;=6666),"Grupo 2",AND(H1302&gt;6666,H1302&lt;=10000),"Grupo 3")</f>
        <v>Grupo 1</v>
      </c>
    </row>
    <row r="1303" spans="1:17" x14ac:dyDescent="0.25">
      <c r="A1303" t="s">
        <v>113</v>
      </c>
      <c r="B1303" s="2">
        <v>44984.418055555558</v>
      </c>
      <c r="C1303" t="s">
        <v>275</v>
      </c>
      <c r="D1303" t="s">
        <v>217</v>
      </c>
      <c r="E1303">
        <v>5</v>
      </c>
      <c r="F1303">
        <v>1885.48</v>
      </c>
      <c r="G1303" t="s">
        <v>220</v>
      </c>
      <c r="H1303">
        <v>9427.4</v>
      </c>
      <c r="I1303">
        <v>2023</v>
      </c>
      <c r="J1303">
        <v>2</v>
      </c>
      <c r="K1303">
        <v>10</v>
      </c>
      <c r="L1303" s="14">
        <v>1885.48</v>
      </c>
      <c r="M1303" s="4" t="str">
        <f t="shared" si="80"/>
        <v>lunes</v>
      </c>
      <c r="N1303" s="4" t="str">
        <f t="shared" si="81"/>
        <v>febrero</v>
      </c>
      <c r="O1303" s="4" t="str">
        <f t="shared" si="82"/>
        <v>SI</v>
      </c>
      <c r="P1303" s="4" t="str">
        <f t="shared" si="83"/>
        <v>SI</v>
      </c>
      <c r="Q1303" s="4" t="str" cm="1">
        <f t="array" ref="Q1303">_xlfn.IFS(AND(H1303&gt;=0,H1303&lt;=3333),"Grupo 1",AND(H1303&gt;3333,H1303&lt;=6666),"Grupo 2",AND(H1303&gt;6666,H1303&lt;=10000),"Grupo 3")</f>
        <v>Grupo 3</v>
      </c>
    </row>
    <row r="1304" spans="1:17" x14ac:dyDescent="0.25">
      <c r="A1304" t="s">
        <v>114</v>
      </c>
      <c r="B1304" s="2">
        <v>45153.455555555563</v>
      </c>
      <c r="C1304" t="s">
        <v>276</v>
      </c>
      <c r="D1304" t="s">
        <v>216</v>
      </c>
      <c r="E1304">
        <v>3</v>
      </c>
      <c r="F1304">
        <v>1591.92</v>
      </c>
      <c r="G1304" t="s">
        <v>221</v>
      </c>
      <c r="H1304">
        <v>4775.76</v>
      </c>
      <c r="I1304">
        <v>2023</v>
      </c>
      <c r="J1304">
        <v>8</v>
      </c>
      <c r="K1304">
        <v>10</v>
      </c>
      <c r="L1304" s="14">
        <v>1591.92</v>
      </c>
      <c r="M1304" s="4" t="str">
        <f t="shared" si="80"/>
        <v>martes</v>
      </c>
      <c r="N1304" s="4" t="str">
        <f t="shared" si="81"/>
        <v>agosto</v>
      </c>
      <c r="O1304" s="4" t="str">
        <f t="shared" si="82"/>
        <v>SI</v>
      </c>
      <c r="P1304" s="4" t="str">
        <f t="shared" si="83"/>
        <v>SI</v>
      </c>
      <c r="Q1304" s="4" t="str" cm="1">
        <f t="array" ref="Q1304">_xlfn.IFS(AND(H1304&gt;=0,H1304&lt;=3333),"Grupo 1",AND(H1304&gt;3333,H1304&lt;=6666),"Grupo 2",AND(H1304&gt;6666,H1304&lt;=10000),"Grupo 3")</f>
        <v>Grupo 2</v>
      </c>
    </row>
    <row r="1305" spans="1:17" x14ac:dyDescent="0.25">
      <c r="A1305" t="s">
        <v>115</v>
      </c>
      <c r="B1305" s="2">
        <v>45919.24722222222</v>
      </c>
      <c r="C1305" t="s">
        <v>277</v>
      </c>
      <c r="D1305" t="s">
        <v>216</v>
      </c>
      <c r="E1305">
        <v>5</v>
      </c>
      <c r="F1305">
        <v>1383.33</v>
      </c>
      <c r="G1305" t="s">
        <v>221</v>
      </c>
      <c r="H1305">
        <v>6916.65</v>
      </c>
      <c r="I1305">
        <v>2025</v>
      </c>
      <c r="J1305">
        <v>9</v>
      </c>
      <c r="K1305">
        <v>5</v>
      </c>
      <c r="L1305" s="14">
        <v>1383.33</v>
      </c>
      <c r="M1305" s="4" t="str">
        <f t="shared" si="80"/>
        <v>viernes</v>
      </c>
      <c r="N1305" s="4" t="str">
        <f t="shared" si="81"/>
        <v>septiembre</v>
      </c>
      <c r="O1305" s="4" t="str">
        <f t="shared" si="82"/>
        <v>SI</v>
      </c>
      <c r="P1305" s="4" t="str">
        <f t="shared" si="83"/>
        <v>SI</v>
      </c>
      <c r="Q1305" s="4" t="str" cm="1">
        <f t="array" ref="Q1305">_xlfn.IFS(AND(H1305&gt;=0,H1305&lt;=3333),"Grupo 1",AND(H1305&gt;3333,H1305&lt;=6666),"Grupo 2",AND(H1305&gt;6666,H1305&lt;=10000),"Grupo 3")</f>
        <v>Grupo 3</v>
      </c>
    </row>
    <row r="1306" spans="1:17" x14ac:dyDescent="0.25">
      <c r="A1306" t="s">
        <v>116</v>
      </c>
      <c r="B1306" s="2">
        <v>45815.543055555558</v>
      </c>
      <c r="C1306" t="s">
        <v>278</v>
      </c>
      <c r="D1306" t="s">
        <v>214</v>
      </c>
      <c r="E1306">
        <v>2</v>
      </c>
      <c r="F1306">
        <v>1051.23</v>
      </c>
      <c r="G1306" t="s">
        <v>222</v>
      </c>
      <c r="H1306">
        <v>2102.46</v>
      </c>
      <c r="I1306">
        <v>2025</v>
      </c>
      <c r="J1306">
        <v>6</v>
      </c>
      <c r="K1306">
        <v>13</v>
      </c>
      <c r="L1306" s="14">
        <v>1051.23</v>
      </c>
      <c r="M1306" s="4" t="str">
        <f t="shared" si="80"/>
        <v>sábado</v>
      </c>
      <c r="N1306" s="4" t="str">
        <f t="shared" si="81"/>
        <v>junio</v>
      </c>
      <c r="O1306" s="4" t="str">
        <f t="shared" si="82"/>
        <v>NO</v>
      </c>
      <c r="P1306" s="4" t="str">
        <f t="shared" si="83"/>
        <v>SI</v>
      </c>
      <c r="Q1306" s="4" t="str" cm="1">
        <f t="array" ref="Q1306">_xlfn.IFS(AND(H1306&gt;=0,H1306&lt;=3333),"Grupo 1",AND(H1306&gt;3333,H1306&lt;=6666),"Grupo 2",AND(H1306&gt;6666,H1306&lt;=10000),"Grupo 3")</f>
        <v>Grupo 1</v>
      </c>
    </row>
    <row r="1307" spans="1:17" x14ac:dyDescent="0.25">
      <c r="A1307" t="s">
        <v>117</v>
      </c>
      <c r="B1307" s="2">
        <v>45255.4</v>
      </c>
      <c r="C1307" t="s">
        <v>279</v>
      </c>
      <c r="D1307" t="s">
        <v>219</v>
      </c>
      <c r="E1307">
        <v>4</v>
      </c>
      <c r="F1307">
        <v>1274.46</v>
      </c>
      <c r="G1307" t="s">
        <v>221</v>
      </c>
      <c r="H1307">
        <v>5097.84</v>
      </c>
      <c r="I1307">
        <v>2023</v>
      </c>
      <c r="J1307">
        <v>11</v>
      </c>
      <c r="K1307">
        <v>9</v>
      </c>
      <c r="L1307" s="14">
        <v>1274.46</v>
      </c>
      <c r="M1307" s="4" t="str">
        <f t="shared" si="80"/>
        <v>sábado</v>
      </c>
      <c r="N1307" s="4" t="str">
        <f t="shared" si="81"/>
        <v>noviembre</v>
      </c>
      <c r="O1307" s="4" t="str">
        <f t="shared" si="82"/>
        <v>SI</v>
      </c>
      <c r="P1307" s="4" t="str">
        <f t="shared" si="83"/>
        <v>SI</v>
      </c>
      <c r="Q1307" s="4" t="str" cm="1">
        <f t="array" ref="Q1307">_xlfn.IFS(AND(H1307&gt;=0,H1307&lt;=3333),"Grupo 1",AND(H1307&gt;3333,H1307&lt;=6666),"Grupo 2",AND(H1307&gt;6666,H1307&lt;=10000),"Grupo 3")</f>
        <v>Grupo 2</v>
      </c>
    </row>
    <row r="1308" spans="1:17" x14ac:dyDescent="0.25">
      <c r="A1308" t="s">
        <v>118</v>
      </c>
      <c r="B1308" s="2">
        <v>45754.797222222223</v>
      </c>
      <c r="C1308" t="s">
        <v>280</v>
      </c>
      <c r="D1308" t="s">
        <v>212</v>
      </c>
      <c r="E1308">
        <v>1</v>
      </c>
      <c r="F1308">
        <v>1251.08</v>
      </c>
      <c r="G1308" t="s">
        <v>220</v>
      </c>
      <c r="H1308">
        <v>1251.08</v>
      </c>
      <c r="I1308">
        <v>2025</v>
      </c>
      <c r="J1308">
        <v>4</v>
      </c>
      <c r="K1308">
        <v>19</v>
      </c>
      <c r="L1308" s="14">
        <v>1251.08</v>
      </c>
      <c r="M1308" s="4" t="str">
        <f t="shared" si="80"/>
        <v>lunes</v>
      </c>
      <c r="N1308" s="4" t="str">
        <f t="shared" si="81"/>
        <v>abril</v>
      </c>
      <c r="O1308" s="4" t="str">
        <f t="shared" si="82"/>
        <v>NO</v>
      </c>
      <c r="P1308" s="4" t="str">
        <f t="shared" si="83"/>
        <v>SI</v>
      </c>
      <c r="Q1308" s="4" t="str" cm="1">
        <f t="array" ref="Q1308">_xlfn.IFS(AND(H1308&gt;=0,H1308&lt;=3333),"Grupo 1",AND(H1308&gt;3333,H1308&lt;=6666),"Grupo 2",AND(H1308&gt;6666,H1308&lt;=10000),"Grupo 3")</f>
        <v>Grupo 1</v>
      </c>
    </row>
    <row r="1309" spans="1:17" x14ac:dyDescent="0.25">
      <c r="A1309" t="s">
        <v>119</v>
      </c>
      <c r="B1309" s="2">
        <v>45764.185416666667</v>
      </c>
      <c r="C1309" t="s">
        <v>281</v>
      </c>
      <c r="D1309" t="s">
        <v>219</v>
      </c>
      <c r="E1309">
        <v>5</v>
      </c>
      <c r="F1309">
        <v>1582.2</v>
      </c>
      <c r="G1309" t="s">
        <v>221</v>
      </c>
      <c r="H1309">
        <v>7911</v>
      </c>
      <c r="I1309">
        <v>2025</v>
      </c>
      <c r="J1309">
        <v>4</v>
      </c>
      <c r="K1309">
        <v>4</v>
      </c>
      <c r="L1309" s="14">
        <v>1582.2</v>
      </c>
      <c r="M1309" s="4" t="str">
        <f t="shared" si="80"/>
        <v>jueves</v>
      </c>
      <c r="N1309" s="4" t="str">
        <f t="shared" si="81"/>
        <v>abril</v>
      </c>
      <c r="O1309" s="4" t="str">
        <f t="shared" si="82"/>
        <v>SI</v>
      </c>
      <c r="P1309" s="4" t="str">
        <f t="shared" si="83"/>
        <v>SI</v>
      </c>
      <c r="Q1309" s="4" t="str" cm="1">
        <f t="array" ref="Q1309">_xlfn.IFS(AND(H1309&gt;=0,H1309&lt;=3333),"Grupo 1",AND(H1309&gt;3333,H1309&lt;=6666),"Grupo 2",AND(H1309&gt;6666,H1309&lt;=10000),"Grupo 3")</f>
        <v>Grupo 3</v>
      </c>
    </row>
    <row r="1310" spans="1:17" x14ac:dyDescent="0.25">
      <c r="A1310" t="s">
        <v>120</v>
      </c>
      <c r="B1310" s="2">
        <v>45240.82916666667</v>
      </c>
      <c r="C1310" t="s">
        <v>282</v>
      </c>
      <c r="D1310" t="s">
        <v>214</v>
      </c>
      <c r="E1310">
        <v>1</v>
      </c>
      <c r="F1310">
        <v>81.92</v>
      </c>
      <c r="G1310" t="s">
        <v>222</v>
      </c>
      <c r="H1310">
        <v>81.92</v>
      </c>
      <c r="I1310">
        <v>2023</v>
      </c>
      <c r="J1310">
        <v>11</v>
      </c>
      <c r="K1310">
        <v>19</v>
      </c>
      <c r="L1310" s="14">
        <v>81.92</v>
      </c>
      <c r="M1310" s="4" t="str">
        <f t="shared" si="80"/>
        <v>viernes</v>
      </c>
      <c r="N1310" s="4" t="str">
        <f t="shared" si="81"/>
        <v>noviembre</v>
      </c>
      <c r="O1310" s="4" t="str">
        <f t="shared" si="82"/>
        <v>NO</v>
      </c>
      <c r="P1310" s="4" t="str">
        <f t="shared" si="83"/>
        <v>NO</v>
      </c>
      <c r="Q1310" s="4" t="str" cm="1">
        <f t="array" ref="Q1310">_xlfn.IFS(AND(H1310&gt;=0,H1310&lt;=3333),"Grupo 1",AND(H1310&gt;3333,H1310&lt;=6666),"Grupo 2",AND(H1310&gt;6666,H1310&lt;=10000),"Grupo 3")</f>
        <v>Grupo 1</v>
      </c>
    </row>
    <row r="1311" spans="1:17" x14ac:dyDescent="0.25">
      <c r="A1311" t="s">
        <v>121</v>
      </c>
      <c r="B1311" s="2">
        <v>45634.470138888893</v>
      </c>
      <c r="C1311" t="s">
        <v>283</v>
      </c>
      <c r="D1311" t="s">
        <v>218</v>
      </c>
      <c r="E1311">
        <v>1</v>
      </c>
      <c r="F1311">
        <v>1153.31</v>
      </c>
      <c r="G1311" t="s">
        <v>221</v>
      </c>
      <c r="H1311">
        <v>1153.31</v>
      </c>
      <c r="I1311">
        <v>2024</v>
      </c>
      <c r="J1311">
        <v>12</v>
      </c>
      <c r="K1311">
        <v>11</v>
      </c>
      <c r="L1311" s="14">
        <v>1153.31</v>
      </c>
      <c r="M1311" s="4" t="str">
        <f t="shared" si="80"/>
        <v>domingo</v>
      </c>
      <c r="N1311" s="4" t="str">
        <f t="shared" si="81"/>
        <v>diciembre</v>
      </c>
      <c r="O1311" s="4" t="str">
        <f t="shared" si="82"/>
        <v>NO</v>
      </c>
      <c r="P1311" s="4" t="str">
        <f t="shared" si="83"/>
        <v>SI</v>
      </c>
      <c r="Q1311" s="4" t="str" cm="1">
        <f t="array" ref="Q1311">_xlfn.IFS(AND(H1311&gt;=0,H1311&lt;=3333),"Grupo 1",AND(H1311&gt;3333,H1311&lt;=6666),"Grupo 2",AND(H1311&gt;6666,H1311&lt;=10000),"Grupo 3")</f>
        <v>Grupo 1</v>
      </c>
    </row>
    <row r="1312" spans="1:17" x14ac:dyDescent="0.25">
      <c r="A1312" t="s">
        <v>122</v>
      </c>
      <c r="B1312" s="2">
        <v>45913.939583333333</v>
      </c>
      <c r="C1312" t="s">
        <v>284</v>
      </c>
      <c r="D1312" t="s">
        <v>218</v>
      </c>
      <c r="E1312">
        <v>3</v>
      </c>
      <c r="F1312">
        <v>1078.08</v>
      </c>
      <c r="G1312" t="s">
        <v>221</v>
      </c>
      <c r="H1312">
        <v>3234.24</v>
      </c>
      <c r="I1312">
        <v>2025</v>
      </c>
      <c r="J1312">
        <v>9</v>
      </c>
      <c r="K1312">
        <v>22</v>
      </c>
      <c r="L1312" s="14">
        <v>1078.08</v>
      </c>
      <c r="M1312" s="4" t="str">
        <f t="shared" si="80"/>
        <v>sábado</v>
      </c>
      <c r="N1312" s="4" t="str">
        <f t="shared" si="81"/>
        <v>septiembre</v>
      </c>
      <c r="O1312" s="4" t="str">
        <f t="shared" si="82"/>
        <v>SI</v>
      </c>
      <c r="P1312" s="4" t="str">
        <f t="shared" si="83"/>
        <v>SI</v>
      </c>
      <c r="Q1312" s="4" t="str" cm="1">
        <f t="array" ref="Q1312">_xlfn.IFS(AND(H1312&gt;=0,H1312&lt;=3333),"Grupo 1",AND(H1312&gt;3333,H1312&lt;=6666),"Grupo 2",AND(H1312&gt;6666,H1312&lt;=10000),"Grupo 3")</f>
        <v>Grupo 1</v>
      </c>
    </row>
    <row r="1313" spans="1:17" x14ac:dyDescent="0.25">
      <c r="A1313" t="s">
        <v>123</v>
      </c>
      <c r="B1313" s="2">
        <v>45526.149305555547</v>
      </c>
      <c r="C1313" t="s">
        <v>285</v>
      </c>
      <c r="D1313" t="s">
        <v>215</v>
      </c>
      <c r="E1313">
        <v>1</v>
      </c>
      <c r="F1313">
        <v>201.91</v>
      </c>
      <c r="G1313" t="s">
        <v>220</v>
      </c>
      <c r="H1313">
        <v>201.91</v>
      </c>
      <c r="I1313">
        <v>2024</v>
      </c>
      <c r="J1313">
        <v>8</v>
      </c>
      <c r="K1313">
        <v>3</v>
      </c>
      <c r="L1313" s="14">
        <v>201.91</v>
      </c>
      <c r="M1313" s="4" t="str">
        <f t="shared" si="80"/>
        <v>jueves</v>
      </c>
      <c r="N1313" s="4" t="str">
        <f t="shared" si="81"/>
        <v>agosto</v>
      </c>
      <c r="O1313" s="4" t="str">
        <f t="shared" si="82"/>
        <v>NO</v>
      </c>
      <c r="P1313" s="4" t="str">
        <f t="shared" si="83"/>
        <v>NO</v>
      </c>
      <c r="Q1313" s="4" t="str" cm="1">
        <f t="array" ref="Q1313">_xlfn.IFS(AND(H1313&gt;=0,H1313&lt;=3333),"Grupo 1",AND(H1313&gt;3333,H1313&lt;=6666),"Grupo 2",AND(H1313&gt;6666,H1313&lt;=10000),"Grupo 3")</f>
        <v>Grupo 1</v>
      </c>
    </row>
    <row r="1314" spans="1:17" x14ac:dyDescent="0.25">
      <c r="A1314" t="s">
        <v>124</v>
      </c>
      <c r="B1314" s="2">
        <v>45487.067361111112</v>
      </c>
      <c r="C1314" t="s">
        <v>286</v>
      </c>
      <c r="D1314" t="s">
        <v>216</v>
      </c>
      <c r="E1314">
        <v>3</v>
      </c>
      <c r="F1314">
        <v>727.36</v>
      </c>
      <c r="G1314" t="s">
        <v>221</v>
      </c>
      <c r="H1314">
        <v>2182.08</v>
      </c>
      <c r="I1314">
        <v>2024</v>
      </c>
      <c r="J1314">
        <v>7</v>
      </c>
      <c r="K1314">
        <v>1</v>
      </c>
      <c r="L1314" s="14">
        <v>727.36</v>
      </c>
      <c r="M1314" s="4" t="str">
        <f t="shared" si="80"/>
        <v>domingo</v>
      </c>
      <c r="N1314" s="4" t="str">
        <f t="shared" si="81"/>
        <v>julio</v>
      </c>
      <c r="O1314" s="4" t="str">
        <f t="shared" si="82"/>
        <v>NO</v>
      </c>
      <c r="P1314" s="4" t="str">
        <f t="shared" si="83"/>
        <v>NO</v>
      </c>
      <c r="Q1314" s="4" t="str" cm="1">
        <f t="array" ref="Q1314">_xlfn.IFS(AND(H1314&gt;=0,H1314&lt;=3333),"Grupo 1",AND(H1314&gt;3333,H1314&lt;=6666),"Grupo 2",AND(H1314&gt;6666,H1314&lt;=10000),"Grupo 3")</f>
        <v>Grupo 1</v>
      </c>
    </row>
    <row r="1315" spans="1:17" x14ac:dyDescent="0.25">
      <c r="A1315" t="s">
        <v>125</v>
      </c>
      <c r="B1315" s="2">
        <v>45281.986805555563</v>
      </c>
      <c r="C1315" t="s">
        <v>287</v>
      </c>
      <c r="D1315" t="s">
        <v>219</v>
      </c>
      <c r="E1315">
        <v>3</v>
      </c>
      <c r="F1315">
        <v>1645.43</v>
      </c>
      <c r="G1315" t="s">
        <v>221</v>
      </c>
      <c r="H1315">
        <v>4936.29</v>
      </c>
      <c r="I1315">
        <v>2023</v>
      </c>
      <c r="J1315">
        <v>12</v>
      </c>
      <c r="K1315">
        <v>23</v>
      </c>
      <c r="L1315" s="14">
        <v>1645.43</v>
      </c>
      <c r="M1315" s="4" t="str">
        <f t="shared" si="80"/>
        <v>jueves</v>
      </c>
      <c r="N1315" s="4" t="str">
        <f t="shared" si="81"/>
        <v>diciembre</v>
      </c>
      <c r="O1315" s="4" t="str">
        <f t="shared" si="82"/>
        <v>SI</v>
      </c>
      <c r="P1315" s="4" t="str">
        <f t="shared" si="83"/>
        <v>SI</v>
      </c>
      <c r="Q1315" s="4" t="str" cm="1">
        <f t="array" ref="Q1315">_xlfn.IFS(AND(H1315&gt;=0,H1315&lt;=3333),"Grupo 1",AND(H1315&gt;3333,H1315&lt;=6666),"Grupo 2",AND(H1315&gt;6666,H1315&lt;=10000),"Grupo 3")</f>
        <v>Grupo 2</v>
      </c>
    </row>
    <row r="1316" spans="1:17" x14ac:dyDescent="0.25">
      <c r="A1316" t="s">
        <v>126</v>
      </c>
      <c r="B1316" s="2">
        <v>45468.378472222219</v>
      </c>
      <c r="C1316" t="s">
        <v>288</v>
      </c>
      <c r="D1316" t="s">
        <v>217</v>
      </c>
      <c r="E1316">
        <v>3</v>
      </c>
      <c r="F1316">
        <v>420.05</v>
      </c>
      <c r="G1316" t="s">
        <v>220</v>
      </c>
      <c r="H1316">
        <v>1260.1500000000001</v>
      </c>
      <c r="I1316">
        <v>2024</v>
      </c>
      <c r="J1316">
        <v>6</v>
      </c>
      <c r="K1316">
        <v>9</v>
      </c>
      <c r="L1316" s="14">
        <v>420.05</v>
      </c>
      <c r="M1316" s="4" t="str">
        <f t="shared" si="80"/>
        <v>martes</v>
      </c>
      <c r="N1316" s="4" t="str">
        <f t="shared" si="81"/>
        <v>junio</v>
      </c>
      <c r="O1316" s="4" t="str">
        <f t="shared" si="82"/>
        <v>NO</v>
      </c>
      <c r="P1316" s="4" t="str">
        <f t="shared" si="83"/>
        <v>NO</v>
      </c>
      <c r="Q1316" s="4" t="str" cm="1">
        <f t="array" ref="Q1316">_xlfn.IFS(AND(H1316&gt;=0,H1316&lt;=3333),"Grupo 1",AND(H1316&gt;3333,H1316&lt;=6666),"Grupo 2",AND(H1316&gt;6666,H1316&lt;=10000),"Grupo 3")</f>
        <v>Grupo 1</v>
      </c>
    </row>
    <row r="1317" spans="1:17" x14ac:dyDescent="0.25">
      <c r="A1317" t="s">
        <v>127</v>
      </c>
      <c r="B1317" s="2">
        <v>45529.436805555553</v>
      </c>
      <c r="C1317" t="s">
        <v>289</v>
      </c>
      <c r="D1317" t="s">
        <v>214</v>
      </c>
      <c r="E1317">
        <v>4</v>
      </c>
      <c r="F1317">
        <v>496.9</v>
      </c>
      <c r="G1317" t="s">
        <v>222</v>
      </c>
      <c r="H1317">
        <v>1987.6</v>
      </c>
      <c r="I1317">
        <v>2024</v>
      </c>
      <c r="J1317">
        <v>8</v>
      </c>
      <c r="K1317">
        <v>10</v>
      </c>
      <c r="L1317" s="14">
        <v>496.9</v>
      </c>
      <c r="M1317" s="4" t="str">
        <f t="shared" si="80"/>
        <v>domingo</v>
      </c>
      <c r="N1317" s="4" t="str">
        <f t="shared" si="81"/>
        <v>agosto</v>
      </c>
      <c r="O1317" s="4" t="str">
        <f t="shared" si="82"/>
        <v>NO</v>
      </c>
      <c r="P1317" s="4" t="str">
        <f t="shared" si="83"/>
        <v>NO</v>
      </c>
      <c r="Q1317" s="4" t="str" cm="1">
        <f t="array" ref="Q1317">_xlfn.IFS(AND(H1317&gt;=0,H1317&lt;=3333),"Grupo 1",AND(H1317&gt;3333,H1317&lt;=6666),"Grupo 2",AND(H1317&gt;6666,H1317&lt;=10000),"Grupo 3")</f>
        <v>Grupo 1</v>
      </c>
    </row>
    <row r="1318" spans="1:17" x14ac:dyDescent="0.25">
      <c r="A1318" t="s">
        <v>128</v>
      </c>
      <c r="B1318" s="2">
        <v>44961.01666666667</v>
      </c>
      <c r="C1318" t="s">
        <v>290</v>
      </c>
      <c r="D1318" t="s">
        <v>213</v>
      </c>
      <c r="E1318">
        <v>2</v>
      </c>
      <c r="F1318">
        <v>721.56</v>
      </c>
      <c r="G1318" t="s">
        <v>221</v>
      </c>
      <c r="H1318">
        <v>1443.12</v>
      </c>
      <c r="I1318">
        <v>2023</v>
      </c>
      <c r="J1318">
        <v>2</v>
      </c>
      <c r="K1318">
        <v>0</v>
      </c>
      <c r="L1318" s="14">
        <v>721.56</v>
      </c>
      <c r="M1318" s="4" t="str">
        <f t="shared" si="80"/>
        <v>sábado</v>
      </c>
      <c r="N1318" s="4" t="str">
        <f t="shared" si="81"/>
        <v>febrero</v>
      </c>
      <c r="O1318" s="4" t="str">
        <f t="shared" si="82"/>
        <v>NO</v>
      </c>
      <c r="P1318" s="4" t="str">
        <f t="shared" si="83"/>
        <v>NO</v>
      </c>
      <c r="Q1318" s="4" t="str" cm="1">
        <f t="array" ref="Q1318">_xlfn.IFS(AND(H1318&gt;=0,H1318&lt;=3333),"Grupo 1",AND(H1318&gt;3333,H1318&lt;=6666),"Grupo 2",AND(H1318&gt;6666,H1318&lt;=10000),"Grupo 3")</f>
        <v>Grupo 1</v>
      </c>
    </row>
    <row r="1319" spans="1:17" x14ac:dyDescent="0.25">
      <c r="A1319" t="s">
        <v>129</v>
      </c>
      <c r="B1319" s="2">
        <v>45041.746527777781</v>
      </c>
      <c r="C1319" t="s">
        <v>291</v>
      </c>
      <c r="D1319" t="s">
        <v>219</v>
      </c>
      <c r="E1319">
        <v>4</v>
      </c>
      <c r="F1319">
        <v>1353.9</v>
      </c>
      <c r="G1319" t="s">
        <v>221</v>
      </c>
      <c r="H1319">
        <v>5415.6</v>
      </c>
      <c r="I1319">
        <v>2023</v>
      </c>
      <c r="J1319">
        <v>4</v>
      </c>
      <c r="K1319">
        <v>17</v>
      </c>
      <c r="L1319" s="14">
        <v>1353.9</v>
      </c>
      <c r="M1319" s="4" t="str">
        <f t="shared" si="80"/>
        <v>martes</v>
      </c>
      <c r="N1319" s="4" t="str">
        <f t="shared" si="81"/>
        <v>abril</v>
      </c>
      <c r="O1319" s="4" t="str">
        <f t="shared" si="82"/>
        <v>SI</v>
      </c>
      <c r="P1319" s="4" t="str">
        <f t="shared" si="83"/>
        <v>SI</v>
      </c>
      <c r="Q1319" s="4" t="str" cm="1">
        <f t="array" ref="Q1319">_xlfn.IFS(AND(H1319&gt;=0,H1319&lt;=3333),"Grupo 1",AND(H1319&gt;3333,H1319&lt;=6666),"Grupo 2",AND(H1319&gt;6666,H1319&lt;=10000),"Grupo 3")</f>
        <v>Grupo 2</v>
      </c>
    </row>
    <row r="1320" spans="1:17" x14ac:dyDescent="0.25">
      <c r="A1320" t="s">
        <v>130</v>
      </c>
      <c r="B1320" s="2">
        <v>45400.756249999999</v>
      </c>
      <c r="C1320" t="s">
        <v>292</v>
      </c>
      <c r="D1320" t="s">
        <v>215</v>
      </c>
      <c r="E1320">
        <v>2</v>
      </c>
      <c r="F1320">
        <v>429.52</v>
      </c>
      <c r="G1320" t="s">
        <v>220</v>
      </c>
      <c r="H1320">
        <v>859.04</v>
      </c>
      <c r="I1320">
        <v>2024</v>
      </c>
      <c r="J1320">
        <v>4</v>
      </c>
      <c r="K1320">
        <v>18</v>
      </c>
      <c r="L1320" s="14">
        <v>429.52</v>
      </c>
      <c r="M1320" s="4" t="str">
        <f t="shared" si="80"/>
        <v>jueves</v>
      </c>
      <c r="N1320" s="4" t="str">
        <f t="shared" si="81"/>
        <v>abril</v>
      </c>
      <c r="O1320" s="4" t="str">
        <f t="shared" si="82"/>
        <v>NO</v>
      </c>
      <c r="P1320" s="4" t="str">
        <f t="shared" si="83"/>
        <v>NO</v>
      </c>
      <c r="Q1320" s="4" t="str" cm="1">
        <f t="array" ref="Q1320">_xlfn.IFS(AND(H1320&gt;=0,H1320&lt;=3333),"Grupo 1",AND(H1320&gt;3333,H1320&lt;=6666),"Grupo 2",AND(H1320&gt;6666,H1320&lt;=10000),"Grupo 3")</f>
        <v>Grupo 1</v>
      </c>
    </row>
    <row r="1321" spans="1:17" x14ac:dyDescent="0.25">
      <c r="A1321" t="s">
        <v>131</v>
      </c>
      <c r="B1321" s="2">
        <v>45465.772916666669</v>
      </c>
      <c r="C1321" t="s">
        <v>293</v>
      </c>
      <c r="D1321" t="s">
        <v>214</v>
      </c>
      <c r="E1321">
        <v>2</v>
      </c>
      <c r="F1321">
        <v>1824.96</v>
      </c>
      <c r="G1321" t="s">
        <v>222</v>
      </c>
      <c r="H1321">
        <v>3649.92</v>
      </c>
      <c r="I1321">
        <v>2024</v>
      </c>
      <c r="J1321">
        <v>6</v>
      </c>
      <c r="K1321">
        <v>18</v>
      </c>
      <c r="L1321" s="14">
        <v>1824.96</v>
      </c>
      <c r="M1321" s="4" t="str">
        <f t="shared" si="80"/>
        <v>sábado</v>
      </c>
      <c r="N1321" s="4" t="str">
        <f t="shared" si="81"/>
        <v>junio</v>
      </c>
      <c r="O1321" s="4" t="str">
        <f t="shared" si="82"/>
        <v>SI</v>
      </c>
      <c r="P1321" s="4" t="str">
        <f t="shared" si="83"/>
        <v>SI</v>
      </c>
      <c r="Q1321" s="4" t="str" cm="1">
        <f t="array" ref="Q1321">_xlfn.IFS(AND(H1321&gt;=0,H1321&lt;=3333),"Grupo 1",AND(H1321&gt;3333,H1321&lt;=6666),"Grupo 2",AND(H1321&gt;6666,H1321&lt;=10000),"Grupo 3")</f>
        <v>Grupo 2</v>
      </c>
    </row>
    <row r="1322" spans="1:17" x14ac:dyDescent="0.25">
      <c r="A1322" t="s">
        <v>132</v>
      </c>
      <c r="B1322" s="2">
        <v>45316.202777777777</v>
      </c>
      <c r="C1322" t="s">
        <v>294</v>
      </c>
      <c r="D1322" t="s">
        <v>218</v>
      </c>
      <c r="E1322">
        <v>5</v>
      </c>
      <c r="F1322">
        <v>1059.81</v>
      </c>
      <c r="G1322" t="s">
        <v>221</v>
      </c>
      <c r="H1322">
        <v>5299.0499999999993</v>
      </c>
      <c r="I1322">
        <v>2024</v>
      </c>
      <c r="J1322">
        <v>1</v>
      </c>
      <c r="K1322">
        <v>4</v>
      </c>
      <c r="L1322" s="14">
        <v>1059.81</v>
      </c>
      <c r="M1322" s="4" t="str">
        <f t="shared" si="80"/>
        <v>jueves</v>
      </c>
      <c r="N1322" s="4" t="str">
        <f t="shared" si="81"/>
        <v>enero</v>
      </c>
      <c r="O1322" s="4" t="str">
        <f t="shared" si="82"/>
        <v>SI</v>
      </c>
      <c r="P1322" s="4" t="str">
        <f t="shared" si="83"/>
        <v>SI</v>
      </c>
      <c r="Q1322" s="4" t="str" cm="1">
        <f t="array" ref="Q1322">_xlfn.IFS(AND(H1322&gt;=0,H1322&lt;=3333),"Grupo 1",AND(H1322&gt;3333,H1322&lt;=6666),"Grupo 2",AND(H1322&gt;6666,H1322&lt;=10000),"Grupo 3")</f>
        <v>Grupo 2</v>
      </c>
    </row>
    <row r="1323" spans="1:17" x14ac:dyDescent="0.25">
      <c r="A1323" t="s">
        <v>133</v>
      </c>
      <c r="B1323" s="2">
        <v>45118.634722222218</v>
      </c>
      <c r="C1323" t="s">
        <v>295</v>
      </c>
      <c r="D1323" t="s">
        <v>214</v>
      </c>
      <c r="E1323">
        <v>4</v>
      </c>
      <c r="F1323">
        <v>46.39</v>
      </c>
      <c r="G1323" t="s">
        <v>222</v>
      </c>
      <c r="H1323">
        <v>185.56</v>
      </c>
      <c r="I1323">
        <v>2023</v>
      </c>
      <c r="J1323">
        <v>7</v>
      </c>
      <c r="K1323">
        <v>15</v>
      </c>
      <c r="L1323" s="14">
        <v>46.39</v>
      </c>
      <c r="M1323" s="4" t="str">
        <f t="shared" si="80"/>
        <v>martes</v>
      </c>
      <c r="N1323" s="4" t="str">
        <f t="shared" si="81"/>
        <v>julio</v>
      </c>
      <c r="O1323" s="4" t="str">
        <f t="shared" si="82"/>
        <v>NO</v>
      </c>
      <c r="P1323" s="4" t="str">
        <f t="shared" si="83"/>
        <v>NO</v>
      </c>
      <c r="Q1323" s="4" t="str" cm="1">
        <f t="array" ref="Q1323">_xlfn.IFS(AND(H1323&gt;=0,H1323&lt;=3333),"Grupo 1",AND(H1323&gt;3333,H1323&lt;=6666),"Grupo 2",AND(H1323&gt;6666,H1323&lt;=10000),"Grupo 3")</f>
        <v>Grupo 1</v>
      </c>
    </row>
    <row r="1324" spans="1:17" x14ac:dyDescent="0.25">
      <c r="A1324" t="s">
        <v>134</v>
      </c>
      <c r="B1324" s="2">
        <v>45232.75</v>
      </c>
      <c r="C1324" t="s">
        <v>296</v>
      </c>
      <c r="D1324" t="s">
        <v>217</v>
      </c>
      <c r="E1324">
        <v>1</v>
      </c>
      <c r="F1324">
        <v>754.07</v>
      </c>
      <c r="G1324" t="s">
        <v>220</v>
      </c>
      <c r="H1324">
        <v>754.07</v>
      </c>
      <c r="I1324">
        <v>2023</v>
      </c>
      <c r="J1324">
        <v>11</v>
      </c>
      <c r="K1324">
        <v>18</v>
      </c>
      <c r="L1324" s="14">
        <v>754.07</v>
      </c>
      <c r="M1324" s="4" t="str">
        <f t="shared" si="80"/>
        <v>jueves</v>
      </c>
      <c r="N1324" s="4" t="str">
        <f t="shared" si="81"/>
        <v>noviembre</v>
      </c>
      <c r="O1324" s="4" t="str">
        <f t="shared" si="82"/>
        <v>NO</v>
      </c>
      <c r="P1324" s="4" t="str">
        <f t="shared" si="83"/>
        <v>NO</v>
      </c>
      <c r="Q1324" s="4" t="str" cm="1">
        <f t="array" ref="Q1324">_xlfn.IFS(AND(H1324&gt;=0,H1324&lt;=3333),"Grupo 1",AND(H1324&gt;3333,H1324&lt;=6666),"Grupo 2",AND(H1324&gt;6666,H1324&lt;=10000),"Grupo 3")</f>
        <v>Grupo 1</v>
      </c>
    </row>
    <row r="1325" spans="1:17" x14ac:dyDescent="0.25">
      <c r="A1325" t="s">
        <v>135</v>
      </c>
      <c r="B1325" s="2">
        <v>45745.421527777777</v>
      </c>
      <c r="C1325" t="s">
        <v>297</v>
      </c>
      <c r="D1325" t="s">
        <v>219</v>
      </c>
      <c r="E1325">
        <v>1</v>
      </c>
      <c r="F1325">
        <v>1681.02</v>
      </c>
      <c r="G1325" t="s">
        <v>221</v>
      </c>
      <c r="H1325">
        <v>1681.02</v>
      </c>
      <c r="I1325">
        <v>2025</v>
      </c>
      <c r="J1325">
        <v>3</v>
      </c>
      <c r="K1325">
        <v>10</v>
      </c>
      <c r="L1325" s="14">
        <v>1681.02</v>
      </c>
      <c r="M1325" s="4" t="str">
        <f t="shared" si="80"/>
        <v>sábado</v>
      </c>
      <c r="N1325" s="4" t="str">
        <f t="shared" si="81"/>
        <v>marzo</v>
      </c>
      <c r="O1325" s="4" t="str">
        <f t="shared" si="82"/>
        <v>NO</v>
      </c>
      <c r="P1325" s="4" t="str">
        <f t="shared" si="83"/>
        <v>SI</v>
      </c>
      <c r="Q1325" s="4" t="str" cm="1">
        <f t="array" ref="Q1325">_xlfn.IFS(AND(H1325&gt;=0,H1325&lt;=3333),"Grupo 1",AND(H1325&gt;3333,H1325&lt;=6666),"Grupo 2",AND(H1325&gt;6666,H1325&lt;=10000),"Grupo 3")</f>
        <v>Grupo 1</v>
      </c>
    </row>
    <row r="1326" spans="1:17" x14ac:dyDescent="0.25">
      <c r="A1326" t="s">
        <v>136</v>
      </c>
      <c r="B1326" s="2">
        <v>45802.370833333327</v>
      </c>
      <c r="C1326" t="s">
        <v>298</v>
      </c>
      <c r="D1326" t="s">
        <v>212</v>
      </c>
      <c r="E1326">
        <v>2</v>
      </c>
      <c r="F1326">
        <v>1198.72</v>
      </c>
      <c r="G1326" t="s">
        <v>220</v>
      </c>
      <c r="H1326">
        <v>2397.44</v>
      </c>
      <c r="I1326">
        <v>2025</v>
      </c>
      <c r="J1326">
        <v>5</v>
      </c>
      <c r="K1326">
        <v>8</v>
      </c>
      <c r="L1326" s="14">
        <v>1198.72</v>
      </c>
      <c r="M1326" s="4" t="str">
        <f t="shared" si="80"/>
        <v>domingo</v>
      </c>
      <c r="N1326" s="4" t="str">
        <f t="shared" si="81"/>
        <v>mayo</v>
      </c>
      <c r="O1326" s="4" t="str">
        <f t="shared" si="82"/>
        <v>NO</v>
      </c>
      <c r="P1326" s="4" t="str">
        <f t="shared" si="83"/>
        <v>SI</v>
      </c>
      <c r="Q1326" s="4" t="str" cm="1">
        <f t="array" ref="Q1326">_xlfn.IFS(AND(H1326&gt;=0,H1326&lt;=3333),"Grupo 1",AND(H1326&gt;3333,H1326&lt;=6666),"Grupo 2",AND(H1326&gt;6666,H1326&lt;=10000),"Grupo 3")</f>
        <v>Grupo 1</v>
      </c>
    </row>
    <row r="1327" spans="1:17" x14ac:dyDescent="0.25">
      <c r="A1327" t="s">
        <v>137</v>
      </c>
      <c r="B1327" s="2">
        <v>45249.604861111111</v>
      </c>
      <c r="C1327" t="s">
        <v>299</v>
      </c>
      <c r="D1327" t="s">
        <v>219</v>
      </c>
      <c r="E1327">
        <v>2</v>
      </c>
      <c r="F1327">
        <v>1040.2</v>
      </c>
      <c r="G1327" t="s">
        <v>221</v>
      </c>
      <c r="H1327">
        <v>2080.4</v>
      </c>
      <c r="I1327">
        <v>2023</v>
      </c>
      <c r="J1327">
        <v>11</v>
      </c>
      <c r="K1327">
        <v>14</v>
      </c>
      <c r="L1327" s="14">
        <v>1040.2</v>
      </c>
      <c r="M1327" s="4" t="str">
        <f t="shared" si="80"/>
        <v>domingo</v>
      </c>
      <c r="N1327" s="4" t="str">
        <f t="shared" si="81"/>
        <v>noviembre</v>
      </c>
      <c r="O1327" s="4" t="str">
        <f t="shared" si="82"/>
        <v>NO</v>
      </c>
      <c r="P1327" s="4" t="str">
        <f t="shared" si="83"/>
        <v>SI</v>
      </c>
      <c r="Q1327" s="4" t="str" cm="1">
        <f t="array" ref="Q1327">_xlfn.IFS(AND(H1327&gt;=0,H1327&lt;=3333),"Grupo 1",AND(H1327&gt;3333,H1327&lt;=6666),"Grupo 2",AND(H1327&gt;6666,H1327&lt;=10000),"Grupo 3")</f>
        <v>Grupo 1</v>
      </c>
    </row>
    <row r="1328" spans="1:17" x14ac:dyDescent="0.25">
      <c r="A1328" t="s">
        <v>138</v>
      </c>
      <c r="B1328" s="2">
        <v>45854.013194444437</v>
      </c>
      <c r="C1328" t="s">
        <v>300</v>
      </c>
      <c r="D1328" t="s">
        <v>213</v>
      </c>
      <c r="E1328">
        <v>3</v>
      </c>
      <c r="F1328">
        <v>107.53</v>
      </c>
      <c r="G1328" t="s">
        <v>221</v>
      </c>
      <c r="H1328">
        <v>322.58999999999997</v>
      </c>
      <c r="I1328">
        <v>2025</v>
      </c>
      <c r="J1328">
        <v>7</v>
      </c>
      <c r="K1328">
        <v>0</v>
      </c>
      <c r="L1328" s="14">
        <v>107.53</v>
      </c>
      <c r="M1328" s="4" t="str">
        <f t="shared" si="80"/>
        <v>miércoles</v>
      </c>
      <c r="N1328" s="4" t="str">
        <f t="shared" si="81"/>
        <v>julio</v>
      </c>
      <c r="O1328" s="4" t="str">
        <f t="shared" si="82"/>
        <v>NO</v>
      </c>
      <c r="P1328" s="4" t="str">
        <f t="shared" si="83"/>
        <v>NO</v>
      </c>
      <c r="Q1328" s="4" t="str" cm="1">
        <f t="array" ref="Q1328">_xlfn.IFS(AND(H1328&gt;=0,H1328&lt;=3333),"Grupo 1",AND(H1328&gt;3333,H1328&lt;=6666),"Grupo 2",AND(H1328&gt;6666,H1328&lt;=10000),"Grupo 3")</f>
        <v>Grupo 1</v>
      </c>
    </row>
    <row r="1329" spans="1:17" x14ac:dyDescent="0.25">
      <c r="A1329" t="s">
        <v>139</v>
      </c>
      <c r="B1329" s="2">
        <v>45828.018055555563</v>
      </c>
      <c r="C1329" t="s">
        <v>301</v>
      </c>
      <c r="D1329" t="s">
        <v>215</v>
      </c>
      <c r="E1329">
        <v>4</v>
      </c>
      <c r="F1329">
        <v>380.66</v>
      </c>
      <c r="G1329" t="s">
        <v>220</v>
      </c>
      <c r="H1329">
        <v>1522.64</v>
      </c>
      <c r="I1329">
        <v>2025</v>
      </c>
      <c r="J1329">
        <v>6</v>
      </c>
      <c r="K1329">
        <v>0</v>
      </c>
      <c r="L1329" s="14">
        <v>380.66</v>
      </c>
      <c r="M1329" s="4" t="str">
        <f t="shared" si="80"/>
        <v>viernes</v>
      </c>
      <c r="N1329" s="4" t="str">
        <f t="shared" si="81"/>
        <v>junio</v>
      </c>
      <c r="O1329" s="4" t="str">
        <f t="shared" si="82"/>
        <v>NO</v>
      </c>
      <c r="P1329" s="4" t="str">
        <f t="shared" si="83"/>
        <v>NO</v>
      </c>
      <c r="Q1329" s="4" t="str" cm="1">
        <f t="array" ref="Q1329">_xlfn.IFS(AND(H1329&gt;=0,H1329&lt;=3333),"Grupo 1",AND(H1329&gt;3333,H1329&lt;=6666),"Grupo 2",AND(H1329&gt;6666,H1329&lt;=10000),"Grupo 3")</f>
        <v>Grupo 1</v>
      </c>
    </row>
    <row r="1330" spans="1:17" x14ac:dyDescent="0.25">
      <c r="A1330" t="s">
        <v>140</v>
      </c>
      <c r="B1330" s="2">
        <v>45673.40902777778</v>
      </c>
      <c r="C1330" t="s">
        <v>302</v>
      </c>
      <c r="D1330" t="s">
        <v>212</v>
      </c>
      <c r="E1330">
        <v>2</v>
      </c>
      <c r="F1330">
        <v>700.11</v>
      </c>
      <c r="G1330" t="s">
        <v>220</v>
      </c>
      <c r="H1330">
        <v>1400.22</v>
      </c>
      <c r="I1330">
        <v>2025</v>
      </c>
      <c r="J1330">
        <v>1</v>
      </c>
      <c r="K1330">
        <v>9</v>
      </c>
      <c r="L1330" s="14">
        <v>700.11</v>
      </c>
      <c r="M1330" s="4" t="str">
        <f t="shared" si="80"/>
        <v>jueves</v>
      </c>
      <c r="N1330" s="4" t="str">
        <f t="shared" si="81"/>
        <v>enero</v>
      </c>
      <c r="O1330" s="4" t="str">
        <f t="shared" si="82"/>
        <v>NO</v>
      </c>
      <c r="P1330" s="4" t="str">
        <f t="shared" si="83"/>
        <v>NO</v>
      </c>
      <c r="Q1330" s="4" t="str" cm="1">
        <f t="array" ref="Q1330">_xlfn.IFS(AND(H1330&gt;=0,H1330&lt;=3333),"Grupo 1",AND(H1330&gt;3333,H1330&lt;=6666),"Grupo 2",AND(H1330&gt;6666,H1330&lt;=10000),"Grupo 3")</f>
        <v>Grupo 1</v>
      </c>
    </row>
    <row r="1331" spans="1:17" x14ac:dyDescent="0.25">
      <c r="A1331" t="s">
        <v>141</v>
      </c>
      <c r="B1331" s="2">
        <v>44932.951388888891</v>
      </c>
      <c r="C1331" t="s">
        <v>303</v>
      </c>
      <c r="D1331" t="s">
        <v>215</v>
      </c>
      <c r="E1331">
        <v>5</v>
      </c>
      <c r="F1331">
        <v>358.48</v>
      </c>
      <c r="G1331" t="s">
        <v>220</v>
      </c>
      <c r="H1331">
        <v>1792.4</v>
      </c>
      <c r="I1331">
        <v>2023</v>
      </c>
      <c r="J1331">
        <v>1</v>
      </c>
      <c r="K1331">
        <v>22</v>
      </c>
      <c r="L1331" s="14">
        <v>358.48</v>
      </c>
      <c r="M1331" s="4" t="str">
        <f t="shared" si="80"/>
        <v>viernes</v>
      </c>
      <c r="N1331" s="4" t="str">
        <f t="shared" si="81"/>
        <v>enero</v>
      </c>
      <c r="O1331" s="4" t="str">
        <f t="shared" si="82"/>
        <v>NO</v>
      </c>
      <c r="P1331" s="4" t="str">
        <f t="shared" si="83"/>
        <v>NO</v>
      </c>
      <c r="Q1331" s="4" t="str" cm="1">
        <f t="array" ref="Q1331">_xlfn.IFS(AND(H1331&gt;=0,H1331&lt;=3333),"Grupo 1",AND(H1331&gt;3333,H1331&lt;=6666),"Grupo 2",AND(H1331&gt;6666,H1331&lt;=10000),"Grupo 3")</f>
        <v>Grupo 1</v>
      </c>
    </row>
    <row r="1332" spans="1:17" x14ac:dyDescent="0.25">
      <c r="A1332" t="s">
        <v>142</v>
      </c>
      <c r="B1332" s="2">
        <v>45381.871527777781</v>
      </c>
      <c r="C1332" t="s">
        <v>304</v>
      </c>
      <c r="D1332" t="s">
        <v>214</v>
      </c>
      <c r="E1332">
        <v>4</v>
      </c>
      <c r="F1332">
        <v>746.6</v>
      </c>
      <c r="G1332" t="s">
        <v>222</v>
      </c>
      <c r="H1332">
        <v>2986.4</v>
      </c>
      <c r="I1332">
        <v>2024</v>
      </c>
      <c r="J1332">
        <v>3</v>
      </c>
      <c r="K1332">
        <v>20</v>
      </c>
      <c r="L1332" s="14">
        <v>746.6</v>
      </c>
      <c r="M1332" s="4" t="str">
        <f t="shared" si="80"/>
        <v>sábado</v>
      </c>
      <c r="N1332" s="4" t="str">
        <f t="shared" si="81"/>
        <v>marzo</v>
      </c>
      <c r="O1332" s="4" t="str">
        <f t="shared" si="82"/>
        <v>SI</v>
      </c>
      <c r="P1332" s="4" t="str">
        <f t="shared" si="83"/>
        <v>NO</v>
      </c>
      <c r="Q1332" s="4" t="str" cm="1">
        <f t="array" ref="Q1332">_xlfn.IFS(AND(H1332&gt;=0,H1332&lt;=3333),"Grupo 1",AND(H1332&gt;3333,H1332&lt;=6666),"Grupo 2",AND(H1332&gt;6666,H1332&lt;=10000),"Grupo 3")</f>
        <v>Grupo 1</v>
      </c>
    </row>
    <row r="1333" spans="1:17" x14ac:dyDescent="0.25">
      <c r="A1333" t="s">
        <v>143</v>
      </c>
      <c r="B1333" s="2">
        <v>45450.97152777778</v>
      </c>
      <c r="C1333" t="s">
        <v>305</v>
      </c>
      <c r="D1333" t="s">
        <v>217</v>
      </c>
      <c r="E1333">
        <v>1</v>
      </c>
      <c r="F1333">
        <v>751.43</v>
      </c>
      <c r="G1333" t="s">
        <v>220</v>
      </c>
      <c r="H1333">
        <v>751.43</v>
      </c>
      <c r="I1333">
        <v>2024</v>
      </c>
      <c r="J1333">
        <v>6</v>
      </c>
      <c r="K1333">
        <v>23</v>
      </c>
      <c r="L1333" s="14">
        <v>751.43</v>
      </c>
      <c r="M1333" s="4" t="str">
        <f t="shared" si="80"/>
        <v>viernes</v>
      </c>
      <c r="N1333" s="4" t="str">
        <f t="shared" si="81"/>
        <v>junio</v>
      </c>
      <c r="O1333" s="4" t="str">
        <f t="shared" si="82"/>
        <v>NO</v>
      </c>
      <c r="P1333" s="4" t="str">
        <f t="shared" si="83"/>
        <v>NO</v>
      </c>
      <c r="Q1333" s="4" t="str" cm="1">
        <f t="array" ref="Q1333">_xlfn.IFS(AND(H1333&gt;=0,H1333&lt;=3333),"Grupo 1",AND(H1333&gt;3333,H1333&lt;=6666),"Grupo 2",AND(H1333&gt;6666,H1333&lt;=10000),"Grupo 3")</f>
        <v>Grupo 1</v>
      </c>
    </row>
    <row r="1334" spans="1:17" x14ac:dyDescent="0.25">
      <c r="A1334" t="s">
        <v>144</v>
      </c>
      <c r="B1334" s="2">
        <v>45122.813888888893</v>
      </c>
      <c r="C1334" t="s">
        <v>306</v>
      </c>
      <c r="D1334" t="s">
        <v>218</v>
      </c>
      <c r="E1334">
        <v>5</v>
      </c>
      <c r="F1334">
        <v>1109.08</v>
      </c>
      <c r="G1334" t="s">
        <v>221</v>
      </c>
      <c r="H1334">
        <v>5545.4</v>
      </c>
      <c r="I1334">
        <v>2023</v>
      </c>
      <c r="J1334">
        <v>7</v>
      </c>
      <c r="K1334">
        <v>19</v>
      </c>
      <c r="L1334" s="14">
        <v>1109.08</v>
      </c>
      <c r="M1334" s="4" t="str">
        <f t="shared" si="80"/>
        <v>sábado</v>
      </c>
      <c r="N1334" s="4" t="str">
        <f t="shared" si="81"/>
        <v>julio</v>
      </c>
      <c r="O1334" s="4" t="str">
        <f t="shared" si="82"/>
        <v>SI</v>
      </c>
      <c r="P1334" s="4" t="str">
        <f t="shared" si="83"/>
        <v>SI</v>
      </c>
      <c r="Q1334" s="4" t="str" cm="1">
        <f t="array" ref="Q1334">_xlfn.IFS(AND(H1334&gt;=0,H1334&lt;=3333),"Grupo 1",AND(H1334&gt;3333,H1334&lt;=6666),"Grupo 2",AND(H1334&gt;6666,H1334&lt;=10000),"Grupo 3")</f>
        <v>Grupo 2</v>
      </c>
    </row>
    <row r="1335" spans="1:17" x14ac:dyDescent="0.25">
      <c r="A1335" t="s">
        <v>145</v>
      </c>
      <c r="B1335" s="2">
        <v>45329.842361111107</v>
      </c>
      <c r="C1335" t="s">
        <v>307</v>
      </c>
      <c r="D1335" t="s">
        <v>212</v>
      </c>
      <c r="E1335">
        <v>5</v>
      </c>
      <c r="F1335">
        <v>642.74</v>
      </c>
      <c r="G1335" t="s">
        <v>220</v>
      </c>
      <c r="H1335">
        <v>3213.7</v>
      </c>
      <c r="I1335">
        <v>2024</v>
      </c>
      <c r="J1335">
        <v>2</v>
      </c>
      <c r="K1335">
        <v>20</v>
      </c>
      <c r="L1335" s="14">
        <v>642.74</v>
      </c>
      <c r="M1335" s="4" t="str">
        <f t="shared" si="80"/>
        <v>miércoles</v>
      </c>
      <c r="N1335" s="4" t="str">
        <f t="shared" si="81"/>
        <v>febrero</v>
      </c>
      <c r="O1335" s="4" t="str">
        <f t="shared" si="82"/>
        <v>SI</v>
      </c>
      <c r="P1335" s="4" t="str">
        <f t="shared" si="83"/>
        <v>NO</v>
      </c>
      <c r="Q1335" s="4" t="str" cm="1">
        <f t="array" ref="Q1335">_xlfn.IFS(AND(H1335&gt;=0,H1335&lt;=3333),"Grupo 1",AND(H1335&gt;3333,H1335&lt;=6666),"Grupo 2",AND(H1335&gt;6666,H1335&lt;=10000),"Grupo 3")</f>
        <v>Grupo 1</v>
      </c>
    </row>
    <row r="1336" spans="1:17" x14ac:dyDescent="0.25">
      <c r="A1336" t="s">
        <v>146</v>
      </c>
      <c r="B1336" s="2">
        <v>45615.539583333331</v>
      </c>
      <c r="C1336" t="s">
        <v>308</v>
      </c>
      <c r="D1336" t="s">
        <v>219</v>
      </c>
      <c r="E1336">
        <v>5</v>
      </c>
      <c r="F1336">
        <v>245.73</v>
      </c>
      <c r="G1336" t="s">
        <v>221</v>
      </c>
      <c r="H1336">
        <v>1228.6500000000001</v>
      </c>
      <c r="I1336">
        <v>2024</v>
      </c>
      <c r="J1336">
        <v>11</v>
      </c>
      <c r="K1336">
        <v>12</v>
      </c>
      <c r="L1336" s="14">
        <v>245.73</v>
      </c>
      <c r="M1336" s="4" t="str">
        <f t="shared" si="80"/>
        <v>martes</v>
      </c>
      <c r="N1336" s="4" t="str">
        <f t="shared" si="81"/>
        <v>noviembre</v>
      </c>
      <c r="O1336" s="4" t="str">
        <f t="shared" si="82"/>
        <v>NO</v>
      </c>
      <c r="P1336" s="4" t="str">
        <f t="shared" si="83"/>
        <v>NO</v>
      </c>
      <c r="Q1336" s="4" t="str" cm="1">
        <f t="array" ref="Q1336">_xlfn.IFS(AND(H1336&gt;=0,H1336&lt;=3333),"Grupo 1",AND(H1336&gt;3333,H1336&lt;=6666),"Grupo 2",AND(H1336&gt;6666,H1336&lt;=10000),"Grupo 3")</f>
        <v>Grupo 1</v>
      </c>
    </row>
    <row r="1337" spans="1:17" x14ac:dyDescent="0.25">
      <c r="A1337" t="s">
        <v>147</v>
      </c>
      <c r="B1337" s="2">
        <v>45222.775694444441</v>
      </c>
      <c r="C1337" t="s">
        <v>309</v>
      </c>
      <c r="D1337" t="s">
        <v>216</v>
      </c>
      <c r="E1337">
        <v>3</v>
      </c>
      <c r="F1337">
        <v>1782.13</v>
      </c>
      <c r="G1337" t="s">
        <v>221</v>
      </c>
      <c r="H1337">
        <v>5346.39</v>
      </c>
      <c r="I1337">
        <v>2023</v>
      </c>
      <c r="J1337">
        <v>10</v>
      </c>
      <c r="K1337">
        <v>18</v>
      </c>
      <c r="L1337" s="14">
        <v>1782.13</v>
      </c>
      <c r="M1337" s="4" t="str">
        <f t="shared" si="80"/>
        <v>lunes</v>
      </c>
      <c r="N1337" s="4" t="str">
        <f t="shared" si="81"/>
        <v>octubre</v>
      </c>
      <c r="O1337" s="4" t="str">
        <f t="shared" si="82"/>
        <v>SI</v>
      </c>
      <c r="P1337" s="4" t="str">
        <f t="shared" si="83"/>
        <v>SI</v>
      </c>
      <c r="Q1337" s="4" t="str" cm="1">
        <f t="array" ref="Q1337">_xlfn.IFS(AND(H1337&gt;=0,H1337&lt;=3333),"Grupo 1",AND(H1337&gt;3333,H1337&lt;=6666),"Grupo 2",AND(H1337&gt;6666,H1337&lt;=10000),"Grupo 3")</f>
        <v>Grupo 2</v>
      </c>
    </row>
    <row r="1338" spans="1:17" x14ac:dyDescent="0.25">
      <c r="A1338" t="s">
        <v>148</v>
      </c>
      <c r="B1338" s="2">
        <v>45525.048611111109</v>
      </c>
      <c r="C1338" t="s">
        <v>310</v>
      </c>
      <c r="D1338" t="s">
        <v>215</v>
      </c>
      <c r="E1338">
        <v>5</v>
      </c>
      <c r="F1338">
        <v>1137.1400000000001</v>
      </c>
      <c r="G1338" t="s">
        <v>220</v>
      </c>
      <c r="H1338">
        <v>5685.7000000000007</v>
      </c>
      <c r="I1338">
        <v>2024</v>
      </c>
      <c r="J1338">
        <v>8</v>
      </c>
      <c r="K1338">
        <v>1</v>
      </c>
      <c r="L1338" s="14">
        <v>1137.1400000000001</v>
      </c>
      <c r="M1338" s="4" t="str">
        <f t="shared" si="80"/>
        <v>miércoles</v>
      </c>
      <c r="N1338" s="4" t="str">
        <f t="shared" si="81"/>
        <v>agosto</v>
      </c>
      <c r="O1338" s="4" t="str">
        <f t="shared" si="82"/>
        <v>SI</v>
      </c>
      <c r="P1338" s="4" t="str">
        <f t="shared" si="83"/>
        <v>SI</v>
      </c>
      <c r="Q1338" s="4" t="str" cm="1">
        <f t="array" ref="Q1338">_xlfn.IFS(AND(H1338&gt;=0,H1338&lt;=3333),"Grupo 1",AND(H1338&gt;3333,H1338&lt;=6666),"Grupo 2",AND(H1338&gt;6666,H1338&lt;=10000),"Grupo 3")</f>
        <v>Grupo 2</v>
      </c>
    </row>
    <row r="1339" spans="1:17" x14ac:dyDescent="0.25">
      <c r="A1339" t="s">
        <v>149</v>
      </c>
      <c r="B1339" s="2">
        <v>45520.686111111107</v>
      </c>
      <c r="C1339" t="s">
        <v>311</v>
      </c>
      <c r="D1339" t="s">
        <v>213</v>
      </c>
      <c r="E1339">
        <v>4</v>
      </c>
      <c r="F1339">
        <v>966.72</v>
      </c>
      <c r="G1339" t="s">
        <v>221</v>
      </c>
      <c r="H1339">
        <v>3866.88</v>
      </c>
      <c r="I1339">
        <v>2024</v>
      </c>
      <c r="J1339">
        <v>8</v>
      </c>
      <c r="K1339">
        <v>16</v>
      </c>
      <c r="L1339" s="14">
        <v>966.72</v>
      </c>
      <c r="M1339" s="4" t="str">
        <f t="shared" si="80"/>
        <v>viernes</v>
      </c>
      <c r="N1339" s="4" t="str">
        <f t="shared" si="81"/>
        <v>agosto</v>
      </c>
      <c r="O1339" s="4" t="str">
        <f t="shared" si="82"/>
        <v>SI</v>
      </c>
      <c r="P1339" s="4" t="str">
        <f t="shared" si="83"/>
        <v>NO</v>
      </c>
      <c r="Q1339" s="4" t="str" cm="1">
        <f t="array" ref="Q1339">_xlfn.IFS(AND(H1339&gt;=0,H1339&lt;=3333),"Grupo 1",AND(H1339&gt;3333,H1339&lt;=6666),"Grupo 2",AND(H1339&gt;6666,H1339&lt;=10000),"Grupo 3")</f>
        <v>Grupo 2</v>
      </c>
    </row>
    <row r="1340" spans="1:17" x14ac:dyDescent="0.25">
      <c r="A1340" t="s">
        <v>150</v>
      </c>
      <c r="B1340" s="2">
        <v>45484.331944444442</v>
      </c>
      <c r="C1340" t="s">
        <v>312</v>
      </c>
      <c r="D1340" t="s">
        <v>215</v>
      </c>
      <c r="E1340">
        <v>5</v>
      </c>
      <c r="F1340">
        <v>754.88</v>
      </c>
      <c r="G1340" t="s">
        <v>220</v>
      </c>
      <c r="H1340">
        <v>3774.4</v>
      </c>
      <c r="I1340">
        <v>2024</v>
      </c>
      <c r="J1340">
        <v>7</v>
      </c>
      <c r="K1340">
        <v>7</v>
      </c>
      <c r="L1340" s="14">
        <v>754.88</v>
      </c>
      <c r="M1340" s="4" t="str">
        <f t="shared" si="80"/>
        <v>jueves</v>
      </c>
      <c r="N1340" s="4" t="str">
        <f t="shared" si="81"/>
        <v>julio</v>
      </c>
      <c r="O1340" s="4" t="str">
        <f t="shared" si="82"/>
        <v>SI</v>
      </c>
      <c r="P1340" s="4" t="str">
        <f t="shared" si="83"/>
        <v>NO</v>
      </c>
      <c r="Q1340" s="4" t="str" cm="1">
        <f t="array" ref="Q1340">_xlfn.IFS(AND(H1340&gt;=0,H1340&lt;=3333),"Grupo 1",AND(H1340&gt;3333,H1340&lt;=6666),"Grupo 2",AND(H1340&gt;6666,H1340&lt;=10000),"Grupo 3")</f>
        <v>Grupo 2</v>
      </c>
    </row>
    <row r="1341" spans="1:17" x14ac:dyDescent="0.25">
      <c r="A1341" t="s">
        <v>151</v>
      </c>
      <c r="B1341" s="2">
        <v>45842.433333333327</v>
      </c>
      <c r="C1341" t="s">
        <v>313</v>
      </c>
      <c r="D1341" t="s">
        <v>216</v>
      </c>
      <c r="E1341">
        <v>4</v>
      </c>
      <c r="F1341">
        <v>902.5</v>
      </c>
      <c r="G1341" t="s">
        <v>221</v>
      </c>
      <c r="H1341">
        <v>3610</v>
      </c>
      <c r="I1341">
        <v>2025</v>
      </c>
      <c r="J1341">
        <v>7</v>
      </c>
      <c r="K1341">
        <v>10</v>
      </c>
      <c r="L1341" s="14">
        <v>902.5</v>
      </c>
      <c r="M1341" s="4" t="str">
        <f t="shared" si="80"/>
        <v>viernes</v>
      </c>
      <c r="N1341" s="4" t="str">
        <f t="shared" si="81"/>
        <v>julio</v>
      </c>
      <c r="O1341" s="4" t="str">
        <f t="shared" si="82"/>
        <v>SI</v>
      </c>
      <c r="P1341" s="4" t="str">
        <f t="shared" si="83"/>
        <v>NO</v>
      </c>
      <c r="Q1341" s="4" t="str" cm="1">
        <f t="array" ref="Q1341">_xlfn.IFS(AND(H1341&gt;=0,H1341&lt;=3333),"Grupo 1",AND(H1341&gt;3333,H1341&lt;=6666),"Grupo 2",AND(H1341&gt;6666,H1341&lt;=10000),"Grupo 3")</f>
        <v>Grupo 2</v>
      </c>
    </row>
    <row r="1342" spans="1:17" x14ac:dyDescent="0.25">
      <c r="A1342" t="s">
        <v>152</v>
      </c>
      <c r="B1342" s="2">
        <v>45697.842361111107</v>
      </c>
      <c r="C1342" t="s">
        <v>314</v>
      </c>
      <c r="D1342" t="s">
        <v>218</v>
      </c>
      <c r="E1342">
        <v>2</v>
      </c>
      <c r="F1342">
        <v>78.180000000000007</v>
      </c>
      <c r="G1342" t="s">
        <v>221</v>
      </c>
      <c r="H1342">
        <v>156.36000000000001</v>
      </c>
      <c r="I1342">
        <v>2025</v>
      </c>
      <c r="J1342">
        <v>2</v>
      </c>
      <c r="K1342">
        <v>20</v>
      </c>
      <c r="L1342" s="14">
        <v>78.180000000000007</v>
      </c>
      <c r="M1342" s="4" t="str">
        <f t="shared" si="80"/>
        <v>domingo</v>
      </c>
      <c r="N1342" s="4" t="str">
        <f t="shared" si="81"/>
        <v>febrero</v>
      </c>
      <c r="O1342" s="4" t="str">
        <f t="shared" si="82"/>
        <v>NO</v>
      </c>
      <c r="P1342" s="4" t="str">
        <f t="shared" si="83"/>
        <v>NO</v>
      </c>
      <c r="Q1342" s="4" t="str" cm="1">
        <f t="array" ref="Q1342">_xlfn.IFS(AND(H1342&gt;=0,H1342&lt;=3333),"Grupo 1",AND(H1342&gt;3333,H1342&lt;=6666),"Grupo 2",AND(H1342&gt;6666,H1342&lt;=10000),"Grupo 3")</f>
        <v>Grupo 1</v>
      </c>
    </row>
    <row r="1343" spans="1:17" x14ac:dyDescent="0.25">
      <c r="A1343" t="s">
        <v>153</v>
      </c>
      <c r="B1343" s="2">
        <v>45927.180555555547</v>
      </c>
      <c r="C1343" t="s">
        <v>315</v>
      </c>
      <c r="D1343" t="s">
        <v>212</v>
      </c>
      <c r="E1343">
        <v>2</v>
      </c>
      <c r="F1343">
        <v>1615.41</v>
      </c>
      <c r="G1343" t="s">
        <v>220</v>
      </c>
      <c r="H1343">
        <v>3230.82</v>
      </c>
      <c r="I1343">
        <v>2025</v>
      </c>
      <c r="J1343">
        <v>9</v>
      </c>
      <c r="K1343">
        <v>4</v>
      </c>
      <c r="L1343" s="14">
        <v>1615.41</v>
      </c>
      <c r="M1343" s="4" t="str">
        <f t="shared" si="80"/>
        <v>sábado</v>
      </c>
      <c r="N1343" s="4" t="str">
        <f t="shared" si="81"/>
        <v>septiembre</v>
      </c>
      <c r="O1343" s="4" t="str">
        <f t="shared" si="82"/>
        <v>SI</v>
      </c>
      <c r="P1343" s="4" t="str">
        <f t="shared" si="83"/>
        <v>SI</v>
      </c>
      <c r="Q1343" s="4" t="str" cm="1">
        <f t="array" ref="Q1343">_xlfn.IFS(AND(H1343&gt;=0,H1343&lt;=3333),"Grupo 1",AND(H1343&gt;3333,H1343&lt;=6666),"Grupo 2",AND(H1343&gt;6666,H1343&lt;=10000),"Grupo 3")</f>
        <v>Grupo 1</v>
      </c>
    </row>
    <row r="1344" spans="1:17" x14ac:dyDescent="0.25">
      <c r="A1344" t="s">
        <v>154</v>
      </c>
      <c r="B1344" s="2">
        <v>45511.748611111107</v>
      </c>
      <c r="C1344" t="s">
        <v>316</v>
      </c>
      <c r="D1344" t="s">
        <v>212</v>
      </c>
      <c r="E1344">
        <v>5</v>
      </c>
      <c r="F1344">
        <v>149.54</v>
      </c>
      <c r="G1344" t="s">
        <v>220</v>
      </c>
      <c r="H1344">
        <v>747.69999999999993</v>
      </c>
      <c r="I1344">
        <v>2024</v>
      </c>
      <c r="J1344">
        <v>8</v>
      </c>
      <c r="K1344">
        <v>17</v>
      </c>
      <c r="L1344" s="14">
        <v>149.54</v>
      </c>
      <c r="M1344" s="4" t="str">
        <f t="shared" si="80"/>
        <v>miércoles</v>
      </c>
      <c r="N1344" s="4" t="str">
        <f t="shared" si="81"/>
        <v>agosto</v>
      </c>
      <c r="O1344" s="4" t="str">
        <f t="shared" si="82"/>
        <v>NO</v>
      </c>
      <c r="P1344" s="4" t="str">
        <f t="shared" si="83"/>
        <v>NO</v>
      </c>
      <c r="Q1344" s="4" t="str" cm="1">
        <f t="array" ref="Q1344">_xlfn.IFS(AND(H1344&gt;=0,H1344&lt;=3333),"Grupo 1",AND(H1344&gt;3333,H1344&lt;=6666),"Grupo 2",AND(H1344&gt;6666,H1344&lt;=10000),"Grupo 3")</f>
        <v>Grupo 1</v>
      </c>
    </row>
    <row r="1345" spans="1:17" x14ac:dyDescent="0.25">
      <c r="A1345" t="s">
        <v>155</v>
      </c>
      <c r="B1345" s="2">
        <v>45867.710416666669</v>
      </c>
      <c r="C1345" t="s">
        <v>317</v>
      </c>
      <c r="D1345" t="s">
        <v>213</v>
      </c>
      <c r="E1345">
        <v>5</v>
      </c>
      <c r="F1345">
        <v>955.39</v>
      </c>
      <c r="G1345" t="s">
        <v>221</v>
      </c>
      <c r="H1345">
        <v>4776.95</v>
      </c>
      <c r="I1345">
        <v>2025</v>
      </c>
      <c r="J1345">
        <v>7</v>
      </c>
      <c r="K1345">
        <v>17</v>
      </c>
      <c r="L1345" s="14">
        <v>955.39</v>
      </c>
      <c r="M1345" s="4" t="str">
        <f t="shared" si="80"/>
        <v>martes</v>
      </c>
      <c r="N1345" s="4" t="str">
        <f t="shared" si="81"/>
        <v>julio</v>
      </c>
      <c r="O1345" s="4" t="str">
        <f t="shared" si="82"/>
        <v>SI</v>
      </c>
      <c r="P1345" s="4" t="str">
        <f t="shared" si="83"/>
        <v>NO</v>
      </c>
      <c r="Q1345" s="4" t="str" cm="1">
        <f t="array" ref="Q1345">_xlfn.IFS(AND(H1345&gt;=0,H1345&lt;=3333),"Grupo 1",AND(H1345&gt;3333,H1345&lt;=6666),"Grupo 2",AND(H1345&gt;6666,H1345&lt;=10000),"Grupo 3")</f>
        <v>Grupo 2</v>
      </c>
    </row>
    <row r="1346" spans="1:17" x14ac:dyDescent="0.25">
      <c r="A1346" t="s">
        <v>156</v>
      </c>
      <c r="B1346" s="2">
        <v>45339.555555555547</v>
      </c>
      <c r="C1346" t="s">
        <v>318</v>
      </c>
      <c r="D1346" t="s">
        <v>214</v>
      </c>
      <c r="E1346">
        <v>2</v>
      </c>
      <c r="F1346">
        <v>1963.63</v>
      </c>
      <c r="G1346" t="s">
        <v>222</v>
      </c>
      <c r="H1346">
        <v>3927.26</v>
      </c>
      <c r="I1346">
        <v>2024</v>
      </c>
      <c r="J1346">
        <v>2</v>
      </c>
      <c r="K1346">
        <v>13</v>
      </c>
      <c r="L1346" s="14">
        <v>1963.63</v>
      </c>
      <c r="M1346" s="4" t="str">
        <f t="shared" ref="M1346:M1409" si="84">TEXT(B1346,"dddd")</f>
        <v>sábado</v>
      </c>
      <c r="N1346" s="4" t="str">
        <f t="shared" ref="N1346:N1409" si="85">TEXT(B1346,"mmmm")</f>
        <v>febrero</v>
      </c>
      <c r="O1346" s="4" t="str">
        <f t="shared" si="82"/>
        <v>SI</v>
      </c>
      <c r="P1346" s="4" t="str">
        <f t="shared" si="83"/>
        <v>SI</v>
      </c>
      <c r="Q1346" s="4" t="str" cm="1">
        <f t="array" ref="Q1346">_xlfn.IFS(AND(H1346&gt;=0,H1346&lt;=3333),"Grupo 1",AND(H1346&gt;3333,H1346&lt;=6666),"Grupo 2",AND(H1346&gt;6666,H1346&lt;=10000),"Grupo 3")</f>
        <v>Grupo 2</v>
      </c>
    </row>
    <row r="1347" spans="1:17" x14ac:dyDescent="0.25">
      <c r="A1347" t="s">
        <v>157</v>
      </c>
      <c r="B1347" s="2">
        <v>45538.998611111107</v>
      </c>
      <c r="C1347" t="s">
        <v>319</v>
      </c>
      <c r="D1347" t="s">
        <v>216</v>
      </c>
      <c r="E1347">
        <v>5</v>
      </c>
      <c r="F1347">
        <v>1440.14</v>
      </c>
      <c r="G1347" t="s">
        <v>221</v>
      </c>
      <c r="H1347">
        <v>7200.7000000000007</v>
      </c>
      <c r="I1347">
        <v>2024</v>
      </c>
      <c r="J1347">
        <v>9</v>
      </c>
      <c r="K1347">
        <v>23</v>
      </c>
      <c r="L1347" s="14">
        <v>1440.14</v>
      </c>
      <c r="M1347" s="4" t="str">
        <f t="shared" si="84"/>
        <v>martes</v>
      </c>
      <c r="N1347" s="4" t="str">
        <f t="shared" si="85"/>
        <v>septiembre</v>
      </c>
      <c r="O1347" s="4" t="str">
        <f t="shared" ref="O1347:O1410" si="86">IF(H1347&gt;AVERAGE(H:H),"SI","NO")</f>
        <v>SI</v>
      </c>
      <c r="P1347" s="4" t="str">
        <f t="shared" ref="P1347:P1410" si="87">IF(L1347&gt;AVERAGE(L:L),"SI","NO")</f>
        <v>SI</v>
      </c>
      <c r="Q1347" s="4" t="str" cm="1">
        <f t="array" ref="Q1347">_xlfn.IFS(AND(H1347&gt;=0,H1347&lt;=3333),"Grupo 1",AND(H1347&gt;3333,H1347&lt;=6666),"Grupo 2",AND(H1347&gt;6666,H1347&lt;=10000),"Grupo 3")</f>
        <v>Grupo 3</v>
      </c>
    </row>
    <row r="1348" spans="1:17" x14ac:dyDescent="0.25">
      <c r="A1348" t="s">
        <v>158</v>
      </c>
      <c r="B1348" s="2">
        <v>45105.837500000001</v>
      </c>
      <c r="C1348" t="s">
        <v>320</v>
      </c>
      <c r="D1348" t="s">
        <v>212</v>
      </c>
      <c r="E1348">
        <v>4</v>
      </c>
      <c r="F1348">
        <v>283.7</v>
      </c>
      <c r="G1348" t="s">
        <v>220</v>
      </c>
      <c r="H1348">
        <v>1134.8</v>
      </c>
      <c r="I1348">
        <v>2023</v>
      </c>
      <c r="J1348">
        <v>6</v>
      </c>
      <c r="K1348">
        <v>20</v>
      </c>
      <c r="L1348" s="14">
        <v>283.7</v>
      </c>
      <c r="M1348" s="4" t="str">
        <f t="shared" si="84"/>
        <v>miércoles</v>
      </c>
      <c r="N1348" s="4" t="str">
        <f t="shared" si="85"/>
        <v>junio</v>
      </c>
      <c r="O1348" s="4" t="str">
        <f t="shared" si="86"/>
        <v>NO</v>
      </c>
      <c r="P1348" s="4" t="str">
        <f t="shared" si="87"/>
        <v>NO</v>
      </c>
      <c r="Q1348" s="4" t="str" cm="1">
        <f t="array" ref="Q1348">_xlfn.IFS(AND(H1348&gt;=0,H1348&lt;=3333),"Grupo 1",AND(H1348&gt;3333,H1348&lt;=6666),"Grupo 2",AND(H1348&gt;6666,H1348&lt;=10000),"Grupo 3")</f>
        <v>Grupo 1</v>
      </c>
    </row>
    <row r="1349" spans="1:17" x14ac:dyDescent="0.25">
      <c r="A1349" t="s">
        <v>159</v>
      </c>
      <c r="B1349" s="2">
        <v>45470.283333333333</v>
      </c>
      <c r="C1349" t="s">
        <v>321</v>
      </c>
      <c r="D1349" t="s">
        <v>215</v>
      </c>
      <c r="E1349">
        <v>3</v>
      </c>
      <c r="F1349">
        <v>687.51</v>
      </c>
      <c r="G1349" t="s">
        <v>220</v>
      </c>
      <c r="H1349">
        <v>2062.5300000000002</v>
      </c>
      <c r="I1349">
        <v>2024</v>
      </c>
      <c r="J1349">
        <v>6</v>
      </c>
      <c r="K1349">
        <v>6</v>
      </c>
      <c r="L1349" s="14">
        <v>687.50999999999988</v>
      </c>
      <c r="M1349" s="4" t="str">
        <f t="shared" si="84"/>
        <v>jueves</v>
      </c>
      <c r="N1349" s="4" t="str">
        <f t="shared" si="85"/>
        <v>junio</v>
      </c>
      <c r="O1349" s="4" t="str">
        <f t="shared" si="86"/>
        <v>NO</v>
      </c>
      <c r="P1349" s="4" t="str">
        <f t="shared" si="87"/>
        <v>NO</v>
      </c>
      <c r="Q1349" s="4" t="str" cm="1">
        <f t="array" ref="Q1349">_xlfn.IFS(AND(H1349&gt;=0,H1349&lt;=3333),"Grupo 1",AND(H1349&gt;3333,H1349&lt;=6666),"Grupo 2",AND(H1349&gt;6666,H1349&lt;=10000),"Grupo 3")</f>
        <v>Grupo 1</v>
      </c>
    </row>
    <row r="1350" spans="1:17" x14ac:dyDescent="0.25">
      <c r="A1350" t="s">
        <v>160</v>
      </c>
      <c r="B1350" s="2">
        <v>45122.511805555558</v>
      </c>
      <c r="C1350" t="s">
        <v>322</v>
      </c>
      <c r="D1350" t="s">
        <v>216</v>
      </c>
      <c r="E1350">
        <v>2</v>
      </c>
      <c r="F1350">
        <v>282</v>
      </c>
      <c r="G1350" t="s">
        <v>221</v>
      </c>
      <c r="H1350">
        <v>564</v>
      </c>
      <c r="I1350">
        <v>2023</v>
      </c>
      <c r="J1350">
        <v>7</v>
      </c>
      <c r="K1350">
        <v>12</v>
      </c>
      <c r="L1350" s="14">
        <v>282</v>
      </c>
      <c r="M1350" s="4" t="str">
        <f t="shared" si="84"/>
        <v>sábado</v>
      </c>
      <c r="N1350" s="4" t="str">
        <f t="shared" si="85"/>
        <v>julio</v>
      </c>
      <c r="O1350" s="4" t="str">
        <f t="shared" si="86"/>
        <v>NO</v>
      </c>
      <c r="P1350" s="4" t="str">
        <f t="shared" si="87"/>
        <v>NO</v>
      </c>
      <c r="Q1350" s="4" t="str" cm="1">
        <f t="array" ref="Q1350">_xlfn.IFS(AND(H1350&gt;=0,H1350&lt;=3333),"Grupo 1",AND(H1350&gt;3333,H1350&lt;=6666),"Grupo 2",AND(H1350&gt;6666,H1350&lt;=10000),"Grupo 3")</f>
        <v>Grupo 1</v>
      </c>
    </row>
    <row r="1351" spans="1:17" x14ac:dyDescent="0.25">
      <c r="A1351" t="s">
        <v>161</v>
      </c>
      <c r="B1351" s="2">
        <v>45878.351388888892</v>
      </c>
      <c r="C1351" t="s">
        <v>323</v>
      </c>
      <c r="D1351" t="s">
        <v>215</v>
      </c>
      <c r="E1351">
        <v>4</v>
      </c>
      <c r="F1351">
        <v>1471.38</v>
      </c>
      <c r="G1351" t="s">
        <v>220</v>
      </c>
      <c r="H1351">
        <v>5885.52</v>
      </c>
      <c r="I1351">
        <v>2025</v>
      </c>
      <c r="J1351">
        <v>8</v>
      </c>
      <c r="K1351">
        <v>8</v>
      </c>
      <c r="L1351" s="14">
        <v>1471.38</v>
      </c>
      <c r="M1351" s="4" t="str">
        <f t="shared" si="84"/>
        <v>sábado</v>
      </c>
      <c r="N1351" s="4" t="str">
        <f t="shared" si="85"/>
        <v>agosto</v>
      </c>
      <c r="O1351" s="4" t="str">
        <f t="shared" si="86"/>
        <v>SI</v>
      </c>
      <c r="P1351" s="4" t="str">
        <f t="shared" si="87"/>
        <v>SI</v>
      </c>
      <c r="Q1351" s="4" t="str" cm="1">
        <f t="array" ref="Q1351">_xlfn.IFS(AND(H1351&gt;=0,H1351&lt;=3333),"Grupo 1",AND(H1351&gt;3333,H1351&lt;=6666),"Grupo 2",AND(H1351&gt;6666,H1351&lt;=10000),"Grupo 3")</f>
        <v>Grupo 2</v>
      </c>
    </row>
    <row r="1352" spans="1:17" x14ac:dyDescent="0.25">
      <c r="A1352" t="s">
        <v>162</v>
      </c>
      <c r="B1352" s="2">
        <v>45894.257638888892</v>
      </c>
      <c r="C1352" t="s">
        <v>324</v>
      </c>
      <c r="D1352" t="s">
        <v>216</v>
      </c>
      <c r="E1352">
        <v>1</v>
      </c>
      <c r="F1352">
        <v>1463.91</v>
      </c>
      <c r="G1352" t="s">
        <v>221</v>
      </c>
      <c r="H1352">
        <v>1463.91</v>
      </c>
      <c r="I1352">
        <v>2025</v>
      </c>
      <c r="J1352">
        <v>8</v>
      </c>
      <c r="K1352">
        <v>6</v>
      </c>
      <c r="L1352" s="14">
        <v>1463.91</v>
      </c>
      <c r="M1352" s="4" t="str">
        <f t="shared" si="84"/>
        <v>lunes</v>
      </c>
      <c r="N1352" s="4" t="str">
        <f t="shared" si="85"/>
        <v>agosto</v>
      </c>
      <c r="O1352" s="4" t="str">
        <f t="shared" si="86"/>
        <v>NO</v>
      </c>
      <c r="P1352" s="4" t="str">
        <f t="shared" si="87"/>
        <v>SI</v>
      </c>
      <c r="Q1352" s="4" t="str" cm="1">
        <f t="array" ref="Q1352">_xlfn.IFS(AND(H1352&gt;=0,H1352&lt;=3333),"Grupo 1",AND(H1352&gt;3333,H1352&lt;=6666),"Grupo 2",AND(H1352&gt;6666,H1352&lt;=10000),"Grupo 3")</f>
        <v>Grupo 1</v>
      </c>
    </row>
    <row r="1353" spans="1:17" x14ac:dyDescent="0.25">
      <c r="A1353" t="s">
        <v>163</v>
      </c>
      <c r="B1353" s="2">
        <v>45321.105555555558</v>
      </c>
      <c r="C1353" t="s">
        <v>325</v>
      </c>
      <c r="D1353" t="s">
        <v>213</v>
      </c>
      <c r="E1353">
        <v>4</v>
      </c>
      <c r="F1353">
        <v>1585.49</v>
      </c>
      <c r="G1353" t="s">
        <v>221</v>
      </c>
      <c r="H1353">
        <v>6341.96</v>
      </c>
      <c r="I1353">
        <v>2024</v>
      </c>
      <c r="J1353">
        <v>1</v>
      </c>
      <c r="K1353">
        <v>2</v>
      </c>
      <c r="L1353" s="14">
        <v>1585.49</v>
      </c>
      <c r="M1353" s="4" t="str">
        <f t="shared" si="84"/>
        <v>martes</v>
      </c>
      <c r="N1353" s="4" t="str">
        <f t="shared" si="85"/>
        <v>enero</v>
      </c>
      <c r="O1353" s="4" t="str">
        <f t="shared" si="86"/>
        <v>SI</v>
      </c>
      <c r="P1353" s="4" t="str">
        <f t="shared" si="87"/>
        <v>SI</v>
      </c>
      <c r="Q1353" s="4" t="str" cm="1">
        <f t="array" ref="Q1353">_xlfn.IFS(AND(H1353&gt;=0,H1353&lt;=3333),"Grupo 1",AND(H1353&gt;3333,H1353&lt;=6666),"Grupo 2",AND(H1353&gt;6666,H1353&lt;=10000),"Grupo 3")</f>
        <v>Grupo 2</v>
      </c>
    </row>
    <row r="1354" spans="1:17" x14ac:dyDescent="0.25">
      <c r="A1354" t="s">
        <v>164</v>
      </c>
      <c r="B1354" s="2">
        <v>45571.035416666673</v>
      </c>
      <c r="C1354" t="s">
        <v>326</v>
      </c>
      <c r="D1354" t="s">
        <v>213</v>
      </c>
      <c r="E1354">
        <v>1</v>
      </c>
      <c r="F1354">
        <v>662.17</v>
      </c>
      <c r="G1354" t="s">
        <v>221</v>
      </c>
      <c r="H1354">
        <v>662.17</v>
      </c>
      <c r="I1354">
        <v>2024</v>
      </c>
      <c r="J1354">
        <v>10</v>
      </c>
      <c r="K1354">
        <v>0</v>
      </c>
      <c r="L1354" s="14">
        <v>662.17</v>
      </c>
      <c r="M1354" s="4" t="str">
        <f t="shared" si="84"/>
        <v>domingo</v>
      </c>
      <c r="N1354" s="4" t="str">
        <f t="shared" si="85"/>
        <v>octubre</v>
      </c>
      <c r="O1354" s="4" t="str">
        <f t="shared" si="86"/>
        <v>NO</v>
      </c>
      <c r="P1354" s="4" t="str">
        <f t="shared" si="87"/>
        <v>NO</v>
      </c>
      <c r="Q1354" s="4" t="str" cm="1">
        <f t="array" ref="Q1354">_xlfn.IFS(AND(H1354&gt;=0,H1354&lt;=3333),"Grupo 1",AND(H1354&gt;3333,H1354&lt;=6666),"Grupo 2",AND(H1354&gt;6666,H1354&lt;=10000),"Grupo 3")</f>
        <v>Grupo 1</v>
      </c>
    </row>
    <row r="1355" spans="1:17" x14ac:dyDescent="0.25">
      <c r="A1355" t="s">
        <v>165</v>
      </c>
      <c r="B1355" s="2">
        <v>45442.757638888892</v>
      </c>
      <c r="C1355" t="s">
        <v>327</v>
      </c>
      <c r="D1355" t="s">
        <v>216</v>
      </c>
      <c r="E1355">
        <v>2</v>
      </c>
      <c r="F1355">
        <v>136.68</v>
      </c>
      <c r="G1355" t="s">
        <v>221</v>
      </c>
      <c r="H1355">
        <v>273.36</v>
      </c>
      <c r="I1355">
        <v>2024</v>
      </c>
      <c r="J1355">
        <v>5</v>
      </c>
      <c r="K1355">
        <v>18</v>
      </c>
      <c r="L1355" s="14">
        <v>136.68</v>
      </c>
      <c r="M1355" s="4" t="str">
        <f t="shared" si="84"/>
        <v>jueves</v>
      </c>
      <c r="N1355" s="4" t="str">
        <f t="shared" si="85"/>
        <v>mayo</v>
      </c>
      <c r="O1355" s="4" t="str">
        <f t="shared" si="86"/>
        <v>NO</v>
      </c>
      <c r="P1355" s="4" t="str">
        <f t="shared" si="87"/>
        <v>NO</v>
      </c>
      <c r="Q1355" s="4" t="str" cm="1">
        <f t="array" ref="Q1355">_xlfn.IFS(AND(H1355&gt;=0,H1355&lt;=3333),"Grupo 1",AND(H1355&gt;3333,H1355&lt;=6666),"Grupo 2",AND(H1355&gt;6666,H1355&lt;=10000),"Grupo 3")</f>
        <v>Grupo 1</v>
      </c>
    </row>
    <row r="1356" spans="1:17" x14ac:dyDescent="0.25">
      <c r="A1356" t="s">
        <v>166</v>
      </c>
      <c r="B1356" s="2">
        <v>45889.054166666669</v>
      </c>
      <c r="C1356" t="s">
        <v>328</v>
      </c>
      <c r="D1356" t="s">
        <v>215</v>
      </c>
      <c r="E1356">
        <v>4</v>
      </c>
      <c r="F1356">
        <v>118.64</v>
      </c>
      <c r="G1356" t="s">
        <v>220</v>
      </c>
      <c r="H1356">
        <v>474.56</v>
      </c>
      <c r="I1356">
        <v>2025</v>
      </c>
      <c r="J1356">
        <v>8</v>
      </c>
      <c r="K1356">
        <v>1</v>
      </c>
      <c r="L1356" s="14">
        <v>118.64</v>
      </c>
      <c r="M1356" s="4" t="str">
        <f t="shared" si="84"/>
        <v>miércoles</v>
      </c>
      <c r="N1356" s="4" t="str">
        <f t="shared" si="85"/>
        <v>agosto</v>
      </c>
      <c r="O1356" s="4" t="str">
        <f t="shared" si="86"/>
        <v>NO</v>
      </c>
      <c r="P1356" s="4" t="str">
        <f t="shared" si="87"/>
        <v>NO</v>
      </c>
      <c r="Q1356" s="4" t="str" cm="1">
        <f t="array" ref="Q1356">_xlfn.IFS(AND(H1356&gt;=0,H1356&lt;=3333),"Grupo 1",AND(H1356&gt;3333,H1356&lt;=6666),"Grupo 2",AND(H1356&gt;6666,H1356&lt;=10000),"Grupo 3")</f>
        <v>Grupo 1</v>
      </c>
    </row>
    <row r="1357" spans="1:17" x14ac:dyDescent="0.25">
      <c r="A1357" t="s">
        <v>167</v>
      </c>
      <c r="B1357" s="2">
        <v>45468.727083333331</v>
      </c>
      <c r="C1357" t="s">
        <v>329</v>
      </c>
      <c r="D1357" t="s">
        <v>217</v>
      </c>
      <c r="E1357">
        <v>3</v>
      </c>
      <c r="F1357">
        <v>933.49</v>
      </c>
      <c r="G1357" t="s">
        <v>220</v>
      </c>
      <c r="H1357">
        <v>2800.47</v>
      </c>
      <c r="I1357">
        <v>2024</v>
      </c>
      <c r="J1357">
        <v>6</v>
      </c>
      <c r="K1357">
        <v>17</v>
      </c>
      <c r="L1357" s="14">
        <v>933.49000000000012</v>
      </c>
      <c r="M1357" s="4" t="str">
        <f t="shared" si="84"/>
        <v>martes</v>
      </c>
      <c r="N1357" s="4" t="str">
        <f t="shared" si="85"/>
        <v>junio</v>
      </c>
      <c r="O1357" s="4" t="str">
        <f t="shared" si="86"/>
        <v>NO</v>
      </c>
      <c r="P1357" s="4" t="str">
        <f t="shared" si="87"/>
        <v>NO</v>
      </c>
      <c r="Q1357" s="4" t="str" cm="1">
        <f t="array" ref="Q1357">_xlfn.IFS(AND(H1357&gt;=0,H1357&lt;=3333),"Grupo 1",AND(H1357&gt;3333,H1357&lt;=6666),"Grupo 2",AND(H1357&gt;6666,H1357&lt;=10000),"Grupo 3")</f>
        <v>Grupo 1</v>
      </c>
    </row>
    <row r="1358" spans="1:17" x14ac:dyDescent="0.25">
      <c r="A1358" t="s">
        <v>168</v>
      </c>
      <c r="B1358" s="2">
        <v>45202.955555555563</v>
      </c>
      <c r="C1358" t="s">
        <v>330</v>
      </c>
      <c r="D1358" t="s">
        <v>219</v>
      </c>
      <c r="E1358">
        <v>2</v>
      </c>
      <c r="F1358">
        <v>1035.0899999999999</v>
      </c>
      <c r="G1358" t="s">
        <v>221</v>
      </c>
      <c r="H1358">
        <v>2070.1799999999998</v>
      </c>
      <c r="I1358">
        <v>2023</v>
      </c>
      <c r="J1358">
        <v>10</v>
      </c>
      <c r="K1358">
        <v>22</v>
      </c>
      <c r="L1358" s="14">
        <v>1035.0899999999999</v>
      </c>
      <c r="M1358" s="4" t="str">
        <f t="shared" si="84"/>
        <v>martes</v>
      </c>
      <c r="N1358" s="4" t="str">
        <f t="shared" si="85"/>
        <v>octubre</v>
      </c>
      <c r="O1358" s="4" t="str">
        <f t="shared" si="86"/>
        <v>NO</v>
      </c>
      <c r="P1358" s="4" t="str">
        <f t="shared" si="87"/>
        <v>SI</v>
      </c>
      <c r="Q1358" s="4" t="str" cm="1">
        <f t="array" ref="Q1358">_xlfn.IFS(AND(H1358&gt;=0,H1358&lt;=3333),"Grupo 1",AND(H1358&gt;3333,H1358&lt;=6666),"Grupo 2",AND(H1358&gt;6666,H1358&lt;=10000),"Grupo 3")</f>
        <v>Grupo 1</v>
      </c>
    </row>
    <row r="1359" spans="1:17" x14ac:dyDescent="0.25">
      <c r="A1359" t="s">
        <v>169</v>
      </c>
      <c r="B1359" s="2">
        <v>45323.202777777777</v>
      </c>
      <c r="C1359" t="s">
        <v>331</v>
      </c>
      <c r="D1359" t="s">
        <v>215</v>
      </c>
      <c r="E1359">
        <v>2</v>
      </c>
      <c r="F1359">
        <v>1325.01</v>
      </c>
      <c r="G1359" t="s">
        <v>220</v>
      </c>
      <c r="H1359">
        <v>2650.02</v>
      </c>
      <c r="I1359">
        <v>2024</v>
      </c>
      <c r="J1359">
        <v>2</v>
      </c>
      <c r="K1359">
        <v>4</v>
      </c>
      <c r="L1359" s="14">
        <v>1325.01</v>
      </c>
      <c r="M1359" s="4" t="str">
        <f t="shared" si="84"/>
        <v>jueves</v>
      </c>
      <c r="N1359" s="4" t="str">
        <f t="shared" si="85"/>
        <v>febrero</v>
      </c>
      <c r="O1359" s="4" t="str">
        <f t="shared" si="86"/>
        <v>NO</v>
      </c>
      <c r="P1359" s="4" t="str">
        <f t="shared" si="87"/>
        <v>SI</v>
      </c>
      <c r="Q1359" s="4" t="str" cm="1">
        <f t="array" ref="Q1359">_xlfn.IFS(AND(H1359&gt;=0,H1359&lt;=3333),"Grupo 1",AND(H1359&gt;3333,H1359&lt;=6666),"Grupo 2",AND(H1359&gt;6666,H1359&lt;=10000),"Grupo 3")</f>
        <v>Grupo 1</v>
      </c>
    </row>
    <row r="1360" spans="1:17" x14ac:dyDescent="0.25">
      <c r="A1360" t="s">
        <v>170</v>
      </c>
      <c r="B1360" s="2">
        <v>45288.395833333343</v>
      </c>
      <c r="C1360" t="s">
        <v>332</v>
      </c>
      <c r="D1360" t="s">
        <v>213</v>
      </c>
      <c r="E1360">
        <v>4</v>
      </c>
      <c r="F1360">
        <v>710.84</v>
      </c>
      <c r="G1360" t="s">
        <v>221</v>
      </c>
      <c r="H1360">
        <v>2843.36</v>
      </c>
      <c r="I1360">
        <v>2023</v>
      </c>
      <c r="J1360">
        <v>12</v>
      </c>
      <c r="K1360">
        <v>9</v>
      </c>
      <c r="L1360" s="14">
        <v>710.84</v>
      </c>
      <c r="M1360" s="4" t="str">
        <f t="shared" si="84"/>
        <v>jueves</v>
      </c>
      <c r="N1360" s="4" t="str">
        <f t="shared" si="85"/>
        <v>diciembre</v>
      </c>
      <c r="O1360" s="4" t="str">
        <f t="shared" si="86"/>
        <v>NO</v>
      </c>
      <c r="P1360" s="4" t="str">
        <f t="shared" si="87"/>
        <v>NO</v>
      </c>
      <c r="Q1360" s="4" t="str" cm="1">
        <f t="array" ref="Q1360">_xlfn.IFS(AND(H1360&gt;=0,H1360&lt;=3333),"Grupo 1",AND(H1360&gt;3333,H1360&lt;=6666),"Grupo 2",AND(H1360&gt;6666,H1360&lt;=10000),"Grupo 3")</f>
        <v>Grupo 1</v>
      </c>
    </row>
    <row r="1361" spans="1:17" x14ac:dyDescent="0.25">
      <c r="A1361" t="s">
        <v>171</v>
      </c>
      <c r="B1361" s="2">
        <v>45900.337500000001</v>
      </c>
      <c r="C1361" t="s">
        <v>333</v>
      </c>
      <c r="D1361" t="s">
        <v>214</v>
      </c>
      <c r="E1361">
        <v>3</v>
      </c>
      <c r="F1361">
        <v>97.27</v>
      </c>
      <c r="G1361" t="s">
        <v>222</v>
      </c>
      <c r="H1361">
        <v>291.81</v>
      </c>
      <c r="I1361">
        <v>2025</v>
      </c>
      <c r="J1361">
        <v>8</v>
      </c>
      <c r="K1361">
        <v>8</v>
      </c>
      <c r="L1361" s="14">
        <v>97.27</v>
      </c>
      <c r="M1361" s="4" t="str">
        <f t="shared" si="84"/>
        <v>domingo</v>
      </c>
      <c r="N1361" s="4" t="str">
        <f t="shared" si="85"/>
        <v>agosto</v>
      </c>
      <c r="O1361" s="4" t="str">
        <f t="shared" si="86"/>
        <v>NO</v>
      </c>
      <c r="P1361" s="4" t="str">
        <f t="shared" si="87"/>
        <v>NO</v>
      </c>
      <c r="Q1361" s="4" t="str" cm="1">
        <f t="array" ref="Q1361">_xlfn.IFS(AND(H1361&gt;=0,H1361&lt;=3333),"Grupo 1",AND(H1361&gt;3333,H1361&lt;=6666),"Grupo 2",AND(H1361&gt;6666,H1361&lt;=10000),"Grupo 3")</f>
        <v>Grupo 1</v>
      </c>
    </row>
    <row r="1362" spans="1:17" x14ac:dyDescent="0.25">
      <c r="A1362" t="s">
        <v>172</v>
      </c>
      <c r="B1362" s="2">
        <v>45576.732638888891</v>
      </c>
      <c r="C1362" t="s">
        <v>334</v>
      </c>
      <c r="D1362" t="s">
        <v>215</v>
      </c>
      <c r="E1362">
        <v>5</v>
      </c>
      <c r="F1362">
        <v>498.36</v>
      </c>
      <c r="G1362" t="s">
        <v>220</v>
      </c>
      <c r="H1362">
        <v>2491.8000000000002</v>
      </c>
      <c r="I1362">
        <v>2024</v>
      </c>
      <c r="J1362">
        <v>10</v>
      </c>
      <c r="K1362">
        <v>17</v>
      </c>
      <c r="L1362" s="14">
        <v>498.36</v>
      </c>
      <c r="M1362" s="4" t="str">
        <f t="shared" si="84"/>
        <v>viernes</v>
      </c>
      <c r="N1362" s="4" t="str">
        <f t="shared" si="85"/>
        <v>octubre</v>
      </c>
      <c r="O1362" s="4" t="str">
        <f t="shared" si="86"/>
        <v>NO</v>
      </c>
      <c r="P1362" s="4" t="str">
        <f t="shared" si="87"/>
        <v>NO</v>
      </c>
      <c r="Q1362" s="4" t="str" cm="1">
        <f t="array" ref="Q1362">_xlfn.IFS(AND(H1362&gt;=0,H1362&lt;=3333),"Grupo 1",AND(H1362&gt;3333,H1362&lt;=6666),"Grupo 2",AND(H1362&gt;6666,H1362&lt;=10000),"Grupo 3")</f>
        <v>Grupo 1</v>
      </c>
    </row>
    <row r="1363" spans="1:17" x14ac:dyDescent="0.25">
      <c r="A1363" t="s">
        <v>173</v>
      </c>
      <c r="B1363" s="2">
        <v>45392.97152777778</v>
      </c>
      <c r="C1363" t="s">
        <v>335</v>
      </c>
      <c r="D1363" t="s">
        <v>214</v>
      </c>
      <c r="E1363">
        <v>5</v>
      </c>
      <c r="F1363">
        <v>980.89</v>
      </c>
      <c r="G1363" t="s">
        <v>222</v>
      </c>
      <c r="H1363">
        <v>4904.45</v>
      </c>
      <c r="I1363">
        <v>2024</v>
      </c>
      <c r="J1363">
        <v>4</v>
      </c>
      <c r="K1363">
        <v>23</v>
      </c>
      <c r="L1363" s="14">
        <v>980.89</v>
      </c>
      <c r="M1363" s="4" t="str">
        <f t="shared" si="84"/>
        <v>miércoles</v>
      </c>
      <c r="N1363" s="4" t="str">
        <f t="shared" si="85"/>
        <v>abril</v>
      </c>
      <c r="O1363" s="4" t="str">
        <f t="shared" si="86"/>
        <v>SI</v>
      </c>
      <c r="P1363" s="4" t="str">
        <f t="shared" si="87"/>
        <v>NO</v>
      </c>
      <c r="Q1363" s="4" t="str" cm="1">
        <f t="array" ref="Q1363">_xlfn.IFS(AND(H1363&gt;=0,H1363&lt;=3333),"Grupo 1",AND(H1363&gt;3333,H1363&lt;=6666),"Grupo 2",AND(H1363&gt;6666,H1363&lt;=10000),"Grupo 3")</f>
        <v>Grupo 2</v>
      </c>
    </row>
    <row r="1364" spans="1:17" x14ac:dyDescent="0.25">
      <c r="A1364" t="s">
        <v>174</v>
      </c>
      <c r="B1364" s="2">
        <v>45584.049305555563</v>
      </c>
      <c r="C1364" t="s">
        <v>336</v>
      </c>
      <c r="D1364" t="s">
        <v>213</v>
      </c>
      <c r="E1364">
        <v>1</v>
      </c>
      <c r="F1364">
        <v>1390.33</v>
      </c>
      <c r="G1364" t="s">
        <v>221</v>
      </c>
      <c r="H1364">
        <v>1390.33</v>
      </c>
      <c r="I1364">
        <v>2024</v>
      </c>
      <c r="J1364">
        <v>10</v>
      </c>
      <c r="K1364">
        <v>1</v>
      </c>
      <c r="L1364" s="14">
        <v>1390.33</v>
      </c>
      <c r="M1364" s="4" t="str">
        <f t="shared" si="84"/>
        <v>sábado</v>
      </c>
      <c r="N1364" s="4" t="str">
        <f t="shared" si="85"/>
        <v>octubre</v>
      </c>
      <c r="O1364" s="4" t="str">
        <f t="shared" si="86"/>
        <v>NO</v>
      </c>
      <c r="P1364" s="4" t="str">
        <f t="shared" si="87"/>
        <v>SI</v>
      </c>
      <c r="Q1364" s="4" t="str" cm="1">
        <f t="array" ref="Q1364">_xlfn.IFS(AND(H1364&gt;=0,H1364&lt;=3333),"Grupo 1",AND(H1364&gt;3333,H1364&lt;=6666),"Grupo 2",AND(H1364&gt;6666,H1364&lt;=10000),"Grupo 3")</f>
        <v>Grupo 1</v>
      </c>
    </row>
    <row r="1365" spans="1:17" x14ac:dyDescent="0.25">
      <c r="A1365" t="s">
        <v>175</v>
      </c>
      <c r="B1365" s="2">
        <v>44941.657638888893</v>
      </c>
      <c r="C1365" t="s">
        <v>337</v>
      </c>
      <c r="D1365" t="s">
        <v>217</v>
      </c>
      <c r="E1365">
        <v>5</v>
      </c>
      <c r="F1365">
        <v>1708.09</v>
      </c>
      <c r="G1365" t="s">
        <v>220</v>
      </c>
      <c r="H1365">
        <v>8540.4499999999989</v>
      </c>
      <c r="I1365">
        <v>2023</v>
      </c>
      <c r="J1365">
        <v>1</v>
      </c>
      <c r="K1365">
        <v>15</v>
      </c>
      <c r="L1365" s="14">
        <v>1708.09</v>
      </c>
      <c r="M1365" s="4" t="str">
        <f t="shared" si="84"/>
        <v>domingo</v>
      </c>
      <c r="N1365" s="4" t="str">
        <f t="shared" si="85"/>
        <v>enero</v>
      </c>
      <c r="O1365" s="4" t="str">
        <f t="shared" si="86"/>
        <v>SI</v>
      </c>
      <c r="P1365" s="4" t="str">
        <f t="shared" si="87"/>
        <v>SI</v>
      </c>
      <c r="Q1365" s="4" t="str" cm="1">
        <f t="array" ref="Q1365">_xlfn.IFS(AND(H1365&gt;=0,H1365&lt;=3333),"Grupo 1",AND(H1365&gt;3333,H1365&lt;=6666),"Grupo 2",AND(H1365&gt;6666,H1365&lt;=10000),"Grupo 3")</f>
        <v>Grupo 3</v>
      </c>
    </row>
    <row r="1366" spans="1:17" x14ac:dyDescent="0.25">
      <c r="A1366" t="s">
        <v>176</v>
      </c>
      <c r="B1366" s="2">
        <v>45238.718055555553</v>
      </c>
      <c r="C1366" t="s">
        <v>338</v>
      </c>
      <c r="D1366" t="s">
        <v>219</v>
      </c>
      <c r="E1366">
        <v>3</v>
      </c>
      <c r="F1366">
        <v>459.4</v>
      </c>
      <c r="G1366" t="s">
        <v>221</v>
      </c>
      <c r="H1366">
        <v>1378.2</v>
      </c>
      <c r="I1366">
        <v>2023</v>
      </c>
      <c r="J1366">
        <v>11</v>
      </c>
      <c r="K1366">
        <v>17</v>
      </c>
      <c r="L1366" s="14">
        <v>459.39999999999992</v>
      </c>
      <c r="M1366" s="4" t="str">
        <f t="shared" si="84"/>
        <v>miércoles</v>
      </c>
      <c r="N1366" s="4" t="str">
        <f t="shared" si="85"/>
        <v>noviembre</v>
      </c>
      <c r="O1366" s="4" t="str">
        <f t="shared" si="86"/>
        <v>NO</v>
      </c>
      <c r="P1366" s="4" t="str">
        <f t="shared" si="87"/>
        <v>NO</v>
      </c>
      <c r="Q1366" s="4" t="str" cm="1">
        <f t="array" ref="Q1366">_xlfn.IFS(AND(H1366&gt;=0,H1366&lt;=3333),"Grupo 1",AND(H1366&gt;3333,H1366&lt;=6666),"Grupo 2",AND(H1366&gt;6666,H1366&lt;=10000),"Grupo 3")</f>
        <v>Grupo 1</v>
      </c>
    </row>
    <row r="1367" spans="1:17" x14ac:dyDescent="0.25">
      <c r="A1367" t="s">
        <v>177</v>
      </c>
      <c r="B1367" s="2">
        <v>44973.59652777778</v>
      </c>
      <c r="C1367" t="s">
        <v>339</v>
      </c>
      <c r="D1367" t="s">
        <v>215</v>
      </c>
      <c r="E1367">
        <v>1</v>
      </c>
      <c r="F1367">
        <v>1578.33</v>
      </c>
      <c r="G1367" t="s">
        <v>220</v>
      </c>
      <c r="H1367">
        <v>1578.33</v>
      </c>
      <c r="I1367">
        <v>2023</v>
      </c>
      <c r="J1367">
        <v>2</v>
      </c>
      <c r="K1367">
        <v>14</v>
      </c>
      <c r="L1367" s="14">
        <v>1578.33</v>
      </c>
      <c r="M1367" s="4" t="str">
        <f t="shared" si="84"/>
        <v>jueves</v>
      </c>
      <c r="N1367" s="4" t="str">
        <f t="shared" si="85"/>
        <v>febrero</v>
      </c>
      <c r="O1367" s="4" t="str">
        <f t="shared" si="86"/>
        <v>NO</v>
      </c>
      <c r="P1367" s="4" t="str">
        <f t="shared" si="87"/>
        <v>SI</v>
      </c>
      <c r="Q1367" s="4" t="str" cm="1">
        <f t="array" ref="Q1367">_xlfn.IFS(AND(H1367&gt;=0,H1367&lt;=3333),"Grupo 1",AND(H1367&gt;3333,H1367&lt;=6666),"Grupo 2",AND(H1367&gt;6666,H1367&lt;=10000),"Grupo 3")</f>
        <v>Grupo 1</v>
      </c>
    </row>
    <row r="1368" spans="1:17" x14ac:dyDescent="0.25">
      <c r="A1368" t="s">
        <v>178</v>
      </c>
      <c r="B1368" s="2">
        <v>45445.690972222219</v>
      </c>
      <c r="C1368" t="s">
        <v>340</v>
      </c>
      <c r="D1368" t="s">
        <v>213</v>
      </c>
      <c r="E1368">
        <v>5</v>
      </c>
      <c r="F1368">
        <v>1602.39</v>
      </c>
      <c r="G1368" t="s">
        <v>221</v>
      </c>
      <c r="H1368">
        <v>8011.9500000000007</v>
      </c>
      <c r="I1368">
        <v>2024</v>
      </c>
      <c r="J1368">
        <v>6</v>
      </c>
      <c r="K1368">
        <v>16</v>
      </c>
      <c r="L1368" s="14">
        <v>1602.39</v>
      </c>
      <c r="M1368" s="4" t="str">
        <f t="shared" si="84"/>
        <v>domingo</v>
      </c>
      <c r="N1368" s="4" t="str">
        <f t="shared" si="85"/>
        <v>junio</v>
      </c>
      <c r="O1368" s="4" t="str">
        <f t="shared" si="86"/>
        <v>SI</v>
      </c>
      <c r="P1368" s="4" t="str">
        <f t="shared" si="87"/>
        <v>SI</v>
      </c>
      <c r="Q1368" s="4" t="str" cm="1">
        <f t="array" ref="Q1368">_xlfn.IFS(AND(H1368&gt;=0,H1368&lt;=3333),"Grupo 1",AND(H1368&gt;3333,H1368&lt;=6666),"Grupo 2",AND(H1368&gt;6666,H1368&lt;=10000),"Grupo 3")</f>
        <v>Grupo 3</v>
      </c>
    </row>
    <row r="1369" spans="1:17" x14ac:dyDescent="0.25">
      <c r="A1369" t="s">
        <v>179</v>
      </c>
      <c r="B1369" s="2">
        <v>45035.472916666673</v>
      </c>
      <c r="C1369" t="s">
        <v>341</v>
      </c>
      <c r="D1369" t="s">
        <v>213</v>
      </c>
      <c r="E1369">
        <v>2</v>
      </c>
      <c r="F1369">
        <v>714.55</v>
      </c>
      <c r="G1369" t="s">
        <v>221</v>
      </c>
      <c r="H1369">
        <v>1429.1</v>
      </c>
      <c r="I1369">
        <v>2023</v>
      </c>
      <c r="J1369">
        <v>4</v>
      </c>
      <c r="K1369">
        <v>11</v>
      </c>
      <c r="L1369" s="14">
        <v>714.55</v>
      </c>
      <c r="M1369" s="4" t="str">
        <f t="shared" si="84"/>
        <v>miércoles</v>
      </c>
      <c r="N1369" s="4" t="str">
        <f t="shared" si="85"/>
        <v>abril</v>
      </c>
      <c r="O1369" s="4" t="str">
        <f t="shared" si="86"/>
        <v>NO</v>
      </c>
      <c r="P1369" s="4" t="str">
        <f t="shared" si="87"/>
        <v>NO</v>
      </c>
      <c r="Q1369" s="4" t="str" cm="1">
        <f t="array" ref="Q1369">_xlfn.IFS(AND(H1369&gt;=0,H1369&lt;=3333),"Grupo 1",AND(H1369&gt;3333,H1369&lt;=6666),"Grupo 2",AND(H1369&gt;6666,H1369&lt;=10000),"Grupo 3")</f>
        <v>Grupo 1</v>
      </c>
    </row>
    <row r="1370" spans="1:17" x14ac:dyDescent="0.25">
      <c r="A1370" t="s">
        <v>180</v>
      </c>
      <c r="B1370" s="2">
        <v>45836.104166666657</v>
      </c>
      <c r="C1370" t="s">
        <v>342</v>
      </c>
      <c r="D1370" t="s">
        <v>214</v>
      </c>
      <c r="E1370">
        <v>2</v>
      </c>
      <c r="F1370">
        <v>140.54</v>
      </c>
      <c r="G1370" t="s">
        <v>222</v>
      </c>
      <c r="H1370">
        <v>281.08</v>
      </c>
      <c r="I1370">
        <v>2025</v>
      </c>
      <c r="J1370">
        <v>6</v>
      </c>
      <c r="K1370">
        <v>2</v>
      </c>
      <c r="L1370" s="14">
        <v>140.54</v>
      </c>
      <c r="M1370" s="4" t="str">
        <f t="shared" si="84"/>
        <v>sábado</v>
      </c>
      <c r="N1370" s="4" t="str">
        <f t="shared" si="85"/>
        <v>junio</v>
      </c>
      <c r="O1370" s="4" t="str">
        <f t="shared" si="86"/>
        <v>NO</v>
      </c>
      <c r="P1370" s="4" t="str">
        <f t="shared" si="87"/>
        <v>NO</v>
      </c>
      <c r="Q1370" s="4" t="str" cm="1">
        <f t="array" ref="Q1370">_xlfn.IFS(AND(H1370&gt;=0,H1370&lt;=3333),"Grupo 1",AND(H1370&gt;3333,H1370&lt;=6666),"Grupo 2",AND(H1370&gt;6666,H1370&lt;=10000),"Grupo 3")</f>
        <v>Grupo 1</v>
      </c>
    </row>
    <row r="1371" spans="1:17" x14ac:dyDescent="0.25">
      <c r="A1371" t="s">
        <v>181</v>
      </c>
      <c r="B1371" s="2">
        <v>45584.553472222222</v>
      </c>
      <c r="C1371" t="s">
        <v>343</v>
      </c>
      <c r="D1371" t="s">
        <v>218</v>
      </c>
      <c r="E1371">
        <v>5</v>
      </c>
      <c r="F1371">
        <v>286.87</v>
      </c>
      <c r="G1371" t="s">
        <v>221</v>
      </c>
      <c r="H1371">
        <v>1434.35</v>
      </c>
      <c r="I1371">
        <v>2024</v>
      </c>
      <c r="J1371">
        <v>10</v>
      </c>
      <c r="K1371">
        <v>13</v>
      </c>
      <c r="L1371" s="14">
        <v>286.87</v>
      </c>
      <c r="M1371" s="4" t="str">
        <f t="shared" si="84"/>
        <v>sábado</v>
      </c>
      <c r="N1371" s="4" t="str">
        <f t="shared" si="85"/>
        <v>octubre</v>
      </c>
      <c r="O1371" s="4" t="str">
        <f t="shared" si="86"/>
        <v>NO</v>
      </c>
      <c r="P1371" s="4" t="str">
        <f t="shared" si="87"/>
        <v>NO</v>
      </c>
      <c r="Q1371" s="4" t="str" cm="1">
        <f t="array" ref="Q1371">_xlfn.IFS(AND(H1371&gt;=0,H1371&lt;=3333),"Grupo 1",AND(H1371&gt;3333,H1371&lt;=6666),"Grupo 2",AND(H1371&gt;6666,H1371&lt;=10000),"Grupo 3")</f>
        <v>Grupo 1</v>
      </c>
    </row>
    <row r="1372" spans="1:17" x14ac:dyDescent="0.25">
      <c r="A1372" t="s">
        <v>182</v>
      </c>
      <c r="B1372" s="2">
        <v>45338.585416666669</v>
      </c>
      <c r="C1372" t="s">
        <v>344</v>
      </c>
      <c r="D1372" t="s">
        <v>216</v>
      </c>
      <c r="E1372">
        <v>5</v>
      </c>
      <c r="F1372">
        <v>1897.97</v>
      </c>
      <c r="G1372" t="s">
        <v>221</v>
      </c>
      <c r="H1372">
        <v>9489.85</v>
      </c>
      <c r="I1372">
        <v>2024</v>
      </c>
      <c r="J1372">
        <v>2</v>
      </c>
      <c r="K1372">
        <v>14</v>
      </c>
      <c r="L1372" s="14">
        <v>1897.97</v>
      </c>
      <c r="M1372" s="4" t="str">
        <f t="shared" si="84"/>
        <v>viernes</v>
      </c>
      <c r="N1372" s="4" t="str">
        <f t="shared" si="85"/>
        <v>febrero</v>
      </c>
      <c r="O1372" s="4" t="str">
        <f t="shared" si="86"/>
        <v>SI</v>
      </c>
      <c r="P1372" s="4" t="str">
        <f t="shared" si="87"/>
        <v>SI</v>
      </c>
      <c r="Q1372" s="4" t="str" cm="1">
        <f t="array" ref="Q1372">_xlfn.IFS(AND(H1372&gt;=0,H1372&lt;=3333),"Grupo 1",AND(H1372&gt;3333,H1372&lt;=6666),"Grupo 2",AND(H1372&gt;6666,H1372&lt;=10000),"Grupo 3")</f>
        <v>Grupo 3</v>
      </c>
    </row>
    <row r="1373" spans="1:17" x14ac:dyDescent="0.25">
      <c r="A1373" t="s">
        <v>183</v>
      </c>
      <c r="B1373" s="2">
        <v>45625.480555555558</v>
      </c>
      <c r="C1373" t="s">
        <v>345</v>
      </c>
      <c r="D1373" t="s">
        <v>213</v>
      </c>
      <c r="E1373">
        <v>2</v>
      </c>
      <c r="F1373">
        <v>587.71</v>
      </c>
      <c r="G1373" t="s">
        <v>221</v>
      </c>
      <c r="H1373">
        <v>1175.42</v>
      </c>
      <c r="I1373">
        <v>2024</v>
      </c>
      <c r="J1373">
        <v>11</v>
      </c>
      <c r="K1373">
        <v>11</v>
      </c>
      <c r="L1373" s="14">
        <v>587.71</v>
      </c>
      <c r="M1373" s="4" t="str">
        <f t="shared" si="84"/>
        <v>viernes</v>
      </c>
      <c r="N1373" s="4" t="str">
        <f t="shared" si="85"/>
        <v>noviembre</v>
      </c>
      <c r="O1373" s="4" t="str">
        <f t="shared" si="86"/>
        <v>NO</v>
      </c>
      <c r="P1373" s="4" t="str">
        <f t="shared" si="87"/>
        <v>NO</v>
      </c>
      <c r="Q1373" s="4" t="str" cm="1">
        <f t="array" ref="Q1373">_xlfn.IFS(AND(H1373&gt;=0,H1373&lt;=3333),"Grupo 1",AND(H1373&gt;3333,H1373&lt;=6666),"Grupo 2",AND(H1373&gt;6666,H1373&lt;=10000),"Grupo 3")</f>
        <v>Grupo 1</v>
      </c>
    </row>
    <row r="1374" spans="1:17" x14ac:dyDescent="0.25">
      <c r="A1374" t="s">
        <v>184</v>
      </c>
      <c r="B1374" s="2">
        <v>45291</v>
      </c>
      <c r="C1374" t="s">
        <v>346</v>
      </c>
      <c r="D1374" t="s">
        <v>216</v>
      </c>
      <c r="E1374">
        <v>4</v>
      </c>
      <c r="F1374">
        <v>895.13</v>
      </c>
      <c r="G1374" t="s">
        <v>221</v>
      </c>
      <c r="H1374">
        <v>3580.52</v>
      </c>
      <c r="I1374">
        <v>2023</v>
      </c>
      <c r="J1374">
        <v>12</v>
      </c>
      <c r="K1374">
        <v>0</v>
      </c>
      <c r="L1374" s="14">
        <v>895.13</v>
      </c>
      <c r="M1374" s="4" t="str">
        <f t="shared" si="84"/>
        <v>domingo</v>
      </c>
      <c r="N1374" s="4" t="str">
        <f t="shared" si="85"/>
        <v>diciembre</v>
      </c>
      <c r="O1374" s="4" t="str">
        <f t="shared" si="86"/>
        <v>SI</v>
      </c>
      <c r="P1374" s="4" t="str">
        <f t="shared" si="87"/>
        <v>NO</v>
      </c>
      <c r="Q1374" s="4" t="str" cm="1">
        <f t="array" ref="Q1374">_xlfn.IFS(AND(H1374&gt;=0,H1374&lt;=3333),"Grupo 1",AND(H1374&gt;3333,H1374&lt;=6666),"Grupo 2",AND(H1374&gt;6666,H1374&lt;=10000),"Grupo 3")</f>
        <v>Grupo 2</v>
      </c>
    </row>
    <row r="1375" spans="1:17" x14ac:dyDescent="0.25">
      <c r="A1375" t="s">
        <v>185</v>
      </c>
      <c r="B1375" s="2">
        <v>45548.488194444442</v>
      </c>
      <c r="C1375" t="s">
        <v>347</v>
      </c>
      <c r="D1375" t="s">
        <v>215</v>
      </c>
      <c r="E1375">
        <v>3</v>
      </c>
      <c r="F1375">
        <v>1457.35</v>
      </c>
      <c r="G1375" t="s">
        <v>220</v>
      </c>
      <c r="H1375">
        <v>4372.0499999999993</v>
      </c>
      <c r="I1375">
        <v>2024</v>
      </c>
      <c r="J1375">
        <v>9</v>
      </c>
      <c r="K1375">
        <v>11</v>
      </c>
      <c r="L1375" s="14">
        <v>1457.35</v>
      </c>
      <c r="M1375" s="4" t="str">
        <f t="shared" si="84"/>
        <v>viernes</v>
      </c>
      <c r="N1375" s="4" t="str">
        <f t="shared" si="85"/>
        <v>septiembre</v>
      </c>
      <c r="O1375" s="4" t="str">
        <f t="shared" si="86"/>
        <v>SI</v>
      </c>
      <c r="P1375" s="4" t="str">
        <f t="shared" si="87"/>
        <v>SI</v>
      </c>
      <c r="Q1375" s="4" t="str" cm="1">
        <f t="array" ref="Q1375">_xlfn.IFS(AND(H1375&gt;=0,H1375&lt;=3333),"Grupo 1",AND(H1375&gt;3333,H1375&lt;=6666),"Grupo 2",AND(H1375&gt;6666,H1375&lt;=10000),"Grupo 3")</f>
        <v>Grupo 2</v>
      </c>
    </row>
    <row r="1376" spans="1:17" x14ac:dyDescent="0.25">
      <c r="A1376" t="s">
        <v>186</v>
      </c>
      <c r="B1376" s="2">
        <v>45540.261805555558</v>
      </c>
      <c r="C1376" t="s">
        <v>348</v>
      </c>
      <c r="D1376" t="s">
        <v>214</v>
      </c>
      <c r="E1376">
        <v>3</v>
      </c>
      <c r="F1376">
        <v>1083.32</v>
      </c>
      <c r="G1376" t="s">
        <v>222</v>
      </c>
      <c r="H1376">
        <v>3249.96</v>
      </c>
      <c r="I1376">
        <v>2024</v>
      </c>
      <c r="J1376">
        <v>9</v>
      </c>
      <c r="K1376">
        <v>6</v>
      </c>
      <c r="L1376" s="14">
        <v>1083.32</v>
      </c>
      <c r="M1376" s="4" t="str">
        <f t="shared" si="84"/>
        <v>jueves</v>
      </c>
      <c r="N1376" s="4" t="str">
        <f t="shared" si="85"/>
        <v>septiembre</v>
      </c>
      <c r="O1376" s="4" t="str">
        <f t="shared" si="86"/>
        <v>SI</v>
      </c>
      <c r="P1376" s="4" t="str">
        <f t="shared" si="87"/>
        <v>SI</v>
      </c>
      <c r="Q1376" s="4" t="str" cm="1">
        <f t="array" ref="Q1376">_xlfn.IFS(AND(H1376&gt;=0,H1376&lt;=3333),"Grupo 1",AND(H1376&gt;3333,H1376&lt;=6666),"Grupo 2",AND(H1376&gt;6666,H1376&lt;=10000),"Grupo 3")</f>
        <v>Grupo 1</v>
      </c>
    </row>
    <row r="1377" spans="1:17" x14ac:dyDescent="0.25">
      <c r="A1377" t="s">
        <v>187</v>
      </c>
      <c r="B1377" s="2">
        <v>45783.684027777781</v>
      </c>
      <c r="C1377" t="s">
        <v>349</v>
      </c>
      <c r="D1377" t="s">
        <v>217</v>
      </c>
      <c r="E1377">
        <v>3</v>
      </c>
      <c r="F1377">
        <v>1542.71</v>
      </c>
      <c r="G1377" t="s">
        <v>220</v>
      </c>
      <c r="H1377">
        <v>4628.13</v>
      </c>
      <c r="I1377">
        <v>2025</v>
      </c>
      <c r="J1377">
        <v>5</v>
      </c>
      <c r="K1377">
        <v>16</v>
      </c>
      <c r="L1377" s="14">
        <v>1542.71</v>
      </c>
      <c r="M1377" s="4" t="str">
        <f t="shared" si="84"/>
        <v>martes</v>
      </c>
      <c r="N1377" s="4" t="str">
        <f t="shared" si="85"/>
        <v>mayo</v>
      </c>
      <c r="O1377" s="4" t="str">
        <f t="shared" si="86"/>
        <v>SI</v>
      </c>
      <c r="P1377" s="4" t="str">
        <f t="shared" si="87"/>
        <v>SI</v>
      </c>
      <c r="Q1377" s="4" t="str" cm="1">
        <f t="array" ref="Q1377">_xlfn.IFS(AND(H1377&gt;=0,H1377&lt;=3333),"Grupo 1",AND(H1377&gt;3333,H1377&lt;=6666),"Grupo 2",AND(H1377&gt;6666,H1377&lt;=10000),"Grupo 3")</f>
        <v>Grupo 2</v>
      </c>
    </row>
    <row r="1378" spans="1:17" x14ac:dyDescent="0.25">
      <c r="A1378" t="s">
        <v>188</v>
      </c>
      <c r="B1378" s="2">
        <v>45692.470138888893</v>
      </c>
      <c r="C1378" t="s">
        <v>350</v>
      </c>
      <c r="D1378" t="s">
        <v>215</v>
      </c>
      <c r="E1378">
        <v>5</v>
      </c>
      <c r="F1378">
        <v>723.8</v>
      </c>
      <c r="G1378" t="s">
        <v>220</v>
      </c>
      <c r="H1378">
        <v>3619</v>
      </c>
      <c r="I1378">
        <v>2025</v>
      </c>
      <c r="J1378">
        <v>2</v>
      </c>
      <c r="K1378">
        <v>11</v>
      </c>
      <c r="L1378" s="14">
        <v>723.8</v>
      </c>
      <c r="M1378" s="4" t="str">
        <f t="shared" si="84"/>
        <v>martes</v>
      </c>
      <c r="N1378" s="4" t="str">
        <f t="shared" si="85"/>
        <v>febrero</v>
      </c>
      <c r="O1378" s="4" t="str">
        <f t="shared" si="86"/>
        <v>SI</v>
      </c>
      <c r="P1378" s="4" t="str">
        <f t="shared" si="87"/>
        <v>NO</v>
      </c>
      <c r="Q1378" s="4" t="str" cm="1">
        <f t="array" ref="Q1378">_xlfn.IFS(AND(H1378&gt;=0,H1378&lt;=3333),"Grupo 1",AND(H1378&gt;3333,H1378&lt;=6666),"Grupo 2",AND(H1378&gt;6666,H1378&lt;=10000),"Grupo 3")</f>
        <v>Grupo 2</v>
      </c>
    </row>
    <row r="1379" spans="1:17" x14ac:dyDescent="0.25">
      <c r="A1379" t="s">
        <v>189</v>
      </c>
      <c r="B1379" s="2">
        <v>45186.410416666673</v>
      </c>
      <c r="C1379" t="s">
        <v>351</v>
      </c>
      <c r="D1379" t="s">
        <v>213</v>
      </c>
      <c r="E1379">
        <v>5</v>
      </c>
      <c r="F1379">
        <v>179.97</v>
      </c>
      <c r="G1379" t="s">
        <v>221</v>
      </c>
      <c r="H1379">
        <v>899.85</v>
      </c>
      <c r="I1379">
        <v>2023</v>
      </c>
      <c r="J1379">
        <v>9</v>
      </c>
      <c r="K1379">
        <v>9</v>
      </c>
      <c r="L1379" s="14">
        <v>179.97</v>
      </c>
      <c r="M1379" s="4" t="str">
        <f t="shared" si="84"/>
        <v>domingo</v>
      </c>
      <c r="N1379" s="4" t="str">
        <f t="shared" si="85"/>
        <v>septiembre</v>
      </c>
      <c r="O1379" s="4" t="str">
        <f t="shared" si="86"/>
        <v>NO</v>
      </c>
      <c r="P1379" s="4" t="str">
        <f t="shared" si="87"/>
        <v>NO</v>
      </c>
      <c r="Q1379" s="4" t="str" cm="1">
        <f t="array" ref="Q1379">_xlfn.IFS(AND(H1379&gt;=0,H1379&lt;=3333),"Grupo 1",AND(H1379&gt;3333,H1379&lt;=6666),"Grupo 2",AND(H1379&gt;6666,H1379&lt;=10000),"Grupo 3")</f>
        <v>Grupo 1</v>
      </c>
    </row>
    <row r="1380" spans="1:17" x14ac:dyDescent="0.25">
      <c r="A1380" t="s">
        <v>190</v>
      </c>
      <c r="B1380" s="2">
        <v>45539.616666666669</v>
      </c>
      <c r="C1380" t="s">
        <v>352</v>
      </c>
      <c r="D1380" t="s">
        <v>217</v>
      </c>
      <c r="E1380">
        <v>1</v>
      </c>
      <c r="F1380">
        <v>1318.43</v>
      </c>
      <c r="G1380" t="s">
        <v>220</v>
      </c>
      <c r="H1380">
        <v>1318.43</v>
      </c>
      <c r="I1380">
        <v>2024</v>
      </c>
      <c r="J1380">
        <v>9</v>
      </c>
      <c r="K1380">
        <v>14</v>
      </c>
      <c r="L1380" s="14">
        <v>1318.43</v>
      </c>
      <c r="M1380" s="4" t="str">
        <f t="shared" si="84"/>
        <v>miércoles</v>
      </c>
      <c r="N1380" s="4" t="str">
        <f t="shared" si="85"/>
        <v>septiembre</v>
      </c>
      <c r="O1380" s="4" t="str">
        <f t="shared" si="86"/>
        <v>NO</v>
      </c>
      <c r="P1380" s="4" t="str">
        <f t="shared" si="87"/>
        <v>SI</v>
      </c>
      <c r="Q1380" s="4" t="str" cm="1">
        <f t="array" ref="Q1380">_xlfn.IFS(AND(H1380&gt;=0,H1380&lt;=3333),"Grupo 1",AND(H1380&gt;3333,H1380&lt;=6666),"Grupo 2",AND(H1380&gt;6666,H1380&lt;=10000),"Grupo 3")</f>
        <v>Grupo 1</v>
      </c>
    </row>
    <row r="1381" spans="1:17" x14ac:dyDescent="0.25">
      <c r="A1381" t="s">
        <v>191</v>
      </c>
      <c r="B1381" s="2">
        <v>45073.392361111109</v>
      </c>
      <c r="C1381" t="s">
        <v>353</v>
      </c>
      <c r="D1381" t="s">
        <v>215</v>
      </c>
      <c r="E1381">
        <v>2</v>
      </c>
      <c r="F1381">
        <v>307.37</v>
      </c>
      <c r="G1381" t="s">
        <v>220</v>
      </c>
      <c r="H1381">
        <v>614.74</v>
      </c>
      <c r="I1381">
        <v>2023</v>
      </c>
      <c r="J1381">
        <v>5</v>
      </c>
      <c r="K1381">
        <v>9</v>
      </c>
      <c r="L1381" s="14">
        <v>307.37</v>
      </c>
      <c r="M1381" s="4" t="str">
        <f t="shared" si="84"/>
        <v>sábado</v>
      </c>
      <c r="N1381" s="4" t="str">
        <f t="shared" si="85"/>
        <v>mayo</v>
      </c>
      <c r="O1381" s="4" t="str">
        <f t="shared" si="86"/>
        <v>NO</v>
      </c>
      <c r="P1381" s="4" t="str">
        <f t="shared" si="87"/>
        <v>NO</v>
      </c>
      <c r="Q1381" s="4" t="str" cm="1">
        <f t="array" ref="Q1381">_xlfn.IFS(AND(H1381&gt;=0,H1381&lt;=3333),"Grupo 1",AND(H1381&gt;3333,H1381&lt;=6666),"Grupo 2",AND(H1381&gt;6666,H1381&lt;=10000),"Grupo 3")</f>
        <v>Grupo 1</v>
      </c>
    </row>
    <row r="1382" spans="1:17" x14ac:dyDescent="0.25">
      <c r="A1382" t="s">
        <v>192</v>
      </c>
      <c r="B1382" s="2">
        <v>45287.277777777781</v>
      </c>
      <c r="C1382" t="s">
        <v>354</v>
      </c>
      <c r="D1382" t="s">
        <v>214</v>
      </c>
      <c r="E1382">
        <v>1</v>
      </c>
      <c r="F1382">
        <v>1364.97</v>
      </c>
      <c r="G1382" t="s">
        <v>222</v>
      </c>
      <c r="H1382">
        <v>1364.97</v>
      </c>
      <c r="I1382">
        <v>2023</v>
      </c>
      <c r="J1382">
        <v>12</v>
      </c>
      <c r="K1382">
        <v>6</v>
      </c>
      <c r="L1382" s="14">
        <v>1364.97</v>
      </c>
      <c r="M1382" s="4" t="str">
        <f t="shared" si="84"/>
        <v>miércoles</v>
      </c>
      <c r="N1382" s="4" t="str">
        <f t="shared" si="85"/>
        <v>diciembre</v>
      </c>
      <c r="O1382" s="4" t="str">
        <f t="shared" si="86"/>
        <v>NO</v>
      </c>
      <c r="P1382" s="4" t="str">
        <f t="shared" si="87"/>
        <v>SI</v>
      </c>
      <c r="Q1382" s="4" t="str" cm="1">
        <f t="array" ref="Q1382">_xlfn.IFS(AND(H1382&gt;=0,H1382&lt;=3333),"Grupo 1",AND(H1382&gt;3333,H1382&lt;=6666),"Grupo 2",AND(H1382&gt;6666,H1382&lt;=10000),"Grupo 3")</f>
        <v>Grupo 1</v>
      </c>
    </row>
    <row r="1383" spans="1:17" x14ac:dyDescent="0.25">
      <c r="A1383" t="s">
        <v>193</v>
      </c>
      <c r="B1383" s="2">
        <v>45398.678472222222</v>
      </c>
      <c r="C1383" t="s">
        <v>355</v>
      </c>
      <c r="D1383" t="s">
        <v>219</v>
      </c>
      <c r="E1383">
        <v>3</v>
      </c>
      <c r="F1383">
        <v>244.23</v>
      </c>
      <c r="G1383" t="s">
        <v>221</v>
      </c>
      <c r="H1383">
        <v>732.68999999999994</v>
      </c>
      <c r="I1383">
        <v>2024</v>
      </c>
      <c r="J1383">
        <v>4</v>
      </c>
      <c r="K1383">
        <v>16</v>
      </c>
      <c r="L1383" s="14">
        <v>244.23</v>
      </c>
      <c r="M1383" s="4" t="str">
        <f t="shared" si="84"/>
        <v>martes</v>
      </c>
      <c r="N1383" s="4" t="str">
        <f t="shared" si="85"/>
        <v>abril</v>
      </c>
      <c r="O1383" s="4" t="str">
        <f t="shared" si="86"/>
        <v>NO</v>
      </c>
      <c r="P1383" s="4" t="str">
        <f t="shared" si="87"/>
        <v>NO</v>
      </c>
      <c r="Q1383" s="4" t="str" cm="1">
        <f t="array" ref="Q1383">_xlfn.IFS(AND(H1383&gt;=0,H1383&lt;=3333),"Grupo 1",AND(H1383&gt;3333,H1383&lt;=6666),"Grupo 2",AND(H1383&gt;6666,H1383&lt;=10000),"Grupo 3")</f>
        <v>Grupo 1</v>
      </c>
    </row>
    <row r="1384" spans="1:17" x14ac:dyDescent="0.25">
      <c r="A1384" t="s">
        <v>194</v>
      </c>
      <c r="B1384" s="2">
        <v>44949.395833333343</v>
      </c>
      <c r="C1384" t="s">
        <v>356</v>
      </c>
      <c r="D1384" t="s">
        <v>216</v>
      </c>
      <c r="E1384">
        <v>3</v>
      </c>
      <c r="F1384">
        <v>245.64</v>
      </c>
      <c r="G1384" t="s">
        <v>221</v>
      </c>
      <c r="H1384">
        <v>736.92</v>
      </c>
      <c r="I1384">
        <v>2023</v>
      </c>
      <c r="J1384">
        <v>1</v>
      </c>
      <c r="K1384">
        <v>9</v>
      </c>
      <c r="L1384" s="14">
        <v>245.64</v>
      </c>
      <c r="M1384" s="4" t="str">
        <f t="shared" si="84"/>
        <v>lunes</v>
      </c>
      <c r="N1384" s="4" t="str">
        <f t="shared" si="85"/>
        <v>enero</v>
      </c>
      <c r="O1384" s="4" t="str">
        <f t="shared" si="86"/>
        <v>NO</v>
      </c>
      <c r="P1384" s="4" t="str">
        <f t="shared" si="87"/>
        <v>NO</v>
      </c>
      <c r="Q1384" s="4" t="str" cm="1">
        <f t="array" ref="Q1384">_xlfn.IFS(AND(H1384&gt;=0,H1384&lt;=3333),"Grupo 1",AND(H1384&gt;3333,H1384&lt;=6666),"Grupo 2",AND(H1384&gt;6666,H1384&lt;=10000),"Grupo 3")</f>
        <v>Grupo 1</v>
      </c>
    </row>
    <row r="1385" spans="1:17" x14ac:dyDescent="0.25">
      <c r="A1385" t="s">
        <v>195</v>
      </c>
      <c r="B1385" s="2">
        <v>45560.538194444453</v>
      </c>
      <c r="C1385" t="s">
        <v>357</v>
      </c>
      <c r="D1385" t="s">
        <v>216</v>
      </c>
      <c r="E1385">
        <v>1</v>
      </c>
      <c r="F1385">
        <v>1501.34</v>
      </c>
      <c r="G1385" t="s">
        <v>221</v>
      </c>
      <c r="H1385">
        <v>1501.34</v>
      </c>
      <c r="I1385">
        <v>2024</v>
      </c>
      <c r="J1385">
        <v>9</v>
      </c>
      <c r="K1385">
        <v>12</v>
      </c>
      <c r="L1385" s="14">
        <v>1501.34</v>
      </c>
      <c r="M1385" s="4" t="str">
        <f t="shared" si="84"/>
        <v>miércoles</v>
      </c>
      <c r="N1385" s="4" t="str">
        <f t="shared" si="85"/>
        <v>septiembre</v>
      </c>
      <c r="O1385" s="4" t="str">
        <f t="shared" si="86"/>
        <v>NO</v>
      </c>
      <c r="P1385" s="4" t="str">
        <f t="shared" si="87"/>
        <v>SI</v>
      </c>
      <c r="Q1385" s="4" t="str" cm="1">
        <f t="array" ref="Q1385">_xlfn.IFS(AND(H1385&gt;=0,H1385&lt;=3333),"Grupo 1",AND(H1385&gt;3333,H1385&lt;=6666),"Grupo 2",AND(H1385&gt;6666,H1385&lt;=10000),"Grupo 3")</f>
        <v>Grupo 1</v>
      </c>
    </row>
    <row r="1386" spans="1:17" x14ac:dyDescent="0.25">
      <c r="A1386" t="s">
        <v>196</v>
      </c>
      <c r="B1386" s="2">
        <v>45636.231249999997</v>
      </c>
      <c r="C1386" t="s">
        <v>358</v>
      </c>
      <c r="D1386" t="s">
        <v>213</v>
      </c>
      <c r="E1386">
        <v>4</v>
      </c>
      <c r="F1386">
        <v>995.18</v>
      </c>
      <c r="G1386" t="s">
        <v>221</v>
      </c>
      <c r="H1386">
        <v>3980.72</v>
      </c>
      <c r="I1386">
        <v>2024</v>
      </c>
      <c r="J1386">
        <v>12</v>
      </c>
      <c r="K1386">
        <v>5</v>
      </c>
      <c r="L1386" s="14">
        <v>995.18</v>
      </c>
      <c r="M1386" s="4" t="str">
        <f t="shared" si="84"/>
        <v>martes</v>
      </c>
      <c r="N1386" s="4" t="str">
        <f t="shared" si="85"/>
        <v>diciembre</v>
      </c>
      <c r="O1386" s="4" t="str">
        <f t="shared" si="86"/>
        <v>SI</v>
      </c>
      <c r="P1386" s="4" t="str">
        <f t="shared" si="87"/>
        <v>SI</v>
      </c>
      <c r="Q1386" s="4" t="str" cm="1">
        <f t="array" ref="Q1386">_xlfn.IFS(AND(H1386&gt;=0,H1386&lt;=3333),"Grupo 1",AND(H1386&gt;3333,H1386&lt;=6666),"Grupo 2",AND(H1386&gt;6666,H1386&lt;=10000),"Grupo 3")</f>
        <v>Grupo 2</v>
      </c>
    </row>
    <row r="1387" spans="1:17" x14ac:dyDescent="0.25">
      <c r="A1387" t="s">
        <v>197</v>
      </c>
      <c r="B1387" s="2">
        <v>45218.252083333333</v>
      </c>
      <c r="C1387" t="s">
        <v>359</v>
      </c>
      <c r="D1387" t="s">
        <v>213</v>
      </c>
      <c r="E1387">
        <v>2</v>
      </c>
      <c r="F1387">
        <v>1834.72</v>
      </c>
      <c r="G1387" t="s">
        <v>221</v>
      </c>
      <c r="H1387">
        <v>3669.44</v>
      </c>
      <c r="I1387">
        <v>2023</v>
      </c>
      <c r="J1387">
        <v>10</v>
      </c>
      <c r="K1387">
        <v>6</v>
      </c>
      <c r="L1387" s="14">
        <v>1834.72</v>
      </c>
      <c r="M1387" s="4" t="str">
        <f t="shared" si="84"/>
        <v>jueves</v>
      </c>
      <c r="N1387" s="4" t="str">
        <f t="shared" si="85"/>
        <v>octubre</v>
      </c>
      <c r="O1387" s="4" t="str">
        <f t="shared" si="86"/>
        <v>SI</v>
      </c>
      <c r="P1387" s="4" t="str">
        <f t="shared" si="87"/>
        <v>SI</v>
      </c>
      <c r="Q1387" s="4" t="str" cm="1">
        <f t="array" ref="Q1387">_xlfn.IFS(AND(H1387&gt;=0,H1387&lt;=3333),"Grupo 1",AND(H1387&gt;3333,H1387&lt;=6666),"Grupo 2",AND(H1387&gt;6666,H1387&lt;=10000),"Grupo 3")</f>
        <v>Grupo 2</v>
      </c>
    </row>
    <row r="1388" spans="1:17" x14ac:dyDescent="0.25">
      <c r="A1388" t="s">
        <v>198</v>
      </c>
      <c r="B1388" s="2">
        <v>45615.827777777777</v>
      </c>
      <c r="C1388" t="s">
        <v>261</v>
      </c>
      <c r="D1388" t="s">
        <v>219</v>
      </c>
      <c r="E1388">
        <v>2</v>
      </c>
      <c r="F1388">
        <v>1942.31</v>
      </c>
      <c r="G1388" t="s">
        <v>221</v>
      </c>
      <c r="H1388">
        <v>3884.62</v>
      </c>
      <c r="I1388">
        <v>2024</v>
      </c>
      <c r="J1388">
        <v>11</v>
      </c>
      <c r="K1388">
        <v>19</v>
      </c>
      <c r="L1388" s="14">
        <v>1942.31</v>
      </c>
      <c r="M1388" s="4" t="str">
        <f t="shared" si="84"/>
        <v>martes</v>
      </c>
      <c r="N1388" s="4" t="str">
        <f t="shared" si="85"/>
        <v>noviembre</v>
      </c>
      <c r="O1388" s="4" t="str">
        <f t="shared" si="86"/>
        <v>SI</v>
      </c>
      <c r="P1388" s="4" t="str">
        <f t="shared" si="87"/>
        <v>SI</v>
      </c>
      <c r="Q1388" s="4" t="str" cm="1">
        <f t="array" ref="Q1388">_xlfn.IFS(AND(H1388&gt;=0,H1388&lt;=3333),"Grupo 1",AND(H1388&gt;3333,H1388&lt;=6666),"Grupo 2",AND(H1388&gt;6666,H1388&lt;=10000),"Grupo 3")</f>
        <v>Grupo 2</v>
      </c>
    </row>
    <row r="1389" spans="1:17" x14ac:dyDescent="0.25">
      <c r="A1389" t="s">
        <v>199</v>
      </c>
      <c r="B1389" s="2">
        <v>45755.705555555563</v>
      </c>
      <c r="C1389" t="s">
        <v>262</v>
      </c>
      <c r="D1389" t="s">
        <v>219</v>
      </c>
      <c r="E1389">
        <v>3</v>
      </c>
      <c r="F1389">
        <v>1025.57</v>
      </c>
      <c r="G1389" t="s">
        <v>221</v>
      </c>
      <c r="H1389">
        <v>3076.71</v>
      </c>
      <c r="I1389">
        <v>2025</v>
      </c>
      <c r="J1389">
        <v>4</v>
      </c>
      <c r="K1389">
        <v>16</v>
      </c>
      <c r="L1389" s="14">
        <v>1025.57</v>
      </c>
      <c r="M1389" s="4" t="str">
        <f t="shared" si="84"/>
        <v>martes</v>
      </c>
      <c r="N1389" s="4" t="str">
        <f t="shared" si="85"/>
        <v>abril</v>
      </c>
      <c r="O1389" s="4" t="str">
        <f t="shared" si="86"/>
        <v>SI</v>
      </c>
      <c r="P1389" s="4" t="str">
        <f t="shared" si="87"/>
        <v>SI</v>
      </c>
      <c r="Q1389" s="4" t="str" cm="1">
        <f t="array" ref="Q1389">_xlfn.IFS(AND(H1389&gt;=0,H1389&lt;=3333),"Grupo 1",AND(H1389&gt;3333,H1389&lt;=6666),"Grupo 2",AND(H1389&gt;6666,H1389&lt;=10000),"Grupo 3")</f>
        <v>Grupo 1</v>
      </c>
    </row>
    <row r="1390" spans="1:17" x14ac:dyDescent="0.25">
      <c r="A1390" t="s">
        <v>200</v>
      </c>
      <c r="B1390" s="2">
        <v>44962.009722222218</v>
      </c>
      <c r="C1390" t="s">
        <v>263</v>
      </c>
      <c r="D1390" t="s">
        <v>215</v>
      </c>
      <c r="E1390">
        <v>4</v>
      </c>
      <c r="F1390">
        <v>555.19000000000005</v>
      </c>
      <c r="G1390" t="s">
        <v>220</v>
      </c>
      <c r="H1390">
        <v>2220.7600000000002</v>
      </c>
      <c r="I1390">
        <v>2023</v>
      </c>
      <c r="J1390">
        <v>2</v>
      </c>
      <c r="K1390">
        <v>0</v>
      </c>
      <c r="L1390" s="14">
        <v>555.19000000000005</v>
      </c>
      <c r="M1390" s="4" t="str">
        <f t="shared" si="84"/>
        <v>domingo</v>
      </c>
      <c r="N1390" s="4" t="str">
        <f t="shared" si="85"/>
        <v>febrero</v>
      </c>
      <c r="O1390" s="4" t="str">
        <f t="shared" si="86"/>
        <v>NO</v>
      </c>
      <c r="P1390" s="4" t="str">
        <f t="shared" si="87"/>
        <v>NO</v>
      </c>
      <c r="Q1390" s="4" t="str" cm="1">
        <f t="array" ref="Q1390">_xlfn.IFS(AND(H1390&gt;=0,H1390&lt;=3333),"Grupo 1",AND(H1390&gt;3333,H1390&lt;=6666),"Grupo 2",AND(H1390&gt;6666,H1390&lt;=10000),"Grupo 3")</f>
        <v>Grupo 1</v>
      </c>
    </row>
    <row r="1391" spans="1:17" x14ac:dyDescent="0.25">
      <c r="A1391" t="s">
        <v>201</v>
      </c>
      <c r="B1391" s="2">
        <v>45194.675000000003</v>
      </c>
      <c r="C1391" t="s">
        <v>264</v>
      </c>
      <c r="D1391" t="s">
        <v>214</v>
      </c>
      <c r="E1391">
        <v>5</v>
      </c>
      <c r="F1391">
        <v>750.82</v>
      </c>
      <c r="G1391" t="s">
        <v>222</v>
      </c>
      <c r="H1391">
        <v>3754.1</v>
      </c>
      <c r="I1391">
        <v>2023</v>
      </c>
      <c r="J1391">
        <v>9</v>
      </c>
      <c r="K1391">
        <v>16</v>
      </c>
      <c r="L1391" s="14">
        <v>750.82</v>
      </c>
      <c r="M1391" s="4" t="str">
        <f t="shared" si="84"/>
        <v>lunes</v>
      </c>
      <c r="N1391" s="4" t="str">
        <f t="shared" si="85"/>
        <v>septiembre</v>
      </c>
      <c r="O1391" s="4" t="str">
        <f t="shared" si="86"/>
        <v>SI</v>
      </c>
      <c r="P1391" s="4" t="str">
        <f t="shared" si="87"/>
        <v>NO</v>
      </c>
      <c r="Q1391" s="4" t="str" cm="1">
        <f t="array" ref="Q1391">_xlfn.IFS(AND(H1391&gt;=0,H1391&lt;=3333),"Grupo 1",AND(H1391&gt;3333,H1391&lt;=6666),"Grupo 2",AND(H1391&gt;6666,H1391&lt;=10000),"Grupo 3")</f>
        <v>Grupo 2</v>
      </c>
    </row>
    <row r="1392" spans="1:17" x14ac:dyDescent="0.25">
      <c r="A1392" t="s">
        <v>202</v>
      </c>
      <c r="B1392" s="2">
        <v>45818.179861111108</v>
      </c>
      <c r="C1392" t="s">
        <v>265</v>
      </c>
      <c r="D1392" t="s">
        <v>215</v>
      </c>
      <c r="E1392">
        <v>2</v>
      </c>
      <c r="F1392">
        <v>1609.9</v>
      </c>
      <c r="G1392" t="s">
        <v>220</v>
      </c>
      <c r="H1392">
        <v>3219.8</v>
      </c>
      <c r="I1392">
        <v>2025</v>
      </c>
      <c r="J1392">
        <v>6</v>
      </c>
      <c r="K1392">
        <v>4</v>
      </c>
      <c r="L1392" s="14">
        <v>1609.9</v>
      </c>
      <c r="M1392" s="4" t="str">
        <f t="shared" si="84"/>
        <v>martes</v>
      </c>
      <c r="N1392" s="4" t="str">
        <f t="shared" si="85"/>
        <v>junio</v>
      </c>
      <c r="O1392" s="4" t="str">
        <f t="shared" si="86"/>
        <v>SI</v>
      </c>
      <c r="P1392" s="4" t="str">
        <f t="shared" si="87"/>
        <v>SI</v>
      </c>
      <c r="Q1392" s="4" t="str" cm="1">
        <f t="array" ref="Q1392">_xlfn.IFS(AND(H1392&gt;=0,H1392&lt;=3333),"Grupo 1",AND(H1392&gt;3333,H1392&lt;=6666),"Grupo 2",AND(H1392&gt;6666,H1392&lt;=10000),"Grupo 3")</f>
        <v>Grupo 1</v>
      </c>
    </row>
    <row r="1393" spans="1:17" x14ac:dyDescent="0.25">
      <c r="A1393" t="s">
        <v>203</v>
      </c>
      <c r="B1393" s="2">
        <v>45755.011111111111</v>
      </c>
      <c r="C1393" t="s">
        <v>266</v>
      </c>
      <c r="D1393" t="s">
        <v>214</v>
      </c>
      <c r="E1393">
        <v>3</v>
      </c>
      <c r="F1393">
        <v>27.89</v>
      </c>
      <c r="G1393" t="s">
        <v>222</v>
      </c>
      <c r="H1393">
        <v>83.67</v>
      </c>
      <c r="I1393">
        <v>2025</v>
      </c>
      <c r="J1393">
        <v>4</v>
      </c>
      <c r="K1393">
        <v>0</v>
      </c>
      <c r="L1393" s="14">
        <v>27.89</v>
      </c>
      <c r="M1393" s="4" t="str">
        <f t="shared" si="84"/>
        <v>martes</v>
      </c>
      <c r="N1393" s="4" t="str">
        <f t="shared" si="85"/>
        <v>abril</v>
      </c>
      <c r="O1393" s="4" t="str">
        <f t="shared" si="86"/>
        <v>NO</v>
      </c>
      <c r="P1393" s="4" t="str">
        <f t="shared" si="87"/>
        <v>NO</v>
      </c>
      <c r="Q1393" s="4" t="str" cm="1">
        <f t="array" ref="Q1393">_xlfn.IFS(AND(H1393&gt;=0,H1393&lt;=3333),"Grupo 1",AND(H1393&gt;3333,H1393&lt;=6666),"Grupo 2",AND(H1393&gt;6666,H1393&lt;=10000),"Grupo 3")</f>
        <v>Grupo 1</v>
      </c>
    </row>
    <row r="1394" spans="1:17" x14ac:dyDescent="0.25">
      <c r="A1394" t="s">
        <v>204</v>
      </c>
      <c r="B1394" s="2">
        <v>45862.584722222222</v>
      </c>
      <c r="C1394" t="s">
        <v>267</v>
      </c>
      <c r="D1394" t="s">
        <v>219</v>
      </c>
      <c r="E1394">
        <v>1</v>
      </c>
      <c r="F1394">
        <v>1700.54</v>
      </c>
      <c r="G1394" t="s">
        <v>221</v>
      </c>
      <c r="H1394">
        <v>1700.54</v>
      </c>
      <c r="I1394">
        <v>2025</v>
      </c>
      <c r="J1394">
        <v>7</v>
      </c>
      <c r="K1394">
        <v>14</v>
      </c>
      <c r="L1394" s="14">
        <v>1700.54</v>
      </c>
      <c r="M1394" s="4" t="str">
        <f t="shared" si="84"/>
        <v>jueves</v>
      </c>
      <c r="N1394" s="4" t="str">
        <f t="shared" si="85"/>
        <v>julio</v>
      </c>
      <c r="O1394" s="4" t="str">
        <f t="shared" si="86"/>
        <v>NO</v>
      </c>
      <c r="P1394" s="4" t="str">
        <f t="shared" si="87"/>
        <v>SI</v>
      </c>
      <c r="Q1394" s="4" t="str" cm="1">
        <f t="array" ref="Q1394">_xlfn.IFS(AND(H1394&gt;=0,H1394&lt;=3333),"Grupo 1",AND(H1394&gt;3333,H1394&lt;=6666),"Grupo 2",AND(H1394&gt;6666,H1394&lt;=10000),"Grupo 3")</f>
        <v>Grupo 1</v>
      </c>
    </row>
    <row r="1395" spans="1:17" x14ac:dyDescent="0.25">
      <c r="A1395" t="s">
        <v>205</v>
      </c>
      <c r="B1395" s="2">
        <v>45802.370833333327</v>
      </c>
      <c r="C1395" t="s">
        <v>268</v>
      </c>
      <c r="D1395" t="s">
        <v>219</v>
      </c>
      <c r="E1395">
        <v>3</v>
      </c>
      <c r="F1395">
        <v>473.4</v>
      </c>
      <c r="G1395" t="s">
        <v>221</v>
      </c>
      <c r="H1395">
        <v>1420.2</v>
      </c>
      <c r="I1395">
        <v>2025</v>
      </c>
      <c r="J1395">
        <v>5</v>
      </c>
      <c r="K1395">
        <v>8</v>
      </c>
      <c r="L1395" s="14">
        <v>473.39999999999992</v>
      </c>
      <c r="M1395" s="4" t="str">
        <f t="shared" si="84"/>
        <v>domingo</v>
      </c>
      <c r="N1395" s="4" t="str">
        <f t="shared" si="85"/>
        <v>mayo</v>
      </c>
      <c r="O1395" s="4" t="str">
        <f t="shared" si="86"/>
        <v>NO</v>
      </c>
      <c r="P1395" s="4" t="str">
        <f t="shared" si="87"/>
        <v>NO</v>
      </c>
      <c r="Q1395" s="4" t="str" cm="1">
        <f t="array" ref="Q1395">_xlfn.IFS(AND(H1395&gt;=0,H1395&lt;=3333),"Grupo 1",AND(H1395&gt;3333,H1395&lt;=6666),"Grupo 2",AND(H1395&gt;6666,H1395&lt;=10000),"Grupo 3")</f>
        <v>Grupo 1</v>
      </c>
    </row>
    <row r="1396" spans="1:17" x14ac:dyDescent="0.25">
      <c r="A1396" t="s">
        <v>206</v>
      </c>
      <c r="B1396" s="2">
        <v>45178.038888888892</v>
      </c>
      <c r="C1396" t="s">
        <v>269</v>
      </c>
      <c r="D1396" t="s">
        <v>215</v>
      </c>
      <c r="E1396">
        <v>1</v>
      </c>
      <c r="F1396">
        <v>521.32000000000005</v>
      </c>
      <c r="G1396" t="s">
        <v>220</v>
      </c>
      <c r="H1396">
        <v>521.32000000000005</v>
      </c>
      <c r="I1396">
        <v>2023</v>
      </c>
      <c r="J1396">
        <v>9</v>
      </c>
      <c r="K1396">
        <v>0</v>
      </c>
      <c r="L1396" s="14">
        <v>521.32000000000005</v>
      </c>
      <c r="M1396" s="4" t="str">
        <f t="shared" si="84"/>
        <v>sábado</v>
      </c>
      <c r="N1396" s="4" t="str">
        <f t="shared" si="85"/>
        <v>septiembre</v>
      </c>
      <c r="O1396" s="4" t="str">
        <f t="shared" si="86"/>
        <v>NO</v>
      </c>
      <c r="P1396" s="4" t="str">
        <f t="shared" si="87"/>
        <v>NO</v>
      </c>
      <c r="Q1396" s="4" t="str" cm="1">
        <f t="array" ref="Q1396">_xlfn.IFS(AND(H1396&gt;=0,H1396&lt;=3333),"Grupo 1",AND(H1396&gt;3333,H1396&lt;=6666),"Grupo 2",AND(H1396&gt;6666,H1396&lt;=10000),"Grupo 3")</f>
        <v>Grupo 1</v>
      </c>
    </row>
    <row r="1397" spans="1:17" x14ac:dyDescent="0.25">
      <c r="A1397" t="s">
        <v>207</v>
      </c>
      <c r="B1397" s="2">
        <v>45748.34097222222</v>
      </c>
      <c r="C1397" t="s">
        <v>270</v>
      </c>
      <c r="D1397" t="s">
        <v>213</v>
      </c>
      <c r="E1397">
        <v>1</v>
      </c>
      <c r="F1397">
        <v>1067.6400000000001</v>
      </c>
      <c r="G1397" t="s">
        <v>221</v>
      </c>
      <c r="H1397">
        <v>1067.6400000000001</v>
      </c>
      <c r="I1397">
        <v>2025</v>
      </c>
      <c r="J1397">
        <v>4</v>
      </c>
      <c r="K1397">
        <v>8</v>
      </c>
      <c r="L1397" s="14">
        <v>1067.6400000000001</v>
      </c>
      <c r="M1397" s="4" t="str">
        <f t="shared" si="84"/>
        <v>martes</v>
      </c>
      <c r="N1397" s="4" t="str">
        <f t="shared" si="85"/>
        <v>abril</v>
      </c>
      <c r="O1397" s="4" t="str">
        <f t="shared" si="86"/>
        <v>NO</v>
      </c>
      <c r="P1397" s="4" t="str">
        <f t="shared" si="87"/>
        <v>SI</v>
      </c>
      <c r="Q1397" s="4" t="str" cm="1">
        <f t="array" ref="Q1397">_xlfn.IFS(AND(H1397&gt;=0,H1397&lt;=3333),"Grupo 1",AND(H1397&gt;3333,H1397&lt;=6666),"Grupo 2",AND(H1397&gt;6666,H1397&lt;=10000),"Grupo 3")</f>
        <v>Grupo 1</v>
      </c>
    </row>
    <row r="1398" spans="1:17" x14ac:dyDescent="0.25">
      <c r="A1398" t="s">
        <v>208</v>
      </c>
      <c r="B1398" s="2">
        <v>45055.556250000001</v>
      </c>
      <c r="C1398" t="s">
        <v>271</v>
      </c>
      <c r="D1398" t="s">
        <v>218</v>
      </c>
      <c r="E1398">
        <v>1</v>
      </c>
      <c r="F1398">
        <v>1903.64</v>
      </c>
      <c r="G1398" t="s">
        <v>221</v>
      </c>
      <c r="H1398">
        <v>1903.64</v>
      </c>
      <c r="I1398">
        <v>2023</v>
      </c>
      <c r="J1398">
        <v>5</v>
      </c>
      <c r="K1398">
        <v>13</v>
      </c>
      <c r="L1398" s="14">
        <v>1903.64</v>
      </c>
      <c r="M1398" s="4" t="str">
        <f t="shared" si="84"/>
        <v>martes</v>
      </c>
      <c r="N1398" s="4" t="str">
        <f t="shared" si="85"/>
        <v>mayo</v>
      </c>
      <c r="O1398" s="4" t="str">
        <f t="shared" si="86"/>
        <v>NO</v>
      </c>
      <c r="P1398" s="4" t="str">
        <f t="shared" si="87"/>
        <v>SI</v>
      </c>
      <c r="Q1398" s="4" t="str" cm="1">
        <f t="array" ref="Q1398">_xlfn.IFS(AND(H1398&gt;=0,H1398&lt;=3333),"Grupo 1",AND(H1398&gt;3333,H1398&lt;=6666),"Grupo 2",AND(H1398&gt;6666,H1398&lt;=10000),"Grupo 3")</f>
        <v>Grupo 1</v>
      </c>
    </row>
    <row r="1399" spans="1:17" x14ac:dyDescent="0.25">
      <c r="A1399" t="s">
        <v>209</v>
      </c>
      <c r="B1399" s="2">
        <v>44958.773611111108</v>
      </c>
      <c r="C1399" t="s">
        <v>272</v>
      </c>
      <c r="D1399" t="s">
        <v>214</v>
      </c>
      <c r="E1399">
        <v>2</v>
      </c>
      <c r="F1399">
        <v>1460.16</v>
      </c>
      <c r="G1399" t="s">
        <v>222</v>
      </c>
      <c r="H1399">
        <v>2920.32</v>
      </c>
      <c r="I1399">
        <v>2023</v>
      </c>
      <c r="J1399">
        <v>2</v>
      </c>
      <c r="K1399">
        <v>18</v>
      </c>
      <c r="L1399" s="14">
        <v>1460.16</v>
      </c>
      <c r="M1399" s="4" t="str">
        <f t="shared" si="84"/>
        <v>miércoles</v>
      </c>
      <c r="N1399" s="4" t="str">
        <f t="shared" si="85"/>
        <v>febrero</v>
      </c>
      <c r="O1399" s="4" t="str">
        <f t="shared" si="86"/>
        <v>SI</v>
      </c>
      <c r="P1399" s="4" t="str">
        <f t="shared" si="87"/>
        <v>SI</v>
      </c>
      <c r="Q1399" s="4" t="str" cm="1">
        <f t="array" ref="Q1399">_xlfn.IFS(AND(H1399&gt;=0,H1399&lt;=3333),"Grupo 1",AND(H1399&gt;3333,H1399&lt;=6666),"Grupo 2",AND(H1399&gt;6666,H1399&lt;=10000),"Grupo 3")</f>
        <v>Grupo 1</v>
      </c>
    </row>
    <row r="1400" spans="1:17" x14ac:dyDescent="0.25">
      <c r="A1400" t="s">
        <v>210</v>
      </c>
      <c r="B1400" s="2">
        <v>45816.563888888893</v>
      </c>
      <c r="C1400" t="s">
        <v>273</v>
      </c>
      <c r="D1400" t="s">
        <v>212</v>
      </c>
      <c r="E1400">
        <v>4</v>
      </c>
      <c r="F1400">
        <v>847</v>
      </c>
      <c r="G1400" t="s">
        <v>220</v>
      </c>
      <c r="H1400">
        <v>3388</v>
      </c>
      <c r="I1400">
        <v>2025</v>
      </c>
      <c r="J1400">
        <v>6</v>
      </c>
      <c r="K1400">
        <v>13</v>
      </c>
      <c r="L1400" s="14">
        <v>847</v>
      </c>
      <c r="M1400" s="4" t="str">
        <f t="shared" si="84"/>
        <v>domingo</v>
      </c>
      <c r="N1400" s="4" t="str">
        <f t="shared" si="85"/>
        <v>junio</v>
      </c>
      <c r="O1400" s="4" t="str">
        <f t="shared" si="86"/>
        <v>SI</v>
      </c>
      <c r="P1400" s="4" t="str">
        <f t="shared" si="87"/>
        <v>NO</v>
      </c>
      <c r="Q1400" s="4" t="str" cm="1">
        <f t="array" ref="Q1400">_xlfn.IFS(AND(H1400&gt;=0,H1400&lt;=3333),"Grupo 1",AND(H1400&gt;3333,H1400&lt;=6666),"Grupo 2",AND(H1400&gt;6666,H1400&lt;=10000),"Grupo 3")</f>
        <v>Grupo 2</v>
      </c>
    </row>
    <row r="1401" spans="1:17" x14ac:dyDescent="0.25">
      <c r="A1401" t="s">
        <v>211</v>
      </c>
      <c r="B1401" s="2">
        <v>45089.396527777782</v>
      </c>
      <c r="C1401" t="s">
        <v>274</v>
      </c>
      <c r="D1401" t="s">
        <v>218</v>
      </c>
      <c r="E1401">
        <v>2</v>
      </c>
      <c r="F1401">
        <v>1243.3399999999999</v>
      </c>
      <c r="G1401" t="s">
        <v>221</v>
      </c>
      <c r="H1401">
        <v>2486.6799999999998</v>
      </c>
      <c r="I1401">
        <v>2023</v>
      </c>
      <c r="J1401">
        <v>6</v>
      </c>
      <c r="K1401">
        <v>9</v>
      </c>
      <c r="L1401" s="14">
        <v>1243.3399999999999</v>
      </c>
      <c r="M1401" s="4" t="str">
        <f t="shared" si="84"/>
        <v>lunes</v>
      </c>
      <c r="N1401" s="4" t="str">
        <f t="shared" si="85"/>
        <v>junio</v>
      </c>
      <c r="O1401" s="4" t="str">
        <f t="shared" si="86"/>
        <v>NO</v>
      </c>
      <c r="P1401" s="4" t="str">
        <f t="shared" si="87"/>
        <v>SI</v>
      </c>
      <c r="Q1401" s="4" t="str" cm="1">
        <f t="array" ref="Q1401">_xlfn.IFS(AND(H1401&gt;=0,H1401&lt;=3333),"Grupo 1",AND(H1401&gt;3333,H1401&lt;=6666),"Grupo 2",AND(H1401&gt;6666,H1401&lt;=10000),"Grupo 3")</f>
        <v>Grupo 1</v>
      </c>
    </row>
    <row r="1402" spans="1:17" x14ac:dyDescent="0.25">
      <c r="A1402" t="s">
        <v>12</v>
      </c>
      <c r="B1402" s="2">
        <v>45280.478472222218</v>
      </c>
      <c r="C1402" t="s">
        <v>275</v>
      </c>
      <c r="D1402" t="s">
        <v>212</v>
      </c>
      <c r="E1402">
        <v>5</v>
      </c>
      <c r="F1402">
        <v>1497.24</v>
      </c>
      <c r="G1402" t="s">
        <v>220</v>
      </c>
      <c r="H1402">
        <v>7486.2</v>
      </c>
      <c r="I1402">
        <v>2023</v>
      </c>
      <c r="J1402">
        <v>12</v>
      </c>
      <c r="K1402">
        <v>11</v>
      </c>
      <c r="L1402" s="14">
        <v>1497.24</v>
      </c>
      <c r="M1402" s="4" t="str">
        <f t="shared" si="84"/>
        <v>miércoles</v>
      </c>
      <c r="N1402" s="4" t="str">
        <f t="shared" si="85"/>
        <v>diciembre</v>
      </c>
      <c r="O1402" s="4" t="str">
        <f t="shared" si="86"/>
        <v>SI</v>
      </c>
      <c r="P1402" s="4" t="str">
        <f t="shared" si="87"/>
        <v>SI</v>
      </c>
      <c r="Q1402" s="4" t="str" cm="1">
        <f t="array" ref="Q1402">_xlfn.IFS(AND(H1402&gt;=0,H1402&lt;=3333),"Grupo 1",AND(H1402&gt;3333,H1402&lt;=6666),"Grupo 2",AND(H1402&gt;6666,H1402&lt;=10000),"Grupo 3")</f>
        <v>Grupo 3</v>
      </c>
    </row>
    <row r="1403" spans="1:17" x14ac:dyDescent="0.25">
      <c r="A1403" t="s">
        <v>13</v>
      </c>
      <c r="B1403" s="2">
        <v>45008.840277777781</v>
      </c>
      <c r="C1403" t="s">
        <v>276</v>
      </c>
      <c r="D1403" t="s">
        <v>212</v>
      </c>
      <c r="E1403">
        <v>1</v>
      </c>
      <c r="F1403">
        <v>1687.54</v>
      </c>
      <c r="G1403" t="s">
        <v>220</v>
      </c>
      <c r="H1403">
        <v>1687.54</v>
      </c>
      <c r="I1403">
        <v>2023</v>
      </c>
      <c r="J1403">
        <v>3</v>
      </c>
      <c r="K1403">
        <v>20</v>
      </c>
      <c r="L1403" s="14">
        <v>1687.54</v>
      </c>
      <c r="M1403" s="4" t="str">
        <f t="shared" si="84"/>
        <v>jueves</v>
      </c>
      <c r="N1403" s="4" t="str">
        <f t="shared" si="85"/>
        <v>marzo</v>
      </c>
      <c r="O1403" s="4" t="str">
        <f t="shared" si="86"/>
        <v>NO</v>
      </c>
      <c r="P1403" s="4" t="str">
        <f t="shared" si="87"/>
        <v>SI</v>
      </c>
      <c r="Q1403" s="4" t="str" cm="1">
        <f t="array" ref="Q1403">_xlfn.IFS(AND(H1403&gt;=0,H1403&lt;=3333),"Grupo 1",AND(H1403&gt;3333,H1403&lt;=6666),"Grupo 2",AND(H1403&gt;6666,H1403&lt;=10000),"Grupo 3")</f>
        <v>Grupo 1</v>
      </c>
    </row>
    <row r="1404" spans="1:17" x14ac:dyDescent="0.25">
      <c r="A1404" t="s">
        <v>14</v>
      </c>
      <c r="B1404" s="2">
        <v>45355.443749999999</v>
      </c>
      <c r="C1404" t="s">
        <v>277</v>
      </c>
      <c r="D1404" t="s">
        <v>213</v>
      </c>
      <c r="E1404">
        <v>3</v>
      </c>
      <c r="F1404">
        <v>768.8</v>
      </c>
      <c r="G1404" t="s">
        <v>221</v>
      </c>
      <c r="H1404">
        <v>2306.4</v>
      </c>
      <c r="I1404">
        <v>2024</v>
      </c>
      <c r="J1404">
        <v>3</v>
      </c>
      <c r="K1404">
        <v>10</v>
      </c>
      <c r="L1404" s="14">
        <v>768.79999999999984</v>
      </c>
      <c r="M1404" s="4" t="str">
        <f t="shared" si="84"/>
        <v>lunes</v>
      </c>
      <c r="N1404" s="4" t="str">
        <f t="shared" si="85"/>
        <v>marzo</v>
      </c>
      <c r="O1404" s="4" t="str">
        <f t="shared" si="86"/>
        <v>NO</v>
      </c>
      <c r="P1404" s="4" t="str">
        <f t="shared" si="87"/>
        <v>NO</v>
      </c>
      <c r="Q1404" s="4" t="str" cm="1">
        <f t="array" ref="Q1404">_xlfn.IFS(AND(H1404&gt;=0,H1404&lt;=3333),"Grupo 1",AND(H1404&gt;3333,H1404&lt;=6666),"Grupo 2",AND(H1404&gt;6666,H1404&lt;=10000),"Grupo 3")</f>
        <v>Grupo 1</v>
      </c>
    </row>
    <row r="1405" spans="1:17" x14ac:dyDescent="0.25">
      <c r="A1405" t="s">
        <v>15</v>
      </c>
      <c r="B1405" s="2">
        <v>45704.374305555553</v>
      </c>
      <c r="C1405" t="s">
        <v>278</v>
      </c>
      <c r="D1405" t="s">
        <v>214</v>
      </c>
      <c r="E1405">
        <v>1</v>
      </c>
      <c r="F1405">
        <v>1532.67</v>
      </c>
      <c r="G1405" t="s">
        <v>222</v>
      </c>
      <c r="H1405">
        <v>1532.67</v>
      </c>
      <c r="I1405">
        <v>2025</v>
      </c>
      <c r="J1405">
        <v>2</v>
      </c>
      <c r="K1405">
        <v>8</v>
      </c>
      <c r="L1405" s="14">
        <v>1532.67</v>
      </c>
      <c r="M1405" s="4" t="str">
        <f t="shared" si="84"/>
        <v>domingo</v>
      </c>
      <c r="N1405" s="4" t="str">
        <f t="shared" si="85"/>
        <v>febrero</v>
      </c>
      <c r="O1405" s="4" t="str">
        <f t="shared" si="86"/>
        <v>NO</v>
      </c>
      <c r="P1405" s="4" t="str">
        <f t="shared" si="87"/>
        <v>SI</v>
      </c>
      <c r="Q1405" s="4" t="str" cm="1">
        <f t="array" ref="Q1405">_xlfn.IFS(AND(H1405&gt;=0,H1405&lt;=3333),"Grupo 1",AND(H1405&gt;3333,H1405&lt;=6666),"Grupo 2",AND(H1405&gt;6666,H1405&lt;=10000),"Grupo 3")</f>
        <v>Grupo 1</v>
      </c>
    </row>
    <row r="1406" spans="1:17" x14ac:dyDescent="0.25">
      <c r="A1406" t="s">
        <v>16</v>
      </c>
      <c r="B1406" s="2">
        <v>45772.848611111112</v>
      </c>
      <c r="C1406" t="s">
        <v>279</v>
      </c>
      <c r="D1406" t="s">
        <v>214</v>
      </c>
      <c r="E1406">
        <v>3</v>
      </c>
      <c r="F1406">
        <v>1709.47</v>
      </c>
      <c r="G1406" t="s">
        <v>222</v>
      </c>
      <c r="H1406">
        <v>5128.41</v>
      </c>
      <c r="I1406">
        <v>2025</v>
      </c>
      <c r="J1406">
        <v>4</v>
      </c>
      <c r="K1406">
        <v>20</v>
      </c>
      <c r="L1406" s="14">
        <v>1709.47</v>
      </c>
      <c r="M1406" s="4" t="str">
        <f t="shared" si="84"/>
        <v>viernes</v>
      </c>
      <c r="N1406" s="4" t="str">
        <f t="shared" si="85"/>
        <v>abril</v>
      </c>
      <c r="O1406" s="4" t="str">
        <f t="shared" si="86"/>
        <v>SI</v>
      </c>
      <c r="P1406" s="4" t="str">
        <f t="shared" si="87"/>
        <v>SI</v>
      </c>
      <c r="Q1406" s="4" t="str" cm="1">
        <f t="array" ref="Q1406">_xlfn.IFS(AND(H1406&gt;=0,H1406&lt;=3333),"Grupo 1",AND(H1406&gt;3333,H1406&lt;=6666),"Grupo 2",AND(H1406&gt;6666,H1406&lt;=10000),"Grupo 3")</f>
        <v>Grupo 2</v>
      </c>
    </row>
    <row r="1407" spans="1:17" x14ac:dyDescent="0.25">
      <c r="A1407" t="s">
        <v>17</v>
      </c>
      <c r="B1407" s="2">
        <v>45101.225694444453</v>
      </c>
      <c r="C1407" t="s">
        <v>280</v>
      </c>
      <c r="D1407" t="s">
        <v>215</v>
      </c>
      <c r="E1407">
        <v>3</v>
      </c>
      <c r="F1407">
        <v>297.54000000000002</v>
      </c>
      <c r="G1407" t="s">
        <v>220</v>
      </c>
      <c r="H1407">
        <v>892.62000000000012</v>
      </c>
      <c r="I1407">
        <v>2023</v>
      </c>
      <c r="J1407">
        <v>6</v>
      </c>
      <c r="K1407">
        <v>5</v>
      </c>
      <c r="L1407" s="14">
        <v>297.54000000000002</v>
      </c>
      <c r="M1407" s="4" t="str">
        <f t="shared" si="84"/>
        <v>sábado</v>
      </c>
      <c r="N1407" s="4" t="str">
        <f t="shared" si="85"/>
        <v>junio</v>
      </c>
      <c r="O1407" s="4" t="str">
        <f t="shared" si="86"/>
        <v>NO</v>
      </c>
      <c r="P1407" s="4" t="str">
        <f t="shared" si="87"/>
        <v>NO</v>
      </c>
      <c r="Q1407" s="4" t="str" cm="1">
        <f t="array" ref="Q1407">_xlfn.IFS(AND(H1407&gt;=0,H1407&lt;=3333),"Grupo 1",AND(H1407&gt;3333,H1407&lt;=6666),"Grupo 2",AND(H1407&gt;6666,H1407&lt;=10000),"Grupo 3")</f>
        <v>Grupo 1</v>
      </c>
    </row>
    <row r="1408" spans="1:17" x14ac:dyDescent="0.25">
      <c r="A1408" t="s">
        <v>18</v>
      </c>
      <c r="B1408" s="2">
        <v>45694.432638888888</v>
      </c>
      <c r="C1408" t="s">
        <v>281</v>
      </c>
      <c r="D1408" t="s">
        <v>216</v>
      </c>
      <c r="E1408">
        <v>4</v>
      </c>
      <c r="F1408">
        <v>1546.65</v>
      </c>
      <c r="G1408" t="s">
        <v>221</v>
      </c>
      <c r="H1408">
        <v>6186.6</v>
      </c>
      <c r="I1408">
        <v>2025</v>
      </c>
      <c r="J1408">
        <v>2</v>
      </c>
      <c r="K1408">
        <v>10</v>
      </c>
      <c r="L1408" s="14">
        <v>1546.65</v>
      </c>
      <c r="M1408" s="4" t="str">
        <f t="shared" si="84"/>
        <v>jueves</v>
      </c>
      <c r="N1408" s="4" t="str">
        <f t="shared" si="85"/>
        <v>febrero</v>
      </c>
      <c r="O1408" s="4" t="str">
        <f t="shared" si="86"/>
        <v>SI</v>
      </c>
      <c r="P1408" s="4" t="str">
        <f t="shared" si="87"/>
        <v>SI</v>
      </c>
      <c r="Q1408" s="4" t="str" cm="1">
        <f t="array" ref="Q1408">_xlfn.IFS(AND(H1408&gt;=0,H1408&lt;=3333),"Grupo 1",AND(H1408&gt;3333,H1408&lt;=6666),"Grupo 2",AND(H1408&gt;6666,H1408&lt;=10000),"Grupo 3")</f>
        <v>Grupo 2</v>
      </c>
    </row>
    <row r="1409" spans="1:17" x14ac:dyDescent="0.25">
      <c r="A1409" t="s">
        <v>19</v>
      </c>
      <c r="B1409" s="2">
        <v>45798.69027777778</v>
      </c>
      <c r="C1409" t="s">
        <v>282</v>
      </c>
      <c r="D1409" t="s">
        <v>212</v>
      </c>
      <c r="E1409">
        <v>1</v>
      </c>
      <c r="F1409">
        <v>1575.18</v>
      </c>
      <c r="G1409" t="s">
        <v>220</v>
      </c>
      <c r="H1409">
        <v>1575.18</v>
      </c>
      <c r="I1409">
        <v>2025</v>
      </c>
      <c r="J1409">
        <v>5</v>
      </c>
      <c r="K1409">
        <v>16</v>
      </c>
      <c r="L1409" s="14">
        <v>1575.18</v>
      </c>
      <c r="M1409" s="4" t="str">
        <f t="shared" si="84"/>
        <v>miércoles</v>
      </c>
      <c r="N1409" s="4" t="str">
        <f t="shared" si="85"/>
        <v>mayo</v>
      </c>
      <c r="O1409" s="4" t="str">
        <f t="shared" si="86"/>
        <v>NO</v>
      </c>
      <c r="P1409" s="4" t="str">
        <f t="shared" si="87"/>
        <v>SI</v>
      </c>
      <c r="Q1409" s="4" t="str" cm="1">
        <f t="array" ref="Q1409">_xlfn.IFS(AND(H1409&gt;=0,H1409&lt;=3333),"Grupo 1",AND(H1409&gt;3333,H1409&lt;=6666),"Grupo 2",AND(H1409&gt;6666,H1409&lt;=10000),"Grupo 3")</f>
        <v>Grupo 1</v>
      </c>
    </row>
    <row r="1410" spans="1:17" x14ac:dyDescent="0.25">
      <c r="A1410" t="s">
        <v>20</v>
      </c>
      <c r="B1410" s="2">
        <v>45425.797222222223</v>
      </c>
      <c r="C1410" t="s">
        <v>283</v>
      </c>
      <c r="D1410" t="s">
        <v>217</v>
      </c>
      <c r="E1410">
        <v>5</v>
      </c>
      <c r="F1410">
        <v>1815.86</v>
      </c>
      <c r="G1410" t="s">
        <v>220</v>
      </c>
      <c r="H1410">
        <v>9079.2999999999993</v>
      </c>
      <c r="I1410">
        <v>2024</v>
      </c>
      <c r="J1410">
        <v>5</v>
      </c>
      <c r="K1410">
        <v>19</v>
      </c>
      <c r="L1410" s="14">
        <v>1815.86</v>
      </c>
      <c r="M1410" s="4" t="str">
        <f t="shared" ref="M1410:M1473" si="88">TEXT(B1410,"dddd")</f>
        <v>lunes</v>
      </c>
      <c r="N1410" s="4" t="str">
        <f t="shared" ref="N1410:N1473" si="89">TEXT(B1410,"mmmm")</f>
        <v>mayo</v>
      </c>
      <c r="O1410" s="4" t="str">
        <f t="shared" si="86"/>
        <v>SI</v>
      </c>
      <c r="P1410" s="4" t="str">
        <f t="shared" si="87"/>
        <v>SI</v>
      </c>
      <c r="Q1410" s="4" t="str" cm="1">
        <f t="array" ref="Q1410">_xlfn.IFS(AND(H1410&gt;=0,H1410&lt;=3333),"Grupo 1",AND(H1410&gt;3333,H1410&lt;=6666),"Grupo 2",AND(H1410&gt;6666,H1410&lt;=10000),"Grupo 3")</f>
        <v>Grupo 3</v>
      </c>
    </row>
    <row r="1411" spans="1:17" x14ac:dyDescent="0.25">
      <c r="A1411" t="s">
        <v>21</v>
      </c>
      <c r="B1411" s="2">
        <v>45525.152083333327</v>
      </c>
      <c r="C1411" t="s">
        <v>284</v>
      </c>
      <c r="D1411" t="s">
        <v>212</v>
      </c>
      <c r="E1411">
        <v>1</v>
      </c>
      <c r="F1411">
        <v>564.11</v>
      </c>
      <c r="G1411" t="s">
        <v>220</v>
      </c>
      <c r="H1411">
        <v>564.11</v>
      </c>
      <c r="I1411">
        <v>2024</v>
      </c>
      <c r="J1411">
        <v>8</v>
      </c>
      <c r="K1411">
        <v>3</v>
      </c>
      <c r="L1411" s="14">
        <v>564.11</v>
      </c>
      <c r="M1411" s="4" t="str">
        <f t="shared" si="88"/>
        <v>miércoles</v>
      </c>
      <c r="N1411" s="4" t="str">
        <f t="shared" si="89"/>
        <v>agosto</v>
      </c>
      <c r="O1411" s="4" t="str">
        <f t="shared" ref="O1411:O1474" si="90">IF(H1411&gt;AVERAGE(H:H),"SI","NO")</f>
        <v>NO</v>
      </c>
      <c r="P1411" s="4" t="str">
        <f t="shared" ref="P1411:P1474" si="91">IF(L1411&gt;AVERAGE(L:L),"SI","NO")</f>
        <v>NO</v>
      </c>
      <c r="Q1411" s="4" t="str" cm="1">
        <f t="array" ref="Q1411">_xlfn.IFS(AND(H1411&gt;=0,H1411&lt;=3333),"Grupo 1",AND(H1411&gt;3333,H1411&lt;=6666),"Grupo 2",AND(H1411&gt;6666,H1411&lt;=10000),"Grupo 3")</f>
        <v>Grupo 1</v>
      </c>
    </row>
    <row r="1412" spans="1:17" x14ac:dyDescent="0.25">
      <c r="A1412" t="s">
        <v>22</v>
      </c>
      <c r="B1412" s="2">
        <v>45580.043749999997</v>
      </c>
      <c r="C1412" t="s">
        <v>285</v>
      </c>
      <c r="D1412" t="s">
        <v>217</v>
      </c>
      <c r="E1412">
        <v>1</v>
      </c>
      <c r="F1412">
        <v>454.9</v>
      </c>
      <c r="G1412" t="s">
        <v>220</v>
      </c>
      <c r="H1412">
        <v>454.9</v>
      </c>
      <c r="I1412">
        <v>2024</v>
      </c>
      <c r="J1412">
        <v>10</v>
      </c>
      <c r="K1412">
        <v>1</v>
      </c>
      <c r="L1412" s="14">
        <v>454.9</v>
      </c>
      <c r="M1412" s="4" t="str">
        <f t="shared" si="88"/>
        <v>martes</v>
      </c>
      <c r="N1412" s="4" t="str">
        <f t="shared" si="89"/>
        <v>octubre</v>
      </c>
      <c r="O1412" s="4" t="str">
        <f t="shared" si="90"/>
        <v>NO</v>
      </c>
      <c r="P1412" s="4" t="str">
        <f t="shared" si="91"/>
        <v>NO</v>
      </c>
      <c r="Q1412" s="4" t="str" cm="1">
        <f t="array" ref="Q1412">_xlfn.IFS(AND(H1412&gt;=0,H1412&lt;=3333),"Grupo 1",AND(H1412&gt;3333,H1412&lt;=6666),"Grupo 2",AND(H1412&gt;6666,H1412&lt;=10000),"Grupo 3")</f>
        <v>Grupo 1</v>
      </c>
    </row>
    <row r="1413" spans="1:17" x14ac:dyDescent="0.25">
      <c r="A1413" t="s">
        <v>23</v>
      </c>
      <c r="B1413" s="2">
        <v>45551.151388888888</v>
      </c>
      <c r="C1413" t="s">
        <v>286</v>
      </c>
      <c r="D1413" t="s">
        <v>218</v>
      </c>
      <c r="E1413">
        <v>3</v>
      </c>
      <c r="F1413">
        <v>1277.51</v>
      </c>
      <c r="G1413" t="s">
        <v>221</v>
      </c>
      <c r="H1413">
        <v>3832.53</v>
      </c>
      <c r="I1413">
        <v>2024</v>
      </c>
      <c r="J1413">
        <v>9</v>
      </c>
      <c r="K1413">
        <v>3</v>
      </c>
      <c r="L1413" s="14">
        <v>1277.51</v>
      </c>
      <c r="M1413" s="4" t="str">
        <f t="shared" si="88"/>
        <v>lunes</v>
      </c>
      <c r="N1413" s="4" t="str">
        <f t="shared" si="89"/>
        <v>septiembre</v>
      </c>
      <c r="O1413" s="4" t="str">
        <f t="shared" si="90"/>
        <v>SI</v>
      </c>
      <c r="P1413" s="4" t="str">
        <f t="shared" si="91"/>
        <v>SI</v>
      </c>
      <c r="Q1413" s="4" t="str" cm="1">
        <f t="array" ref="Q1413">_xlfn.IFS(AND(H1413&gt;=0,H1413&lt;=3333),"Grupo 1",AND(H1413&gt;3333,H1413&lt;=6666),"Grupo 2",AND(H1413&gt;6666,H1413&lt;=10000),"Grupo 3")</f>
        <v>Grupo 2</v>
      </c>
    </row>
    <row r="1414" spans="1:17" x14ac:dyDescent="0.25">
      <c r="A1414" t="s">
        <v>24</v>
      </c>
      <c r="B1414" s="2">
        <v>45230.395833333343</v>
      </c>
      <c r="C1414" t="s">
        <v>287</v>
      </c>
      <c r="D1414" t="s">
        <v>214</v>
      </c>
      <c r="E1414">
        <v>2</v>
      </c>
      <c r="F1414">
        <v>1870.95</v>
      </c>
      <c r="G1414" t="s">
        <v>222</v>
      </c>
      <c r="H1414">
        <v>3741.9</v>
      </c>
      <c r="I1414">
        <v>2023</v>
      </c>
      <c r="J1414">
        <v>10</v>
      </c>
      <c r="K1414">
        <v>9</v>
      </c>
      <c r="L1414" s="14">
        <v>1870.95</v>
      </c>
      <c r="M1414" s="4" t="str">
        <f t="shared" si="88"/>
        <v>martes</v>
      </c>
      <c r="N1414" s="4" t="str">
        <f t="shared" si="89"/>
        <v>octubre</v>
      </c>
      <c r="O1414" s="4" t="str">
        <f t="shared" si="90"/>
        <v>SI</v>
      </c>
      <c r="P1414" s="4" t="str">
        <f t="shared" si="91"/>
        <v>SI</v>
      </c>
      <c r="Q1414" s="4" t="str" cm="1">
        <f t="array" ref="Q1414">_xlfn.IFS(AND(H1414&gt;=0,H1414&lt;=3333),"Grupo 1",AND(H1414&gt;3333,H1414&lt;=6666),"Grupo 2",AND(H1414&gt;6666,H1414&lt;=10000),"Grupo 3")</f>
        <v>Grupo 2</v>
      </c>
    </row>
    <row r="1415" spans="1:17" x14ac:dyDescent="0.25">
      <c r="A1415" t="s">
        <v>25</v>
      </c>
      <c r="B1415" s="2">
        <v>45234.645833333343</v>
      </c>
      <c r="C1415" t="s">
        <v>288</v>
      </c>
      <c r="D1415" t="s">
        <v>212</v>
      </c>
      <c r="E1415">
        <v>4</v>
      </c>
      <c r="F1415">
        <v>1227.23</v>
      </c>
      <c r="G1415" t="s">
        <v>220</v>
      </c>
      <c r="H1415">
        <v>4908.92</v>
      </c>
      <c r="I1415">
        <v>2023</v>
      </c>
      <c r="J1415">
        <v>11</v>
      </c>
      <c r="K1415">
        <v>15</v>
      </c>
      <c r="L1415" s="14">
        <v>1227.23</v>
      </c>
      <c r="M1415" s="4" t="str">
        <f t="shared" si="88"/>
        <v>sábado</v>
      </c>
      <c r="N1415" s="4" t="str">
        <f t="shared" si="89"/>
        <v>noviembre</v>
      </c>
      <c r="O1415" s="4" t="str">
        <f t="shared" si="90"/>
        <v>SI</v>
      </c>
      <c r="P1415" s="4" t="str">
        <f t="shared" si="91"/>
        <v>SI</v>
      </c>
      <c r="Q1415" s="4" t="str" cm="1">
        <f t="array" ref="Q1415">_xlfn.IFS(AND(H1415&gt;=0,H1415&lt;=3333),"Grupo 1",AND(H1415&gt;3333,H1415&lt;=6666),"Grupo 2",AND(H1415&gt;6666,H1415&lt;=10000),"Grupo 3")</f>
        <v>Grupo 2</v>
      </c>
    </row>
    <row r="1416" spans="1:17" x14ac:dyDescent="0.25">
      <c r="A1416" t="s">
        <v>26</v>
      </c>
      <c r="B1416" s="2">
        <v>45464.76666666667</v>
      </c>
      <c r="C1416" t="s">
        <v>289</v>
      </c>
      <c r="D1416" t="s">
        <v>215</v>
      </c>
      <c r="E1416">
        <v>1</v>
      </c>
      <c r="F1416">
        <v>1329.6</v>
      </c>
      <c r="G1416" t="s">
        <v>220</v>
      </c>
      <c r="H1416">
        <v>1329.6</v>
      </c>
      <c r="I1416">
        <v>2024</v>
      </c>
      <c r="J1416">
        <v>6</v>
      </c>
      <c r="K1416">
        <v>18</v>
      </c>
      <c r="L1416" s="14">
        <v>1329.6</v>
      </c>
      <c r="M1416" s="4" t="str">
        <f t="shared" si="88"/>
        <v>viernes</v>
      </c>
      <c r="N1416" s="4" t="str">
        <f t="shared" si="89"/>
        <v>junio</v>
      </c>
      <c r="O1416" s="4" t="str">
        <f t="shared" si="90"/>
        <v>NO</v>
      </c>
      <c r="P1416" s="4" t="str">
        <f t="shared" si="91"/>
        <v>SI</v>
      </c>
      <c r="Q1416" s="4" t="str" cm="1">
        <f t="array" ref="Q1416">_xlfn.IFS(AND(H1416&gt;=0,H1416&lt;=3333),"Grupo 1",AND(H1416&gt;3333,H1416&lt;=6666),"Grupo 2",AND(H1416&gt;6666,H1416&lt;=10000),"Grupo 3")</f>
        <v>Grupo 1</v>
      </c>
    </row>
    <row r="1417" spans="1:17" x14ac:dyDescent="0.25">
      <c r="A1417" t="s">
        <v>27</v>
      </c>
      <c r="B1417" s="2">
        <v>45138.240277777782</v>
      </c>
      <c r="C1417" t="s">
        <v>290</v>
      </c>
      <c r="D1417" t="s">
        <v>212</v>
      </c>
      <c r="E1417">
        <v>3</v>
      </c>
      <c r="F1417">
        <v>1734.12</v>
      </c>
      <c r="G1417" t="s">
        <v>220</v>
      </c>
      <c r="H1417">
        <v>5202.3599999999997</v>
      </c>
      <c r="I1417">
        <v>2023</v>
      </c>
      <c r="J1417">
        <v>7</v>
      </c>
      <c r="K1417">
        <v>5</v>
      </c>
      <c r="L1417" s="14">
        <v>1734.12</v>
      </c>
      <c r="M1417" s="4" t="str">
        <f t="shared" si="88"/>
        <v>lunes</v>
      </c>
      <c r="N1417" s="4" t="str">
        <f t="shared" si="89"/>
        <v>julio</v>
      </c>
      <c r="O1417" s="4" t="str">
        <f t="shared" si="90"/>
        <v>SI</v>
      </c>
      <c r="P1417" s="4" t="str">
        <f t="shared" si="91"/>
        <v>SI</v>
      </c>
      <c r="Q1417" s="4" t="str" cm="1">
        <f t="array" ref="Q1417">_xlfn.IFS(AND(H1417&gt;=0,H1417&lt;=3333),"Grupo 1",AND(H1417&gt;3333,H1417&lt;=6666),"Grupo 2",AND(H1417&gt;6666,H1417&lt;=10000),"Grupo 3")</f>
        <v>Grupo 2</v>
      </c>
    </row>
    <row r="1418" spans="1:17" x14ac:dyDescent="0.25">
      <c r="A1418" t="s">
        <v>28</v>
      </c>
      <c r="B1418" s="2">
        <v>45455.688888888893</v>
      </c>
      <c r="C1418" t="s">
        <v>291</v>
      </c>
      <c r="D1418" t="s">
        <v>212</v>
      </c>
      <c r="E1418">
        <v>1</v>
      </c>
      <c r="F1418">
        <v>1209.6199999999999</v>
      </c>
      <c r="G1418" t="s">
        <v>220</v>
      </c>
      <c r="H1418">
        <v>1209.6199999999999</v>
      </c>
      <c r="I1418">
        <v>2024</v>
      </c>
      <c r="J1418">
        <v>6</v>
      </c>
      <c r="K1418">
        <v>16</v>
      </c>
      <c r="L1418" s="14">
        <v>1209.6199999999999</v>
      </c>
      <c r="M1418" s="4" t="str">
        <f t="shared" si="88"/>
        <v>miércoles</v>
      </c>
      <c r="N1418" s="4" t="str">
        <f t="shared" si="89"/>
        <v>junio</v>
      </c>
      <c r="O1418" s="4" t="str">
        <f t="shared" si="90"/>
        <v>NO</v>
      </c>
      <c r="P1418" s="4" t="str">
        <f t="shared" si="91"/>
        <v>SI</v>
      </c>
      <c r="Q1418" s="4" t="str" cm="1">
        <f t="array" ref="Q1418">_xlfn.IFS(AND(H1418&gt;=0,H1418&lt;=3333),"Grupo 1",AND(H1418&gt;3333,H1418&lt;=6666),"Grupo 2",AND(H1418&gt;6666,H1418&lt;=10000),"Grupo 3")</f>
        <v>Grupo 1</v>
      </c>
    </row>
    <row r="1419" spans="1:17" x14ac:dyDescent="0.25">
      <c r="A1419" t="s">
        <v>29</v>
      </c>
      <c r="B1419" s="2">
        <v>45301.151388888888</v>
      </c>
      <c r="C1419" t="s">
        <v>292</v>
      </c>
      <c r="D1419" t="s">
        <v>218</v>
      </c>
      <c r="E1419">
        <v>3</v>
      </c>
      <c r="F1419">
        <v>922.33</v>
      </c>
      <c r="G1419" t="s">
        <v>221</v>
      </c>
      <c r="H1419">
        <v>2766.99</v>
      </c>
      <c r="I1419">
        <v>2024</v>
      </c>
      <c r="J1419">
        <v>1</v>
      </c>
      <c r="K1419">
        <v>3</v>
      </c>
      <c r="L1419" s="14">
        <v>922.33</v>
      </c>
      <c r="M1419" s="4" t="str">
        <f t="shared" si="88"/>
        <v>miércoles</v>
      </c>
      <c r="N1419" s="4" t="str">
        <f t="shared" si="89"/>
        <v>enero</v>
      </c>
      <c r="O1419" s="4" t="str">
        <f t="shared" si="90"/>
        <v>NO</v>
      </c>
      <c r="P1419" s="4" t="str">
        <f t="shared" si="91"/>
        <v>NO</v>
      </c>
      <c r="Q1419" s="4" t="str" cm="1">
        <f t="array" ref="Q1419">_xlfn.IFS(AND(H1419&gt;=0,H1419&lt;=3333),"Grupo 1",AND(H1419&gt;3333,H1419&lt;=6666),"Grupo 2",AND(H1419&gt;6666,H1419&lt;=10000),"Grupo 3")</f>
        <v>Grupo 1</v>
      </c>
    </row>
    <row r="1420" spans="1:17" x14ac:dyDescent="0.25">
      <c r="A1420" t="s">
        <v>30</v>
      </c>
      <c r="B1420" s="2">
        <v>45677.761111111111</v>
      </c>
      <c r="C1420" t="s">
        <v>293</v>
      </c>
      <c r="D1420" t="s">
        <v>216</v>
      </c>
      <c r="E1420">
        <v>4</v>
      </c>
      <c r="F1420">
        <v>54.42</v>
      </c>
      <c r="G1420" t="s">
        <v>221</v>
      </c>
      <c r="H1420">
        <v>217.68</v>
      </c>
      <c r="I1420">
        <v>2025</v>
      </c>
      <c r="J1420">
        <v>1</v>
      </c>
      <c r="K1420">
        <v>18</v>
      </c>
      <c r="L1420" s="14">
        <v>54.42</v>
      </c>
      <c r="M1420" s="4" t="str">
        <f t="shared" si="88"/>
        <v>lunes</v>
      </c>
      <c r="N1420" s="4" t="str">
        <f t="shared" si="89"/>
        <v>enero</v>
      </c>
      <c r="O1420" s="4" t="str">
        <f t="shared" si="90"/>
        <v>NO</v>
      </c>
      <c r="P1420" s="4" t="str">
        <f t="shared" si="91"/>
        <v>NO</v>
      </c>
      <c r="Q1420" s="4" t="str" cm="1">
        <f t="array" ref="Q1420">_xlfn.IFS(AND(H1420&gt;=0,H1420&lt;=3333),"Grupo 1",AND(H1420&gt;3333,H1420&lt;=6666),"Grupo 2",AND(H1420&gt;6666,H1420&lt;=10000),"Grupo 3")</f>
        <v>Grupo 1</v>
      </c>
    </row>
    <row r="1421" spans="1:17" x14ac:dyDescent="0.25">
      <c r="A1421" t="s">
        <v>31</v>
      </c>
      <c r="B1421" s="2">
        <v>45238.713888888888</v>
      </c>
      <c r="C1421" t="s">
        <v>294</v>
      </c>
      <c r="D1421" t="s">
        <v>218</v>
      </c>
      <c r="E1421">
        <v>2</v>
      </c>
      <c r="F1421">
        <v>1567.18</v>
      </c>
      <c r="G1421" t="s">
        <v>221</v>
      </c>
      <c r="H1421">
        <v>3134.36</v>
      </c>
      <c r="I1421">
        <v>2023</v>
      </c>
      <c r="J1421">
        <v>11</v>
      </c>
      <c r="K1421">
        <v>17</v>
      </c>
      <c r="L1421" s="14">
        <v>1567.18</v>
      </c>
      <c r="M1421" s="4" t="str">
        <f t="shared" si="88"/>
        <v>miércoles</v>
      </c>
      <c r="N1421" s="4" t="str">
        <f t="shared" si="89"/>
        <v>noviembre</v>
      </c>
      <c r="O1421" s="4" t="str">
        <f t="shared" si="90"/>
        <v>SI</v>
      </c>
      <c r="P1421" s="4" t="str">
        <f t="shared" si="91"/>
        <v>SI</v>
      </c>
      <c r="Q1421" s="4" t="str" cm="1">
        <f t="array" ref="Q1421">_xlfn.IFS(AND(H1421&gt;=0,H1421&lt;=3333),"Grupo 1",AND(H1421&gt;3333,H1421&lt;=6666),"Grupo 2",AND(H1421&gt;6666,H1421&lt;=10000),"Grupo 3")</f>
        <v>Grupo 1</v>
      </c>
    </row>
    <row r="1422" spans="1:17" x14ac:dyDescent="0.25">
      <c r="A1422" t="s">
        <v>32</v>
      </c>
      <c r="B1422" s="2">
        <v>45231.386111111111</v>
      </c>
      <c r="C1422" t="s">
        <v>295</v>
      </c>
      <c r="D1422" t="s">
        <v>213</v>
      </c>
      <c r="E1422">
        <v>2</v>
      </c>
      <c r="F1422">
        <v>519.79999999999995</v>
      </c>
      <c r="G1422" t="s">
        <v>221</v>
      </c>
      <c r="H1422">
        <v>1039.5999999999999</v>
      </c>
      <c r="I1422">
        <v>2023</v>
      </c>
      <c r="J1422">
        <v>11</v>
      </c>
      <c r="K1422">
        <v>9</v>
      </c>
      <c r="L1422" s="14">
        <v>519.79999999999995</v>
      </c>
      <c r="M1422" s="4" t="str">
        <f t="shared" si="88"/>
        <v>miércoles</v>
      </c>
      <c r="N1422" s="4" t="str">
        <f t="shared" si="89"/>
        <v>noviembre</v>
      </c>
      <c r="O1422" s="4" t="str">
        <f t="shared" si="90"/>
        <v>NO</v>
      </c>
      <c r="P1422" s="4" t="str">
        <f t="shared" si="91"/>
        <v>NO</v>
      </c>
      <c r="Q1422" s="4" t="str" cm="1">
        <f t="array" ref="Q1422">_xlfn.IFS(AND(H1422&gt;=0,H1422&lt;=3333),"Grupo 1",AND(H1422&gt;3333,H1422&lt;=6666),"Grupo 2",AND(H1422&gt;6666,H1422&lt;=10000),"Grupo 3")</f>
        <v>Grupo 1</v>
      </c>
    </row>
    <row r="1423" spans="1:17" x14ac:dyDescent="0.25">
      <c r="A1423" t="s">
        <v>33</v>
      </c>
      <c r="B1423" s="2">
        <v>45421.563888888893</v>
      </c>
      <c r="C1423" t="s">
        <v>296</v>
      </c>
      <c r="D1423" t="s">
        <v>214</v>
      </c>
      <c r="E1423">
        <v>1</v>
      </c>
      <c r="F1423">
        <v>1267.01</v>
      </c>
      <c r="G1423" t="s">
        <v>222</v>
      </c>
      <c r="H1423">
        <v>1267.01</v>
      </c>
      <c r="I1423">
        <v>2024</v>
      </c>
      <c r="J1423">
        <v>5</v>
      </c>
      <c r="K1423">
        <v>13</v>
      </c>
      <c r="L1423" s="14">
        <v>1267.01</v>
      </c>
      <c r="M1423" s="4" t="str">
        <f t="shared" si="88"/>
        <v>jueves</v>
      </c>
      <c r="N1423" s="4" t="str">
        <f t="shared" si="89"/>
        <v>mayo</v>
      </c>
      <c r="O1423" s="4" t="str">
        <f t="shared" si="90"/>
        <v>NO</v>
      </c>
      <c r="P1423" s="4" t="str">
        <f t="shared" si="91"/>
        <v>SI</v>
      </c>
      <c r="Q1423" s="4" t="str" cm="1">
        <f t="array" ref="Q1423">_xlfn.IFS(AND(H1423&gt;=0,H1423&lt;=3333),"Grupo 1",AND(H1423&gt;3333,H1423&lt;=6666),"Grupo 2",AND(H1423&gt;6666,H1423&lt;=10000),"Grupo 3")</f>
        <v>Grupo 1</v>
      </c>
    </row>
    <row r="1424" spans="1:17" x14ac:dyDescent="0.25">
      <c r="A1424" t="s">
        <v>34</v>
      </c>
      <c r="B1424" s="2">
        <v>45437.592361111107</v>
      </c>
      <c r="C1424" t="s">
        <v>297</v>
      </c>
      <c r="D1424" t="s">
        <v>212</v>
      </c>
      <c r="E1424">
        <v>4</v>
      </c>
      <c r="F1424">
        <v>1027.81</v>
      </c>
      <c r="G1424" t="s">
        <v>220</v>
      </c>
      <c r="H1424">
        <v>4111.24</v>
      </c>
      <c r="I1424">
        <v>2024</v>
      </c>
      <c r="J1424">
        <v>5</v>
      </c>
      <c r="K1424">
        <v>14</v>
      </c>
      <c r="L1424" s="14">
        <v>1027.81</v>
      </c>
      <c r="M1424" s="4" t="str">
        <f t="shared" si="88"/>
        <v>sábado</v>
      </c>
      <c r="N1424" s="4" t="str">
        <f t="shared" si="89"/>
        <v>mayo</v>
      </c>
      <c r="O1424" s="4" t="str">
        <f t="shared" si="90"/>
        <v>SI</v>
      </c>
      <c r="P1424" s="4" t="str">
        <f t="shared" si="91"/>
        <v>SI</v>
      </c>
      <c r="Q1424" s="4" t="str" cm="1">
        <f t="array" ref="Q1424">_xlfn.IFS(AND(H1424&gt;=0,H1424&lt;=3333),"Grupo 1",AND(H1424&gt;3333,H1424&lt;=6666),"Grupo 2",AND(H1424&gt;6666,H1424&lt;=10000),"Grupo 3")</f>
        <v>Grupo 2</v>
      </c>
    </row>
    <row r="1425" spans="1:17" x14ac:dyDescent="0.25">
      <c r="A1425" t="s">
        <v>35</v>
      </c>
      <c r="B1425" s="2">
        <v>45355.487500000003</v>
      </c>
      <c r="C1425" t="s">
        <v>298</v>
      </c>
      <c r="D1425" t="s">
        <v>216</v>
      </c>
      <c r="E1425">
        <v>3</v>
      </c>
      <c r="F1425">
        <v>925.62</v>
      </c>
      <c r="G1425" t="s">
        <v>221</v>
      </c>
      <c r="H1425">
        <v>2776.86</v>
      </c>
      <c r="I1425">
        <v>2024</v>
      </c>
      <c r="J1425">
        <v>3</v>
      </c>
      <c r="K1425">
        <v>11</v>
      </c>
      <c r="L1425" s="14">
        <v>925.62</v>
      </c>
      <c r="M1425" s="4" t="str">
        <f t="shared" si="88"/>
        <v>lunes</v>
      </c>
      <c r="N1425" s="4" t="str">
        <f t="shared" si="89"/>
        <v>marzo</v>
      </c>
      <c r="O1425" s="4" t="str">
        <f t="shared" si="90"/>
        <v>NO</v>
      </c>
      <c r="P1425" s="4" t="str">
        <f t="shared" si="91"/>
        <v>NO</v>
      </c>
      <c r="Q1425" s="4" t="str" cm="1">
        <f t="array" ref="Q1425">_xlfn.IFS(AND(H1425&gt;=0,H1425&lt;=3333),"Grupo 1",AND(H1425&gt;3333,H1425&lt;=6666),"Grupo 2",AND(H1425&gt;6666,H1425&lt;=10000),"Grupo 3")</f>
        <v>Grupo 1</v>
      </c>
    </row>
    <row r="1426" spans="1:17" x14ac:dyDescent="0.25">
      <c r="A1426" t="s">
        <v>36</v>
      </c>
      <c r="B1426" s="2">
        <v>45924.43472222222</v>
      </c>
      <c r="C1426" t="s">
        <v>299</v>
      </c>
      <c r="D1426" t="s">
        <v>212</v>
      </c>
      <c r="E1426">
        <v>3</v>
      </c>
      <c r="F1426">
        <v>213.71</v>
      </c>
      <c r="G1426" t="s">
        <v>220</v>
      </c>
      <c r="H1426">
        <v>641.13</v>
      </c>
      <c r="I1426">
        <v>2025</v>
      </c>
      <c r="J1426">
        <v>9</v>
      </c>
      <c r="K1426">
        <v>10</v>
      </c>
      <c r="L1426" s="14">
        <v>213.71</v>
      </c>
      <c r="M1426" s="4" t="str">
        <f t="shared" si="88"/>
        <v>miércoles</v>
      </c>
      <c r="N1426" s="4" t="str">
        <f t="shared" si="89"/>
        <v>septiembre</v>
      </c>
      <c r="O1426" s="4" t="str">
        <f t="shared" si="90"/>
        <v>NO</v>
      </c>
      <c r="P1426" s="4" t="str">
        <f t="shared" si="91"/>
        <v>NO</v>
      </c>
      <c r="Q1426" s="4" t="str" cm="1">
        <f t="array" ref="Q1426">_xlfn.IFS(AND(H1426&gt;=0,H1426&lt;=3333),"Grupo 1",AND(H1426&gt;3333,H1426&lt;=6666),"Grupo 2",AND(H1426&gt;6666,H1426&lt;=10000),"Grupo 3")</f>
        <v>Grupo 1</v>
      </c>
    </row>
    <row r="1427" spans="1:17" x14ac:dyDescent="0.25">
      <c r="A1427" t="s">
        <v>37</v>
      </c>
      <c r="B1427" s="2">
        <v>45471.931250000001</v>
      </c>
      <c r="C1427" t="s">
        <v>300</v>
      </c>
      <c r="D1427" t="s">
        <v>217</v>
      </c>
      <c r="E1427">
        <v>2</v>
      </c>
      <c r="F1427">
        <v>1146.75</v>
      </c>
      <c r="G1427" t="s">
        <v>220</v>
      </c>
      <c r="H1427">
        <v>2293.5</v>
      </c>
      <c r="I1427">
        <v>2024</v>
      </c>
      <c r="J1427">
        <v>6</v>
      </c>
      <c r="K1427">
        <v>22</v>
      </c>
      <c r="L1427" s="14">
        <v>1146.75</v>
      </c>
      <c r="M1427" s="4" t="str">
        <f t="shared" si="88"/>
        <v>viernes</v>
      </c>
      <c r="N1427" s="4" t="str">
        <f t="shared" si="89"/>
        <v>junio</v>
      </c>
      <c r="O1427" s="4" t="str">
        <f t="shared" si="90"/>
        <v>NO</v>
      </c>
      <c r="P1427" s="4" t="str">
        <f t="shared" si="91"/>
        <v>SI</v>
      </c>
      <c r="Q1427" s="4" t="str" cm="1">
        <f t="array" ref="Q1427">_xlfn.IFS(AND(H1427&gt;=0,H1427&lt;=3333),"Grupo 1",AND(H1427&gt;3333,H1427&lt;=6666),"Grupo 2",AND(H1427&gt;6666,H1427&lt;=10000),"Grupo 3")</f>
        <v>Grupo 1</v>
      </c>
    </row>
    <row r="1428" spans="1:17" x14ac:dyDescent="0.25">
      <c r="A1428" t="s">
        <v>38</v>
      </c>
      <c r="B1428" s="2">
        <v>45003.59097222222</v>
      </c>
      <c r="C1428" t="s">
        <v>301</v>
      </c>
      <c r="D1428" t="s">
        <v>217</v>
      </c>
      <c r="E1428">
        <v>5</v>
      </c>
      <c r="F1428">
        <v>907.28</v>
      </c>
      <c r="G1428" t="s">
        <v>220</v>
      </c>
      <c r="H1428">
        <v>4536.3999999999996</v>
      </c>
      <c r="I1428">
        <v>2023</v>
      </c>
      <c r="J1428">
        <v>3</v>
      </c>
      <c r="K1428">
        <v>14</v>
      </c>
      <c r="L1428" s="14">
        <v>907.28</v>
      </c>
      <c r="M1428" s="4" t="str">
        <f t="shared" si="88"/>
        <v>sábado</v>
      </c>
      <c r="N1428" s="4" t="str">
        <f t="shared" si="89"/>
        <v>marzo</v>
      </c>
      <c r="O1428" s="4" t="str">
        <f t="shared" si="90"/>
        <v>SI</v>
      </c>
      <c r="P1428" s="4" t="str">
        <f t="shared" si="91"/>
        <v>NO</v>
      </c>
      <c r="Q1428" s="4" t="str" cm="1">
        <f t="array" ref="Q1428">_xlfn.IFS(AND(H1428&gt;=0,H1428&lt;=3333),"Grupo 1",AND(H1428&gt;3333,H1428&lt;=6666),"Grupo 2",AND(H1428&gt;6666,H1428&lt;=10000),"Grupo 3")</f>
        <v>Grupo 2</v>
      </c>
    </row>
    <row r="1429" spans="1:17" x14ac:dyDescent="0.25">
      <c r="A1429" t="s">
        <v>39</v>
      </c>
      <c r="B1429" s="2">
        <v>45206.394444444442</v>
      </c>
      <c r="C1429" t="s">
        <v>302</v>
      </c>
      <c r="D1429" t="s">
        <v>216</v>
      </c>
      <c r="E1429">
        <v>2</v>
      </c>
      <c r="F1429">
        <v>1734.44</v>
      </c>
      <c r="G1429" t="s">
        <v>221</v>
      </c>
      <c r="H1429">
        <v>3468.88</v>
      </c>
      <c r="I1429">
        <v>2023</v>
      </c>
      <c r="J1429">
        <v>10</v>
      </c>
      <c r="K1429">
        <v>9</v>
      </c>
      <c r="L1429" s="14">
        <v>1734.44</v>
      </c>
      <c r="M1429" s="4" t="str">
        <f t="shared" si="88"/>
        <v>sábado</v>
      </c>
      <c r="N1429" s="4" t="str">
        <f t="shared" si="89"/>
        <v>octubre</v>
      </c>
      <c r="O1429" s="4" t="str">
        <f t="shared" si="90"/>
        <v>SI</v>
      </c>
      <c r="P1429" s="4" t="str">
        <f t="shared" si="91"/>
        <v>SI</v>
      </c>
      <c r="Q1429" s="4" t="str" cm="1">
        <f t="array" ref="Q1429">_xlfn.IFS(AND(H1429&gt;=0,H1429&lt;=3333),"Grupo 1",AND(H1429&gt;3333,H1429&lt;=6666),"Grupo 2",AND(H1429&gt;6666,H1429&lt;=10000),"Grupo 3")</f>
        <v>Grupo 2</v>
      </c>
    </row>
    <row r="1430" spans="1:17" x14ac:dyDescent="0.25">
      <c r="A1430" t="s">
        <v>40</v>
      </c>
      <c r="B1430" s="2">
        <v>45595.773611111108</v>
      </c>
      <c r="C1430" t="s">
        <v>303</v>
      </c>
      <c r="D1430" t="s">
        <v>213</v>
      </c>
      <c r="E1430">
        <v>1</v>
      </c>
      <c r="F1430">
        <v>424.35</v>
      </c>
      <c r="G1430" t="s">
        <v>221</v>
      </c>
      <c r="H1430">
        <v>424.35</v>
      </c>
      <c r="I1430">
        <v>2024</v>
      </c>
      <c r="J1430">
        <v>10</v>
      </c>
      <c r="K1430">
        <v>18</v>
      </c>
      <c r="L1430" s="14">
        <v>424.35</v>
      </c>
      <c r="M1430" s="4" t="str">
        <f t="shared" si="88"/>
        <v>miércoles</v>
      </c>
      <c r="N1430" s="4" t="str">
        <f t="shared" si="89"/>
        <v>octubre</v>
      </c>
      <c r="O1430" s="4" t="str">
        <f t="shared" si="90"/>
        <v>NO</v>
      </c>
      <c r="P1430" s="4" t="str">
        <f t="shared" si="91"/>
        <v>NO</v>
      </c>
      <c r="Q1430" s="4" t="str" cm="1">
        <f t="array" ref="Q1430">_xlfn.IFS(AND(H1430&gt;=0,H1430&lt;=3333),"Grupo 1",AND(H1430&gt;3333,H1430&lt;=6666),"Grupo 2",AND(H1430&gt;6666,H1430&lt;=10000),"Grupo 3")</f>
        <v>Grupo 1</v>
      </c>
    </row>
    <row r="1431" spans="1:17" x14ac:dyDescent="0.25">
      <c r="A1431" t="s">
        <v>41</v>
      </c>
      <c r="B1431" s="2">
        <v>45888.736805555563</v>
      </c>
      <c r="C1431" t="s">
        <v>304</v>
      </c>
      <c r="D1431" t="s">
        <v>212</v>
      </c>
      <c r="E1431">
        <v>1</v>
      </c>
      <c r="F1431">
        <v>252.57</v>
      </c>
      <c r="G1431" t="s">
        <v>220</v>
      </c>
      <c r="H1431">
        <v>252.57</v>
      </c>
      <c r="I1431">
        <v>2025</v>
      </c>
      <c r="J1431">
        <v>8</v>
      </c>
      <c r="K1431">
        <v>17</v>
      </c>
      <c r="L1431" s="14">
        <v>252.57</v>
      </c>
      <c r="M1431" s="4" t="str">
        <f t="shared" si="88"/>
        <v>martes</v>
      </c>
      <c r="N1431" s="4" t="str">
        <f t="shared" si="89"/>
        <v>agosto</v>
      </c>
      <c r="O1431" s="4" t="str">
        <f t="shared" si="90"/>
        <v>NO</v>
      </c>
      <c r="P1431" s="4" t="str">
        <f t="shared" si="91"/>
        <v>NO</v>
      </c>
      <c r="Q1431" s="4" t="str" cm="1">
        <f t="array" ref="Q1431">_xlfn.IFS(AND(H1431&gt;=0,H1431&lt;=3333),"Grupo 1",AND(H1431&gt;3333,H1431&lt;=6666),"Grupo 2",AND(H1431&gt;6666,H1431&lt;=10000),"Grupo 3")</f>
        <v>Grupo 1</v>
      </c>
    </row>
    <row r="1432" spans="1:17" x14ac:dyDescent="0.25">
      <c r="A1432" t="s">
        <v>42</v>
      </c>
      <c r="B1432" s="2">
        <v>45478.06527777778</v>
      </c>
      <c r="C1432" t="s">
        <v>305</v>
      </c>
      <c r="D1432" t="s">
        <v>218</v>
      </c>
      <c r="E1432">
        <v>3</v>
      </c>
      <c r="F1432">
        <v>21.56</v>
      </c>
      <c r="G1432" t="s">
        <v>221</v>
      </c>
      <c r="H1432">
        <v>64.679999999999993</v>
      </c>
      <c r="I1432">
        <v>2024</v>
      </c>
      <c r="J1432">
        <v>7</v>
      </c>
      <c r="K1432">
        <v>1</v>
      </c>
      <c r="L1432" s="14">
        <v>21.56</v>
      </c>
      <c r="M1432" s="4" t="str">
        <f t="shared" si="88"/>
        <v>viernes</v>
      </c>
      <c r="N1432" s="4" t="str">
        <f t="shared" si="89"/>
        <v>julio</v>
      </c>
      <c r="O1432" s="4" t="str">
        <f t="shared" si="90"/>
        <v>NO</v>
      </c>
      <c r="P1432" s="4" t="str">
        <f t="shared" si="91"/>
        <v>NO</v>
      </c>
      <c r="Q1432" s="4" t="str" cm="1">
        <f t="array" ref="Q1432">_xlfn.IFS(AND(H1432&gt;=0,H1432&lt;=3333),"Grupo 1",AND(H1432&gt;3333,H1432&lt;=6666),"Grupo 2",AND(H1432&gt;6666,H1432&lt;=10000),"Grupo 3")</f>
        <v>Grupo 1</v>
      </c>
    </row>
    <row r="1433" spans="1:17" x14ac:dyDescent="0.25">
      <c r="A1433" t="s">
        <v>43</v>
      </c>
      <c r="B1433" s="2">
        <v>45402.668749999997</v>
      </c>
      <c r="C1433" t="s">
        <v>306</v>
      </c>
      <c r="D1433" t="s">
        <v>214</v>
      </c>
      <c r="E1433">
        <v>1</v>
      </c>
      <c r="F1433">
        <v>446.81</v>
      </c>
      <c r="G1433" t="s">
        <v>222</v>
      </c>
      <c r="H1433">
        <v>446.81</v>
      </c>
      <c r="I1433">
        <v>2024</v>
      </c>
      <c r="J1433">
        <v>4</v>
      </c>
      <c r="K1433">
        <v>16</v>
      </c>
      <c r="L1433" s="14">
        <v>446.81</v>
      </c>
      <c r="M1433" s="4" t="str">
        <f t="shared" si="88"/>
        <v>sábado</v>
      </c>
      <c r="N1433" s="4" t="str">
        <f t="shared" si="89"/>
        <v>abril</v>
      </c>
      <c r="O1433" s="4" t="str">
        <f t="shared" si="90"/>
        <v>NO</v>
      </c>
      <c r="P1433" s="4" t="str">
        <f t="shared" si="91"/>
        <v>NO</v>
      </c>
      <c r="Q1433" s="4" t="str" cm="1">
        <f t="array" ref="Q1433">_xlfn.IFS(AND(H1433&gt;=0,H1433&lt;=3333),"Grupo 1",AND(H1433&gt;3333,H1433&lt;=6666),"Grupo 2",AND(H1433&gt;6666,H1433&lt;=10000),"Grupo 3")</f>
        <v>Grupo 1</v>
      </c>
    </row>
    <row r="1434" spans="1:17" x14ac:dyDescent="0.25">
      <c r="A1434" t="s">
        <v>44</v>
      </c>
      <c r="B1434" s="2">
        <v>45033.806944444441</v>
      </c>
      <c r="C1434" t="s">
        <v>307</v>
      </c>
      <c r="D1434" t="s">
        <v>218</v>
      </c>
      <c r="E1434">
        <v>2</v>
      </c>
      <c r="F1434">
        <v>64.67</v>
      </c>
      <c r="G1434" t="s">
        <v>221</v>
      </c>
      <c r="H1434">
        <v>129.34</v>
      </c>
      <c r="I1434">
        <v>2023</v>
      </c>
      <c r="J1434">
        <v>4</v>
      </c>
      <c r="K1434">
        <v>19</v>
      </c>
      <c r="L1434" s="14">
        <v>64.67</v>
      </c>
      <c r="M1434" s="4" t="str">
        <f t="shared" si="88"/>
        <v>lunes</v>
      </c>
      <c r="N1434" s="4" t="str">
        <f t="shared" si="89"/>
        <v>abril</v>
      </c>
      <c r="O1434" s="4" t="str">
        <f t="shared" si="90"/>
        <v>NO</v>
      </c>
      <c r="P1434" s="4" t="str">
        <f t="shared" si="91"/>
        <v>NO</v>
      </c>
      <c r="Q1434" s="4" t="str" cm="1">
        <f t="array" ref="Q1434">_xlfn.IFS(AND(H1434&gt;=0,H1434&lt;=3333),"Grupo 1",AND(H1434&gt;3333,H1434&lt;=6666),"Grupo 2",AND(H1434&gt;6666,H1434&lt;=10000),"Grupo 3")</f>
        <v>Grupo 1</v>
      </c>
    </row>
    <row r="1435" spans="1:17" x14ac:dyDescent="0.25">
      <c r="A1435" t="s">
        <v>45</v>
      </c>
      <c r="B1435" s="2">
        <v>45432.781944444447</v>
      </c>
      <c r="C1435" t="s">
        <v>308</v>
      </c>
      <c r="D1435" t="s">
        <v>216</v>
      </c>
      <c r="E1435">
        <v>5</v>
      </c>
      <c r="F1435">
        <v>1168.3499999999999</v>
      </c>
      <c r="G1435" t="s">
        <v>221</v>
      </c>
      <c r="H1435">
        <v>5841.75</v>
      </c>
      <c r="I1435">
        <v>2024</v>
      </c>
      <c r="J1435">
        <v>5</v>
      </c>
      <c r="K1435">
        <v>18</v>
      </c>
      <c r="L1435" s="14">
        <v>1168.3499999999999</v>
      </c>
      <c r="M1435" s="4" t="str">
        <f t="shared" si="88"/>
        <v>lunes</v>
      </c>
      <c r="N1435" s="4" t="str">
        <f t="shared" si="89"/>
        <v>mayo</v>
      </c>
      <c r="O1435" s="4" t="str">
        <f t="shared" si="90"/>
        <v>SI</v>
      </c>
      <c r="P1435" s="4" t="str">
        <f t="shared" si="91"/>
        <v>SI</v>
      </c>
      <c r="Q1435" s="4" t="str" cm="1">
        <f t="array" ref="Q1435">_xlfn.IFS(AND(H1435&gt;=0,H1435&lt;=3333),"Grupo 1",AND(H1435&gt;3333,H1435&lt;=6666),"Grupo 2",AND(H1435&gt;6666,H1435&lt;=10000),"Grupo 3")</f>
        <v>Grupo 2</v>
      </c>
    </row>
    <row r="1436" spans="1:17" x14ac:dyDescent="0.25">
      <c r="A1436" t="s">
        <v>46</v>
      </c>
      <c r="B1436" s="2">
        <v>45746.083333333343</v>
      </c>
      <c r="C1436" t="s">
        <v>309</v>
      </c>
      <c r="D1436" t="s">
        <v>214</v>
      </c>
      <c r="E1436">
        <v>2</v>
      </c>
      <c r="F1436">
        <v>349.3</v>
      </c>
      <c r="G1436" t="s">
        <v>222</v>
      </c>
      <c r="H1436">
        <v>698.6</v>
      </c>
      <c r="I1436">
        <v>2025</v>
      </c>
      <c r="J1436">
        <v>3</v>
      </c>
      <c r="K1436">
        <v>2</v>
      </c>
      <c r="L1436" s="14">
        <v>349.3</v>
      </c>
      <c r="M1436" s="4" t="str">
        <f t="shared" si="88"/>
        <v>domingo</v>
      </c>
      <c r="N1436" s="4" t="str">
        <f t="shared" si="89"/>
        <v>marzo</v>
      </c>
      <c r="O1436" s="4" t="str">
        <f t="shared" si="90"/>
        <v>NO</v>
      </c>
      <c r="P1436" s="4" t="str">
        <f t="shared" si="91"/>
        <v>NO</v>
      </c>
      <c r="Q1436" s="4" t="str" cm="1">
        <f t="array" ref="Q1436">_xlfn.IFS(AND(H1436&gt;=0,H1436&lt;=3333),"Grupo 1",AND(H1436&gt;3333,H1436&lt;=6666),"Grupo 2",AND(H1436&gt;6666,H1436&lt;=10000),"Grupo 3")</f>
        <v>Grupo 1</v>
      </c>
    </row>
    <row r="1437" spans="1:17" x14ac:dyDescent="0.25">
      <c r="A1437" t="s">
        <v>47</v>
      </c>
      <c r="B1437" s="2">
        <v>45515.355555555558</v>
      </c>
      <c r="C1437" t="s">
        <v>310</v>
      </c>
      <c r="D1437" t="s">
        <v>216</v>
      </c>
      <c r="E1437">
        <v>3</v>
      </c>
      <c r="F1437">
        <v>1154.06</v>
      </c>
      <c r="G1437" t="s">
        <v>221</v>
      </c>
      <c r="H1437">
        <v>3462.18</v>
      </c>
      <c r="I1437">
        <v>2024</v>
      </c>
      <c r="J1437">
        <v>8</v>
      </c>
      <c r="K1437">
        <v>8</v>
      </c>
      <c r="L1437" s="14">
        <v>1154.06</v>
      </c>
      <c r="M1437" s="4" t="str">
        <f t="shared" si="88"/>
        <v>domingo</v>
      </c>
      <c r="N1437" s="4" t="str">
        <f t="shared" si="89"/>
        <v>agosto</v>
      </c>
      <c r="O1437" s="4" t="str">
        <f t="shared" si="90"/>
        <v>SI</v>
      </c>
      <c r="P1437" s="4" t="str">
        <f t="shared" si="91"/>
        <v>SI</v>
      </c>
      <c r="Q1437" s="4" t="str" cm="1">
        <f t="array" ref="Q1437">_xlfn.IFS(AND(H1437&gt;=0,H1437&lt;=3333),"Grupo 1",AND(H1437&gt;3333,H1437&lt;=6666),"Grupo 2",AND(H1437&gt;6666,H1437&lt;=10000),"Grupo 3")</f>
        <v>Grupo 2</v>
      </c>
    </row>
    <row r="1438" spans="1:17" x14ac:dyDescent="0.25">
      <c r="A1438" t="s">
        <v>48</v>
      </c>
      <c r="B1438" s="2">
        <v>45730.554861111108</v>
      </c>
      <c r="C1438" t="s">
        <v>311</v>
      </c>
      <c r="D1438" t="s">
        <v>215</v>
      </c>
      <c r="E1438">
        <v>4</v>
      </c>
      <c r="F1438">
        <v>1566.37</v>
      </c>
      <c r="G1438" t="s">
        <v>220</v>
      </c>
      <c r="H1438">
        <v>6265.48</v>
      </c>
      <c r="I1438">
        <v>2025</v>
      </c>
      <c r="J1438">
        <v>3</v>
      </c>
      <c r="K1438">
        <v>13</v>
      </c>
      <c r="L1438" s="14">
        <v>1566.37</v>
      </c>
      <c r="M1438" s="4" t="str">
        <f t="shared" si="88"/>
        <v>viernes</v>
      </c>
      <c r="N1438" s="4" t="str">
        <f t="shared" si="89"/>
        <v>marzo</v>
      </c>
      <c r="O1438" s="4" t="str">
        <f t="shared" si="90"/>
        <v>SI</v>
      </c>
      <c r="P1438" s="4" t="str">
        <f t="shared" si="91"/>
        <v>SI</v>
      </c>
      <c r="Q1438" s="4" t="str" cm="1">
        <f t="array" ref="Q1438">_xlfn.IFS(AND(H1438&gt;=0,H1438&lt;=3333),"Grupo 1",AND(H1438&gt;3333,H1438&lt;=6666),"Grupo 2",AND(H1438&gt;6666,H1438&lt;=10000),"Grupo 3")</f>
        <v>Grupo 2</v>
      </c>
    </row>
    <row r="1439" spans="1:17" x14ac:dyDescent="0.25">
      <c r="A1439" t="s">
        <v>49</v>
      </c>
      <c r="B1439" s="2">
        <v>45603.252083333333</v>
      </c>
      <c r="C1439" t="s">
        <v>312</v>
      </c>
      <c r="D1439" t="s">
        <v>212</v>
      </c>
      <c r="E1439">
        <v>2</v>
      </c>
      <c r="F1439">
        <v>674.48</v>
      </c>
      <c r="G1439" t="s">
        <v>220</v>
      </c>
      <c r="H1439">
        <v>1348.96</v>
      </c>
      <c r="I1439">
        <v>2024</v>
      </c>
      <c r="J1439">
        <v>11</v>
      </c>
      <c r="K1439">
        <v>6</v>
      </c>
      <c r="L1439" s="14">
        <v>674.48</v>
      </c>
      <c r="M1439" s="4" t="str">
        <f t="shared" si="88"/>
        <v>jueves</v>
      </c>
      <c r="N1439" s="4" t="str">
        <f t="shared" si="89"/>
        <v>noviembre</v>
      </c>
      <c r="O1439" s="4" t="str">
        <f t="shared" si="90"/>
        <v>NO</v>
      </c>
      <c r="P1439" s="4" t="str">
        <f t="shared" si="91"/>
        <v>NO</v>
      </c>
      <c r="Q1439" s="4" t="str" cm="1">
        <f t="array" ref="Q1439">_xlfn.IFS(AND(H1439&gt;=0,H1439&lt;=3333),"Grupo 1",AND(H1439&gt;3333,H1439&lt;=6666),"Grupo 2",AND(H1439&gt;6666,H1439&lt;=10000),"Grupo 3")</f>
        <v>Grupo 1</v>
      </c>
    </row>
    <row r="1440" spans="1:17" x14ac:dyDescent="0.25">
      <c r="A1440" t="s">
        <v>50</v>
      </c>
      <c r="B1440" s="2">
        <v>45420.054861111108</v>
      </c>
      <c r="C1440" t="s">
        <v>313</v>
      </c>
      <c r="D1440" t="s">
        <v>212</v>
      </c>
      <c r="E1440">
        <v>2</v>
      </c>
      <c r="F1440">
        <v>1543.98</v>
      </c>
      <c r="G1440" t="s">
        <v>220</v>
      </c>
      <c r="H1440">
        <v>3087.96</v>
      </c>
      <c r="I1440">
        <v>2024</v>
      </c>
      <c r="J1440">
        <v>5</v>
      </c>
      <c r="K1440">
        <v>1</v>
      </c>
      <c r="L1440" s="14">
        <v>1543.98</v>
      </c>
      <c r="M1440" s="4" t="str">
        <f t="shared" si="88"/>
        <v>miércoles</v>
      </c>
      <c r="N1440" s="4" t="str">
        <f t="shared" si="89"/>
        <v>mayo</v>
      </c>
      <c r="O1440" s="4" t="str">
        <f t="shared" si="90"/>
        <v>SI</v>
      </c>
      <c r="P1440" s="4" t="str">
        <f t="shared" si="91"/>
        <v>SI</v>
      </c>
      <c r="Q1440" s="4" t="str" cm="1">
        <f t="array" ref="Q1440">_xlfn.IFS(AND(H1440&gt;=0,H1440&lt;=3333),"Grupo 1",AND(H1440&gt;3333,H1440&lt;=6666),"Grupo 2",AND(H1440&gt;6666,H1440&lt;=10000),"Grupo 3")</f>
        <v>Grupo 1</v>
      </c>
    </row>
    <row r="1441" spans="1:17" x14ac:dyDescent="0.25">
      <c r="A1441" t="s">
        <v>51</v>
      </c>
      <c r="B1441" s="2">
        <v>44931.743055555547</v>
      </c>
      <c r="C1441" t="s">
        <v>314</v>
      </c>
      <c r="D1441" t="s">
        <v>217</v>
      </c>
      <c r="E1441">
        <v>5</v>
      </c>
      <c r="F1441">
        <v>917.31</v>
      </c>
      <c r="G1441" t="s">
        <v>220</v>
      </c>
      <c r="H1441">
        <v>4586.5499999999993</v>
      </c>
      <c r="I1441">
        <v>2023</v>
      </c>
      <c r="J1441">
        <v>1</v>
      </c>
      <c r="K1441">
        <v>17</v>
      </c>
      <c r="L1441" s="14">
        <v>917.30999999999983</v>
      </c>
      <c r="M1441" s="4" t="str">
        <f t="shared" si="88"/>
        <v>jueves</v>
      </c>
      <c r="N1441" s="4" t="str">
        <f t="shared" si="89"/>
        <v>enero</v>
      </c>
      <c r="O1441" s="4" t="str">
        <f t="shared" si="90"/>
        <v>SI</v>
      </c>
      <c r="P1441" s="4" t="str">
        <f t="shared" si="91"/>
        <v>NO</v>
      </c>
      <c r="Q1441" s="4" t="str" cm="1">
        <f t="array" ref="Q1441">_xlfn.IFS(AND(H1441&gt;=0,H1441&lt;=3333),"Grupo 1",AND(H1441&gt;3333,H1441&lt;=6666),"Grupo 2",AND(H1441&gt;6666,H1441&lt;=10000),"Grupo 3")</f>
        <v>Grupo 2</v>
      </c>
    </row>
    <row r="1442" spans="1:17" x14ac:dyDescent="0.25">
      <c r="A1442" t="s">
        <v>52</v>
      </c>
      <c r="B1442" s="2">
        <v>45326.684027777781</v>
      </c>
      <c r="C1442" t="s">
        <v>315</v>
      </c>
      <c r="D1442" t="s">
        <v>219</v>
      </c>
      <c r="E1442">
        <v>4</v>
      </c>
      <c r="F1442">
        <v>450.36</v>
      </c>
      <c r="G1442" t="s">
        <v>221</v>
      </c>
      <c r="H1442">
        <v>1801.44</v>
      </c>
      <c r="I1442">
        <v>2024</v>
      </c>
      <c r="J1442">
        <v>2</v>
      </c>
      <c r="K1442">
        <v>16</v>
      </c>
      <c r="L1442" s="14">
        <v>450.36</v>
      </c>
      <c r="M1442" s="4" t="str">
        <f t="shared" si="88"/>
        <v>domingo</v>
      </c>
      <c r="N1442" s="4" t="str">
        <f t="shared" si="89"/>
        <v>febrero</v>
      </c>
      <c r="O1442" s="4" t="str">
        <f t="shared" si="90"/>
        <v>NO</v>
      </c>
      <c r="P1442" s="4" t="str">
        <f t="shared" si="91"/>
        <v>NO</v>
      </c>
      <c r="Q1442" s="4" t="str" cm="1">
        <f t="array" ref="Q1442">_xlfn.IFS(AND(H1442&gt;=0,H1442&lt;=3333),"Grupo 1",AND(H1442&gt;3333,H1442&lt;=6666),"Grupo 2",AND(H1442&gt;6666,H1442&lt;=10000),"Grupo 3")</f>
        <v>Grupo 1</v>
      </c>
    </row>
    <row r="1443" spans="1:17" x14ac:dyDescent="0.25">
      <c r="A1443" t="s">
        <v>53</v>
      </c>
      <c r="B1443" s="2">
        <v>45146.872916666667</v>
      </c>
      <c r="C1443" t="s">
        <v>316</v>
      </c>
      <c r="D1443" t="s">
        <v>215</v>
      </c>
      <c r="E1443">
        <v>2</v>
      </c>
      <c r="F1443">
        <v>755.48</v>
      </c>
      <c r="G1443" t="s">
        <v>220</v>
      </c>
      <c r="H1443">
        <v>1510.96</v>
      </c>
      <c r="I1443">
        <v>2023</v>
      </c>
      <c r="J1443">
        <v>8</v>
      </c>
      <c r="K1443">
        <v>20</v>
      </c>
      <c r="L1443" s="14">
        <v>755.48</v>
      </c>
      <c r="M1443" s="4" t="str">
        <f t="shared" si="88"/>
        <v>martes</v>
      </c>
      <c r="N1443" s="4" t="str">
        <f t="shared" si="89"/>
        <v>agosto</v>
      </c>
      <c r="O1443" s="4" t="str">
        <f t="shared" si="90"/>
        <v>NO</v>
      </c>
      <c r="P1443" s="4" t="str">
        <f t="shared" si="91"/>
        <v>NO</v>
      </c>
      <c r="Q1443" s="4" t="str" cm="1">
        <f t="array" ref="Q1443">_xlfn.IFS(AND(H1443&gt;=0,H1443&lt;=3333),"Grupo 1",AND(H1443&gt;3333,H1443&lt;=6666),"Grupo 2",AND(H1443&gt;6666,H1443&lt;=10000),"Grupo 3")</f>
        <v>Grupo 1</v>
      </c>
    </row>
    <row r="1444" spans="1:17" x14ac:dyDescent="0.25">
      <c r="A1444" t="s">
        <v>54</v>
      </c>
      <c r="B1444" s="2">
        <v>45464.595833333333</v>
      </c>
      <c r="C1444" t="s">
        <v>317</v>
      </c>
      <c r="D1444" t="s">
        <v>213</v>
      </c>
      <c r="E1444">
        <v>3</v>
      </c>
      <c r="F1444">
        <v>1855.55</v>
      </c>
      <c r="G1444" t="s">
        <v>221</v>
      </c>
      <c r="H1444">
        <v>5566.65</v>
      </c>
      <c r="I1444">
        <v>2024</v>
      </c>
      <c r="J1444">
        <v>6</v>
      </c>
      <c r="K1444">
        <v>14</v>
      </c>
      <c r="L1444" s="14">
        <v>1855.55</v>
      </c>
      <c r="M1444" s="4" t="str">
        <f t="shared" si="88"/>
        <v>viernes</v>
      </c>
      <c r="N1444" s="4" t="str">
        <f t="shared" si="89"/>
        <v>junio</v>
      </c>
      <c r="O1444" s="4" t="str">
        <f t="shared" si="90"/>
        <v>SI</v>
      </c>
      <c r="P1444" s="4" t="str">
        <f t="shared" si="91"/>
        <v>SI</v>
      </c>
      <c r="Q1444" s="4" t="str" cm="1">
        <f t="array" ref="Q1444">_xlfn.IFS(AND(H1444&gt;=0,H1444&lt;=3333),"Grupo 1",AND(H1444&gt;3333,H1444&lt;=6666),"Grupo 2",AND(H1444&gt;6666,H1444&lt;=10000),"Grupo 3")</f>
        <v>Grupo 2</v>
      </c>
    </row>
    <row r="1445" spans="1:17" x14ac:dyDescent="0.25">
      <c r="A1445" t="s">
        <v>55</v>
      </c>
      <c r="B1445" s="2">
        <v>45171.9</v>
      </c>
      <c r="C1445" t="s">
        <v>318</v>
      </c>
      <c r="D1445" t="s">
        <v>216</v>
      </c>
      <c r="E1445">
        <v>5</v>
      </c>
      <c r="F1445">
        <v>1011.75</v>
      </c>
      <c r="G1445" t="s">
        <v>221</v>
      </c>
      <c r="H1445">
        <v>5058.75</v>
      </c>
      <c r="I1445">
        <v>2023</v>
      </c>
      <c r="J1445">
        <v>9</v>
      </c>
      <c r="K1445">
        <v>21</v>
      </c>
      <c r="L1445" s="14">
        <v>1011.75</v>
      </c>
      <c r="M1445" s="4" t="str">
        <f t="shared" si="88"/>
        <v>sábado</v>
      </c>
      <c r="N1445" s="4" t="str">
        <f t="shared" si="89"/>
        <v>septiembre</v>
      </c>
      <c r="O1445" s="4" t="str">
        <f t="shared" si="90"/>
        <v>SI</v>
      </c>
      <c r="P1445" s="4" t="str">
        <f t="shared" si="91"/>
        <v>SI</v>
      </c>
      <c r="Q1445" s="4" t="str" cm="1">
        <f t="array" ref="Q1445">_xlfn.IFS(AND(H1445&gt;=0,H1445&lt;=3333),"Grupo 1",AND(H1445&gt;3333,H1445&lt;=6666),"Grupo 2",AND(H1445&gt;6666,H1445&lt;=10000),"Grupo 3")</f>
        <v>Grupo 2</v>
      </c>
    </row>
    <row r="1446" spans="1:17" x14ac:dyDescent="0.25">
      <c r="A1446" t="s">
        <v>56</v>
      </c>
      <c r="B1446" s="2">
        <v>44992.136111111111</v>
      </c>
      <c r="C1446" t="s">
        <v>319</v>
      </c>
      <c r="D1446" t="s">
        <v>213</v>
      </c>
      <c r="E1446">
        <v>5</v>
      </c>
      <c r="F1446">
        <v>1218.3399999999999</v>
      </c>
      <c r="G1446" t="s">
        <v>221</v>
      </c>
      <c r="H1446">
        <v>6091.7</v>
      </c>
      <c r="I1446">
        <v>2023</v>
      </c>
      <c r="J1446">
        <v>3</v>
      </c>
      <c r="K1446">
        <v>3</v>
      </c>
      <c r="L1446" s="14">
        <v>1218.3399999999999</v>
      </c>
      <c r="M1446" s="4" t="str">
        <f t="shared" si="88"/>
        <v>martes</v>
      </c>
      <c r="N1446" s="4" t="str">
        <f t="shared" si="89"/>
        <v>marzo</v>
      </c>
      <c r="O1446" s="4" t="str">
        <f t="shared" si="90"/>
        <v>SI</v>
      </c>
      <c r="P1446" s="4" t="str">
        <f t="shared" si="91"/>
        <v>SI</v>
      </c>
      <c r="Q1446" s="4" t="str" cm="1">
        <f t="array" ref="Q1446">_xlfn.IFS(AND(H1446&gt;=0,H1446&lt;=3333),"Grupo 1",AND(H1446&gt;3333,H1446&lt;=6666),"Grupo 2",AND(H1446&gt;6666,H1446&lt;=10000),"Grupo 3")</f>
        <v>Grupo 2</v>
      </c>
    </row>
    <row r="1447" spans="1:17" x14ac:dyDescent="0.25">
      <c r="A1447" t="s">
        <v>57</v>
      </c>
      <c r="B1447" s="2">
        <v>44927.061111111107</v>
      </c>
      <c r="C1447" t="s">
        <v>320</v>
      </c>
      <c r="D1447" t="s">
        <v>216</v>
      </c>
      <c r="E1447">
        <v>2</v>
      </c>
      <c r="F1447">
        <v>361.59</v>
      </c>
      <c r="G1447" t="s">
        <v>221</v>
      </c>
      <c r="H1447">
        <v>723.18</v>
      </c>
      <c r="I1447">
        <v>2023</v>
      </c>
      <c r="J1447">
        <v>1</v>
      </c>
      <c r="K1447">
        <v>1</v>
      </c>
      <c r="L1447" s="14">
        <v>361.59</v>
      </c>
      <c r="M1447" s="4" t="str">
        <f t="shared" si="88"/>
        <v>domingo</v>
      </c>
      <c r="N1447" s="4" t="str">
        <f t="shared" si="89"/>
        <v>enero</v>
      </c>
      <c r="O1447" s="4" t="str">
        <f t="shared" si="90"/>
        <v>NO</v>
      </c>
      <c r="P1447" s="4" t="str">
        <f t="shared" si="91"/>
        <v>NO</v>
      </c>
      <c r="Q1447" s="4" t="str" cm="1">
        <f t="array" ref="Q1447">_xlfn.IFS(AND(H1447&gt;=0,H1447&lt;=3333),"Grupo 1",AND(H1447&gt;3333,H1447&lt;=6666),"Grupo 2",AND(H1447&gt;6666,H1447&lt;=10000),"Grupo 3")</f>
        <v>Grupo 1</v>
      </c>
    </row>
    <row r="1448" spans="1:17" x14ac:dyDescent="0.25">
      <c r="A1448" t="s">
        <v>58</v>
      </c>
      <c r="B1448" s="2">
        <v>45097.359027777777</v>
      </c>
      <c r="C1448" t="s">
        <v>321</v>
      </c>
      <c r="D1448" t="s">
        <v>213</v>
      </c>
      <c r="E1448">
        <v>5</v>
      </c>
      <c r="F1448">
        <v>958.8</v>
      </c>
      <c r="G1448" t="s">
        <v>221</v>
      </c>
      <c r="H1448">
        <v>4794</v>
      </c>
      <c r="I1448">
        <v>2023</v>
      </c>
      <c r="J1448">
        <v>6</v>
      </c>
      <c r="K1448">
        <v>8</v>
      </c>
      <c r="L1448" s="14">
        <v>958.8</v>
      </c>
      <c r="M1448" s="4" t="str">
        <f t="shared" si="88"/>
        <v>martes</v>
      </c>
      <c r="N1448" s="4" t="str">
        <f t="shared" si="89"/>
        <v>junio</v>
      </c>
      <c r="O1448" s="4" t="str">
        <f t="shared" si="90"/>
        <v>SI</v>
      </c>
      <c r="P1448" s="4" t="str">
        <f t="shared" si="91"/>
        <v>NO</v>
      </c>
      <c r="Q1448" s="4" t="str" cm="1">
        <f t="array" ref="Q1448">_xlfn.IFS(AND(H1448&gt;=0,H1448&lt;=3333),"Grupo 1",AND(H1448&gt;3333,H1448&lt;=6666),"Grupo 2",AND(H1448&gt;6666,H1448&lt;=10000),"Grupo 3")</f>
        <v>Grupo 2</v>
      </c>
    </row>
    <row r="1449" spans="1:17" x14ac:dyDescent="0.25">
      <c r="A1449" t="s">
        <v>59</v>
      </c>
      <c r="B1449" s="2">
        <v>45755.288194444453</v>
      </c>
      <c r="C1449" t="s">
        <v>322</v>
      </c>
      <c r="D1449" t="s">
        <v>214</v>
      </c>
      <c r="E1449">
        <v>5</v>
      </c>
      <c r="F1449">
        <v>1776.87</v>
      </c>
      <c r="G1449" t="s">
        <v>222</v>
      </c>
      <c r="H1449">
        <v>8884.3499999999985</v>
      </c>
      <c r="I1449">
        <v>2025</v>
      </c>
      <c r="J1449">
        <v>4</v>
      </c>
      <c r="K1449">
        <v>6</v>
      </c>
      <c r="L1449" s="14">
        <v>1776.87</v>
      </c>
      <c r="M1449" s="4" t="str">
        <f t="shared" si="88"/>
        <v>martes</v>
      </c>
      <c r="N1449" s="4" t="str">
        <f t="shared" si="89"/>
        <v>abril</v>
      </c>
      <c r="O1449" s="4" t="str">
        <f t="shared" si="90"/>
        <v>SI</v>
      </c>
      <c r="P1449" s="4" t="str">
        <f t="shared" si="91"/>
        <v>SI</v>
      </c>
      <c r="Q1449" s="4" t="str" cm="1">
        <f t="array" ref="Q1449">_xlfn.IFS(AND(H1449&gt;=0,H1449&lt;=3333),"Grupo 1",AND(H1449&gt;3333,H1449&lt;=6666),"Grupo 2",AND(H1449&gt;6666,H1449&lt;=10000),"Grupo 3")</f>
        <v>Grupo 3</v>
      </c>
    </row>
    <row r="1450" spans="1:17" x14ac:dyDescent="0.25">
      <c r="A1450" t="s">
        <v>60</v>
      </c>
      <c r="B1450" s="2">
        <v>45782.866666666669</v>
      </c>
      <c r="C1450" t="s">
        <v>323</v>
      </c>
      <c r="D1450" t="s">
        <v>219</v>
      </c>
      <c r="E1450">
        <v>1</v>
      </c>
      <c r="F1450">
        <v>1467.34</v>
      </c>
      <c r="G1450" t="s">
        <v>221</v>
      </c>
      <c r="H1450">
        <v>1467.34</v>
      </c>
      <c r="I1450">
        <v>2025</v>
      </c>
      <c r="J1450">
        <v>5</v>
      </c>
      <c r="K1450">
        <v>20</v>
      </c>
      <c r="L1450" s="14">
        <v>1467.34</v>
      </c>
      <c r="M1450" s="4" t="str">
        <f t="shared" si="88"/>
        <v>lunes</v>
      </c>
      <c r="N1450" s="4" t="str">
        <f t="shared" si="89"/>
        <v>mayo</v>
      </c>
      <c r="O1450" s="4" t="str">
        <f t="shared" si="90"/>
        <v>NO</v>
      </c>
      <c r="P1450" s="4" t="str">
        <f t="shared" si="91"/>
        <v>SI</v>
      </c>
      <c r="Q1450" s="4" t="str" cm="1">
        <f t="array" ref="Q1450">_xlfn.IFS(AND(H1450&gt;=0,H1450&lt;=3333),"Grupo 1",AND(H1450&gt;3333,H1450&lt;=6666),"Grupo 2",AND(H1450&gt;6666,H1450&lt;=10000),"Grupo 3")</f>
        <v>Grupo 1</v>
      </c>
    </row>
    <row r="1451" spans="1:17" x14ac:dyDescent="0.25">
      <c r="A1451" t="s">
        <v>61</v>
      </c>
      <c r="B1451" s="2">
        <v>45819.341666666667</v>
      </c>
      <c r="C1451" t="s">
        <v>324</v>
      </c>
      <c r="D1451" t="s">
        <v>214</v>
      </c>
      <c r="E1451">
        <v>3</v>
      </c>
      <c r="F1451">
        <v>683.91</v>
      </c>
      <c r="G1451" t="s">
        <v>222</v>
      </c>
      <c r="H1451">
        <v>2051.73</v>
      </c>
      <c r="I1451">
        <v>2025</v>
      </c>
      <c r="J1451">
        <v>6</v>
      </c>
      <c r="K1451">
        <v>8</v>
      </c>
      <c r="L1451" s="14">
        <v>683.91</v>
      </c>
      <c r="M1451" s="4" t="str">
        <f t="shared" si="88"/>
        <v>miércoles</v>
      </c>
      <c r="N1451" s="4" t="str">
        <f t="shared" si="89"/>
        <v>junio</v>
      </c>
      <c r="O1451" s="4" t="str">
        <f t="shared" si="90"/>
        <v>NO</v>
      </c>
      <c r="P1451" s="4" t="str">
        <f t="shared" si="91"/>
        <v>NO</v>
      </c>
      <c r="Q1451" s="4" t="str" cm="1">
        <f t="array" ref="Q1451">_xlfn.IFS(AND(H1451&gt;=0,H1451&lt;=3333),"Grupo 1",AND(H1451&gt;3333,H1451&lt;=6666),"Grupo 2",AND(H1451&gt;6666,H1451&lt;=10000),"Grupo 3")</f>
        <v>Grupo 1</v>
      </c>
    </row>
    <row r="1452" spans="1:17" x14ac:dyDescent="0.25">
      <c r="A1452" t="s">
        <v>62</v>
      </c>
      <c r="B1452" s="2">
        <v>45441.993055555547</v>
      </c>
      <c r="C1452" t="s">
        <v>325</v>
      </c>
      <c r="D1452" t="s">
        <v>214</v>
      </c>
      <c r="E1452">
        <v>1</v>
      </c>
      <c r="F1452">
        <v>1083.8599999999999</v>
      </c>
      <c r="G1452" t="s">
        <v>222</v>
      </c>
      <c r="H1452">
        <v>1083.8599999999999</v>
      </c>
      <c r="I1452">
        <v>2024</v>
      </c>
      <c r="J1452">
        <v>5</v>
      </c>
      <c r="K1452">
        <v>23</v>
      </c>
      <c r="L1452" s="14">
        <v>1083.8599999999999</v>
      </c>
      <c r="M1452" s="4" t="str">
        <f t="shared" si="88"/>
        <v>miércoles</v>
      </c>
      <c r="N1452" s="4" t="str">
        <f t="shared" si="89"/>
        <v>mayo</v>
      </c>
      <c r="O1452" s="4" t="str">
        <f t="shared" si="90"/>
        <v>NO</v>
      </c>
      <c r="P1452" s="4" t="str">
        <f t="shared" si="91"/>
        <v>SI</v>
      </c>
      <c r="Q1452" s="4" t="str" cm="1">
        <f t="array" ref="Q1452">_xlfn.IFS(AND(H1452&gt;=0,H1452&lt;=3333),"Grupo 1",AND(H1452&gt;3333,H1452&lt;=6666),"Grupo 2",AND(H1452&gt;6666,H1452&lt;=10000),"Grupo 3")</f>
        <v>Grupo 1</v>
      </c>
    </row>
    <row r="1453" spans="1:17" x14ac:dyDescent="0.25">
      <c r="A1453" t="s">
        <v>63</v>
      </c>
      <c r="B1453" s="2">
        <v>45180.999305555553</v>
      </c>
      <c r="C1453" t="s">
        <v>326</v>
      </c>
      <c r="D1453" t="s">
        <v>212</v>
      </c>
      <c r="E1453">
        <v>2</v>
      </c>
      <c r="F1453">
        <v>1551.85</v>
      </c>
      <c r="G1453" t="s">
        <v>220</v>
      </c>
      <c r="H1453">
        <v>3103.7</v>
      </c>
      <c r="I1453">
        <v>2023</v>
      </c>
      <c r="J1453">
        <v>9</v>
      </c>
      <c r="K1453">
        <v>23</v>
      </c>
      <c r="L1453" s="14">
        <v>1551.85</v>
      </c>
      <c r="M1453" s="4" t="str">
        <f t="shared" si="88"/>
        <v>lunes</v>
      </c>
      <c r="N1453" s="4" t="str">
        <f t="shared" si="89"/>
        <v>septiembre</v>
      </c>
      <c r="O1453" s="4" t="str">
        <f t="shared" si="90"/>
        <v>SI</v>
      </c>
      <c r="P1453" s="4" t="str">
        <f t="shared" si="91"/>
        <v>SI</v>
      </c>
      <c r="Q1453" s="4" t="str" cm="1">
        <f t="array" ref="Q1453">_xlfn.IFS(AND(H1453&gt;=0,H1453&lt;=3333),"Grupo 1",AND(H1453&gt;3333,H1453&lt;=6666),"Grupo 2",AND(H1453&gt;6666,H1453&lt;=10000),"Grupo 3")</f>
        <v>Grupo 1</v>
      </c>
    </row>
    <row r="1454" spans="1:17" x14ac:dyDescent="0.25">
      <c r="A1454" t="s">
        <v>64</v>
      </c>
      <c r="B1454" s="2">
        <v>45624.619444444441</v>
      </c>
      <c r="C1454" t="s">
        <v>327</v>
      </c>
      <c r="D1454" t="s">
        <v>217</v>
      </c>
      <c r="E1454">
        <v>5</v>
      </c>
      <c r="F1454">
        <v>1368.27</v>
      </c>
      <c r="G1454" t="s">
        <v>220</v>
      </c>
      <c r="H1454">
        <v>6841.35</v>
      </c>
      <c r="I1454">
        <v>2024</v>
      </c>
      <c r="J1454">
        <v>11</v>
      </c>
      <c r="K1454">
        <v>14</v>
      </c>
      <c r="L1454" s="14">
        <v>1368.27</v>
      </c>
      <c r="M1454" s="4" t="str">
        <f t="shared" si="88"/>
        <v>jueves</v>
      </c>
      <c r="N1454" s="4" t="str">
        <f t="shared" si="89"/>
        <v>noviembre</v>
      </c>
      <c r="O1454" s="4" t="str">
        <f t="shared" si="90"/>
        <v>SI</v>
      </c>
      <c r="P1454" s="4" t="str">
        <f t="shared" si="91"/>
        <v>SI</v>
      </c>
      <c r="Q1454" s="4" t="str" cm="1">
        <f t="array" ref="Q1454">_xlfn.IFS(AND(H1454&gt;=0,H1454&lt;=3333),"Grupo 1",AND(H1454&gt;3333,H1454&lt;=6666),"Grupo 2",AND(H1454&gt;6666,H1454&lt;=10000),"Grupo 3")</f>
        <v>Grupo 3</v>
      </c>
    </row>
    <row r="1455" spans="1:17" x14ac:dyDescent="0.25">
      <c r="A1455" t="s">
        <v>65</v>
      </c>
      <c r="B1455" s="2">
        <v>45447.955555555563</v>
      </c>
      <c r="C1455" t="s">
        <v>328</v>
      </c>
      <c r="D1455" t="s">
        <v>217</v>
      </c>
      <c r="E1455">
        <v>4</v>
      </c>
      <c r="F1455">
        <v>1818.88</v>
      </c>
      <c r="G1455" t="s">
        <v>220</v>
      </c>
      <c r="H1455">
        <v>7275.52</v>
      </c>
      <c r="I1455">
        <v>2024</v>
      </c>
      <c r="J1455">
        <v>6</v>
      </c>
      <c r="K1455">
        <v>22</v>
      </c>
      <c r="L1455" s="14">
        <v>1818.88</v>
      </c>
      <c r="M1455" s="4" t="str">
        <f t="shared" si="88"/>
        <v>martes</v>
      </c>
      <c r="N1455" s="4" t="str">
        <f t="shared" si="89"/>
        <v>junio</v>
      </c>
      <c r="O1455" s="4" t="str">
        <f t="shared" si="90"/>
        <v>SI</v>
      </c>
      <c r="P1455" s="4" t="str">
        <f t="shared" si="91"/>
        <v>SI</v>
      </c>
      <c r="Q1455" s="4" t="str" cm="1">
        <f t="array" ref="Q1455">_xlfn.IFS(AND(H1455&gt;=0,H1455&lt;=3333),"Grupo 1",AND(H1455&gt;3333,H1455&lt;=6666),"Grupo 2",AND(H1455&gt;6666,H1455&lt;=10000),"Grupo 3")</f>
        <v>Grupo 3</v>
      </c>
    </row>
    <row r="1456" spans="1:17" x14ac:dyDescent="0.25">
      <c r="A1456" t="s">
        <v>66</v>
      </c>
      <c r="B1456" s="2">
        <v>45051.74722222222</v>
      </c>
      <c r="C1456" t="s">
        <v>329</v>
      </c>
      <c r="D1456" t="s">
        <v>218</v>
      </c>
      <c r="E1456">
        <v>4</v>
      </c>
      <c r="F1456">
        <v>1601.32</v>
      </c>
      <c r="G1456" t="s">
        <v>221</v>
      </c>
      <c r="H1456">
        <v>6405.28</v>
      </c>
      <c r="I1456">
        <v>2023</v>
      </c>
      <c r="J1456">
        <v>5</v>
      </c>
      <c r="K1456">
        <v>17</v>
      </c>
      <c r="L1456" s="14">
        <v>1601.32</v>
      </c>
      <c r="M1456" s="4" t="str">
        <f t="shared" si="88"/>
        <v>viernes</v>
      </c>
      <c r="N1456" s="4" t="str">
        <f t="shared" si="89"/>
        <v>mayo</v>
      </c>
      <c r="O1456" s="4" t="str">
        <f t="shared" si="90"/>
        <v>SI</v>
      </c>
      <c r="P1456" s="4" t="str">
        <f t="shared" si="91"/>
        <v>SI</v>
      </c>
      <c r="Q1456" s="4" t="str" cm="1">
        <f t="array" ref="Q1456">_xlfn.IFS(AND(H1456&gt;=0,H1456&lt;=3333),"Grupo 1",AND(H1456&gt;3333,H1456&lt;=6666),"Grupo 2",AND(H1456&gt;6666,H1456&lt;=10000),"Grupo 3")</f>
        <v>Grupo 2</v>
      </c>
    </row>
    <row r="1457" spans="1:17" x14ac:dyDescent="0.25">
      <c r="A1457" t="s">
        <v>67</v>
      </c>
      <c r="B1457" s="2">
        <v>45019.26666666667</v>
      </c>
      <c r="C1457" t="s">
        <v>330</v>
      </c>
      <c r="D1457" t="s">
        <v>213</v>
      </c>
      <c r="E1457">
        <v>4</v>
      </c>
      <c r="F1457">
        <v>177.79</v>
      </c>
      <c r="G1457" t="s">
        <v>221</v>
      </c>
      <c r="H1457">
        <v>711.16</v>
      </c>
      <c r="I1457">
        <v>2023</v>
      </c>
      <c r="J1457">
        <v>4</v>
      </c>
      <c r="K1457">
        <v>6</v>
      </c>
      <c r="L1457" s="14">
        <v>177.79</v>
      </c>
      <c r="M1457" s="4" t="str">
        <f t="shared" si="88"/>
        <v>lunes</v>
      </c>
      <c r="N1457" s="4" t="str">
        <f t="shared" si="89"/>
        <v>abril</v>
      </c>
      <c r="O1457" s="4" t="str">
        <f t="shared" si="90"/>
        <v>NO</v>
      </c>
      <c r="P1457" s="4" t="str">
        <f t="shared" si="91"/>
        <v>NO</v>
      </c>
      <c r="Q1457" s="4" t="str" cm="1">
        <f t="array" ref="Q1457">_xlfn.IFS(AND(H1457&gt;=0,H1457&lt;=3333),"Grupo 1",AND(H1457&gt;3333,H1457&lt;=6666),"Grupo 2",AND(H1457&gt;6666,H1457&lt;=10000),"Grupo 3")</f>
        <v>Grupo 1</v>
      </c>
    </row>
    <row r="1458" spans="1:17" x14ac:dyDescent="0.25">
      <c r="A1458" t="s">
        <v>68</v>
      </c>
      <c r="B1458" s="2">
        <v>44969.094444444447</v>
      </c>
      <c r="C1458" t="s">
        <v>331</v>
      </c>
      <c r="D1458" t="s">
        <v>213</v>
      </c>
      <c r="E1458">
        <v>1</v>
      </c>
      <c r="F1458">
        <v>83.48</v>
      </c>
      <c r="G1458" t="s">
        <v>221</v>
      </c>
      <c r="H1458">
        <v>83.48</v>
      </c>
      <c r="I1458">
        <v>2023</v>
      </c>
      <c r="J1458">
        <v>2</v>
      </c>
      <c r="K1458">
        <v>2</v>
      </c>
      <c r="L1458" s="14">
        <v>83.48</v>
      </c>
      <c r="M1458" s="4" t="str">
        <f t="shared" si="88"/>
        <v>domingo</v>
      </c>
      <c r="N1458" s="4" t="str">
        <f t="shared" si="89"/>
        <v>febrero</v>
      </c>
      <c r="O1458" s="4" t="str">
        <f t="shared" si="90"/>
        <v>NO</v>
      </c>
      <c r="P1458" s="4" t="str">
        <f t="shared" si="91"/>
        <v>NO</v>
      </c>
      <c r="Q1458" s="4" t="str" cm="1">
        <f t="array" ref="Q1458">_xlfn.IFS(AND(H1458&gt;=0,H1458&lt;=3333),"Grupo 1",AND(H1458&gt;3333,H1458&lt;=6666),"Grupo 2",AND(H1458&gt;6666,H1458&lt;=10000),"Grupo 3")</f>
        <v>Grupo 1</v>
      </c>
    </row>
    <row r="1459" spans="1:17" x14ac:dyDescent="0.25">
      <c r="A1459" t="s">
        <v>69</v>
      </c>
      <c r="B1459" s="2">
        <v>45091.519444444442</v>
      </c>
      <c r="C1459" t="s">
        <v>332</v>
      </c>
      <c r="D1459" t="s">
        <v>219</v>
      </c>
      <c r="E1459">
        <v>1</v>
      </c>
      <c r="F1459">
        <v>1372.72</v>
      </c>
      <c r="G1459" t="s">
        <v>221</v>
      </c>
      <c r="H1459">
        <v>1372.72</v>
      </c>
      <c r="I1459">
        <v>2023</v>
      </c>
      <c r="J1459">
        <v>6</v>
      </c>
      <c r="K1459">
        <v>12</v>
      </c>
      <c r="L1459" s="14">
        <v>1372.72</v>
      </c>
      <c r="M1459" s="4" t="str">
        <f t="shared" si="88"/>
        <v>miércoles</v>
      </c>
      <c r="N1459" s="4" t="str">
        <f t="shared" si="89"/>
        <v>junio</v>
      </c>
      <c r="O1459" s="4" t="str">
        <f t="shared" si="90"/>
        <v>NO</v>
      </c>
      <c r="P1459" s="4" t="str">
        <f t="shared" si="91"/>
        <v>SI</v>
      </c>
      <c r="Q1459" s="4" t="str" cm="1">
        <f t="array" ref="Q1459">_xlfn.IFS(AND(H1459&gt;=0,H1459&lt;=3333),"Grupo 1",AND(H1459&gt;3333,H1459&lt;=6666),"Grupo 2",AND(H1459&gt;6666,H1459&lt;=10000),"Grupo 3")</f>
        <v>Grupo 1</v>
      </c>
    </row>
    <row r="1460" spans="1:17" x14ac:dyDescent="0.25">
      <c r="A1460" t="s">
        <v>70</v>
      </c>
      <c r="B1460" s="2">
        <v>45494</v>
      </c>
      <c r="C1460" t="s">
        <v>333</v>
      </c>
      <c r="D1460" t="s">
        <v>212</v>
      </c>
      <c r="E1460">
        <v>1</v>
      </c>
      <c r="F1460">
        <v>1618.91</v>
      </c>
      <c r="G1460" t="s">
        <v>220</v>
      </c>
      <c r="H1460">
        <v>1618.91</v>
      </c>
      <c r="I1460">
        <v>2024</v>
      </c>
      <c r="J1460">
        <v>7</v>
      </c>
      <c r="K1460">
        <v>0</v>
      </c>
      <c r="L1460" s="14">
        <v>1618.91</v>
      </c>
      <c r="M1460" s="4" t="str">
        <f t="shared" si="88"/>
        <v>domingo</v>
      </c>
      <c r="N1460" s="4" t="str">
        <f t="shared" si="89"/>
        <v>julio</v>
      </c>
      <c r="O1460" s="4" t="str">
        <f t="shared" si="90"/>
        <v>NO</v>
      </c>
      <c r="P1460" s="4" t="str">
        <f t="shared" si="91"/>
        <v>SI</v>
      </c>
      <c r="Q1460" s="4" t="str" cm="1">
        <f t="array" ref="Q1460">_xlfn.IFS(AND(H1460&gt;=0,H1460&lt;=3333),"Grupo 1",AND(H1460&gt;3333,H1460&lt;=6666),"Grupo 2",AND(H1460&gt;6666,H1460&lt;=10000),"Grupo 3")</f>
        <v>Grupo 1</v>
      </c>
    </row>
    <row r="1461" spans="1:17" x14ac:dyDescent="0.25">
      <c r="A1461" t="s">
        <v>71</v>
      </c>
      <c r="B1461" s="2">
        <v>45364.463194444441</v>
      </c>
      <c r="C1461" t="s">
        <v>334</v>
      </c>
      <c r="D1461" t="s">
        <v>215</v>
      </c>
      <c r="E1461">
        <v>4</v>
      </c>
      <c r="F1461">
        <v>530.65</v>
      </c>
      <c r="G1461" t="s">
        <v>220</v>
      </c>
      <c r="H1461">
        <v>2122.6</v>
      </c>
      <c r="I1461">
        <v>2024</v>
      </c>
      <c r="J1461">
        <v>3</v>
      </c>
      <c r="K1461">
        <v>11</v>
      </c>
      <c r="L1461" s="14">
        <v>530.65</v>
      </c>
      <c r="M1461" s="4" t="str">
        <f t="shared" si="88"/>
        <v>miércoles</v>
      </c>
      <c r="N1461" s="4" t="str">
        <f t="shared" si="89"/>
        <v>marzo</v>
      </c>
      <c r="O1461" s="4" t="str">
        <f t="shared" si="90"/>
        <v>NO</v>
      </c>
      <c r="P1461" s="4" t="str">
        <f t="shared" si="91"/>
        <v>NO</v>
      </c>
      <c r="Q1461" s="4" t="str" cm="1">
        <f t="array" ref="Q1461">_xlfn.IFS(AND(H1461&gt;=0,H1461&lt;=3333),"Grupo 1",AND(H1461&gt;3333,H1461&lt;=6666),"Grupo 2",AND(H1461&gt;6666,H1461&lt;=10000),"Grupo 3")</f>
        <v>Grupo 1</v>
      </c>
    </row>
    <row r="1462" spans="1:17" x14ac:dyDescent="0.25">
      <c r="A1462" t="s">
        <v>72</v>
      </c>
      <c r="B1462" s="2">
        <v>45583.023611111108</v>
      </c>
      <c r="C1462" t="s">
        <v>335</v>
      </c>
      <c r="D1462" t="s">
        <v>216</v>
      </c>
      <c r="E1462">
        <v>5</v>
      </c>
      <c r="F1462">
        <v>418.83</v>
      </c>
      <c r="G1462" t="s">
        <v>221</v>
      </c>
      <c r="H1462">
        <v>2094.15</v>
      </c>
      <c r="I1462">
        <v>2024</v>
      </c>
      <c r="J1462">
        <v>10</v>
      </c>
      <c r="K1462">
        <v>0</v>
      </c>
      <c r="L1462" s="14">
        <v>418.83</v>
      </c>
      <c r="M1462" s="4" t="str">
        <f t="shared" si="88"/>
        <v>viernes</v>
      </c>
      <c r="N1462" s="4" t="str">
        <f t="shared" si="89"/>
        <v>octubre</v>
      </c>
      <c r="O1462" s="4" t="str">
        <f t="shared" si="90"/>
        <v>NO</v>
      </c>
      <c r="P1462" s="4" t="str">
        <f t="shared" si="91"/>
        <v>NO</v>
      </c>
      <c r="Q1462" s="4" t="str" cm="1">
        <f t="array" ref="Q1462">_xlfn.IFS(AND(H1462&gt;=0,H1462&lt;=3333),"Grupo 1",AND(H1462&gt;3333,H1462&lt;=6666),"Grupo 2",AND(H1462&gt;6666,H1462&lt;=10000),"Grupo 3")</f>
        <v>Grupo 1</v>
      </c>
    </row>
    <row r="1463" spans="1:17" x14ac:dyDescent="0.25">
      <c r="A1463" t="s">
        <v>73</v>
      </c>
      <c r="B1463" s="2">
        <v>45779.546527777777</v>
      </c>
      <c r="C1463" t="s">
        <v>336</v>
      </c>
      <c r="D1463" t="s">
        <v>214</v>
      </c>
      <c r="E1463">
        <v>3</v>
      </c>
      <c r="F1463">
        <v>664.98</v>
      </c>
      <c r="G1463" t="s">
        <v>222</v>
      </c>
      <c r="H1463">
        <v>1994.94</v>
      </c>
      <c r="I1463">
        <v>2025</v>
      </c>
      <c r="J1463">
        <v>5</v>
      </c>
      <c r="K1463">
        <v>13</v>
      </c>
      <c r="L1463" s="14">
        <v>664.98</v>
      </c>
      <c r="M1463" s="4" t="str">
        <f t="shared" si="88"/>
        <v>viernes</v>
      </c>
      <c r="N1463" s="4" t="str">
        <f t="shared" si="89"/>
        <v>mayo</v>
      </c>
      <c r="O1463" s="4" t="str">
        <f t="shared" si="90"/>
        <v>NO</v>
      </c>
      <c r="P1463" s="4" t="str">
        <f t="shared" si="91"/>
        <v>NO</v>
      </c>
      <c r="Q1463" s="4" t="str" cm="1">
        <f t="array" ref="Q1463">_xlfn.IFS(AND(H1463&gt;=0,H1463&lt;=3333),"Grupo 1",AND(H1463&gt;3333,H1463&lt;=6666),"Grupo 2",AND(H1463&gt;6666,H1463&lt;=10000),"Grupo 3")</f>
        <v>Grupo 1</v>
      </c>
    </row>
    <row r="1464" spans="1:17" x14ac:dyDescent="0.25">
      <c r="A1464" t="s">
        <v>74</v>
      </c>
      <c r="B1464" s="2">
        <v>45516.480555555558</v>
      </c>
      <c r="C1464" t="s">
        <v>337</v>
      </c>
      <c r="D1464" t="s">
        <v>217</v>
      </c>
      <c r="E1464">
        <v>1</v>
      </c>
      <c r="F1464">
        <v>1322.41</v>
      </c>
      <c r="G1464" t="s">
        <v>220</v>
      </c>
      <c r="H1464">
        <v>1322.41</v>
      </c>
      <c r="I1464">
        <v>2024</v>
      </c>
      <c r="J1464">
        <v>8</v>
      </c>
      <c r="K1464">
        <v>11</v>
      </c>
      <c r="L1464" s="14">
        <v>1322.41</v>
      </c>
      <c r="M1464" s="4" t="str">
        <f t="shared" si="88"/>
        <v>lunes</v>
      </c>
      <c r="N1464" s="4" t="str">
        <f t="shared" si="89"/>
        <v>agosto</v>
      </c>
      <c r="O1464" s="4" t="str">
        <f t="shared" si="90"/>
        <v>NO</v>
      </c>
      <c r="P1464" s="4" t="str">
        <f t="shared" si="91"/>
        <v>SI</v>
      </c>
      <c r="Q1464" s="4" t="str" cm="1">
        <f t="array" ref="Q1464">_xlfn.IFS(AND(H1464&gt;=0,H1464&lt;=3333),"Grupo 1",AND(H1464&gt;3333,H1464&lt;=6666),"Grupo 2",AND(H1464&gt;6666,H1464&lt;=10000),"Grupo 3")</f>
        <v>Grupo 1</v>
      </c>
    </row>
    <row r="1465" spans="1:17" x14ac:dyDescent="0.25">
      <c r="A1465" t="s">
        <v>75</v>
      </c>
      <c r="B1465" s="2">
        <v>45285.25277777778</v>
      </c>
      <c r="C1465" t="s">
        <v>338</v>
      </c>
      <c r="D1465" t="s">
        <v>212</v>
      </c>
      <c r="E1465">
        <v>4</v>
      </c>
      <c r="F1465">
        <v>1467.27</v>
      </c>
      <c r="G1465" t="s">
        <v>220</v>
      </c>
      <c r="H1465">
        <v>5869.08</v>
      </c>
      <c r="I1465">
        <v>2023</v>
      </c>
      <c r="J1465">
        <v>12</v>
      </c>
      <c r="K1465">
        <v>6</v>
      </c>
      <c r="L1465" s="14">
        <v>1467.27</v>
      </c>
      <c r="M1465" s="4" t="str">
        <f t="shared" si="88"/>
        <v>lunes</v>
      </c>
      <c r="N1465" s="4" t="str">
        <f t="shared" si="89"/>
        <v>diciembre</v>
      </c>
      <c r="O1465" s="4" t="str">
        <f t="shared" si="90"/>
        <v>SI</v>
      </c>
      <c r="P1465" s="4" t="str">
        <f t="shared" si="91"/>
        <v>SI</v>
      </c>
      <c r="Q1465" s="4" t="str" cm="1">
        <f t="array" ref="Q1465">_xlfn.IFS(AND(H1465&gt;=0,H1465&lt;=3333),"Grupo 1",AND(H1465&gt;3333,H1465&lt;=6666),"Grupo 2",AND(H1465&gt;6666,H1465&lt;=10000),"Grupo 3")</f>
        <v>Grupo 2</v>
      </c>
    </row>
    <row r="1466" spans="1:17" x14ac:dyDescent="0.25">
      <c r="A1466" t="s">
        <v>76</v>
      </c>
      <c r="B1466" s="2">
        <v>45297.965277777781</v>
      </c>
      <c r="C1466" t="s">
        <v>339</v>
      </c>
      <c r="D1466" t="s">
        <v>215</v>
      </c>
      <c r="E1466">
        <v>4</v>
      </c>
      <c r="F1466">
        <v>1804.12</v>
      </c>
      <c r="G1466" t="s">
        <v>220</v>
      </c>
      <c r="H1466">
        <v>7216.48</v>
      </c>
      <c r="I1466">
        <v>2024</v>
      </c>
      <c r="J1466">
        <v>1</v>
      </c>
      <c r="K1466">
        <v>23</v>
      </c>
      <c r="L1466" s="14">
        <v>1804.12</v>
      </c>
      <c r="M1466" s="4" t="str">
        <f t="shared" si="88"/>
        <v>sábado</v>
      </c>
      <c r="N1466" s="4" t="str">
        <f t="shared" si="89"/>
        <v>enero</v>
      </c>
      <c r="O1466" s="4" t="str">
        <f t="shared" si="90"/>
        <v>SI</v>
      </c>
      <c r="P1466" s="4" t="str">
        <f t="shared" si="91"/>
        <v>SI</v>
      </c>
      <c r="Q1466" s="4" t="str" cm="1">
        <f t="array" ref="Q1466">_xlfn.IFS(AND(H1466&gt;=0,H1466&lt;=3333),"Grupo 1",AND(H1466&gt;3333,H1466&lt;=6666),"Grupo 2",AND(H1466&gt;6666,H1466&lt;=10000),"Grupo 3")</f>
        <v>Grupo 3</v>
      </c>
    </row>
    <row r="1467" spans="1:17" x14ac:dyDescent="0.25">
      <c r="A1467" t="s">
        <v>77</v>
      </c>
      <c r="B1467" s="2">
        <v>45434.519444444442</v>
      </c>
      <c r="C1467" t="s">
        <v>340</v>
      </c>
      <c r="D1467" t="s">
        <v>219</v>
      </c>
      <c r="E1467">
        <v>1</v>
      </c>
      <c r="F1467">
        <v>1172.72</v>
      </c>
      <c r="G1467" t="s">
        <v>221</v>
      </c>
      <c r="H1467">
        <v>1172.72</v>
      </c>
      <c r="I1467">
        <v>2024</v>
      </c>
      <c r="J1467">
        <v>5</v>
      </c>
      <c r="K1467">
        <v>12</v>
      </c>
      <c r="L1467" s="14">
        <v>1172.72</v>
      </c>
      <c r="M1467" s="4" t="str">
        <f t="shared" si="88"/>
        <v>miércoles</v>
      </c>
      <c r="N1467" s="4" t="str">
        <f t="shared" si="89"/>
        <v>mayo</v>
      </c>
      <c r="O1467" s="4" t="str">
        <f t="shared" si="90"/>
        <v>NO</v>
      </c>
      <c r="P1467" s="4" t="str">
        <f t="shared" si="91"/>
        <v>SI</v>
      </c>
      <c r="Q1467" s="4" t="str" cm="1">
        <f t="array" ref="Q1467">_xlfn.IFS(AND(H1467&gt;=0,H1467&lt;=3333),"Grupo 1",AND(H1467&gt;3333,H1467&lt;=6666),"Grupo 2",AND(H1467&gt;6666,H1467&lt;=10000),"Grupo 3")</f>
        <v>Grupo 1</v>
      </c>
    </row>
    <row r="1468" spans="1:17" x14ac:dyDescent="0.25">
      <c r="A1468" t="s">
        <v>78</v>
      </c>
      <c r="B1468" s="2">
        <v>45290.050694444442</v>
      </c>
      <c r="C1468" t="s">
        <v>341</v>
      </c>
      <c r="D1468" t="s">
        <v>218</v>
      </c>
      <c r="E1468">
        <v>1</v>
      </c>
      <c r="F1468">
        <v>725.07</v>
      </c>
      <c r="G1468" t="s">
        <v>221</v>
      </c>
      <c r="H1468">
        <v>725.07</v>
      </c>
      <c r="I1468">
        <v>2023</v>
      </c>
      <c r="J1468">
        <v>12</v>
      </c>
      <c r="K1468">
        <v>1</v>
      </c>
      <c r="L1468" s="14">
        <v>725.07</v>
      </c>
      <c r="M1468" s="4" t="str">
        <f t="shared" si="88"/>
        <v>sábado</v>
      </c>
      <c r="N1468" s="4" t="str">
        <f t="shared" si="89"/>
        <v>diciembre</v>
      </c>
      <c r="O1468" s="4" t="str">
        <f t="shared" si="90"/>
        <v>NO</v>
      </c>
      <c r="P1468" s="4" t="str">
        <f t="shared" si="91"/>
        <v>NO</v>
      </c>
      <c r="Q1468" s="4" t="str" cm="1">
        <f t="array" ref="Q1468">_xlfn.IFS(AND(H1468&gt;=0,H1468&lt;=3333),"Grupo 1",AND(H1468&gt;3333,H1468&lt;=6666),"Grupo 2",AND(H1468&gt;6666,H1468&lt;=10000),"Grupo 3")</f>
        <v>Grupo 1</v>
      </c>
    </row>
    <row r="1469" spans="1:17" x14ac:dyDescent="0.25">
      <c r="A1469" t="s">
        <v>79</v>
      </c>
      <c r="B1469" s="2">
        <v>45684.334027777782</v>
      </c>
      <c r="C1469" t="s">
        <v>342</v>
      </c>
      <c r="D1469" t="s">
        <v>212</v>
      </c>
      <c r="E1469">
        <v>5</v>
      </c>
      <c r="F1469">
        <v>563.69000000000005</v>
      </c>
      <c r="G1469" t="s">
        <v>220</v>
      </c>
      <c r="H1469">
        <v>2818.45</v>
      </c>
      <c r="I1469">
        <v>2025</v>
      </c>
      <c r="J1469">
        <v>1</v>
      </c>
      <c r="K1469">
        <v>8</v>
      </c>
      <c r="L1469" s="14">
        <v>563.69000000000005</v>
      </c>
      <c r="M1469" s="4" t="str">
        <f t="shared" si="88"/>
        <v>lunes</v>
      </c>
      <c r="N1469" s="4" t="str">
        <f t="shared" si="89"/>
        <v>enero</v>
      </c>
      <c r="O1469" s="4" t="str">
        <f t="shared" si="90"/>
        <v>NO</v>
      </c>
      <c r="P1469" s="4" t="str">
        <f t="shared" si="91"/>
        <v>NO</v>
      </c>
      <c r="Q1469" s="4" t="str" cm="1">
        <f t="array" ref="Q1469">_xlfn.IFS(AND(H1469&gt;=0,H1469&lt;=3333),"Grupo 1",AND(H1469&gt;3333,H1469&lt;=6666),"Grupo 2",AND(H1469&gt;6666,H1469&lt;=10000),"Grupo 3")</f>
        <v>Grupo 1</v>
      </c>
    </row>
    <row r="1470" spans="1:17" x14ac:dyDescent="0.25">
      <c r="A1470" t="s">
        <v>80</v>
      </c>
      <c r="B1470" s="2">
        <v>45222.202777777777</v>
      </c>
      <c r="C1470" t="s">
        <v>343</v>
      </c>
      <c r="D1470" t="s">
        <v>219</v>
      </c>
      <c r="E1470">
        <v>5</v>
      </c>
      <c r="F1470">
        <v>1547.41</v>
      </c>
      <c r="G1470" t="s">
        <v>221</v>
      </c>
      <c r="H1470">
        <v>7737.05</v>
      </c>
      <c r="I1470">
        <v>2023</v>
      </c>
      <c r="J1470">
        <v>10</v>
      </c>
      <c r="K1470">
        <v>4</v>
      </c>
      <c r="L1470" s="14">
        <v>1547.41</v>
      </c>
      <c r="M1470" s="4" t="str">
        <f t="shared" si="88"/>
        <v>lunes</v>
      </c>
      <c r="N1470" s="4" t="str">
        <f t="shared" si="89"/>
        <v>octubre</v>
      </c>
      <c r="O1470" s="4" t="str">
        <f t="shared" si="90"/>
        <v>SI</v>
      </c>
      <c r="P1470" s="4" t="str">
        <f t="shared" si="91"/>
        <v>SI</v>
      </c>
      <c r="Q1470" s="4" t="str" cm="1">
        <f t="array" ref="Q1470">_xlfn.IFS(AND(H1470&gt;=0,H1470&lt;=3333),"Grupo 1",AND(H1470&gt;3333,H1470&lt;=6666),"Grupo 2",AND(H1470&gt;6666,H1470&lt;=10000),"Grupo 3")</f>
        <v>Grupo 3</v>
      </c>
    </row>
    <row r="1471" spans="1:17" x14ac:dyDescent="0.25">
      <c r="A1471" t="s">
        <v>81</v>
      </c>
      <c r="B1471" s="2">
        <v>45274.597916666673</v>
      </c>
      <c r="C1471" t="s">
        <v>344</v>
      </c>
      <c r="D1471" t="s">
        <v>216</v>
      </c>
      <c r="E1471">
        <v>2</v>
      </c>
      <c r="F1471">
        <v>1903.65</v>
      </c>
      <c r="G1471" t="s">
        <v>221</v>
      </c>
      <c r="H1471">
        <v>3807.3</v>
      </c>
      <c r="I1471">
        <v>2023</v>
      </c>
      <c r="J1471">
        <v>12</v>
      </c>
      <c r="K1471">
        <v>14</v>
      </c>
      <c r="L1471" s="14">
        <v>1903.65</v>
      </c>
      <c r="M1471" s="4" t="str">
        <f t="shared" si="88"/>
        <v>jueves</v>
      </c>
      <c r="N1471" s="4" t="str">
        <f t="shared" si="89"/>
        <v>diciembre</v>
      </c>
      <c r="O1471" s="4" t="str">
        <f t="shared" si="90"/>
        <v>SI</v>
      </c>
      <c r="P1471" s="4" t="str">
        <f t="shared" si="91"/>
        <v>SI</v>
      </c>
      <c r="Q1471" s="4" t="str" cm="1">
        <f t="array" ref="Q1471">_xlfn.IFS(AND(H1471&gt;=0,H1471&lt;=3333),"Grupo 1",AND(H1471&gt;3333,H1471&lt;=6666),"Grupo 2",AND(H1471&gt;6666,H1471&lt;=10000),"Grupo 3")</f>
        <v>Grupo 2</v>
      </c>
    </row>
    <row r="1472" spans="1:17" x14ac:dyDescent="0.25">
      <c r="A1472" t="s">
        <v>82</v>
      </c>
      <c r="B1472" s="2">
        <v>45358.874305555553</v>
      </c>
      <c r="C1472" t="s">
        <v>345</v>
      </c>
      <c r="D1472" t="s">
        <v>215</v>
      </c>
      <c r="E1472">
        <v>2</v>
      </c>
      <c r="F1472">
        <v>1198.2</v>
      </c>
      <c r="G1472" t="s">
        <v>220</v>
      </c>
      <c r="H1472">
        <v>2396.4</v>
      </c>
      <c r="I1472">
        <v>2024</v>
      </c>
      <c r="J1472">
        <v>3</v>
      </c>
      <c r="K1472">
        <v>20</v>
      </c>
      <c r="L1472" s="14">
        <v>1198.2</v>
      </c>
      <c r="M1472" s="4" t="str">
        <f t="shared" si="88"/>
        <v>jueves</v>
      </c>
      <c r="N1472" s="4" t="str">
        <f t="shared" si="89"/>
        <v>marzo</v>
      </c>
      <c r="O1472" s="4" t="str">
        <f t="shared" si="90"/>
        <v>NO</v>
      </c>
      <c r="P1472" s="4" t="str">
        <f t="shared" si="91"/>
        <v>SI</v>
      </c>
      <c r="Q1472" s="4" t="str" cm="1">
        <f t="array" ref="Q1472">_xlfn.IFS(AND(H1472&gt;=0,H1472&lt;=3333),"Grupo 1",AND(H1472&gt;3333,H1472&lt;=6666),"Grupo 2",AND(H1472&gt;6666,H1472&lt;=10000),"Grupo 3")</f>
        <v>Grupo 1</v>
      </c>
    </row>
    <row r="1473" spans="1:17" x14ac:dyDescent="0.25">
      <c r="A1473" t="s">
        <v>83</v>
      </c>
      <c r="B1473" s="2">
        <v>45850.171527777777</v>
      </c>
      <c r="C1473" t="s">
        <v>346</v>
      </c>
      <c r="D1473" t="s">
        <v>213</v>
      </c>
      <c r="E1473">
        <v>3</v>
      </c>
      <c r="F1473">
        <v>543.72</v>
      </c>
      <c r="G1473" t="s">
        <v>221</v>
      </c>
      <c r="H1473">
        <v>1631.16</v>
      </c>
      <c r="I1473">
        <v>2025</v>
      </c>
      <c r="J1473">
        <v>7</v>
      </c>
      <c r="K1473">
        <v>4</v>
      </c>
      <c r="L1473" s="14">
        <v>543.72</v>
      </c>
      <c r="M1473" s="4" t="str">
        <f t="shared" si="88"/>
        <v>sábado</v>
      </c>
      <c r="N1473" s="4" t="str">
        <f t="shared" si="89"/>
        <v>julio</v>
      </c>
      <c r="O1473" s="4" t="str">
        <f t="shared" si="90"/>
        <v>NO</v>
      </c>
      <c r="P1473" s="4" t="str">
        <f t="shared" si="91"/>
        <v>NO</v>
      </c>
      <c r="Q1473" s="4" t="str" cm="1">
        <f t="array" ref="Q1473">_xlfn.IFS(AND(H1473&gt;=0,H1473&lt;=3333),"Grupo 1",AND(H1473&gt;3333,H1473&lt;=6666),"Grupo 2",AND(H1473&gt;6666,H1473&lt;=10000),"Grupo 3")</f>
        <v>Grupo 1</v>
      </c>
    </row>
    <row r="1474" spans="1:17" x14ac:dyDescent="0.25">
      <c r="A1474" t="s">
        <v>84</v>
      </c>
      <c r="B1474" s="2">
        <v>45041.884027777778</v>
      </c>
      <c r="C1474" t="s">
        <v>347</v>
      </c>
      <c r="D1474" t="s">
        <v>216</v>
      </c>
      <c r="E1474">
        <v>2</v>
      </c>
      <c r="F1474">
        <v>1449.53</v>
      </c>
      <c r="G1474" t="s">
        <v>221</v>
      </c>
      <c r="H1474">
        <v>2899.06</v>
      </c>
      <c r="I1474">
        <v>2023</v>
      </c>
      <c r="J1474">
        <v>4</v>
      </c>
      <c r="K1474">
        <v>21</v>
      </c>
      <c r="L1474" s="14">
        <v>1449.53</v>
      </c>
      <c r="M1474" s="4" t="str">
        <f t="shared" ref="M1474:M1537" si="92">TEXT(B1474,"dddd")</f>
        <v>martes</v>
      </c>
      <c r="N1474" s="4" t="str">
        <f t="shared" ref="N1474:N1537" si="93">TEXT(B1474,"mmmm")</f>
        <v>abril</v>
      </c>
      <c r="O1474" s="4" t="str">
        <f t="shared" si="90"/>
        <v>SI</v>
      </c>
      <c r="P1474" s="4" t="str">
        <f t="shared" si="91"/>
        <v>SI</v>
      </c>
      <c r="Q1474" s="4" t="str" cm="1">
        <f t="array" ref="Q1474">_xlfn.IFS(AND(H1474&gt;=0,H1474&lt;=3333),"Grupo 1",AND(H1474&gt;3333,H1474&lt;=6666),"Grupo 2",AND(H1474&gt;6666,H1474&lt;=10000),"Grupo 3")</f>
        <v>Grupo 1</v>
      </c>
    </row>
    <row r="1475" spans="1:17" x14ac:dyDescent="0.25">
      <c r="A1475" t="s">
        <v>85</v>
      </c>
      <c r="B1475" s="2">
        <v>45564.772916666669</v>
      </c>
      <c r="C1475" t="s">
        <v>348</v>
      </c>
      <c r="D1475" t="s">
        <v>214</v>
      </c>
      <c r="E1475">
        <v>5</v>
      </c>
      <c r="F1475">
        <v>472.42</v>
      </c>
      <c r="G1475" t="s">
        <v>222</v>
      </c>
      <c r="H1475">
        <v>2362.1</v>
      </c>
      <c r="I1475">
        <v>2024</v>
      </c>
      <c r="J1475">
        <v>9</v>
      </c>
      <c r="K1475">
        <v>18</v>
      </c>
      <c r="L1475" s="14">
        <v>472.42</v>
      </c>
      <c r="M1475" s="4" t="str">
        <f t="shared" si="92"/>
        <v>domingo</v>
      </c>
      <c r="N1475" s="4" t="str">
        <f t="shared" si="93"/>
        <v>septiembre</v>
      </c>
      <c r="O1475" s="4" t="str">
        <f t="shared" ref="O1475:O1538" si="94">IF(H1475&gt;AVERAGE(H:H),"SI","NO")</f>
        <v>NO</v>
      </c>
      <c r="P1475" s="4" t="str">
        <f t="shared" ref="P1475:P1538" si="95">IF(L1475&gt;AVERAGE(L:L),"SI","NO")</f>
        <v>NO</v>
      </c>
      <c r="Q1475" s="4" t="str" cm="1">
        <f t="array" ref="Q1475">_xlfn.IFS(AND(H1475&gt;=0,H1475&lt;=3333),"Grupo 1",AND(H1475&gt;3333,H1475&lt;=6666),"Grupo 2",AND(H1475&gt;6666,H1475&lt;=10000),"Grupo 3")</f>
        <v>Grupo 1</v>
      </c>
    </row>
    <row r="1476" spans="1:17" x14ac:dyDescent="0.25">
      <c r="A1476" t="s">
        <v>86</v>
      </c>
      <c r="B1476" s="2">
        <v>45118.247916666667</v>
      </c>
      <c r="C1476" t="s">
        <v>349</v>
      </c>
      <c r="D1476" t="s">
        <v>219</v>
      </c>
      <c r="E1476">
        <v>3</v>
      </c>
      <c r="F1476">
        <v>367.9</v>
      </c>
      <c r="G1476" t="s">
        <v>221</v>
      </c>
      <c r="H1476">
        <v>1103.7</v>
      </c>
      <c r="I1476">
        <v>2023</v>
      </c>
      <c r="J1476">
        <v>7</v>
      </c>
      <c r="K1476">
        <v>5</v>
      </c>
      <c r="L1476" s="14">
        <v>367.89999999999992</v>
      </c>
      <c r="M1476" s="4" t="str">
        <f t="shared" si="92"/>
        <v>martes</v>
      </c>
      <c r="N1476" s="4" t="str">
        <f t="shared" si="93"/>
        <v>julio</v>
      </c>
      <c r="O1476" s="4" t="str">
        <f t="shared" si="94"/>
        <v>NO</v>
      </c>
      <c r="P1476" s="4" t="str">
        <f t="shared" si="95"/>
        <v>NO</v>
      </c>
      <c r="Q1476" s="4" t="str" cm="1">
        <f t="array" ref="Q1476">_xlfn.IFS(AND(H1476&gt;=0,H1476&lt;=3333),"Grupo 1",AND(H1476&gt;3333,H1476&lt;=6666),"Grupo 2",AND(H1476&gt;6666,H1476&lt;=10000),"Grupo 3")</f>
        <v>Grupo 1</v>
      </c>
    </row>
    <row r="1477" spans="1:17" x14ac:dyDescent="0.25">
      <c r="A1477" t="s">
        <v>87</v>
      </c>
      <c r="B1477" s="2">
        <v>45717.986111111109</v>
      </c>
      <c r="C1477" t="s">
        <v>350</v>
      </c>
      <c r="D1477" t="s">
        <v>219</v>
      </c>
      <c r="E1477">
        <v>5</v>
      </c>
      <c r="F1477">
        <v>739.51</v>
      </c>
      <c r="G1477" t="s">
        <v>221</v>
      </c>
      <c r="H1477">
        <v>3697.55</v>
      </c>
      <c r="I1477">
        <v>2025</v>
      </c>
      <c r="J1477">
        <v>3</v>
      </c>
      <c r="K1477">
        <v>23</v>
      </c>
      <c r="L1477" s="14">
        <v>739.51</v>
      </c>
      <c r="M1477" s="4" t="str">
        <f t="shared" si="92"/>
        <v>sábado</v>
      </c>
      <c r="N1477" s="4" t="str">
        <f t="shared" si="93"/>
        <v>marzo</v>
      </c>
      <c r="O1477" s="4" t="str">
        <f t="shared" si="94"/>
        <v>SI</v>
      </c>
      <c r="P1477" s="4" t="str">
        <f t="shared" si="95"/>
        <v>NO</v>
      </c>
      <c r="Q1477" s="4" t="str" cm="1">
        <f t="array" ref="Q1477">_xlfn.IFS(AND(H1477&gt;=0,H1477&lt;=3333),"Grupo 1",AND(H1477&gt;3333,H1477&lt;=6666),"Grupo 2",AND(H1477&gt;6666,H1477&lt;=10000),"Grupo 3")</f>
        <v>Grupo 2</v>
      </c>
    </row>
    <row r="1478" spans="1:17" x14ac:dyDescent="0.25">
      <c r="A1478" t="s">
        <v>88</v>
      </c>
      <c r="B1478" s="2">
        <v>45162.795138888891</v>
      </c>
      <c r="C1478" t="s">
        <v>351</v>
      </c>
      <c r="D1478" t="s">
        <v>217</v>
      </c>
      <c r="E1478">
        <v>2</v>
      </c>
      <c r="F1478">
        <v>1089.1300000000001</v>
      </c>
      <c r="G1478" t="s">
        <v>220</v>
      </c>
      <c r="H1478">
        <v>2178.2600000000002</v>
      </c>
      <c r="I1478">
        <v>2023</v>
      </c>
      <c r="J1478">
        <v>8</v>
      </c>
      <c r="K1478">
        <v>19</v>
      </c>
      <c r="L1478" s="14">
        <v>1089.1300000000001</v>
      </c>
      <c r="M1478" s="4" t="str">
        <f t="shared" si="92"/>
        <v>jueves</v>
      </c>
      <c r="N1478" s="4" t="str">
        <f t="shared" si="93"/>
        <v>agosto</v>
      </c>
      <c r="O1478" s="4" t="str">
        <f t="shared" si="94"/>
        <v>NO</v>
      </c>
      <c r="P1478" s="4" t="str">
        <f t="shared" si="95"/>
        <v>SI</v>
      </c>
      <c r="Q1478" s="4" t="str" cm="1">
        <f t="array" ref="Q1478">_xlfn.IFS(AND(H1478&gt;=0,H1478&lt;=3333),"Grupo 1",AND(H1478&gt;3333,H1478&lt;=6666),"Grupo 2",AND(H1478&gt;6666,H1478&lt;=10000),"Grupo 3")</f>
        <v>Grupo 1</v>
      </c>
    </row>
    <row r="1479" spans="1:17" x14ac:dyDescent="0.25">
      <c r="A1479" t="s">
        <v>89</v>
      </c>
      <c r="B1479" s="2">
        <v>45517.353472222218</v>
      </c>
      <c r="C1479" t="s">
        <v>352</v>
      </c>
      <c r="D1479" t="s">
        <v>216</v>
      </c>
      <c r="E1479">
        <v>5</v>
      </c>
      <c r="F1479">
        <v>1632.75</v>
      </c>
      <c r="G1479" t="s">
        <v>221</v>
      </c>
      <c r="H1479">
        <v>8163.75</v>
      </c>
      <c r="I1479">
        <v>2024</v>
      </c>
      <c r="J1479">
        <v>8</v>
      </c>
      <c r="K1479">
        <v>8</v>
      </c>
      <c r="L1479" s="14">
        <v>1632.75</v>
      </c>
      <c r="M1479" s="4" t="str">
        <f t="shared" si="92"/>
        <v>martes</v>
      </c>
      <c r="N1479" s="4" t="str">
        <f t="shared" si="93"/>
        <v>agosto</v>
      </c>
      <c r="O1479" s="4" t="str">
        <f t="shared" si="94"/>
        <v>SI</v>
      </c>
      <c r="P1479" s="4" t="str">
        <f t="shared" si="95"/>
        <v>SI</v>
      </c>
      <c r="Q1479" s="4" t="str" cm="1">
        <f t="array" ref="Q1479">_xlfn.IFS(AND(H1479&gt;=0,H1479&lt;=3333),"Grupo 1",AND(H1479&gt;3333,H1479&lt;=6666),"Grupo 2",AND(H1479&gt;6666,H1479&lt;=10000),"Grupo 3")</f>
        <v>Grupo 3</v>
      </c>
    </row>
    <row r="1480" spans="1:17" x14ac:dyDescent="0.25">
      <c r="A1480" t="s">
        <v>90</v>
      </c>
      <c r="B1480" s="2">
        <v>45245.664583333331</v>
      </c>
      <c r="C1480" t="s">
        <v>353</v>
      </c>
      <c r="D1480" t="s">
        <v>212</v>
      </c>
      <c r="E1480">
        <v>3</v>
      </c>
      <c r="F1480">
        <v>817.35</v>
      </c>
      <c r="G1480" t="s">
        <v>220</v>
      </c>
      <c r="H1480">
        <v>2452.0500000000002</v>
      </c>
      <c r="I1480">
        <v>2023</v>
      </c>
      <c r="J1480">
        <v>11</v>
      </c>
      <c r="K1480">
        <v>15</v>
      </c>
      <c r="L1480" s="14">
        <v>817.35</v>
      </c>
      <c r="M1480" s="4" t="str">
        <f t="shared" si="92"/>
        <v>miércoles</v>
      </c>
      <c r="N1480" s="4" t="str">
        <f t="shared" si="93"/>
        <v>noviembre</v>
      </c>
      <c r="O1480" s="4" t="str">
        <f t="shared" si="94"/>
        <v>NO</v>
      </c>
      <c r="P1480" s="4" t="str">
        <f t="shared" si="95"/>
        <v>NO</v>
      </c>
      <c r="Q1480" s="4" t="str" cm="1">
        <f t="array" ref="Q1480">_xlfn.IFS(AND(H1480&gt;=0,H1480&lt;=3333),"Grupo 1",AND(H1480&gt;3333,H1480&lt;=6666),"Grupo 2",AND(H1480&gt;6666,H1480&lt;=10000),"Grupo 3")</f>
        <v>Grupo 1</v>
      </c>
    </row>
    <row r="1481" spans="1:17" x14ac:dyDescent="0.25">
      <c r="A1481" t="s">
        <v>91</v>
      </c>
      <c r="B1481" s="2">
        <v>45603.368055555547</v>
      </c>
      <c r="C1481" t="s">
        <v>354</v>
      </c>
      <c r="D1481" t="s">
        <v>213</v>
      </c>
      <c r="E1481">
        <v>2</v>
      </c>
      <c r="F1481">
        <v>1186.58</v>
      </c>
      <c r="G1481" t="s">
        <v>221</v>
      </c>
      <c r="H1481">
        <v>2373.16</v>
      </c>
      <c r="I1481">
        <v>2024</v>
      </c>
      <c r="J1481">
        <v>11</v>
      </c>
      <c r="K1481">
        <v>8</v>
      </c>
      <c r="L1481" s="14">
        <v>1186.58</v>
      </c>
      <c r="M1481" s="4" t="str">
        <f t="shared" si="92"/>
        <v>jueves</v>
      </c>
      <c r="N1481" s="4" t="str">
        <f t="shared" si="93"/>
        <v>noviembre</v>
      </c>
      <c r="O1481" s="4" t="str">
        <f t="shared" si="94"/>
        <v>NO</v>
      </c>
      <c r="P1481" s="4" t="str">
        <f t="shared" si="95"/>
        <v>SI</v>
      </c>
      <c r="Q1481" s="4" t="str" cm="1">
        <f t="array" ref="Q1481">_xlfn.IFS(AND(H1481&gt;=0,H1481&lt;=3333),"Grupo 1",AND(H1481&gt;3333,H1481&lt;=6666),"Grupo 2",AND(H1481&gt;6666,H1481&lt;=10000),"Grupo 3")</f>
        <v>Grupo 1</v>
      </c>
    </row>
    <row r="1482" spans="1:17" x14ac:dyDescent="0.25">
      <c r="A1482" t="s">
        <v>92</v>
      </c>
      <c r="B1482" s="2">
        <v>44990.597916666673</v>
      </c>
      <c r="C1482" t="s">
        <v>355</v>
      </c>
      <c r="D1482" t="s">
        <v>215</v>
      </c>
      <c r="E1482">
        <v>2</v>
      </c>
      <c r="F1482">
        <v>1872.8</v>
      </c>
      <c r="G1482" t="s">
        <v>220</v>
      </c>
      <c r="H1482">
        <v>3745.6</v>
      </c>
      <c r="I1482">
        <v>2023</v>
      </c>
      <c r="J1482">
        <v>3</v>
      </c>
      <c r="K1482">
        <v>14</v>
      </c>
      <c r="L1482" s="14">
        <v>1872.8</v>
      </c>
      <c r="M1482" s="4" t="str">
        <f t="shared" si="92"/>
        <v>domingo</v>
      </c>
      <c r="N1482" s="4" t="str">
        <f t="shared" si="93"/>
        <v>marzo</v>
      </c>
      <c r="O1482" s="4" t="str">
        <f t="shared" si="94"/>
        <v>SI</v>
      </c>
      <c r="P1482" s="4" t="str">
        <f t="shared" si="95"/>
        <v>SI</v>
      </c>
      <c r="Q1482" s="4" t="str" cm="1">
        <f t="array" ref="Q1482">_xlfn.IFS(AND(H1482&gt;=0,H1482&lt;=3333),"Grupo 1",AND(H1482&gt;3333,H1482&lt;=6666),"Grupo 2",AND(H1482&gt;6666,H1482&lt;=10000),"Grupo 3")</f>
        <v>Grupo 2</v>
      </c>
    </row>
    <row r="1483" spans="1:17" x14ac:dyDescent="0.25">
      <c r="A1483" t="s">
        <v>93</v>
      </c>
      <c r="B1483" s="2">
        <v>45273.106249999997</v>
      </c>
      <c r="C1483" t="s">
        <v>356</v>
      </c>
      <c r="D1483" t="s">
        <v>214</v>
      </c>
      <c r="E1483">
        <v>3</v>
      </c>
      <c r="F1483">
        <v>680.19</v>
      </c>
      <c r="G1483" t="s">
        <v>222</v>
      </c>
      <c r="H1483">
        <v>2040.57</v>
      </c>
      <c r="I1483">
        <v>2023</v>
      </c>
      <c r="J1483">
        <v>12</v>
      </c>
      <c r="K1483">
        <v>2</v>
      </c>
      <c r="L1483" s="14">
        <v>680.19</v>
      </c>
      <c r="M1483" s="4" t="str">
        <f t="shared" si="92"/>
        <v>miércoles</v>
      </c>
      <c r="N1483" s="4" t="str">
        <f t="shared" si="93"/>
        <v>diciembre</v>
      </c>
      <c r="O1483" s="4" t="str">
        <f t="shared" si="94"/>
        <v>NO</v>
      </c>
      <c r="P1483" s="4" t="str">
        <f t="shared" si="95"/>
        <v>NO</v>
      </c>
      <c r="Q1483" s="4" t="str" cm="1">
        <f t="array" ref="Q1483">_xlfn.IFS(AND(H1483&gt;=0,H1483&lt;=3333),"Grupo 1",AND(H1483&gt;3333,H1483&lt;=6666),"Grupo 2",AND(H1483&gt;6666,H1483&lt;=10000),"Grupo 3")</f>
        <v>Grupo 1</v>
      </c>
    </row>
    <row r="1484" spans="1:17" x14ac:dyDescent="0.25">
      <c r="A1484" t="s">
        <v>94</v>
      </c>
      <c r="B1484" s="2">
        <v>45022.271527777782</v>
      </c>
      <c r="C1484" t="s">
        <v>357</v>
      </c>
      <c r="D1484" t="s">
        <v>216</v>
      </c>
      <c r="E1484">
        <v>4</v>
      </c>
      <c r="F1484">
        <v>262.82</v>
      </c>
      <c r="G1484" t="s">
        <v>221</v>
      </c>
      <c r="H1484">
        <v>1051.28</v>
      </c>
      <c r="I1484">
        <v>2023</v>
      </c>
      <c r="J1484">
        <v>4</v>
      </c>
      <c r="K1484">
        <v>6</v>
      </c>
      <c r="L1484" s="14">
        <v>262.82</v>
      </c>
      <c r="M1484" s="4" t="str">
        <f t="shared" si="92"/>
        <v>jueves</v>
      </c>
      <c r="N1484" s="4" t="str">
        <f t="shared" si="93"/>
        <v>abril</v>
      </c>
      <c r="O1484" s="4" t="str">
        <f t="shared" si="94"/>
        <v>NO</v>
      </c>
      <c r="P1484" s="4" t="str">
        <f t="shared" si="95"/>
        <v>NO</v>
      </c>
      <c r="Q1484" s="4" t="str" cm="1">
        <f t="array" ref="Q1484">_xlfn.IFS(AND(H1484&gt;=0,H1484&lt;=3333),"Grupo 1",AND(H1484&gt;3333,H1484&lt;=6666),"Grupo 2",AND(H1484&gt;6666,H1484&lt;=10000),"Grupo 3")</f>
        <v>Grupo 1</v>
      </c>
    </row>
    <row r="1485" spans="1:17" x14ac:dyDescent="0.25">
      <c r="A1485" t="s">
        <v>95</v>
      </c>
      <c r="B1485" s="2">
        <v>45682.68472222222</v>
      </c>
      <c r="C1485" t="s">
        <v>358</v>
      </c>
      <c r="D1485" t="s">
        <v>215</v>
      </c>
      <c r="E1485">
        <v>4</v>
      </c>
      <c r="F1485">
        <v>1531.75</v>
      </c>
      <c r="G1485" t="s">
        <v>220</v>
      </c>
      <c r="H1485">
        <v>6127</v>
      </c>
      <c r="I1485">
        <v>2025</v>
      </c>
      <c r="J1485">
        <v>1</v>
      </c>
      <c r="K1485">
        <v>16</v>
      </c>
      <c r="L1485" s="14">
        <v>1531.75</v>
      </c>
      <c r="M1485" s="4" t="str">
        <f t="shared" si="92"/>
        <v>sábado</v>
      </c>
      <c r="N1485" s="4" t="str">
        <f t="shared" si="93"/>
        <v>enero</v>
      </c>
      <c r="O1485" s="4" t="str">
        <f t="shared" si="94"/>
        <v>SI</v>
      </c>
      <c r="P1485" s="4" t="str">
        <f t="shared" si="95"/>
        <v>SI</v>
      </c>
      <c r="Q1485" s="4" t="str" cm="1">
        <f t="array" ref="Q1485">_xlfn.IFS(AND(H1485&gt;=0,H1485&lt;=3333),"Grupo 1",AND(H1485&gt;3333,H1485&lt;=6666),"Grupo 2",AND(H1485&gt;6666,H1485&lt;=10000),"Grupo 3")</f>
        <v>Grupo 2</v>
      </c>
    </row>
    <row r="1486" spans="1:17" x14ac:dyDescent="0.25">
      <c r="A1486" t="s">
        <v>96</v>
      </c>
      <c r="B1486" s="2">
        <v>45099.143750000003</v>
      </c>
      <c r="C1486" t="s">
        <v>359</v>
      </c>
      <c r="D1486" t="s">
        <v>215</v>
      </c>
      <c r="E1486">
        <v>1</v>
      </c>
      <c r="F1486">
        <v>503.84</v>
      </c>
      <c r="G1486" t="s">
        <v>220</v>
      </c>
      <c r="H1486">
        <v>503.84</v>
      </c>
      <c r="I1486">
        <v>2023</v>
      </c>
      <c r="J1486">
        <v>6</v>
      </c>
      <c r="K1486">
        <v>3</v>
      </c>
      <c r="L1486" s="14">
        <v>503.84</v>
      </c>
      <c r="M1486" s="4" t="str">
        <f t="shared" si="92"/>
        <v>jueves</v>
      </c>
      <c r="N1486" s="4" t="str">
        <f t="shared" si="93"/>
        <v>junio</v>
      </c>
      <c r="O1486" s="4" t="str">
        <f t="shared" si="94"/>
        <v>NO</v>
      </c>
      <c r="P1486" s="4" t="str">
        <f t="shared" si="95"/>
        <v>NO</v>
      </c>
      <c r="Q1486" s="4" t="str" cm="1">
        <f t="array" ref="Q1486">_xlfn.IFS(AND(H1486&gt;=0,H1486&lt;=3333),"Grupo 1",AND(H1486&gt;3333,H1486&lt;=6666),"Grupo 2",AND(H1486&gt;6666,H1486&lt;=10000),"Grupo 3")</f>
        <v>Grupo 1</v>
      </c>
    </row>
    <row r="1487" spans="1:17" x14ac:dyDescent="0.25">
      <c r="A1487" t="s">
        <v>97</v>
      </c>
      <c r="B1487" s="2">
        <v>45546.810416666667</v>
      </c>
      <c r="C1487" t="s">
        <v>261</v>
      </c>
      <c r="D1487" t="s">
        <v>217</v>
      </c>
      <c r="E1487">
        <v>4</v>
      </c>
      <c r="F1487">
        <v>1908.41</v>
      </c>
      <c r="G1487" t="s">
        <v>220</v>
      </c>
      <c r="H1487">
        <v>7633.64</v>
      </c>
      <c r="I1487">
        <v>2024</v>
      </c>
      <c r="J1487">
        <v>9</v>
      </c>
      <c r="K1487">
        <v>19</v>
      </c>
      <c r="L1487" s="14">
        <v>1908.41</v>
      </c>
      <c r="M1487" s="4" t="str">
        <f t="shared" si="92"/>
        <v>miércoles</v>
      </c>
      <c r="N1487" s="4" t="str">
        <f t="shared" si="93"/>
        <v>septiembre</v>
      </c>
      <c r="O1487" s="4" t="str">
        <f t="shared" si="94"/>
        <v>SI</v>
      </c>
      <c r="P1487" s="4" t="str">
        <f t="shared" si="95"/>
        <v>SI</v>
      </c>
      <c r="Q1487" s="4" t="str" cm="1">
        <f t="array" ref="Q1487">_xlfn.IFS(AND(H1487&gt;=0,H1487&lt;=3333),"Grupo 1",AND(H1487&gt;3333,H1487&lt;=6666),"Grupo 2",AND(H1487&gt;6666,H1487&lt;=10000),"Grupo 3")</f>
        <v>Grupo 3</v>
      </c>
    </row>
    <row r="1488" spans="1:17" x14ac:dyDescent="0.25">
      <c r="A1488" t="s">
        <v>98</v>
      </c>
      <c r="B1488" s="2">
        <v>45451.106249999997</v>
      </c>
      <c r="C1488" t="s">
        <v>262</v>
      </c>
      <c r="D1488" t="s">
        <v>215</v>
      </c>
      <c r="E1488">
        <v>2</v>
      </c>
      <c r="F1488">
        <v>114.6</v>
      </c>
      <c r="G1488" t="s">
        <v>220</v>
      </c>
      <c r="H1488">
        <v>229.2</v>
      </c>
      <c r="I1488">
        <v>2024</v>
      </c>
      <c r="J1488">
        <v>6</v>
      </c>
      <c r="K1488">
        <v>2</v>
      </c>
      <c r="L1488" s="14">
        <v>114.6</v>
      </c>
      <c r="M1488" s="4" t="str">
        <f t="shared" si="92"/>
        <v>sábado</v>
      </c>
      <c r="N1488" s="4" t="str">
        <f t="shared" si="93"/>
        <v>junio</v>
      </c>
      <c r="O1488" s="4" t="str">
        <f t="shared" si="94"/>
        <v>NO</v>
      </c>
      <c r="P1488" s="4" t="str">
        <f t="shared" si="95"/>
        <v>NO</v>
      </c>
      <c r="Q1488" s="4" t="str" cm="1">
        <f t="array" ref="Q1488">_xlfn.IFS(AND(H1488&gt;=0,H1488&lt;=3333),"Grupo 1",AND(H1488&gt;3333,H1488&lt;=6666),"Grupo 2",AND(H1488&gt;6666,H1488&lt;=10000),"Grupo 3")</f>
        <v>Grupo 1</v>
      </c>
    </row>
    <row r="1489" spans="1:17" x14ac:dyDescent="0.25">
      <c r="A1489" t="s">
        <v>99</v>
      </c>
      <c r="B1489" s="2">
        <v>45101.551388888889</v>
      </c>
      <c r="C1489" t="s">
        <v>263</v>
      </c>
      <c r="D1489" t="s">
        <v>215</v>
      </c>
      <c r="E1489">
        <v>2</v>
      </c>
      <c r="F1489">
        <v>595.78</v>
      </c>
      <c r="G1489" t="s">
        <v>220</v>
      </c>
      <c r="H1489">
        <v>1191.56</v>
      </c>
      <c r="I1489">
        <v>2023</v>
      </c>
      <c r="J1489">
        <v>6</v>
      </c>
      <c r="K1489">
        <v>13</v>
      </c>
      <c r="L1489" s="14">
        <v>595.78</v>
      </c>
      <c r="M1489" s="4" t="str">
        <f t="shared" si="92"/>
        <v>sábado</v>
      </c>
      <c r="N1489" s="4" t="str">
        <f t="shared" si="93"/>
        <v>junio</v>
      </c>
      <c r="O1489" s="4" t="str">
        <f t="shared" si="94"/>
        <v>NO</v>
      </c>
      <c r="P1489" s="4" t="str">
        <f t="shared" si="95"/>
        <v>NO</v>
      </c>
      <c r="Q1489" s="4" t="str" cm="1">
        <f t="array" ref="Q1489">_xlfn.IFS(AND(H1489&gt;=0,H1489&lt;=3333),"Grupo 1",AND(H1489&gt;3333,H1489&lt;=6666),"Grupo 2",AND(H1489&gt;6666,H1489&lt;=10000),"Grupo 3")</f>
        <v>Grupo 1</v>
      </c>
    </row>
    <row r="1490" spans="1:17" x14ac:dyDescent="0.25">
      <c r="A1490" t="s">
        <v>100</v>
      </c>
      <c r="B1490" s="2">
        <v>45405.413194444453</v>
      </c>
      <c r="C1490" t="s">
        <v>264</v>
      </c>
      <c r="D1490" t="s">
        <v>217</v>
      </c>
      <c r="E1490">
        <v>2</v>
      </c>
      <c r="F1490">
        <v>75.02</v>
      </c>
      <c r="G1490" t="s">
        <v>220</v>
      </c>
      <c r="H1490">
        <v>150.04</v>
      </c>
      <c r="I1490">
        <v>2024</v>
      </c>
      <c r="J1490">
        <v>4</v>
      </c>
      <c r="K1490">
        <v>9</v>
      </c>
      <c r="L1490" s="14">
        <v>75.02</v>
      </c>
      <c r="M1490" s="4" t="str">
        <f t="shared" si="92"/>
        <v>martes</v>
      </c>
      <c r="N1490" s="4" t="str">
        <f t="shared" si="93"/>
        <v>abril</v>
      </c>
      <c r="O1490" s="4" t="str">
        <f t="shared" si="94"/>
        <v>NO</v>
      </c>
      <c r="P1490" s="4" t="str">
        <f t="shared" si="95"/>
        <v>NO</v>
      </c>
      <c r="Q1490" s="4" t="str" cm="1">
        <f t="array" ref="Q1490">_xlfn.IFS(AND(H1490&gt;=0,H1490&lt;=3333),"Grupo 1",AND(H1490&gt;3333,H1490&lt;=6666),"Grupo 2",AND(H1490&gt;6666,H1490&lt;=10000),"Grupo 3")</f>
        <v>Grupo 1</v>
      </c>
    </row>
    <row r="1491" spans="1:17" x14ac:dyDescent="0.25">
      <c r="A1491" t="s">
        <v>101</v>
      </c>
      <c r="B1491" s="2">
        <v>45465.332638888889</v>
      </c>
      <c r="C1491" t="s">
        <v>265</v>
      </c>
      <c r="D1491" t="s">
        <v>216</v>
      </c>
      <c r="E1491">
        <v>5</v>
      </c>
      <c r="F1491">
        <v>540.91999999999996</v>
      </c>
      <c r="G1491" t="s">
        <v>221</v>
      </c>
      <c r="H1491">
        <v>2704.6</v>
      </c>
      <c r="I1491">
        <v>2024</v>
      </c>
      <c r="J1491">
        <v>6</v>
      </c>
      <c r="K1491">
        <v>7</v>
      </c>
      <c r="L1491" s="14">
        <v>540.91999999999996</v>
      </c>
      <c r="M1491" s="4" t="str">
        <f t="shared" si="92"/>
        <v>sábado</v>
      </c>
      <c r="N1491" s="4" t="str">
        <f t="shared" si="93"/>
        <v>junio</v>
      </c>
      <c r="O1491" s="4" t="str">
        <f t="shared" si="94"/>
        <v>NO</v>
      </c>
      <c r="P1491" s="4" t="str">
        <f t="shared" si="95"/>
        <v>NO</v>
      </c>
      <c r="Q1491" s="4" t="str" cm="1">
        <f t="array" ref="Q1491">_xlfn.IFS(AND(H1491&gt;=0,H1491&lt;=3333),"Grupo 1",AND(H1491&gt;3333,H1491&lt;=6666),"Grupo 2",AND(H1491&gt;6666,H1491&lt;=10000),"Grupo 3")</f>
        <v>Grupo 1</v>
      </c>
    </row>
    <row r="1492" spans="1:17" x14ac:dyDescent="0.25">
      <c r="A1492" t="s">
        <v>102</v>
      </c>
      <c r="B1492" s="2">
        <v>45863.330555555563</v>
      </c>
      <c r="C1492" t="s">
        <v>266</v>
      </c>
      <c r="D1492" t="s">
        <v>212</v>
      </c>
      <c r="E1492">
        <v>2</v>
      </c>
      <c r="F1492">
        <v>356.91</v>
      </c>
      <c r="G1492" t="s">
        <v>220</v>
      </c>
      <c r="H1492">
        <v>713.82</v>
      </c>
      <c r="I1492">
        <v>2025</v>
      </c>
      <c r="J1492">
        <v>7</v>
      </c>
      <c r="K1492">
        <v>7</v>
      </c>
      <c r="L1492" s="14">
        <v>356.91</v>
      </c>
      <c r="M1492" s="4" t="str">
        <f t="shared" si="92"/>
        <v>viernes</v>
      </c>
      <c r="N1492" s="4" t="str">
        <f t="shared" si="93"/>
        <v>julio</v>
      </c>
      <c r="O1492" s="4" t="str">
        <f t="shared" si="94"/>
        <v>NO</v>
      </c>
      <c r="P1492" s="4" t="str">
        <f t="shared" si="95"/>
        <v>NO</v>
      </c>
      <c r="Q1492" s="4" t="str" cm="1">
        <f t="array" ref="Q1492">_xlfn.IFS(AND(H1492&gt;=0,H1492&lt;=3333),"Grupo 1",AND(H1492&gt;3333,H1492&lt;=6666),"Grupo 2",AND(H1492&gt;6666,H1492&lt;=10000),"Grupo 3")</f>
        <v>Grupo 1</v>
      </c>
    </row>
    <row r="1493" spans="1:17" x14ac:dyDescent="0.25">
      <c r="A1493" t="s">
        <v>103</v>
      </c>
      <c r="B1493" s="2">
        <v>45727.712500000001</v>
      </c>
      <c r="C1493" t="s">
        <v>267</v>
      </c>
      <c r="D1493" t="s">
        <v>219</v>
      </c>
      <c r="E1493">
        <v>3</v>
      </c>
      <c r="F1493">
        <v>1135.67</v>
      </c>
      <c r="G1493" t="s">
        <v>221</v>
      </c>
      <c r="H1493">
        <v>3407.01</v>
      </c>
      <c r="I1493">
        <v>2025</v>
      </c>
      <c r="J1493">
        <v>3</v>
      </c>
      <c r="K1493">
        <v>17</v>
      </c>
      <c r="L1493" s="14">
        <v>1135.67</v>
      </c>
      <c r="M1493" s="4" t="str">
        <f t="shared" si="92"/>
        <v>martes</v>
      </c>
      <c r="N1493" s="4" t="str">
        <f t="shared" si="93"/>
        <v>marzo</v>
      </c>
      <c r="O1493" s="4" t="str">
        <f t="shared" si="94"/>
        <v>SI</v>
      </c>
      <c r="P1493" s="4" t="str">
        <f t="shared" si="95"/>
        <v>SI</v>
      </c>
      <c r="Q1493" s="4" t="str" cm="1">
        <f t="array" ref="Q1493">_xlfn.IFS(AND(H1493&gt;=0,H1493&lt;=3333),"Grupo 1",AND(H1493&gt;3333,H1493&lt;=6666),"Grupo 2",AND(H1493&gt;6666,H1493&lt;=10000),"Grupo 3")</f>
        <v>Grupo 2</v>
      </c>
    </row>
    <row r="1494" spans="1:17" x14ac:dyDescent="0.25">
      <c r="A1494" t="s">
        <v>104</v>
      </c>
      <c r="B1494" s="2">
        <v>45676.398611111108</v>
      </c>
      <c r="C1494" t="s">
        <v>268</v>
      </c>
      <c r="D1494" t="s">
        <v>215</v>
      </c>
      <c r="E1494">
        <v>3</v>
      </c>
      <c r="F1494">
        <v>805.69</v>
      </c>
      <c r="G1494" t="s">
        <v>220</v>
      </c>
      <c r="H1494">
        <v>2417.0700000000002</v>
      </c>
      <c r="I1494">
        <v>2025</v>
      </c>
      <c r="J1494">
        <v>1</v>
      </c>
      <c r="K1494">
        <v>9</v>
      </c>
      <c r="L1494" s="14">
        <v>805.69</v>
      </c>
      <c r="M1494" s="4" t="str">
        <f t="shared" si="92"/>
        <v>domingo</v>
      </c>
      <c r="N1494" s="4" t="str">
        <f t="shared" si="93"/>
        <v>enero</v>
      </c>
      <c r="O1494" s="4" t="str">
        <f t="shared" si="94"/>
        <v>NO</v>
      </c>
      <c r="P1494" s="4" t="str">
        <f t="shared" si="95"/>
        <v>NO</v>
      </c>
      <c r="Q1494" s="4" t="str" cm="1">
        <f t="array" ref="Q1494">_xlfn.IFS(AND(H1494&gt;=0,H1494&lt;=3333),"Grupo 1",AND(H1494&gt;3333,H1494&lt;=6666),"Grupo 2",AND(H1494&gt;6666,H1494&lt;=10000),"Grupo 3")</f>
        <v>Grupo 1</v>
      </c>
    </row>
    <row r="1495" spans="1:17" x14ac:dyDescent="0.25">
      <c r="A1495" t="s">
        <v>105</v>
      </c>
      <c r="B1495" s="2">
        <v>45289.026388888888</v>
      </c>
      <c r="C1495" t="s">
        <v>269</v>
      </c>
      <c r="D1495" t="s">
        <v>217</v>
      </c>
      <c r="E1495">
        <v>2</v>
      </c>
      <c r="F1495">
        <v>1259.07</v>
      </c>
      <c r="G1495" t="s">
        <v>220</v>
      </c>
      <c r="H1495">
        <v>2518.14</v>
      </c>
      <c r="I1495">
        <v>2023</v>
      </c>
      <c r="J1495">
        <v>12</v>
      </c>
      <c r="K1495">
        <v>0</v>
      </c>
      <c r="L1495" s="14">
        <v>1259.07</v>
      </c>
      <c r="M1495" s="4" t="str">
        <f t="shared" si="92"/>
        <v>viernes</v>
      </c>
      <c r="N1495" s="4" t="str">
        <f t="shared" si="93"/>
        <v>diciembre</v>
      </c>
      <c r="O1495" s="4" t="str">
        <f t="shared" si="94"/>
        <v>NO</v>
      </c>
      <c r="P1495" s="4" t="str">
        <f t="shared" si="95"/>
        <v>SI</v>
      </c>
      <c r="Q1495" s="4" t="str" cm="1">
        <f t="array" ref="Q1495">_xlfn.IFS(AND(H1495&gt;=0,H1495&lt;=3333),"Grupo 1",AND(H1495&gt;3333,H1495&lt;=6666),"Grupo 2",AND(H1495&gt;6666,H1495&lt;=10000),"Grupo 3")</f>
        <v>Grupo 1</v>
      </c>
    </row>
    <row r="1496" spans="1:17" x14ac:dyDescent="0.25">
      <c r="A1496" t="s">
        <v>106</v>
      </c>
      <c r="B1496" s="2">
        <v>45473.418749999997</v>
      </c>
      <c r="C1496" t="s">
        <v>270</v>
      </c>
      <c r="D1496" t="s">
        <v>218</v>
      </c>
      <c r="E1496">
        <v>3</v>
      </c>
      <c r="F1496">
        <v>600.4</v>
      </c>
      <c r="G1496" t="s">
        <v>221</v>
      </c>
      <c r="H1496">
        <v>1801.2</v>
      </c>
      <c r="I1496">
        <v>2024</v>
      </c>
      <c r="J1496">
        <v>6</v>
      </c>
      <c r="K1496">
        <v>10</v>
      </c>
      <c r="L1496" s="14">
        <v>600.4</v>
      </c>
      <c r="M1496" s="4" t="str">
        <f t="shared" si="92"/>
        <v>domingo</v>
      </c>
      <c r="N1496" s="4" t="str">
        <f t="shared" si="93"/>
        <v>junio</v>
      </c>
      <c r="O1496" s="4" t="str">
        <f t="shared" si="94"/>
        <v>NO</v>
      </c>
      <c r="P1496" s="4" t="str">
        <f t="shared" si="95"/>
        <v>NO</v>
      </c>
      <c r="Q1496" s="4" t="str" cm="1">
        <f t="array" ref="Q1496">_xlfn.IFS(AND(H1496&gt;=0,H1496&lt;=3333),"Grupo 1",AND(H1496&gt;3333,H1496&lt;=6666),"Grupo 2",AND(H1496&gt;6666,H1496&lt;=10000),"Grupo 3")</f>
        <v>Grupo 1</v>
      </c>
    </row>
    <row r="1497" spans="1:17" x14ac:dyDescent="0.25">
      <c r="A1497" t="s">
        <v>107</v>
      </c>
      <c r="B1497" s="2">
        <v>45499.757638888892</v>
      </c>
      <c r="C1497" t="s">
        <v>271</v>
      </c>
      <c r="D1497" t="s">
        <v>214</v>
      </c>
      <c r="E1497">
        <v>2</v>
      </c>
      <c r="F1497">
        <v>479.81</v>
      </c>
      <c r="G1497" t="s">
        <v>222</v>
      </c>
      <c r="H1497">
        <v>959.62</v>
      </c>
      <c r="I1497">
        <v>2024</v>
      </c>
      <c r="J1497">
        <v>7</v>
      </c>
      <c r="K1497">
        <v>18</v>
      </c>
      <c r="L1497" s="14">
        <v>479.81</v>
      </c>
      <c r="M1497" s="4" t="str">
        <f t="shared" si="92"/>
        <v>viernes</v>
      </c>
      <c r="N1497" s="4" t="str">
        <f t="shared" si="93"/>
        <v>julio</v>
      </c>
      <c r="O1497" s="4" t="str">
        <f t="shared" si="94"/>
        <v>NO</v>
      </c>
      <c r="P1497" s="4" t="str">
        <f t="shared" si="95"/>
        <v>NO</v>
      </c>
      <c r="Q1497" s="4" t="str" cm="1">
        <f t="array" ref="Q1497">_xlfn.IFS(AND(H1497&gt;=0,H1497&lt;=3333),"Grupo 1",AND(H1497&gt;3333,H1497&lt;=6666),"Grupo 2",AND(H1497&gt;6666,H1497&lt;=10000),"Grupo 3")</f>
        <v>Grupo 1</v>
      </c>
    </row>
    <row r="1498" spans="1:17" x14ac:dyDescent="0.25">
      <c r="A1498" t="s">
        <v>108</v>
      </c>
      <c r="B1498" s="2">
        <v>45541.331250000003</v>
      </c>
      <c r="C1498" t="s">
        <v>272</v>
      </c>
      <c r="D1498" t="s">
        <v>216</v>
      </c>
      <c r="E1498">
        <v>1</v>
      </c>
      <c r="F1498">
        <v>1888.86</v>
      </c>
      <c r="G1498" t="s">
        <v>221</v>
      </c>
      <c r="H1498">
        <v>1888.86</v>
      </c>
      <c r="I1498">
        <v>2024</v>
      </c>
      <c r="J1498">
        <v>9</v>
      </c>
      <c r="K1498">
        <v>7</v>
      </c>
      <c r="L1498" s="14">
        <v>1888.86</v>
      </c>
      <c r="M1498" s="4" t="str">
        <f t="shared" si="92"/>
        <v>viernes</v>
      </c>
      <c r="N1498" s="4" t="str">
        <f t="shared" si="93"/>
        <v>septiembre</v>
      </c>
      <c r="O1498" s="4" t="str">
        <f t="shared" si="94"/>
        <v>NO</v>
      </c>
      <c r="P1498" s="4" t="str">
        <f t="shared" si="95"/>
        <v>SI</v>
      </c>
      <c r="Q1498" s="4" t="str" cm="1">
        <f t="array" ref="Q1498">_xlfn.IFS(AND(H1498&gt;=0,H1498&lt;=3333),"Grupo 1",AND(H1498&gt;3333,H1498&lt;=6666),"Grupo 2",AND(H1498&gt;6666,H1498&lt;=10000),"Grupo 3")</f>
        <v>Grupo 1</v>
      </c>
    </row>
    <row r="1499" spans="1:17" x14ac:dyDescent="0.25">
      <c r="A1499" t="s">
        <v>109</v>
      </c>
      <c r="B1499" s="2">
        <v>45542.574305555558</v>
      </c>
      <c r="C1499" t="s">
        <v>273</v>
      </c>
      <c r="D1499" t="s">
        <v>217</v>
      </c>
      <c r="E1499">
        <v>4</v>
      </c>
      <c r="F1499">
        <v>1821.05</v>
      </c>
      <c r="G1499" t="s">
        <v>220</v>
      </c>
      <c r="H1499">
        <v>7284.2</v>
      </c>
      <c r="I1499">
        <v>2024</v>
      </c>
      <c r="J1499">
        <v>9</v>
      </c>
      <c r="K1499">
        <v>13</v>
      </c>
      <c r="L1499" s="14">
        <v>1821.05</v>
      </c>
      <c r="M1499" s="4" t="str">
        <f t="shared" si="92"/>
        <v>sábado</v>
      </c>
      <c r="N1499" s="4" t="str">
        <f t="shared" si="93"/>
        <v>septiembre</v>
      </c>
      <c r="O1499" s="4" t="str">
        <f t="shared" si="94"/>
        <v>SI</v>
      </c>
      <c r="P1499" s="4" t="str">
        <f t="shared" si="95"/>
        <v>SI</v>
      </c>
      <c r="Q1499" s="4" t="str" cm="1">
        <f t="array" ref="Q1499">_xlfn.IFS(AND(H1499&gt;=0,H1499&lt;=3333),"Grupo 1",AND(H1499&gt;3333,H1499&lt;=6666),"Grupo 2",AND(H1499&gt;6666,H1499&lt;=10000),"Grupo 3")</f>
        <v>Grupo 3</v>
      </c>
    </row>
    <row r="1500" spans="1:17" x14ac:dyDescent="0.25">
      <c r="A1500" t="s">
        <v>110</v>
      </c>
      <c r="B1500" s="2">
        <v>45846.336805555547</v>
      </c>
      <c r="C1500" t="s">
        <v>274</v>
      </c>
      <c r="D1500" t="s">
        <v>218</v>
      </c>
      <c r="E1500">
        <v>3</v>
      </c>
      <c r="F1500">
        <v>1537.23</v>
      </c>
      <c r="G1500" t="s">
        <v>221</v>
      </c>
      <c r="H1500">
        <v>4611.6900000000014</v>
      </c>
      <c r="I1500">
        <v>2025</v>
      </c>
      <c r="J1500">
        <v>7</v>
      </c>
      <c r="K1500">
        <v>8</v>
      </c>
      <c r="L1500" s="14">
        <v>1537.23</v>
      </c>
      <c r="M1500" s="4" t="str">
        <f t="shared" si="92"/>
        <v>martes</v>
      </c>
      <c r="N1500" s="4" t="str">
        <f t="shared" si="93"/>
        <v>julio</v>
      </c>
      <c r="O1500" s="4" t="str">
        <f t="shared" si="94"/>
        <v>SI</v>
      </c>
      <c r="P1500" s="4" t="str">
        <f t="shared" si="95"/>
        <v>SI</v>
      </c>
      <c r="Q1500" s="4" t="str" cm="1">
        <f t="array" ref="Q1500">_xlfn.IFS(AND(H1500&gt;=0,H1500&lt;=3333),"Grupo 1",AND(H1500&gt;3333,H1500&lt;=6666),"Grupo 2",AND(H1500&gt;6666,H1500&lt;=10000),"Grupo 3")</f>
        <v>Grupo 2</v>
      </c>
    </row>
    <row r="1501" spans="1:17" x14ac:dyDescent="0.25">
      <c r="A1501" t="s">
        <v>111</v>
      </c>
      <c r="B1501" s="2">
        <v>45318.705555555563</v>
      </c>
      <c r="C1501" t="s">
        <v>275</v>
      </c>
      <c r="D1501" t="s">
        <v>214</v>
      </c>
      <c r="E1501">
        <v>3</v>
      </c>
      <c r="F1501">
        <v>311.66000000000003</v>
      </c>
      <c r="G1501" t="s">
        <v>222</v>
      </c>
      <c r="H1501">
        <v>934.98</v>
      </c>
      <c r="I1501">
        <v>2024</v>
      </c>
      <c r="J1501">
        <v>1</v>
      </c>
      <c r="K1501">
        <v>16</v>
      </c>
      <c r="L1501" s="14">
        <v>311.66000000000003</v>
      </c>
      <c r="M1501" s="4" t="str">
        <f t="shared" si="92"/>
        <v>sábado</v>
      </c>
      <c r="N1501" s="4" t="str">
        <f t="shared" si="93"/>
        <v>enero</v>
      </c>
      <c r="O1501" s="4" t="str">
        <f t="shared" si="94"/>
        <v>NO</v>
      </c>
      <c r="P1501" s="4" t="str">
        <f t="shared" si="95"/>
        <v>NO</v>
      </c>
      <c r="Q1501" s="4" t="str" cm="1">
        <f t="array" ref="Q1501">_xlfn.IFS(AND(H1501&gt;=0,H1501&lt;=3333),"Grupo 1",AND(H1501&gt;3333,H1501&lt;=6666),"Grupo 2",AND(H1501&gt;6666,H1501&lt;=10000),"Grupo 3")</f>
        <v>Grupo 1</v>
      </c>
    </row>
    <row r="1502" spans="1:17" x14ac:dyDescent="0.25">
      <c r="A1502" t="s">
        <v>112</v>
      </c>
      <c r="B1502" s="2">
        <v>45595.668055555558</v>
      </c>
      <c r="C1502" t="s">
        <v>276</v>
      </c>
      <c r="D1502" t="s">
        <v>213</v>
      </c>
      <c r="E1502">
        <v>5</v>
      </c>
      <c r="F1502">
        <v>149.09</v>
      </c>
      <c r="G1502" t="s">
        <v>221</v>
      </c>
      <c r="H1502">
        <v>745.45</v>
      </c>
      <c r="I1502">
        <v>2024</v>
      </c>
      <c r="J1502">
        <v>10</v>
      </c>
      <c r="K1502">
        <v>16</v>
      </c>
      <c r="L1502" s="14">
        <v>149.09</v>
      </c>
      <c r="M1502" s="4" t="str">
        <f t="shared" si="92"/>
        <v>miércoles</v>
      </c>
      <c r="N1502" s="4" t="str">
        <f t="shared" si="93"/>
        <v>octubre</v>
      </c>
      <c r="O1502" s="4" t="str">
        <f t="shared" si="94"/>
        <v>NO</v>
      </c>
      <c r="P1502" s="4" t="str">
        <f t="shared" si="95"/>
        <v>NO</v>
      </c>
      <c r="Q1502" s="4" t="str" cm="1">
        <f t="array" ref="Q1502">_xlfn.IFS(AND(H1502&gt;=0,H1502&lt;=3333),"Grupo 1",AND(H1502&gt;3333,H1502&lt;=6666),"Grupo 2",AND(H1502&gt;6666,H1502&lt;=10000),"Grupo 3")</f>
        <v>Grupo 1</v>
      </c>
    </row>
    <row r="1503" spans="1:17" x14ac:dyDescent="0.25">
      <c r="A1503" t="s">
        <v>113</v>
      </c>
      <c r="B1503" s="2">
        <v>44984.418055555558</v>
      </c>
      <c r="C1503" t="s">
        <v>277</v>
      </c>
      <c r="D1503" t="s">
        <v>217</v>
      </c>
      <c r="E1503">
        <v>5</v>
      </c>
      <c r="F1503">
        <v>1885.48</v>
      </c>
      <c r="G1503" t="s">
        <v>220</v>
      </c>
      <c r="H1503">
        <v>9427.4</v>
      </c>
      <c r="I1503">
        <v>2023</v>
      </c>
      <c r="J1503">
        <v>2</v>
      </c>
      <c r="K1503">
        <v>10</v>
      </c>
      <c r="L1503" s="14">
        <v>1885.48</v>
      </c>
      <c r="M1503" s="4" t="str">
        <f t="shared" si="92"/>
        <v>lunes</v>
      </c>
      <c r="N1503" s="4" t="str">
        <f t="shared" si="93"/>
        <v>febrero</v>
      </c>
      <c r="O1503" s="4" t="str">
        <f t="shared" si="94"/>
        <v>SI</v>
      </c>
      <c r="P1503" s="4" t="str">
        <f t="shared" si="95"/>
        <v>SI</v>
      </c>
      <c r="Q1503" s="4" t="str" cm="1">
        <f t="array" ref="Q1503">_xlfn.IFS(AND(H1503&gt;=0,H1503&lt;=3333),"Grupo 1",AND(H1503&gt;3333,H1503&lt;=6666),"Grupo 2",AND(H1503&gt;6666,H1503&lt;=10000),"Grupo 3")</f>
        <v>Grupo 3</v>
      </c>
    </row>
    <row r="1504" spans="1:17" x14ac:dyDescent="0.25">
      <c r="A1504" t="s">
        <v>114</v>
      </c>
      <c r="B1504" s="2">
        <v>45153.455555555563</v>
      </c>
      <c r="C1504" t="s">
        <v>278</v>
      </c>
      <c r="D1504" t="s">
        <v>216</v>
      </c>
      <c r="E1504">
        <v>3</v>
      </c>
      <c r="F1504">
        <v>1591.92</v>
      </c>
      <c r="G1504" t="s">
        <v>221</v>
      </c>
      <c r="H1504">
        <v>4775.76</v>
      </c>
      <c r="I1504">
        <v>2023</v>
      </c>
      <c r="J1504">
        <v>8</v>
      </c>
      <c r="K1504">
        <v>10</v>
      </c>
      <c r="L1504" s="14">
        <v>1591.92</v>
      </c>
      <c r="M1504" s="4" t="str">
        <f t="shared" si="92"/>
        <v>martes</v>
      </c>
      <c r="N1504" s="4" t="str">
        <f t="shared" si="93"/>
        <v>agosto</v>
      </c>
      <c r="O1504" s="4" t="str">
        <f t="shared" si="94"/>
        <v>SI</v>
      </c>
      <c r="P1504" s="4" t="str">
        <f t="shared" si="95"/>
        <v>SI</v>
      </c>
      <c r="Q1504" s="4" t="str" cm="1">
        <f t="array" ref="Q1504">_xlfn.IFS(AND(H1504&gt;=0,H1504&lt;=3333),"Grupo 1",AND(H1504&gt;3333,H1504&lt;=6666),"Grupo 2",AND(H1504&gt;6666,H1504&lt;=10000),"Grupo 3")</f>
        <v>Grupo 2</v>
      </c>
    </row>
    <row r="1505" spans="1:17" x14ac:dyDescent="0.25">
      <c r="A1505" t="s">
        <v>115</v>
      </c>
      <c r="B1505" s="2">
        <v>45919.24722222222</v>
      </c>
      <c r="C1505" t="s">
        <v>279</v>
      </c>
      <c r="D1505" t="s">
        <v>216</v>
      </c>
      <c r="E1505">
        <v>5</v>
      </c>
      <c r="F1505">
        <v>1383.33</v>
      </c>
      <c r="G1505" t="s">
        <v>221</v>
      </c>
      <c r="H1505">
        <v>6916.65</v>
      </c>
      <c r="I1505">
        <v>2025</v>
      </c>
      <c r="J1505">
        <v>9</v>
      </c>
      <c r="K1505">
        <v>5</v>
      </c>
      <c r="L1505" s="14">
        <v>1383.33</v>
      </c>
      <c r="M1505" s="4" t="str">
        <f t="shared" si="92"/>
        <v>viernes</v>
      </c>
      <c r="N1505" s="4" t="str">
        <f t="shared" si="93"/>
        <v>septiembre</v>
      </c>
      <c r="O1505" s="4" t="str">
        <f t="shared" si="94"/>
        <v>SI</v>
      </c>
      <c r="P1505" s="4" t="str">
        <f t="shared" si="95"/>
        <v>SI</v>
      </c>
      <c r="Q1505" s="4" t="str" cm="1">
        <f t="array" ref="Q1505">_xlfn.IFS(AND(H1505&gt;=0,H1505&lt;=3333),"Grupo 1",AND(H1505&gt;3333,H1505&lt;=6666),"Grupo 2",AND(H1505&gt;6666,H1505&lt;=10000),"Grupo 3")</f>
        <v>Grupo 3</v>
      </c>
    </row>
    <row r="1506" spans="1:17" x14ac:dyDescent="0.25">
      <c r="A1506" t="s">
        <v>116</v>
      </c>
      <c r="B1506" s="2">
        <v>45815.543055555558</v>
      </c>
      <c r="C1506" t="s">
        <v>280</v>
      </c>
      <c r="D1506" t="s">
        <v>214</v>
      </c>
      <c r="E1506">
        <v>2</v>
      </c>
      <c r="F1506">
        <v>1051.23</v>
      </c>
      <c r="G1506" t="s">
        <v>222</v>
      </c>
      <c r="H1506">
        <v>2102.46</v>
      </c>
      <c r="I1506">
        <v>2025</v>
      </c>
      <c r="J1506">
        <v>6</v>
      </c>
      <c r="K1506">
        <v>13</v>
      </c>
      <c r="L1506" s="14">
        <v>1051.23</v>
      </c>
      <c r="M1506" s="4" t="str">
        <f t="shared" si="92"/>
        <v>sábado</v>
      </c>
      <c r="N1506" s="4" t="str">
        <f t="shared" si="93"/>
        <v>junio</v>
      </c>
      <c r="O1506" s="4" t="str">
        <f t="shared" si="94"/>
        <v>NO</v>
      </c>
      <c r="P1506" s="4" t="str">
        <f t="shared" si="95"/>
        <v>SI</v>
      </c>
      <c r="Q1506" s="4" t="str" cm="1">
        <f t="array" ref="Q1506">_xlfn.IFS(AND(H1506&gt;=0,H1506&lt;=3333),"Grupo 1",AND(H1506&gt;3333,H1506&lt;=6666),"Grupo 2",AND(H1506&gt;6666,H1506&lt;=10000),"Grupo 3")</f>
        <v>Grupo 1</v>
      </c>
    </row>
    <row r="1507" spans="1:17" x14ac:dyDescent="0.25">
      <c r="A1507" t="s">
        <v>117</v>
      </c>
      <c r="B1507" s="2">
        <v>45255.4</v>
      </c>
      <c r="C1507" t="s">
        <v>281</v>
      </c>
      <c r="D1507" t="s">
        <v>219</v>
      </c>
      <c r="E1507">
        <v>4</v>
      </c>
      <c r="F1507">
        <v>1274.46</v>
      </c>
      <c r="G1507" t="s">
        <v>221</v>
      </c>
      <c r="H1507">
        <v>5097.84</v>
      </c>
      <c r="I1507">
        <v>2023</v>
      </c>
      <c r="J1507">
        <v>11</v>
      </c>
      <c r="K1507">
        <v>9</v>
      </c>
      <c r="L1507" s="14">
        <v>1274.46</v>
      </c>
      <c r="M1507" s="4" t="str">
        <f t="shared" si="92"/>
        <v>sábado</v>
      </c>
      <c r="N1507" s="4" t="str">
        <f t="shared" si="93"/>
        <v>noviembre</v>
      </c>
      <c r="O1507" s="4" t="str">
        <f t="shared" si="94"/>
        <v>SI</v>
      </c>
      <c r="P1507" s="4" t="str">
        <f t="shared" si="95"/>
        <v>SI</v>
      </c>
      <c r="Q1507" s="4" t="str" cm="1">
        <f t="array" ref="Q1507">_xlfn.IFS(AND(H1507&gt;=0,H1507&lt;=3333),"Grupo 1",AND(H1507&gt;3333,H1507&lt;=6666),"Grupo 2",AND(H1507&gt;6666,H1507&lt;=10000),"Grupo 3")</f>
        <v>Grupo 2</v>
      </c>
    </row>
    <row r="1508" spans="1:17" x14ac:dyDescent="0.25">
      <c r="A1508" t="s">
        <v>118</v>
      </c>
      <c r="B1508" s="2">
        <v>45754.797222222223</v>
      </c>
      <c r="C1508" t="s">
        <v>282</v>
      </c>
      <c r="D1508" t="s">
        <v>212</v>
      </c>
      <c r="E1508">
        <v>1</v>
      </c>
      <c r="F1508">
        <v>1251.08</v>
      </c>
      <c r="G1508" t="s">
        <v>220</v>
      </c>
      <c r="H1508">
        <v>1251.08</v>
      </c>
      <c r="I1508">
        <v>2025</v>
      </c>
      <c r="J1508">
        <v>4</v>
      </c>
      <c r="K1508">
        <v>19</v>
      </c>
      <c r="L1508" s="14">
        <v>1251.08</v>
      </c>
      <c r="M1508" s="4" t="str">
        <f t="shared" si="92"/>
        <v>lunes</v>
      </c>
      <c r="N1508" s="4" t="str">
        <f t="shared" si="93"/>
        <v>abril</v>
      </c>
      <c r="O1508" s="4" t="str">
        <f t="shared" si="94"/>
        <v>NO</v>
      </c>
      <c r="P1508" s="4" t="str">
        <f t="shared" si="95"/>
        <v>SI</v>
      </c>
      <c r="Q1508" s="4" t="str" cm="1">
        <f t="array" ref="Q1508">_xlfn.IFS(AND(H1508&gt;=0,H1508&lt;=3333),"Grupo 1",AND(H1508&gt;3333,H1508&lt;=6666),"Grupo 2",AND(H1508&gt;6666,H1508&lt;=10000),"Grupo 3")</f>
        <v>Grupo 1</v>
      </c>
    </row>
    <row r="1509" spans="1:17" x14ac:dyDescent="0.25">
      <c r="A1509" t="s">
        <v>119</v>
      </c>
      <c r="B1509" s="2">
        <v>45764.185416666667</v>
      </c>
      <c r="C1509" t="s">
        <v>283</v>
      </c>
      <c r="D1509" t="s">
        <v>219</v>
      </c>
      <c r="E1509">
        <v>5</v>
      </c>
      <c r="F1509">
        <v>1582.2</v>
      </c>
      <c r="G1509" t="s">
        <v>221</v>
      </c>
      <c r="H1509">
        <v>7911</v>
      </c>
      <c r="I1509">
        <v>2025</v>
      </c>
      <c r="J1509">
        <v>4</v>
      </c>
      <c r="K1509">
        <v>4</v>
      </c>
      <c r="L1509" s="14">
        <v>1582.2</v>
      </c>
      <c r="M1509" s="4" t="str">
        <f t="shared" si="92"/>
        <v>jueves</v>
      </c>
      <c r="N1509" s="4" t="str">
        <f t="shared" si="93"/>
        <v>abril</v>
      </c>
      <c r="O1509" s="4" t="str">
        <f t="shared" si="94"/>
        <v>SI</v>
      </c>
      <c r="P1509" s="4" t="str">
        <f t="shared" si="95"/>
        <v>SI</v>
      </c>
      <c r="Q1509" s="4" t="str" cm="1">
        <f t="array" ref="Q1509">_xlfn.IFS(AND(H1509&gt;=0,H1509&lt;=3333),"Grupo 1",AND(H1509&gt;3333,H1509&lt;=6666),"Grupo 2",AND(H1509&gt;6666,H1509&lt;=10000),"Grupo 3")</f>
        <v>Grupo 3</v>
      </c>
    </row>
    <row r="1510" spans="1:17" x14ac:dyDescent="0.25">
      <c r="A1510" t="s">
        <v>120</v>
      </c>
      <c r="B1510" s="2">
        <v>45240.82916666667</v>
      </c>
      <c r="C1510" t="s">
        <v>284</v>
      </c>
      <c r="D1510" t="s">
        <v>214</v>
      </c>
      <c r="E1510">
        <v>1</v>
      </c>
      <c r="F1510">
        <v>81.92</v>
      </c>
      <c r="G1510" t="s">
        <v>222</v>
      </c>
      <c r="H1510">
        <v>81.92</v>
      </c>
      <c r="I1510">
        <v>2023</v>
      </c>
      <c r="J1510">
        <v>11</v>
      </c>
      <c r="K1510">
        <v>19</v>
      </c>
      <c r="L1510" s="14">
        <v>81.92</v>
      </c>
      <c r="M1510" s="4" t="str">
        <f t="shared" si="92"/>
        <v>viernes</v>
      </c>
      <c r="N1510" s="4" t="str">
        <f t="shared" si="93"/>
        <v>noviembre</v>
      </c>
      <c r="O1510" s="4" t="str">
        <f t="shared" si="94"/>
        <v>NO</v>
      </c>
      <c r="P1510" s="4" t="str">
        <f t="shared" si="95"/>
        <v>NO</v>
      </c>
      <c r="Q1510" s="4" t="str" cm="1">
        <f t="array" ref="Q1510">_xlfn.IFS(AND(H1510&gt;=0,H1510&lt;=3333),"Grupo 1",AND(H1510&gt;3333,H1510&lt;=6666),"Grupo 2",AND(H1510&gt;6666,H1510&lt;=10000),"Grupo 3")</f>
        <v>Grupo 1</v>
      </c>
    </row>
    <row r="1511" spans="1:17" x14ac:dyDescent="0.25">
      <c r="A1511" t="s">
        <v>121</v>
      </c>
      <c r="B1511" s="2">
        <v>45634.470138888893</v>
      </c>
      <c r="C1511" t="s">
        <v>285</v>
      </c>
      <c r="D1511" t="s">
        <v>218</v>
      </c>
      <c r="E1511">
        <v>1</v>
      </c>
      <c r="F1511">
        <v>1153.31</v>
      </c>
      <c r="G1511" t="s">
        <v>221</v>
      </c>
      <c r="H1511">
        <v>1153.31</v>
      </c>
      <c r="I1511">
        <v>2024</v>
      </c>
      <c r="J1511">
        <v>12</v>
      </c>
      <c r="K1511">
        <v>11</v>
      </c>
      <c r="L1511" s="14">
        <v>1153.31</v>
      </c>
      <c r="M1511" s="4" t="str">
        <f t="shared" si="92"/>
        <v>domingo</v>
      </c>
      <c r="N1511" s="4" t="str">
        <f t="shared" si="93"/>
        <v>diciembre</v>
      </c>
      <c r="O1511" s="4" t="str">
        <f t="shared" si="94"/>
        <v>NO</v>
      </c>
      <c r="P1511" s="4" t="str">
        <f t="shared" si="95"/>
        <v>SI</v>
      </c>
      <c r="Q1511" s="4" t="str" cm="1">
        <f t="array" ref="Q1511">_xlfn.IFS(AND(H1511&gt;=0,H1511&lt;=3333),"Grupo 1",AND(H1511&gt;3333,H1511&lt;=6666),"Grupo 2",AND(H1511&gt;6666,H1511&lt;=10000),"Grupo 3")</f>
        <v>Grupo 1</v>
      </c>
    </row>
    <row r="1512" spans="1:17" x14ac:dyDescent="0.25">
      <c r="A1512" t="s">
        <v>122</v>
      </c>
      <c r="B1512" s="2">
        <v>45913.939583333333</v>
      </c>
      <c r="C1512" t="s">
        <v>286</v>
      </c>
      <c r="D1512" t="s">
        <v>218</v>
      </c>
      <c r="E1512">
        <v>3</v>
      </c>
      <c r="F1512">
        <v>1078.08</v>
      </c>
      <c r="G1512" t="s">
        <v>221</v>
      </c>
      <c r="H1512">
        <v>3234.24</v>
      </c>
      <c r="I1512">
        <v>2025</v>
      </c>
      <c r="J1512">
        <v>9</v>
      </c>
      <c r="K1512">
        <v>22</v>
      </c>
      <c r="L1512" s="14">
        <v>1078.08</v>
      </c>
      <c r="M1512" s="4" t="str">
        <f t="shared" si="92"/>
        <v>sábado</v>
      </c>
      <c r="N1512" s="4" t="str">
        <f t="shared" si="93"/>
        <v>septiembre</v>
      </c>
      <c r="O1512" s="4" t="str">
        <f t="shared" si="94"/>
        <v>SI</v>
      </c>
      <c r="P1512" s="4" t="str">
        <f t="shared" si="95"/>
        <v>SI</v>
      </c>
      <c r="Q1512" s="4" t="str" cm="1">
        <f t="array" ref="Q1512">_xlfn.IFS(AND(H1512&gt;=0,H1512&lt;=3333),"Grupo 1",AND(H1512&gt;3333,H1512&lt;=6666),"Grupo 2",AND(H1512&gt;6666,H1512&lt;=10000),"Grupo 3")</f>
        <v>Grupo 1</v>
      </c>
    </row>
    <row r="1513" spans="1:17" x14ac:dyDescent="0.25">
      <c r="A1513" t="s">
        <v>123</v>
      </c>
      <c r="B1513" s="2">
        <v>45526.149305555547</v>
      </c>
      <c r="C1513" t="s">
        <v>287</v>
      </c>
      <c r="D1513" t="s">
        <v>215</v>
      </c>
      <c r="E1513">
        <v>1</v>
      </c>
      <c r="F1513">
        <v>201.91</v>
      </c>
      <c r="G1513" t="s">
        <v>220</v>
      </c>
      <c r="H1513">
        <v>201.91</v>
      </c>
      <c r="I1513">
        <v>2024</v>
      </c>
      <c r="J1513">
        <v>8</v>
      </c>
      <c r="K1513">
        <v>3</v>
      </c>
      <c r="L1513" s="14">
        <v>201.91</v>
      </c>
      <c r="M1513" s="4" t="str">
        <f t="shared" si="92"/>
        <v>jueves</v>
      </c>
      <c r="N1513" s="4" t="str">
        <f t="shared" si="93"/>
        <v>agosto</v>
      </c>
      <c r="O1513" s="4" t="str">
        <f t="shared" si="94"/>
        <v>NO</v>
      </c>
      <c r="P1513" s="4" t="str">
        <f t="shared" si="95"/>
        <v>NO</v>
      </c>
      <c r="Q1513" s="4" t="str" cm="1">
        <f t="array" ref="Q1513">_xlfn.IFS(AND(H1513&gt;=0,H1513&lt;=3333),"Grupo 1",AND(H1513&gt;3333,H1513&lt;=6666),"Grupo 2",AND(H1513&gt;6666,H1513&lt;=10000),"Grupo 3")</f>
        <v>Grupo 1</v>
      </c>
    </row>
    <row r="1514" spans="1:17" x14ac:dyDescent="0.25">
      <c r="A1514" t="s">
        <v>124</v>
      </c>
      <c r="B1514" s="2">
        <v>45487.067361111112</v>
      </c>
      <c r="C1514" t="s">
        <v>288</v>
      </c>
      <c r="D1514" t="s">
        <v>216</v>
      </c>
      <c r="E1514">
        <v>3</v>
      </c>
      <c r="F1514">
        <v>727.36</v>
      </c>
      <c r="G1514" t="s">
        <v>221</v>
      </c>
      <c r="H1514">
        <v>2182.08</v>
      </c>
      <c r="I1514">
        <v>2024</v>
      </c>
      <c r="J1514">
        <v>7</v>
      </c>
      <c r="K1514">
        <v>1</v>
      </c>
      <c r="L1514" s="14">
        <v>727.36</v>
      </c>
      <c r="M1514" s="4" t="str">
        <f t="shared" si="92"/>
        <v>domingo</v>
      </c>
      <c r="N1514" s="4" t="str">
        <f t="shared" si="93"/>
        <v>julio</v>
      </c>
      <c r="O1514" s="4" t="str">
        <f t="shared" si="94"/>
        <v>NO</v>
      </c>
      <c r="P1514" s="4" t="str">
        <f t="shared" si="95"/>
        <v>NO</v>
      </c>
      <c r="Q1514" s="4" t="str" cm="1">
        <f t="array" ref="Q1514">_xlfn.IFS(AND(H1514&gt;=0,H1514&lt;=3333),"Grupo 1",AND(H1514&gt;3333,H1514&lt;=6666),"Grupo 2",AND(H1514&gt;6666,H1514&lt;=10000),"Grupo 3")</f>
        <v>Grupo 1</v>
      </c>
    </row>
    <row r="1515" spans="1:17" x14ac:dyDescent="0.25">
      <c r="A1515" t="s">
        <v>125</v>
      </c>
      <c r="B1515" s="2">
        <v>45281.986805555563</v>
      </c>
      <c r="C1515" t="s">
        <v>289</v>
      </c>
      <c r="D1515" t="s">
        <v>219</v>
      </c>
      <c r="E1515">
        <v>3</v>
      </c>
      <c r="F1515">
        <v>1645.43</v>
      </c>
      <c r="G1515" t="s">
        <v>221</v>
      </c>
      <c r="H1515">
        <v>4936.29</v>
      </c>
      <c r="I1515">
        <v>2023</v>
      </c>
      <c r="J1515">
        <v>12</v>
      </c>
      <c r="K1515">
        <v>23</v>
      </c>
      <c r="L1515" s="14">
        <v>1645.43</v>
      </c>
      <c r="M1515" s="4" t="str">
        <f t="shared" si="92"/>
        <v>jueves</v>
      </c>
      <c r="N1515" s="4" t="str">
        <f t="shared" si="93"/>
        <v>diciembre</v>
      </c>
      <c r="O1515" s="4" t="str">
        <f t="shared" si="94"/>
        <v>SI</v>
      </c>
      <c r="P1515" s="4" t="str">
        <f t="shared" si="95"/>
        <v>SI</v>
      </c>
      <c r="Q1515" s="4" t="str" cm="1">
        <f t="array" ref="Q1515">_xlfn.IFS(AND(H1515&gt;=0,H1515&lt;=3333),"Grupo 1",AND(H1515&gt;3333,H1515&lt;=6666),"Grupo 2",AND(H1515&gt;6666,H1515&lt;=10000),"Grupo 3")</f>
        <v>Grupo 2</v>
      </c>
    </row>
    <row r="1516" spans="1:17" x14ac:dyDescent="0.25">
      <c r="A1516" t="s">
        <v>126</v>
      </c>
      <c r="B1516" s="2">
        <v>45468.378472222219</v>
      </c>
      <c r="C1516" t="s">
        <v>290</v>
      </c>
      <c r="D1516" t="s">
        <v>217</v>
      </c>
      <c r="E1516">
        <v>3</v>
      </c>
      <c r="F1516">
        <v>420.05</v>
      </c>
      <c r="G1516" t="s">
        <v>220</v>
      </c>
      <c r="H1516">
        <v>1260.1500000000001</v>
      </c>
      <c r="I1516">
        <v>2024</v>
      </c>
      <c r="J1516">
        <v>6</v>
      </c>
      <c r="K1516">
        <v>9</v>
      </c>
      <c r="L1516" s="14">
        <v>420.05</v>
      </c>
      <c r="M1516" s="4" t="str">
        <f t="shared" si="92"/>
        <v>martes</v>
      </c>
      <c r="N1516" s="4" t="str">
        <f t="shared" si="93"/>
        <v>junio</v>
      </c>
      <c r="O1516" s="4" t="str">
        <f t="shared" si="94"/>
        <v>NO</v>
      </c>
      <c r="P1516" s="4" t="str">
        <f t="shared" si="95"/>
        <v>NO</v>
      </c>
      <c r="Q1516" s="4" t="str" cm="1">
        <f t="array" ref="Q1516">_xlfn.IFS(AND(H1516&gt;=0,H1516&lt;=3333),"Grupo 1",AND(H1516&gt;3333,H1516&lt;=6666),"Grupo 2",AND(H1516&gt;6666,H1516&lt;=10000),"Grupo 3")</f>
        <v>Grupo 1</v>
      </c>
    </row>
    <row r="1517" spans="1:17" x14ac:dyDescent="0.25">
      <c r="A1517" t="s">
        <v>127</v>
      </c>
      <c r="B1517" s="2">
        <v>45529.436805555553</v>
      </c>
      <c r="C1517" t="s">
        <v>291</v>
      </c>
      <c r="D1517" t="s">
        <v>214</v>
      </c>
      <c r="E1517">
        <v>4</v>
      </c>
      <c r="F1517">
        <v>496.9</v>
      </c>
      <c r="G1517" t="s">
        <v>222</v>
      </c>
      <c r="H1517">
        <v>1987.6</v>
      </c>
      <c r="I1517">
        <v>2024</v>
      </c>
      <c r="J1517">
        <v>8</v>
      </c>
      <c r="K1517">
        <v>10</v>
      </c>
      <c r="L1517" s="14">
        <v>496.9</v>
      </c>
      <c r="M1517" s="4" t="str">
        <f t="shared" si="92"/>
        <v>domingo</v>
      </c>
      <c r="N1517" s="4" t="str">
        <f t="shared" si="93"/>
        <v>agosto</v>
      </c>
      <c r="O1517" s="4" t="str">
        <f t="shared" si="94"/>
        <v>NO</v>
      </c>
      <c r="P1517" s="4" t="str">
        <f t="shared" si="95"/>
        <v>NO</v>
      </c>
      <c r="Q1517" s="4" t="str" cm="1">
        <f t="array" ref="Q1517">_xlfn.IFS(AND(H1517&gt;=0,H1517&lt;=3333),"Grupo 1",AND(H1517&gt;3333,H1517&lt;=6666),"Grupo 2",AND(H1517&gt;6666,H1517&lt;=10000),"Grupo 3")</f>
        <v>Grupo 1</v>
      </c>
    </row>
    <row r="1518" spans="1:17" x14ac:dyDescent="0.25">
      <c r="A1518" t="s">
        <v>128</v>
      </c>
      <c r="B1518" s="2">
        <v>44961.01666666667</v>
      </c>
      <c r="C1518" t="s">
        <v>292</v>
      </c>
      <c r="D1518" t="s">
        <v>213</v>
      </c>
      <c r="E1518">
        <v>2</v>
      </c>
      <c r="F1518">
        <v>721.56</v>
      </c>
      <c r="G1518" t="s">
        <v>221</v>
      </c>
      <c r="H1518">
        <v>1443.12</v>
      </c>
      <c r="I1518">
        <v>2023</v>
      </c>
      <c r="J1518">
        <v>2</v>
      </c>
      <c r="K1518">
        <v>0</v>
      </c>
      <c r="L1518" s="14">
        <v>721.56</v>
      </c>
      <c r="M1518" s="4" t="str">
        <f t="shared" si="92"/>
        <v>sábado</v>
      </c>
      <c r="N1518" s="4" t="str">
        <f t="shared" si="93"/>
        <v>febrero</v>
      </c>
      <c r="O1518" s="4" t="str">
        <f t="shared" si="94"/>
        <v>NO</v>
      </c>
      <c r="P1518" s="4" t="str">
        <f t="shared" si="95"/>
        <v>NO</v>
      </c>
      <c r="Q1518" s="4" t="str" cm="1">
        <f t="array" ref="Q1518">_xlfn.IFS(AND(H1518&gt;=0,H1518&lt;=3333),"Grupo 1",AND(H1518&gt;3333,H1518&lt;=6666),"Grupo 2",AND(H1518&gt;6666,H1518&lt;=10000),"Grupo 3")</f>
        <v>Grupo 1</v>
      </c>
    </row>
    <row r="1519" spans="1:17" x14ac:dyDescent="0.25">
      <c r="A1519" t="s">
        <v>129</v>
      </c>
      <c r="B1519" s="2">
        <v>45041.746527777781</v>
      </c>
      <c r="C1519" t="s">
        <v>293</v>
      </c>
      <c r="D1519" t="s">
        <v>219</v>
      </c>
      <c r="E1519">
        <v>4</v>
      </c>
      <c r="F1519">
        <v>1353.9</v>
      </c>
      <c r="G1519" t="s">
        <v>221</v>
      </c>
      <c r="H1519">
        <v>5415.6</v>
      </c>
      <c r="I1519">
        <v>2023</v>
      </c>
      <c r="J1519">
        <v>4</v>
      </c>
      <c r="K1519">
        <v>17</v>
      </c>
      <c r="L1519" s="14">
        <v>1353.9</v>
      </c>
      <c r="M1519" s="4" t="str">
        <f t="shared" si="92"/>
        <v>martes</v>
      </c>
      <c r="N1519" s="4" t="str">
        <f t="shared" si="93"/>
        <v>abril</v>
      </c>
      <c r="O1519" s="4" t="str">
        <f t="shared" si="94"/>
        <v>SI</v>
      </c>
      <c r="P1519" s="4" t="str">
        <f t="shared" si="95"/>
        <v>SI</v>
      </c>
      <c r="Q1519" s="4" t="str" cm="1">
        <f t="array" ref="Q1519">_xlfn.IFS(AND(H1519&gt;=0,H1519&lt;=3333),"Grupo 1",AND(H1519&gt;3333,H1519&lt;=6666),"Grupo 2",AND(H1519&gt;6666,H1519&lt;=10000),"Grupo 3")</f>
        <v>Grupo 2</v>
      </c>
    </row>
    <row r="1520" spans="1:17" x14ac:dyDescent="0.25">
      <c r="A1520" t="s">
        <v>130</v>
      </c>
      <c r="B1520" s="2">
        <v>45400.756249999999</v>
      </c>
      <c r="C1520" t="s">
        <v>294</v>
      </c>
      <c r="D1520" t="s">
        <v>215</v>
      </c>
      <c r="E1520">
        <v>2</v>
      </c>
      <c r="F1520">
        <v>429.52</v>
      </c>
      <c r="G1520" t="s">
        <v>220</v>
      </c>
      <c r="H1520">
        <v>859.04</v>
      </c>
      <c r="I1520">
        <v>2024</v>
      </c>
      <c r="J1520">
        <v>4</v>
      </c>
      <c r="K1520">
        <v>18</v>
      </c>
      <c r="L1520" s="14">
        <v>429.52</v>
      </c>
      <c r="M1520" s="4" t="str">
        <f t="shared" si="92"/>
        <v>jueves</v>
      </c>
      <c r="N1520" s="4" t="str">
        <f t="shared" si="93"/>
        <v>abril</v>
      </c>
      <c r="O1520" s="4" t="str">
        <f t="shared" si="94"/>
        <v>NO</v>
      </c>
      <c r="P1520" s="4" t="str">
        <f t="shared" si="95"/>
        <v>NO</v>
      </c>
      <c r="Q1520" s="4" t="str" cm="1">
        <f t="array" ref="Q1520">_xlfn.IFS(AND(H1520&gt;=0,H1520&lt;=3333),"Grupo 1",AND(H1520&gt;3333,H1520&lt;=6666),"Grupo 2",AND(H1520&gt;6666,H1520&lt;=10000),"Grupo 3")</f>
        <v>Grupo 1</v>
      </c>
    </row>
    <row r="1521" spans="1:17" x14ac:dyDescent="0.25">
      <c r="A1521" t="s">
        <v>131</v>
      </c>
      <c r="B1521" s="2">
        <v>45465.772916666669</v>
      </c>
      <c r="C1521" t="s">
        <v>295</v>
      </c>
      <c r="D1521" t="s">
        <v>214</v>
      </c>
      <c r="E1521">
        <v>2</v>
      </c>
      <c r="F1521">
        <v>1824.96</v>
      </c>
      <c r="G1521" t="s">
        <v>222</v>
      </c>
      <c r="H1521">
        <v>3649.92</v>
      </c>
      <c r="I1521">
        <v>2024</v>
      </c>
      <c r="J1521">
        <v>6</v>
      </c>
      <c r="K1521">
        <v>18</v>
      </c>
      <c r="L1521" s="14">
        <v>1824.96</v>
      </c>
      <c r="M1521" s="4" t="str">
        <f t="shared" si="92"/>
        <v>sábado</v>
      </c>
      <c r="N1521" s="4" t="str">
        <f t="shared" si="93"/>
        <v>junio</v>
      </c>
      <c r="O1521" s="4" t="str">
        <f t="shared" si="94"/>
        <v>SI</v>
      </c>
      <c r="P1521" s="4" t="str">
        <f t="shared" si="95"/>
        <v>SI</v>
      </c>
      <c r="Q1521" s="4" t="str" cm="1">
        <f t="array" ref="Q1521">_xlfn.IFS(AND(H1521&gt;=0,H1521&lt;=3333),"Grupo 1",AND(H1521&gt;3333,H1521&lt;=6666),"Grupo 2",AND(H1521&gt;6666,H1521&lt;=10000),"Grupo 3")</f>
        <v>Grupo 2</v>
      </c>
    </row>
    <row r="1522" spans="1:17" x14ac:dyDescent="0.25">
      <c r="A1522" t="s">
        <v>132</v>
      </c>
      <c r="B1522" s="2">
        <v>45316.202777777777</v>
      </c>
      <c r="C1522" t="s">
        <v>296</v>
      </c>
      <c r="D1522" t="s">
        <v>218</v>
      </c>
      <c r="E1522">
        <v>5</v>
      </c>
      <c r="F1522">
        <v>1059.81</v>
      </c>
      <c r="G1522" t="s">
        <v>221</v>
      </c>
      <c r="H1522">
        <v>5299.0499999999993</v>
      </c>
      <c r="I1522">
        <v>2024</v>
      </c>
      <c r="J1522">
        <v>1</v>
      </c>
      <c r="K1522">
        <v>4</v>
      </c>
      <c r="L1522" s="14">
        <v>1059.81</v>
      </c>
      <c r="M1522" s="4" t="str">
        <f t="shared" si="92"/>
        <v>jueves</v>
      </c>
      <c r="N1522" s="4" t="str">
        <f t="shared" si="93"/>
        <v>enero</v>
      </c>
      <c r="O1522" s="4" t="str">
        <f t="shared" si="94"/>
        <v>SI</v>
      </c>
      <c r="P1522" s="4" t="str">
        <f t="shared" si="95"/>
        <v>SI</v>
      </c>
      <c r="Q1522" s="4" t="str" cm="1">
        <f t="array" ref="Q1522">_xlfn.IFS(AND(H1522&gt;=0,H1522&lt;=3333),"Grupo 1",AND(H1522&gt;3333,H1522&lt;=6666),"Grupo 2",AND(H1522&gt;6666,H1522&lt;=10000),"Grupo 3")</f>
        <v>Grupo 2</v>
      </c>
    </row>
    <row r="1523" spans="1:17" x14ac:dyDescent="0.25">
      <c r="A1523" t="s">
        <v>133</v>
      </c>
      <c r="B1523" s="2">
        <v>45118.634722222218</v>
      </c>
      <c r="C1523" t="s">
        <v>297</v>
      </c>
      <c r="D1523" t="s">
        <v>214</v>
      </c>
      <c r="E1523">
        <v>4</v>
      </c>
      <c r="F1523">
        <v>46.39</v>
      </c>
      <c r="G1523" t="s">
        <v>222</v>
      </c>
      <c r="H1523">
        <v>185.56</v>
      </c>
      <c r="I1523">
        <v>2023</v>
      </c>
      <c r="J1523">
        <v>7</v>
      </c>
      <c r="K1523">
        <v>15</v>
      </c>
      <c r="L1523" s="14">
        <v>46.39</v>
      </c>
      <c r="M1523" s="4" t="str">
        <f t="shared" si="92"/>
        <v>martes</v>
      </c>
      <c r="N1523" s="4" t="str">
        <f t="shared" si="93"/>
        <v>julio</v>
      </c>
      <c r="O1523" s="4" t="str">
        <f t="shared" si="94"/>
        <v>NO</v>
      </c>
      <c r="P1523" s="4" t="str">
        <f t="shared" si="95"/>
        <v>NO</v>
      </c>
      <c r="Q1523" s="4" t="str" cm="1">
        <f t="array" ref="Q1523">_xlfn.IFS(AND(H1523&gt;=0,H1523&lt;=3333),"Grupo 1",AND(H1523&gt;3333,H1523&lt;=6666),"Grupo 2",AND(H1523&gt;6666,H1523&lt;=10000),"Grupo 3")</f>
        <v>Grupo 1</v>
      </c>
    </row>
    <row r="1524" spans="1:17" x14ac:dyDescent="0.25">
      <c r="A1524" t="s">
        <v>134</v>
      </c>
      <c r="B1524" s="2">
        <v>45232.75</v>
      </c>
      <c r="C1524" t="s">
        <v>298</v>
      </c>
      <c r="D1524" t="s">
        <v>217</v>
      </c>
      <c r="E1524">
        <v>1</v>
      </c>
      <c r="F1524">
        <v>754.07</v>
      </c>
      <c r="G1524" t="s">
        <v>220</v>
      </c>
      <c r="H1524">
        <v>754.07</v>
      </c>
      <c r="I1524">
        <v>2023</v>
      </c>
      <c r="J1524">
        <v>11</v>
      </c>
      <c r="K1524">
        <v>18</v>
      </c>
      <c r="L1524" s="14">
        <v>754.07</v>
      </c>
      <c r="M1524" s="4" t="str">
        <f t="shared" si="92"/>
        <v>jueves</v>
      </c>
      <c r="N1524" s="4" t="str">
        <f t="shared" si="93"/>
        <v>noviembre</v>
      </c>
      <c r="O1524" s="4" t="str">
        <f t="shared" si="94"/>
        <v>NO</v>
      </c>
      <c r="P1524" s="4" t="str">
        <f t="shared" si="95"/>
        <v>NO</v>
      </c>
      <c r="Q1524" s="4" t="str" cm="1">
        <f t="array" ref="Q1524">_xlfn.IFS(AND(H1524&gt;=0,H1524&lt;=3333),"Grupo 1",AND(H1524&gt;3333,H1524&lt;=6666),"Grupo 2",AND(H1524&gt;6666,H1524&lt;=10000),"Grupo 3")</f>
        <v>Grupo 1</v>
      </c>
    </row>
    <row r="1525" spans="1:17" x14ac:dyDescent="0.25">
      <c r="A1525" t="s">
        <v>135</v>
      </c>
      <c r="B1525" s="2">
        <v>45745.421527777777</v>
      </c>
      <c r="C1525" t="s">
        <v>299</v>
      </c>
      <c r="D1525" t="s">
        <v>219</v>
      </c>
      <c r="E1525">
        <v>1</v>
      </c>
      <c r="F1525">
        <v>1681.02</v>
      </c>
      <c r="G1525" t="s">
        <v>221</v>
      </c>
      <c r="H1525">
        <v>1681.02</v>
      </c>
      <c r="I1525">
        <v>2025</v>
      </c>
      <c r="J1525">
        <v>3</v>
      </c>
      <c r="K1525">
        <v>10</v>
      </c>
      <c r="L1525" s="14">
        <v>1681.02</v>
      </c>
      <c r="M1525" s="4" t="str">
        <f t="shared" si="92"/>
        <v>sábado</v>
      </c>
      <c r="N1525" s="4" t="str">
        <f t="shared" si="93"/>
        <v>marzo</v>
      </c>
      <c r="O1525" s="4" t="str">
        <f t="shared" si="94"/>
        <v>NO</v>
      </c>
      <c r="P1525" s="4" t="str">
        <f t="shared" si="95"/>
        <v>SI</v>
      </c>
      <c r="Q1525" s="4" t="str" cm="1">
        <f t="array" ref="Q1525">_xlfn.IFS(AND(H1525&gt;=0,H1525&lt;=3333),"Grupo 1",AND(H1525&gt;3333,H1525&lt;=6666),"Grupo 2",AND(H1525&gt;6666,H1525&lt;=10000),"Grupo 3")</f>
        <v>Grupo 1</v>
      </c>
    </row>
    <row r="1526" spans="1:17" x14ac:dyDescent="0.25">
      <c r="A1526" t="s">
        <v>136</v>
      </c>
      <c r="B1526" s="2">
        <v>45802.370833333327</v>
      </c>
      <c r="C1526" t="s">
        <v>300</v>
      </c>
      <c r="D1526" t="s">
        <v>212</v>
      </c>
      <c r="E1526">
        <v>2</v>
      </c>
      <c r="F1526">
        <v>1198.72</v>
      </c>
      <c r="G1526" t="s">
        <v>220</v>
      </c>
      <c r="H1526">
        <v>2397.44</v>
      </c>
      <c r="I1526">
        <v>2025</v>
      </c>
      <c r="J1526">
        <v>5</v>
      </c>
      <c r="K1526">
        <v>8</v>
      </c>
      <c r="L1526" s="14">
        <v>1198.72</v>
      </c>
      <c r="M1526" s="4" t="str">
        <f t="shared" si="92"/>
        <v>domingo</v>
      </c>
      <c r="N1526" s="4" t="str">
        <f t="shared" si="93"/>
        <v>mayo</v>
      </c>
      <c r="O1526" s="4" t="str">
        <f t="shared" si="94"/>
        <v>NO</v>
      </c>
      <c r="P1526" s="4" t="str">
        <f t="shared" si="95"/>
        <v>SI</v>
      </c>
      <c r="Q1526" s="4" t="str" cm="1">
        <f t="array" ref="Q1526">_xlfn.IFS(AND(H1526&gt;=0,H1526&lt;=3333),"Grupo 1",AND(H1526&gt;3333,H1526&lt;=6666),"Grupo 2",AND(H1526&gt;6666,H1526&lt;=10000),"Grupo 3")</f>
        <v>Grupo 1</v>
      </c>
    </row>
    <row r="1527" spans="1:17" x14ac:dyDescent="0.25">
      <c r="A1527" t="s">
        <v>137</v>
      </c>
      <c r="B1527" s="2">
        <v>45249.604861111111</v>
      </c>
      <c r="C1527" t="s">
        <v>301</v>
      </c>
      <c r="D1527" t="s">
        <v>219</v>
      </c>
      <c r="E1527">
        <v>2</v>
      </c>
      <c r="F1527">
        <v>1040.2</v>
      </c>
      <c r="G1527" t="s">
        <v>221</v>
      </c>
      <c r="H1527">
        <v>2080.4</v>
      </c>
      <c r="I1527">
        <v>2023</v>
      </c>
      <c r="J1527">
        <v>11</v>
      </c>
      <c r="K1527">
        <v>14</v>
      </c>
      <c r="L1527" s="14">
        <v>1040.2</v>
      </c>
      <c r="M1527" s="4" t="str">
        <f t="shared" si="92"/>
        <v>domingo</v>
      </c>
      <c r="N1527" s="4" t="str">
        <f t="shared" si="93"/>
        <v>noviembre</v>
      </c>
      <c r="O1527" s="4" t="str">
        <f t="shared" si="94"/>
        <v>NO</v>
      </c>
      <c r="P1527" s="4" t="str">
        <f t="shared" si="95"/>
        <v>SI</v>
      </c>
      <c r="Q1527" s="4" t="str" cm="1">
        <f t="array" ref="Q1527">_xlfn.IFS(AND(H1527&gt;=0,H1527&lt;=3333),"Grupo 1",AND(H1527&gt;3333,H1527&lt;=6666),"Grupo 2",AND(H1527&gt;6666,H1527&lt;=10000),"Grupo 3")</f>
        <v>Grupo 1</v>
      </c>
    </row>
    <row r="1528" spans="1:17" x14ac:dyDescent="0.25">
      <c r="A1528" t="s">
        <v>138</v>
      </c>
      <c r="B1528" s="2">
        <v>45854.013194444437</v>
      </c>
      <c r="C1528" t="s">
        <v>302</v>
      </c>
      <c r="D1528" t="s">
        <v>213</v>
      </c>
      <c r="E1528">
        <v>3</v>
      </c>
      <c r="F1528">
        <v>107.53</v>
      </c>
      <c r="G1528" t="s">
        <v>221</v>
      </c>
      <c r="H1528">
        <v>322.58999999999997</v>
      </c>
      <c r="I1528">
        <v>2025</v>
      </c>
      <c r="J1528">
        <v>7</v>
      </c>
      <c r="K1528">
        <v>0</v>
      </c>
      <c r="L1528" s="14">
        <v>107.53</v>
      </c>
      <c r="M1528" s="4" t="str">
        <f t="shared" si="92"/>
        <v>miércoles</v>
      </c>
      <c r="N1528" s="4" t="str">
        <f t="shared" si="93"/>
        <v>julio</v>
      </c>
      <c r="O1528" s="4" t="str">
        <f t="shared" si="94"/>
        <v>NO</v>
      </c>
      <c r="P1528" s="4" t="str">
        <f t="shared" si="95"/>
        <v>NO</v>
      </c>
      <c r="Q1528" s="4" t="str" cm="1">
        <f t="array" ref="Q1528">_xlfn.IFS(AND(H1528&gt;=0,H1528&lt;=3333),"Grupo 1",AND(H1528&gt;3333,H1528&lt;=6666),"Grupo 2",AND(H1528&gt;6666,H1528&lt;=10000),"Grupo 3")</f>
        <v>Grupo 1</v>
      </c>
    </row>
    <row r="1529" spans="1:17" x14ac:dyDescent="0.25">
      <c r="A1529" t="s">
        <v>139</v>
      </c>
      <c r="B1529" s="2">
        <v>45828.018055555563</v>
      </c>
      <c r="C1529" t="s">
        <v>303</v>
      </c>
      <c r="D1529" t="s">
        <v>215</v>
      </c>
      <c r="E1529">
        <v>4</v>
      </c>
      <c r="F1529">
        <v>380.66</v>
      </c>
      <c r="G1529" t="s">
        <v>220</v>
      </c>
      <c r="H1529">
        <v>1522.64</v>
      </c>
      <c r="I1529">
        <v>2025</v>
      </c>
      <c r="J1529">
        <v>6</v>
      </c>
      <c r="K1529">
        <v>0</v>
      </c>
      <c r="L1529" s="14">
        <v>380.66</v>
      </c>
      <c r="M1529" s="4" t="str">
        <f t="shared" si="92"/>
        <v>viernes</v>
      </c>
      <c r="N1529" s="4" t="str">
        <f t="shared" si="93"/>
        <v>junio</v>
      </c>
      <c r="O1529" s="4" t="str">
        <f t="shared" si="94"/>
        <v>NO</v>
      </c>
      <c r="P1529" s="4" t="str">
        <f t="shared" si="95"/>
        <v>NO</v>
      </c>
      <c r="Q1529" s="4" t="str" cm="1">
        <f t="array" ref="Q1529">_xlfn.IFS(AND(H1529&gt;=0,H1529&lt;=3333),"Grupo 1",AND(H1529&gt;3333,H1529&lt;=6666),"Grupo 2",AND(H1529&gt;6666,H1529&lt;=10000),"Grupo 3")</f>
        <v>Grupo 1</v>
      </c>
    </row>
    <row r="1530" spans="1:17" x14ac:dyDescent="0.25">
      <c r="A1530" t="s">
        <v>140</v>
      </c>
      <c r="B1530" s="2">
        <v>45673.40902777778</v>
      </c>
      <c r="C1530" t="s">
        <v>304</v>
      </c>
      <c r="D1530" t="s">
        <v>212</v>
      </c>
      <c r="E1530">
        <v>2</v>
      </c>
      <c r="F1530">
        <v>700.11</v>
      </c>
      <c r="G1530" t="s">
        <v>220</v>
      </c>
      <c r="H1530">
        <v>1400.22</v>
      </c>
      <c r="I1530">
        <v>2025</v>
      </c>
      <c r="J1530">
        <v>1</v>
      </c>
      <c r="K1530">
        <v>9</v>
      </c>
      <c r="L1530" s="14">
        <v>700.11</v>
      </c>
      <c r="M1530" s="4" t="str">
        <f t="shared" si="92"/>
        <v>jueves</v>
      </c>
      <c r="N1530" s="4" t="str">
        <f t="shared" si="93"/>
        <v>enero</v>
      </c>
      <c r="O1530" s="4" t="str">
        <f t="shared" si="94"/>
        <v>NO</v>
      </c>
      <c r="P1530" s="4" t="str">
        <f t="shared" si="95"/>
        <v>NO</v>
      </c>
      <c r="Q1530" s="4" t="str" cm="1">
        <f t="array" ref="Q1530">_xlfn.IFS(AND(H1530&gt;=0,H1530&lt;=3333),"Grupo 1",AND(H1530&gt;3333,H1530&lt;=6666),"Grupo 2",AND(H1530&gt;6666,H1530&lt;=10000),"Grupo 3")</f>
        <v>Grupo 1</v>
      </c>
    </row>
    <row r="1531" spans="1:17" x14ac:dyDescent="0.25">
      <c r="A1531" t="s">
        <v>141</v>
      </c>
      <c r="B1531" s="2">
        <v>44932.951388888891</v>
      </c>
      <c r="C1531" t="s">
        <v>305</v>
      </c>
      <c r="D1531" t="s">
        <v>215</v>
      </c>
      <c r="E1531">
        <v>5</v>
      </c>
      <c r="F1531">
        <v>358.48</v>
      </c>
      <c r="G1531" t="s">
        <v>220</v>
      </c>
      <c r="H1531">
        <v>1792.4</v>
      </c>
      <c r="I1531">
        <v>2023</v>
      </c>
      <c r="J1531">
        <v>1</v>
      </c>
      <c r="K1531">
        <v>22</v>
      </c>
      <c r="L1531" s="14">
        <v>358.48</v>
      </c>
      <c r="M1531" s="4" t="str">
        <f t="shared" si="92"/>
        <v>viernes</v>
      </c>
      <c r="N1531" s="4" t="str">
        <f t="shared" si="93"/>
        <v>enero</v>
      </c>
      <c r="O1531" s="4" t="str">
        <f t="shared" si="94"/>
        <v>NO</v>
      </c>
      <c r="P1531" s="4" t="str">
        <f t="shared" si="95"/>
        <v>NO</v>
      </c>
      <c r="Q1531" s="4" t="str" cm="1">
        <f t="array" ref="Q1531">_xlfn.IFS(AND(H1531&gt;=0,H1531&lt;=3333),"Grupo 1",AND(H1531&gt;3333,H1531&lt;=6666),"Grupo 2",AND(H1531&gt;6666,H1531&lt;=10000),"Grupo 3")</f>
        <v>Grupo 1</v>
      </c>
    </row>
    <row r="1532" spans="1:17" x14ac:dyDescent="0.25">
      <c r="A1532" t="s">
        <v>142</v>
      </c>
      <c r="B1532" s="2">
        <v>45381.871527777781</v>
      </c>
      <c r="C1532" t="s">
        <v>306</v>
      </c>
      <c r="D1532" t="s">
        <v>214</v>
      </c>
      <c r="E1532">
        <v>4</v>
      </c>
      <c r="F1532">
        <v>746.6</v>
      </c>
      <c r="G1532" t="s">
        <v>222</v>
      </c>
      <c r="H1532">
        <v>2986.4</v>
      </c>
      <c r="I1532">
        <v>2024</v>
      </c>
      <c r="J1532">
        <v>3</v>
      </c>
      <c r="K1532">
        <v>20</v>
      </c>
      <c r="L1532" s="14">
        <v>746.6</v>
      </c>
      <c r="M1532" s="4" t="str">
        <f t="shared" si="92"/>
        <v>sábado</v>
      </c>
      <c r="N1532" s="4" t="str">
        <f t="shared" si="93"/>
        <v>marzo</v>
      </c>
      <c r="O1532" s="4" t="str">
        <f t="shared" si="94"/>
        <v>SI</v>
      </c>
      <c r="P1532" s="4" t="str">
        <f t="shared" si="95"/>
        <v>NO</v>
      </c>
      <c r="Q1532" s="4" t="str" cm="1">
        <f t="array" ref="Q1532">_xlfn.IFS(AND(H1532&gt;=0,H1532&lt;=3333),"Grupo 1",AND(H1532&gt;3333,H1532&lt;=6666),"Grupo 2",AND(H1532&gt;6666,H1532&lt;=10000),"Grupo 3")</f>
        <v>Grupo 1</v>
      </c>
    </row>
    <row r="1533" spans="1:17" x14ac:dyDescent="0.25">
      <c r="A1533" t="s">
        <v>143</v>
      </c>
      <c r="B1533" s="2">
        <v>45450.97152777778</v>
      </c>
      <c r="C1533" t="s">
        <v>307</v>
      </c>
      <c r="D1533" t="s">
        <v>217</v>
      </c>
      <c r="E1533">
        <v>1</v>
      </c>
      <c r="F1533">
        <v>751.43</v>
      </c>
      <c r="G1533" t="s">
        <v>220</v>
      </c>
      <c r="H1533">
        <v>751.43</v>
      </c>
      <c r="I1533">
        <v>2024</v>
      </c>
      <c r="J1533">
        <v>6</v>
      </c>
      <c r="K1533">
        <v>23</v>
      </c>
      <c r="L1533" s="14">
        <v>751.43</v>
      </c>
      <c r="M1533" s="4" t="str">
        <f t="shared" si="92"/>
        <v>viernes</v>
      </c>
      <c r="N1533" s="4" t="str">
        <f t="shared" si="93"/>
        <v>junio</v>
      </c>
      <c r="O1533" s="4" t="str">
        <f t="shared" si="94"/>
        <v>NO</v>
      </c>
      <c r="P1533" s="4" t="str">
        <f t="shared" si="95"/>
        <v>NO</v>
      </c>
      <c r="Q1533" s="4" t="str" cm="1">
        <f t="array" ref="Q1533">_xlfn.IFS(AND(H1533&gt;=0,H1533&lt;=3333),"Grupo 1",AND(H1533&gt;3333,H1533&lt;=6666),"Grupo 2",AND(H1533&gt;6666,H1533&lt;=10000),"Grupo 3")</f>
        <v>Grupo 1</v>
      </c>
    </row>
    <row r="1534" spans="1:17" x14ac:dyDescent="0.25">
      <c r="A1534" t="s">
        <v>144</v>
      </c>
      <c r="B1534" s="2">
        <v>45122.813888888893</v>
      </c>
      <c r="C1534" t="s">
        <v>308</v>
      </c>
      <c r="D1534" t="s">
        <v>218</v>
      </c>
      <c r="E1534">
        <v>5</v>
      </c>
      <c r="F1534">
        <v>1109.08</v>
      </c>
      <c r="G1534" t="s">
        <v>221</v>
      </c>
      <c r="H1534">
        <v>5545.4</v>
      </c>
      <c r="I1534">
        <v>2023</v>
      </c>
      <c r="J1534">
        <v>7</v>
      </c>
      <c r="K1534">
        <v>19</v>
      </c>
      <c r="L1534" s="14">
        <v>1109.08</v>
      </c>
      <c r="M1534" s="4" t="str">
        <f t="shared" si="92"/>
        <v>sábado</v>
      </c>
      <c r="N1534" s="4" t="str">
        <f t="shared" si="93"/>
        <v>julio</v>
      </c>
      <c r="O1534" s="4" t="str">
        <f t="shared" si="94"/>
        <v>SI</v>
      </c>
      <c r="P1534" s="4" t="str">
        <f t="shared" si="95"/>
        <v>SI</v>
      </c>
      <c r="Q1534" s="4" t="str" cm="1">
        <f t="array" ref="Q1534">_xlfn.IFS(AND(H1534&gt;=0,H1534&lt;=3333),"Grupo 1",AND(H1534&gt;3333,H1534&lt;=6666),"Grupo 2",AND(H1534&gt;6666,H1534&lt;=10000),"Grupo 3")</f>
        <v>Grupo 2</v>
      </c>
    </row>
    <row r="1535" spans="1:17" x14ac:dyDescent="0.25">
      <c r="A1535" t="s">
        <v>145</v>
      </c>
      <c r="B1535" s="2">
        <v>45329.842361111107</v>
      </c>
      <c r="C1535" t="s">
        <v>309</v>
      </c>
      <c r="D1535" t="s">
        <v>212</v>
      </c>
      <c r="E1535">
        <v>5</v>
      </c>
      <c r="F1535">
        <v>642.74</v>
      </c>
      <c r="G1535" t="s">
        <v>220</v>
      </c>
      <c r="H1535">
        <v>3213.7</v>
      </c>
      <c r="I1535">
        <v>2024</v>
      </c>
      <c r="J1535">
        <v>2</v>
      </c>
      <c r="K1535">
        <v>20</v>
      </c>
      <c r="L1535" s="14">
        <v>642.74</v>
      </c>
      <c r="M1535" s="4" t="str">
        <f t="shared" si="92"/>
        <v>miércoles</v>
      </c>
      <c r="N1535" s="4" t="str">
        <f t="shared" si="93"/>
        <v>febrero</v>
      </c>
      <c r="O1535" s="4" t="str">
        <f t="shared" si="94"/>
        <v>SI</v>
      </c>
      <c r="P1535" s="4" t="str">
        <f t="shared" si="95"/>
        <v>NO</v>
      </c>
      <c r="Q1535" s="4" t="str" cm="1">
        <f t="array" ref="Q1535">_xlfn.IFS(AND(H1535&gt;=0,H1535&lt;=3333),"Grupo 1",AND(H1535&gt;3333,H1535&lt;=6666),"Grupo 2",AND(H1535&gt;6666,H1535&lt;=10000),"Grupo 3")</f>
        <v>Grupo 1</v>
      </c>
    </row>
    <row r="1536" spans="1:17" x14ac:dyDescent="0.25">
      <c r="A1536" t="s">
        <v>146</v>
      </c>
      <c r="B1536" s="2">
        <v>45615.539583333331</v>
      </c>
      <c r="C1536" t="s">
        <v>310</v>
      </c>
      <c r="D1536" t="s">
        <v>219</v>
      </c>
      <c r="E1536">
        <v>5</v>
      </c>
      <c r="F1536">
        <v>245.73</v>
      </c>
      <c r="G1536" t="s">
        <v>221</v>
      </c>
      <c r="H1536">
        <v>1228.6500000000001</v>
      </c>
      <c r="I1536">
        <v>2024</v>
      </c>
      <c r="J1536">
        <v>11</v>
      </c>
      <c r="K1536">
        <v>12</v>
      </c>
      <c r="L1536" s="14">
        <v>245.73</v>
      </c>
      <c r="M1536" s="4" t="str">
        <f t="shared" si="92"/>
        <v>martes</v>
      </c>
      <c r="N1536" s="4" t="str">
        <f t="shared" si="93"/>
        <v>noviembre</v>
      </c>
      <c r="O1536" s="4" t="str">
        <f t="shared" si="94"/>
        <v>NO</v>
      </c>
      <c r="P1536" s="4" t="str">
        <f t="shared" si="95"/>
        <v>NO</v>
      </c>
      <c r="Q1536" s="4" t="str" cm="1">
        <f t="array" ref="Q1536">_xlfn.IFS(AND(H1536&gt;=0,H1536&lt;=3333),"Grupo 1",AND(H1536&gt;3333,H1536&lt;=6666),"Grupo 2",AND(H1536&gt;6666,H1536&lt;=10000),"Grupo 3")</f>
        <v>Grupo 1</v>
      </c>
    </row>
    <row r="1537" spans="1:17" x14ac:dyDescent="0.25">
      <c r="A1537" t="s">
        <v>147</v>
      </c>
      <c r="B1537" s="2">
        <v>45222.775694444441</v>
      </c>
      <c r="C1537" t="s">
        <v>311</v>
      </c>
      <c r="D1537" t="s">
        <v>216</v>
      </c>
      <c r="E1537">
        <v>3</v>
      </c>
      <c r="F1537">
        <v>1782.13</v>
      </c>
      <c r="G1537" t="s">
        <v>221</v>
      </c>
      <c r="H1537">
        <v>5346.39</v>
      </c>
      <c r="I1537">
        <v>2023</v>
      </c>
      <c r="J1537">
        <v>10</v>
      </c>
      <c r="K1537">
        <v>18</v>
      </c>
      <c r="L1537" s="14">
        <v>1782.13</v>
      </c>
      <c r="M1537" s="4" t="str">
        <f t="shared" si="92"/>
        <v>lunes</v>
      </c>
      <c r="N1537" s="4" t="str">
        <f t="shared" si="93"/>
        <v>octubre</v>
      </c>
      <c r="O1537" s="4" t="str">
        <f t="shared" si="94"/>
        <v>SI</v>
      </c>
      <c r="P1537" s="4" t="str">
        <f t="shared" si="95"/>
        <v>SI</v>
      </c>
      <c r="Q1537" s="4" t="str" cm="1">
        <f t="array" ref="Q1537">_xlfn.IFS(AND(H1537&gt;=0,H1537&lt;=3333),"Grupo 1",AND(H1537&gt;3333,H1537&lt;=6666),"Grupo 2",AND(H1537&gt;6666,H1537&lt;=10000),"Grupo 3")</f>
        <v>Grupo 2</v>
      </c>
    </row>
    <row r="1538" spans="1:17" x14ac:dyDescent="0.25">
      <c r="A1538" t="s">
        <v>148</v>
      </c>
      <c r="B1538" s="2">
        <v>45525.048611111109</v>
      </c>
      <c r="C1538" t="s">
        <v>312</v>
      </c>
      <c r="D1538" t="s">
        <v>215</v>
      </c>
      <c r="E1538">
        <v>5</v>
      </c>
      <c r="F1538">
        <v>1137.1400000000001</v>
      </c>
      <c r="G1538" t="s">
        <v>220</v>
      </c>
      <c r="H1538">
        <v>5685.7000000000007</v>
      </c>
      <c r="I1538">
        <v>2024</v>
      </c>
      <c r="J1538">
        <v>8</v>
      </c>
      <c r="K1538">
        <v>1</v>
      </c>
      <c r="L1538" s="14">
        <v>1137.1400000000001</v>
      </c>
      <c r="M1538" s="4" t="str">
        <f t="shared" ref="M1538:M1601" si="96">TEXT(B1538,"dddd")</f>
        <v>miércoles</v>
      </c>
      <c r="N1538" s="4" t="str">
        <f t="shared" ref="N1538:N1601" si="97">TEXT(B1538,"mmmm")</f>
        <v>agosto</v>
      </c>
      <c r="O1538" s="4" t="str">
        <f t="shared" si="94"/>
        <v>SI</v>
      </c>
      <c r="P1538" s="4" t="str">
        <f t="shared" si="95"/>
        <v>SI</v>
      </c>
      <c r="Q1538" s="4" t="str" cm="1">
        <f t="array" ref="Q1538">_xlfn.IFS(AND(H1538&gt;=0,H1538&lt;=3333),"Grupo 1",AND(H1538&gt;3333,H1538&lt;=6666),"Grupo 2",AND(H1538&gt;6666,H1538&lt;=10000),"Grupo 3")</f>
        <v>Grupo 2</v>
      </c>
    </row>
    <row r="1539" spans="1:17" x14ac:dyDescent="0.25">
      <c r="A1539" t="s">
        <v>149</v>
      </c>
      <c r="B1539" s="2">
        <v>45520.686111111107</v>
      </c>
      <c r="C1539" t="s">
        <v>313</v>
      </c>
      <c r="D1539" t="s">
        <v>213</v>
      </c>
      <c r="E1539">
        <v>4</v>
      </c>
      <c r="F1539">
        <v>966.72</v>
      </c>
      <c r="G1539" t="s">
        <v>221</v>
      </c>
      <c r="H1539">
        <v>3866.88</v>
      </c>
      <c r="I1539">
        <v>2024</v>
      </c>
      <c r="J1539">
        <v>8</v>
      </c>
      <c r="K1539">
        <v>16</v>
      </c>
      <c r="L1539" s="14">
        <v>966.72</v>
      </c>
      <c r="M1539" s="4" t="str">
        <f t="shared" si="96"/>
        <v>viernes</v>
      </c>
      <c r="N1539" s="4" t="str">
        <f t="shared" si="97"/>
        <v>agosto</v>
      </c>
      <c r="O1539" s="4" t="str">
        <f t="shared" ref="O1539:O1602" si="98">IF(H1539&gt;AVERAGE(H:H),"SI","NO")</f>
        <v>SI</v>
      </c>
      <c r="P1539" s="4" t="str">
        <f t="shared" ref="P1539:P1602" si="99">IF(L1539&gt;AVERAGE(L:L),"SI","NO")</f>
        <v>NO</v>
      </c>
      <c r="Q1539" s="4" t="str" cm="1">
        <f t="array" ref="Q1539">_xlfn.IFS(AND(H1539&gt;=0,H1539&lt;=3333),"Grupo 1",AND(H1539&gt;3333,H1539&lt;=6666),"Grupo 2",AND(H1539&gt;6666,H1539&lt;=10000),"Grupo 3")</f>
        <v>Grupo 2</v>
      </c>
    </row>
    <row r="1540" spans="1:17" x14ac:dyDescent="0.25">
      <c r="A1540" t="s">
        <v>150</v>
      </c>
      <c r="B1540" s="2">
        <v>45484.331944444442</v>
      </c>
      <c r="C1540" t="s">
        <v>314</v>
      </c>
      <c r="D1540" t="s">
        <v>215</v>
      </c>
      <c r="E1540">
        <v>5</v>
      </c>
      <c r="F1540">
        <v>754.88</v>
      </c>
      <c r="G1540" t="s">
        <v>220</v>
      </c>
      <c r="H1540">
        <v>3774.4</v>
      </c>
      <c r="I1540">
        <v>2024</v>
      </c>
      <c r="J1540">
        <v>7</v>
      </c>
      <c r="K1540">
        <v>7</v>
      </c>
      <c r="L1540" s="14">
        <v>754.88</v>
      </c>
      <c r="M1540" s="4" t="str">
        <f t="shared" si="96"/>
        <v>jueves</v>
      </c>
      <c r="N1540" s="4" t="str">
        <f t="shared" si="97"/>
        <v>julio</v>
      </c>
      <c r="O1540" s="4" t="str">
        <f t="shared" si="98"/>
        <v>SI</v>
      </c>
      <c r="P1540" s="4" t="str">
        <f t="shared" si="99"/>
        <v>NO</v>
      </c>
      <c r="Q1540" s="4" t="str" cm="1">
        <f t="array" ref="Q1540">_xlfn.IFS(AND(H1540&gt;=0,H1540&lt;=3333),"Grupo 1",AND(H1540&gt;3333,H1540&lt;=6666),"Grupo 2",AND(H1540&gt;6666,H1540&lt;=10000),"Grupo 3")</f>
        <v>Grupo 2</v>
      </c>
    </row>
    <row r="1541" spans="1:17" x14ac:dyDescent="0.25">
      <c r="A1541" t="s">
        <v>151</v>
      </c>
      <c r="B1541" s="2">
        <v>45842.433333333327</v>
      </c>
      <c r="C1541" t="s">
        <v>315</v>
      </c>
      <c r="D1541" t="s">
        <v>216</v>
      </c>
      <c r="E1541">
        <v>4</v>
      </c>
      <c r="F1541">
        <v>902.5</v>
      </c>
      <c r="G1541" t="s">
        <v>221</v>
      </c>
      <c r="H1541">
        <v>3610</v>
      </c>
      <c r="I1541">
        <v>2025</v>
      </c>
      <c r="J1541">
        <v>7</v>
      </c>
      <c r="K1541">
        <v>10</v>
      </c>
      <c r="L1541" s="14">
        <v>902.5</v>
      </c>
      <c r="M1541" s="4" t="str">
        <f t="shared" si="96"/>
        <v>viernes</v>
      </c>
      <c r="N1541" s="4" t="str">
        <f t="shared" si="97"/>
        <v>julio</v>
      </c>
      <c r="O1541" s="4" t="str">
        <f t="shared" si="98"/>
        <v>SI</v>
      </c>
      <c r="P1541" s="4" t="str">
        <f t="shared" si="99"/>
        <v>NO</v>
      </c>
      <c r="Q1541" s="4" t="str" cm="1">
        <f t="array" ref="Q1541">_xlfn.IFS(AND(H1541&gt;=0,H1541&lt;=3333),"Grupo 1",AND(H1541&gt;3333,H1541&lt;=6666),"Grupo 2",AND(H1541&gt;6666,H1541&lt;=10000),"Grupo 3")</f>
        <v>Grupo 2</v>
      </c>
    </row>
    <row r="1542" spans="1:17" x14ac:dyDescent="0.25">
      <c r="A1542" t="s">
        <v>152</v>
      </c>
      <c r="B1542" s="2">
        <v>45697.842361111107</v>
      </c>
      <c r="C1542" t="s">
        <v>316</v>
      </c>
      <c r="D1542" t="s">
        <v>218</v>
      </c>
      <c r="E1542">
        <v>2</v>
      </c>
      <c r="F1542">
        <v>78.180000000000007</v>
      </c>
      <c r="G1542" t="s">
        <v>221</v>
      </c>
      <c r="H1542">
        <v>156.36000000000001</v>
      </c>
      <c r="I1542">
        <v>2025</v>
      </c>
      <c r="J1542">
        <v>2</v>
      </c>
      <c r="K1542">
        <v>20</v>
      </c>
      <c r="L1542" s="14">
        <v>78.180000000000007</v>
      </c>
      <c r="M1542" s="4" t="str">
        <f t="shared" si="96"/>
        <v>domingo</v>
      </c>
      <c r="N1542" s="4" t="str">
        <f t="shared" si="97"/>
        <v>febrero</v>
      </c>
      <c r="O1542" s="4" t="str">
        <f t="shared" si="98"/>
        <v>NO</v>
      </c>
      <c r="P1542" s="4" t="str">
        <f t="shared" si="99"/>
        <v>NO</v>
      </c>
      <c r="Q1542" s="4" t="str" cm="1">
        <f t="array" ref="Q1542">_xlfn.IFS(AND(H1542&gt;=0,H1542&lt;=3333),"Grupo 1",AND(H1542&gt;3333,H1542&lt;=6666),"Grupo 2",AND(H1542&gt;6666,H1542&lt;=10000),"Grupo 3")</f>
        <v>Grupo 1</v>
      </c>
    </row>
    <row r="1543" spans="1:17" x14ac:dyDescent="0.25">
      <c r="A1543" t="s">
        <v>153</v>
      </c>
      <c r="B1543" s="2">
        <v>45927.180555555547</v>
      </c>
      <c r="C1543" t="s">
        <v>317</v>
      </c>
      <c r="D1543" t="s">
        <v>212</v>
      </c>
      <c r="E1543">
        <v>2</v>
      </c>
      <c r="F1543">
        <v>1615.41</v>
      </c>
      <c r="G1543" t="s">
        <v>220</v>
      </c>
      <c r="H1543">
        <v>3230.82</v>
      </c>
      <c r="I1543">
        <v>2025</v>
      </c>
      <c r="J1543">
        <v>9</v>
      </c>
      <c r="K1543">
        <v>4</v>
      </c>
      <c r="L1543" s="14">
        <v>1615.41</v>
      </c>
      <c r="M1543" s="4" t="str">
        <f t="shared" si="96"/>
        <v>sábado</v>
      </c>
      <c r="N1543" s="4" t="str">
        <f t="shared" si="97"/>
        <v>septiembre</v>
      </c>
      <c r="O1543" s="4" t="str">
        <f t="shared" si="98"/>
        <v>SI</v>
      </c>
      <c r="P1543" s="4" t="str">
        <f t="shared" si="99"/>
        <v>SI</v>
      </c>
      <c r="Q1543" s="4" t="str" cm="1">
        <f t="array" ref="Q1543">_xlfn.IFS(AND(H1543&gt;=0,H1543&lt;=3333),"Grupo 1",AND(H1543&gt;3333,H1543&lt;=6666),"Grupo 2",AND(H1543&gt;6666,H1543&lt;=10000),"Grupo 3")</f>
        <v>Grupo 1</v>
      </c>
    </row>
    <row r="1544" spans="1:17" x14ac:dyDescent="0.25">
      <c r="A1544" t="s">
        <v>154</v>
      </c>
      <c r="B1544" s="2">
        <v>45511.748611111107</v>
      </c>
      <c r="C1544" t="s">
        <v>318</v>
      </c>
      <c r="D1544" t="s">
        <v>212</v>
      </c>
      <c r="E1544">
        <v>5</v>
      </c>
      <c r="F1544">
        <v>149.54</v>
      </c>
      <c r="G1544" t="s">
        <v>220</v>
      </c>
      <c r="H1544">
        <v>747.69999999999993</v>
      </c>
      <c r="I1544">
        <v>2024</v>
      </c>
      <c r="J1544">
        <v>8</v>
      </c>
      <c r="K1544">
        <v>17</v>
      </c>
      <c r="L1544" s="14">
        <v>149.54</v>
      </c>
      <c r="M1544" s="4" t="str">
        <f t="shared" si="96"/>
        <v>miércoles</v>
      </c>
      <c r="N1544" s="4" t="str">
        <f t="shared" si="97"/>
        <v>agosto</v>
      </c>
      <c r="O1544" s="4" t="str">
        <f t="shared" si="98"/>
        <v>NO</v>
      </c>
      <c r="P1544" s="4" t="str">
        <f t="shared" si="99"/>
        <v>NO</v>
      </c>
      <c r="Q1544" s="4" t="str" cm="1">
        <f t="array" ref="Q1544">_xlfn.IFS(AND(H1544&gt;=0,H1544&lt;=3333),"Grupo 1",AND(H1544&gt;3333,H1544&lt;=6666),"Grupo 2",AND(H1544&gt;6666,H1544&lt;=10000),"Grupo 3")</f>
        <v>Grupo 1</v>
      </c>
    </row>
    <row r="1545" spans="1:17" x14ac:dyDescent="0.25">
      <c r="A1545" t="s">
        <v>155</v>
      </c>
      <c r="B1545" s="2">
        <v>45867.710416666669</v>
      </c>
      <c r="C1545" t="s">
        <v>319</v>
      </c>
      <c r="D1545" t="s">
        <v>213</v>
      </c>
      <c r="E1545">
        <v>5</v>
      </c>
      <c r="F1545">
        <v>955.39</v>
      </c>
      <c r="G1545" t="s">
        <v>221</v>
      </c>
      <c r="H1545">
        <v>4776.95</v>
      </c>
      <c r="I1545">
        <v>2025</v>
      </c>
      <c r="J1545">
        <v>7</v>
      </c>
      <c r="K1545">
        <v>17</v>
      </c>
      <c r="L1545" s="14">
        <v>955.39</v>
      </c>
      <c r="M1545" s="4" t="str">
        <f t="shared" si="96"/>
        <v>martes</v>
      </c>
      <c r="N1545" s="4" t="str">
        <f t="shared" si="97"/>
        <v>julio</v>
      </c>
      <c r="O1545" s="4" t="str">
        <f t="shared" si="98"/>
        <v>SI</v>
      </c>
      <c r="P1545" s="4" t="str">
        <f t="shared" si="99"/>
        <v>NO</v>
      </c>
      <c r="Q1545" s="4" t="str" cm="1">
        <f t="array" ref="Q1545">_xlfn.IFS(AND(H1545&gt;=0,H1545&lt;=3333),"Grupo 1",AND(H1545&gt;3333,H1545&lt;=6666),"Grupo 2",AND(H1545&gt;6666,H1545&lt;=10000),"Grupo 3")</f>
        <v>Grupo 2</v>
      </c>
    </row>
    <row r="1546" spans="1:17" x14ac:dyDescent="0.25">
      <c r="A1546" t="s">
        <v>156</v>
      </c>
      <c r="B1546" s="2">
        <v>45339.555555555547</v>
      </c>
      <c r="C1546" t="s">
        <v>320</v>
      </c>
      <c r="D1546" t="s">
        <v>214</v>
      </c>
      <c r="E1546">
        <v>2</v>
      </c>
      <c r="F1546">
        <v>1963.63</v>
      </c>
      <c r="G1546" t="s">
        <v>222</v>
      </c>
      <c r="H1546">
        <v>3927.26</v>
      </c>
      <c r="I1546">
        <v>2024</v>
      </c>
      <c r="J1546">
        <v>2</v>
      </c>
      <c r="K1546">
        <v>13</v>
      </c>
      <c r="L1546" s="14">
        <v>1963.63</v>
      </c>
      <c r="M1546" s="4" t="str">
        <f t="shared" si="96"/>
        <v>sábado</v>
      </c>
      <c r="N1546" s="4" t="str">
        <f t="shared" si="97"/>
        <v>febrero</v>
      </c>
      <c r="O1546" s="4" t="str">
        <f t="shared" si="98"/>
        <v>SI</v>
      </c>
      <c r="P1546" s="4" t="str">
        <f t="shared" si="99"/>
        <v>SI</v>
      </c>
      <c r="Q1546" s="4" t="str" cm="1">
        <f t="array" ref="Q1546">_xlfn.IFS(AND(H1546&gt;=0,H1546&lt;=3333),"Grupo 1",AND(H1546&gt;3333,H1546&lt;=6666),"Grupo 2",AND(H1546&gt;6666,H1546&lt;=10000),"Grupo 3")</f>
        <v>Grupo 2</v>
      </c>
    </row>
    <row r="1547" spans="1:17" x14ac:dyDescent="0.25">
      <c r="A1547" t="s">
        <v>157</v>
      </c>
      <c r="B1547" s="2">
        <v>45538.998611111107</v>
      </c>
      <c r="C1547" t="s">
        <v>321</v>
      </c>
      <c r="D1547" t="s">
        <v>216</v>
      </c>
      <c r="E1547">
        <v>5</v>
      </c>
      <c r="F1547">
        <v>1440.14</v>
      </c>
      <c r="G1547" t="s">
        <v>221</v>
      </c>
      <c r="H1547">
        <v>7200.7000000000007</v>
      </c>
      <c r="I1547">
        <v>2024</v>
      </c>
      <c r="J1547">
        <v>9</v>
      </c>
      <c r="K1547">
        <v>23</v>
      </c>
      <c r="L1547" s="14">
        <v>1440.14</v>
      </c>
      <c r="M1547" s="4" t="str">
        <f t="shared" si="96"/>
        <v>martes</v>
      </c>
      <c r="N1547" s="4" t="str">
        <f t="shared" si="97"/>
        <v>septiembre</v>
      </c>
      <c r="O1547" s="4" t="str">
        <f t="shared" si="98"/>
        <v>SI</v>
      </c>
      <c r="P1547" s="4" t="str">
        <f t="shared" si="99"/>
        <v>SI</v>
      </c>
      <c r="Q1547" s="4" t="str" cm="1">
        <f t="array" ref="Q1547">_xlfn.IFS(AND(H1547&gt;=0,H1547&lt;=3333),"Grupo 1",AND(H1547&gt;3333,H1547&lt;=6666),"Grupo 2",AND(H1547&gt;6666,H1547&lt;=10000),"Grupo 3")</f>
        <v>Grupo 3</v>
      </c>
    </row>
    <row r="1548" spans="1:17" x14ac:dyDescent="0.25">
      <c r="A1548" t="s">
        <v>158</v>
      </c>
      <c r="B1548" s="2">
        <v>45105.837500000001</v>
      </c>
      <c r="C1548" t="s">
        <v>322</v>
      </c>
      <c r="D1548" t="s">
        <v>212</v>
      </c>
      <c r="E1548">
        <v>4</v>
      </c>
      <c r="F1548">
        <v>283.7</v>
      </c>
      <c r="G1548" t="s">
        <v>220</v>
      </c>
      <c r="H1548">
        <v>1134.8</v>
      </c>
      <c r="I1548">
        <v>2023</v>
      </c>
      <c r="J1548">
        <v>6</v>
      </c>
      <c r="K1548">
        <v>20</v>
      </c>
      <c r="L1548" s="14">
        <v>283.7</v>
      </c>
      <c r="M1548" s="4" t="str">
        <f t="shared" si="96"/>
        <v>miércoles</v>
      </c>
      <c r="N1548" s="4" t="str">
        <f t="shared" si="97"/>
        <v>junio</v>
      </c>
      <c r="O1548" s="4" t="str">
        <f t="shared" si="98"/>
        <v>NO</v>
      </c>
      <c r="P1548" s="4" t="str">
        <f t="shared" si="99"/>
        <v>NO</v>
      </c>
      <c r="Q1548" s="4" t="str" cm="1">
        <f t="array" ref="Q1548">_xlfn.IFS(AND(H1548&gt;=0,H1548&lt;=3333),"Grupo 1",AND(H1548&gt;3333,H1548&lt;=6666),"Grupo 2",AND(H1548&gt;6666,H1548&lt;=10000),"Grupo 3")</f>
        <v>Grupo 1</v>
      </c>
    </row>
    <row r="1549" spans="1:17" x14ac:dyDescent="0.25">
      <c r="A1549" t="s">
        <v>159</v>
      </c>
      <c r="B1549" s="2">
        <v>45470.283333333333</v>
      </c>
      <c r="C1549" t="s">
        <v>323</v>
      </c>
      <c r="D1549" t="s">
        <v>215</v>
      </c>
      <c r="E1549">
        <v>3</v>
      </c>
      <c r="F1549">
        <v>687.51</v>
      </c>
      <c r="G1549" t="s">
        <v>220</v>
      </c>
      <c r="H1549">
        <v>2062.5300000000002</v>
      </c>
      <c r="I1549">
        <v>2024</v>
      </c>
      <c r="J1549">
        <v>6</v>
      </c>
      <c r="K1549">
        <v>6</v>
      </c>
      <c r="L1549" s="14">
        <v>687.50999999999988</v>
      </c>
      <c r="M1549" s="4" t="str">
        <f t="shared" si="96"/>
        <v>jueves</v>
      </c>
      <c r="N1549" s="4" t="str">
        <f t="shared" si="97"/>
        <v>junio</v>
      </c>
      <c r="O1549" s="4" t="str">
        <f t="shared" si="98"/>
        <v>NO</v>
      </c>
      <c r="P1549" s="4" t="str">
        <f t="shared" si="99"/>
        <v>NO</v>
      </c>
      <c r="Q1549" s="4" t="str" cm="1">
        <f t="array" ref="Q1549">_xlfn.IFS(AND(H1549&gt;=0,H1549&lt;=3333),"Grupo 1",AND(H1549&gt;3333,H1549&lt;=6666),"Grupo 2",AND(H1549&gt;6666,H1549&lt;=10000),"Grupo 3")</f>
        <v>Grupo 1</v>
      </c>
    </row>
    <row r="1550" spans="1:17" x14ac:dyDescent="0.25">
      <c r="A1550" t="s">
        <v>160</v>
      </c>
      <c r="B1550" s="2">
        <v>45122.511805555558</v>
      </c>
      <c r="C1550" t="s">
        <v>324</v>
      </c>
      <c r="D1550" t="s">
        <v>216</v>
      </c>
      <c r="E1550">
        <v>2</v>
      </c>
      <c r="F1550">
        <v>282</v>
      </c>
      <c r="G1550" t="s">
        <v>221</v>
      </c>
      <c r="H1550">
        <v>564</v>
      </c>
      <c r="I1550">
        <v>2023</v>
      </c>
      <c r="J1550">
        <v>7</v>
      </c>
      <c r="K1550">
        <v>12</v>
      </c>
      <c r="L1550" s="14">
        <v>282</v>
      </c>
      <c r="M1550" s="4" t="str">
        <f t="shared" si="96"/>
        <v>sábado</v>
      </c>
      <c r="N1550" s="4" t="str">
        <f t="shared" si="97"/>
        <v>julio</v>
      </c>
      <c r="O1550" s="4" t="str">
        <f t="shared" si="98"/>
        <v>NO</v>
      </c>
      <c r="P1550" s="4" t="str">
        <f t="shared" si="99"/>
        <v>NO</v>
      </c>
      <c r="Q1550" s="4" t="str" cm="1">
        <f t="array" ref="Q1550">_xlfn.IFS(AND(H1550&gt;=0,H1550&lt;=3333),"Grupo 1",AND(H1550&gt;3333,H1550&lt;=6666),"Grupo 2",AND(H1550&gt;6666,H1550&lt;=10000),"Grupo 3")</f>
        <v>Grupo 1</v>
      </c>
    </row>
    <row r="1551" spans="1:17" x14ac:dyDescent="0.25">
      <c r="A1551" t="s">
        <v>161</v>
      </c>
      <c r="B1551" s="2">
        <v>45878.351388888892</v>
      </c>
      <c r="C1551" t="s">
        <v>325</v>
      </c>
      <c r="D1551" t="s">
        <v>215</v>
      </c>
      <c r="E1551">
        <v>4</v>
      </c>
      <c r="F1551">
        <v>1471.38</v>
      </c>
      <c r="G1551" t="s">
        <v>220</v>
      </c>
      <c r="H1551">
        <v>5885.52</v>
      </c>
      <c r="I1551">
        <v>2025</v>
      </c>
      <c r="J1551">
        <v>8</v>
      </c>
      <c r="K1551">
        <v>8</v>
      </c>
      <c r="L1551" s="14">
        <v>1471.38</v>
      </c>
      <c r="M1551" s="4" t="str">
        <f t="shared" si="96"/>
        <v>sábado</v>
      </c>
      <c r="N1551" s="4" t="str">
        <f t="shared" si="97"/>
        <v>agosto</v>
      </c>
      <c r="O1551" s="4" t="str">
        <f t="shared" si="98"/>
        <v>SI</v>
      </c>
      <c r="P1551" s="4" t="str">
        <f t="shared" si="99"/>
        <v>SI</v>
      </c>
      <c r="Q1551" s="4" t="str" cm="1">
        <f t="array" ref="Q1551">_xlfn.IFS(AND(H1551&gt;=0,H1551&lt;=3333),"Grupo 1",AND(H1551&gt;3333,H1551&lt;=6666),"Grupo 2",AND(H1551&gt;6666,H1551&lt;=10000),"Grupo 3")</f>
        <v>Grupo 2</v>
      </c>
    </row>
    <row r="1552" spans="1:17" x14ac:dyDescent="0.25">
      <c r="A1552" t="s">
        <v>162</v>
      </c>
      <c r="B1552" s="2">
        <v>45894.257638888892</v>
      </c>
      <c r="C1552" t="s">
        <v>326</v>
      </c>
      <c r="D1552" t="s">
        <v>216</v>
      </c>
      <c r="E1552">
        <v>1</v>
      </c>
      <c r="F1552">
        <v>1463.91</v>
      </c>
      <c r="G1552" t="s">
        <v>221</v>
      </c>
      <c r="H1552">
        <v>1463.91</v>
      </c>
      <c r="I1552">
        <v>2025</v>
      </c>
      <c r="J1552">
        <v>8</v>
      </c>
      <c r="K1552">
        <v>6</v>
      </c>
      <c r="L1552" s="14">
        <v>1463.91</v>
      </c>
      <c r="M1552" s="4" t="str">
        <f t="shared" si="96"/>
        <v>lunes</v>
      </c>
      <c r="N1552" s="4" t="str">
        <f t="shared" si="97"/>
        <v>agosto</v>
      </c>
      <c r="O1552" s="4" t="str">
        <f t="shared" si="98"/>
        <v>NO</v>
      </c>
      <c r="P1552" s="4" t="str">
        <f t="shared" si="99"/>
        <v>SI</v>
      </c>
      <c r="Q1552" s="4" t="str" cm="1">
        <f t="array" ref="Q1552">_xlfn.IFS(AND(H1552&gt;=0,H1552&lt;=3333),"Grupo 1",AND(H1552&gt;3333,H1552&lt;=6666),"Grupo 2",AND(H1552&gt;6666,H1552&lt;=10000),"Grupo 3")</f>
        <v>Grupo 1</v>
      </c>
    </row>
    <row r="1553" spans="1:17" x14ac:dyDescent="0.25">
      <c r="A1553" t="s">
        <v>163</v>
      </c>
      <c r="B1553" s="2">
        <v>45321.105555555558</v>
      </c>
      <c r="C1553" t="s">
        <v>327</v>
      </c>
      <c r="D1553" t="s">
        <v>213</v>
      </c>
      <c r="E1553">
        <v>4</v>
      </c>
      <c r="F1553">
        <v>1585.49</v>
      </c>
      <c r="G1553" t="s">
        <v>221</v>
      </c>
      <c r="H1553">
        <v>6341.96</v>
      </c>
      <c r="I1553">
        <v>2024</v>
      </c>
      <c r="J1553">
        <v>1</v>
      </c>
      <c r="K1553">
        <v>2</v>
      </c>
      <c r="L1553" s="14">
        <v>1585.49</v>
      </c>
      <c r="M1553" s="4" t="str">
        <f t="shared" si="96"/>
        <v>martes</v>
      </c>
      <c r="N1553" s="4" t="str">
        <f t="shared" si="97"/>
        <v>enero</v>
      </c>
      <c r="O1553" s="4" t="str">
        <f t="shared" si="98"/>
        <v>SI</v>
      </c>
      <c r="P1553" s="4" t="str">
        <f t="shared" si="99"/>
        <v>SI</v>
      </c>
      <c r="Q1553" s="4" t="str" cm="1">
        <f t="array" ref="Q1553">_xlfn.IFS(AND(H1553&gt;=0,H1553&lt;=3333),"Grupo 1",AND(H1553&gt;3333,H1553&lt;=6666),"Grupo 2",AND(H1553&gt;6666,H1553&lt;=10000),"Grupo 3")</f>
        <v>Grupo 2</v>
      </c>
    </row>
    <row r="1554" spans="1:17" x14ac:dyDescent="0.25">
      <c r="A1554" t="s">
        <v>164</v>
      </c>
      <c r="B1554" s="2">
        <v>45571.035416666673</v>
      </c>
      <c r="C1554" t="s">
        <v>328</v>
      </c>
      <c r="D1554" t="s">
        <v>213</v>
      </c>
      <c r="E1554">
        <v>1</v>
      </c>
      <c r="F1554">
        <v>662.17</v>
      </c>
      <c r="G1554" t="s">
        <v>221</v>
      </c>
      <c r="H1554">
        <v>662.17</v>
      </c>
      <c r="I1554">
        <v>2024</v>
      </c>
      <c r="J1554">
        <v>10</v>
      </c>
      <c r="K1554">
        <v>0</v>
      </c>
      <c r="L1554" s="14">
        <v>662.17</v>
      </c>
      <c r="M1554" s="4" t="str">
        <f t="shared" si="96"/>
        <v>domingo</v>
      </c>
      <c r="N1554" s="4" t="str">
        <f t="shared" si="97"/>
        <v>octubre</v>
      </c>
      <c r="O1554" s="4" t="str">
        <f t="shared" si="98"/>
        <v>NO</v>
      </c>
      <c r="P1554" s="4" t="str">
        <f t="shared" si="99"/>
        <v>NO</v>
      </c>
      <c r="Q1554" s="4" t="str" cm="1">
        <f t="array" ref="Q1554">_xlfn.IFS(AND(H1554&gt;=0,H1554&lt;=3333),"Grupo 1",AND(H1554&gt;3333,H1554&lt;=6666),"Grupo 2",AND(H1554&gt;6666,H1554&lt;=10000),"Grupo 3")</f>
        <v>Grupo 1</v>
      </c>
    </row>
    <row r="1555" spans="1:17" x14ac:dyDescent="0.25">
      <c r="A1555" t="s">
        <v>165</v>
      </c>
      <c r="B1555" s="2">
        <v>45442.757638888892</v>
      </c>
      <c r="C1555" t="s">
        <v>329</v>
      </c>
      <c r="D1555" t="s">
        <v>216</v>
      </c>
      <c r="E1555">
        <v>2</v>
      </c>
      <c r="F1555">
        <v>136.68</v>
      </c>
      <c r="G1555" t="s">
        <v>221</v>
      </c>
      <c r="H1555">
        <v>273.36</v>
      </c>
      <c r="I1555">
        <v>2024</v>
      </c>
      <c r="J1555">
        <v>5</v>
      </c>
      <c r="K1555">
        <v>18</v>
      </c>
      <c r="L1555" s="14">
        <v>136.68</v>
      </c>
      <c r="M1555" s="4" t="str">
        <f t="shared" si="96"/>
        <v>jueves</v>
      </c>
      <c r="N1555" s="4" t="str">
        <f t="shared" si="97"/>
        <v>mayo</v>
      </c>
      <c r="O1555" s="4" t="str">
        <f t="shared" si="98"/>
        <v>NO</v>
      </c>
      <c r="P1555" s="4" t="str">
        <f t="shared" si="99"/>
        <v>NO</v>
      </c>
      <c r="Q1555" s="4" t="str" cm="1">
        <f t="array" ref="Q1555">_xlfn.IFS(AND(H1555&gt;=0,H1555&lt;=3333),"Grupo 1",AND(H1555&gt;3333,H1555&lt;=6666),"Grupo 2",AND(H1555&gt;6666,H1555&lt;=10000),"Grupo 3")</f>
        <v>Grupo 1</v>
      </c>
    </row>
    <row r="1556" spans="1:17" x14ac:dyDescent="0.25">
      <c r="A1556" t="s">
        <v>166</v>
      </c>
      <c r="B1556" s="2">
        <v>45889.054166666669</v>
      </c>
      <c r="C1556" t="s">
        <v>330</v>
      </c>
      <c r="D1556" t="s">
        <v>215</v>
      </c>
      <c r="E1556">
        <v>4</v>
      </c>
      <c r="F1556">
        <v>118.64</v>
      </c>
      <c r="G1556" t="s">
        <v>220</v>
      </c>
      <c r="H1556">
        <v>474.56</v>
      </c>
      <c r="I1556">
        <v>2025</v>
      </c>
      <c r="J1556">
        <v>8</v>
      </c>
      <c r="K1556">
        <v>1</v>
      </c>
      <c r="L1556" s="14">
        <v>118.64</v>
      </c>
      <c r="M1556" s="4" t="str">
        <f t="shared" si="96"/>
        <v>miércoles</v>
      </c>
      <c r="N1556" s="4" t="str">
        <f t="shared" si="97"/>
        <v>agosto</v>
      </c>
      <c r="O1556" s="4" t="str">
        <f t="shared" si="98"/>
        <v>NO</v>
      </c>
      <c r="P1556" s="4" t="str">
        <f t="shared" si="99"/>
        <v>NO</v>
      </c>
      <c r="Q1556" s="4" t="str" cm="1">
        <f t="array" ref="Q1556">_xlfn.IFS(AND(H1556&gt;=0,H1556&lt;=3333),"Grupo 1",AND(H1556&gt;3333,H1556&lt;=6666),"Grupo 2",AND(H1556&gt;6666,H1556&lt;=10000),"Grupo 3")</f>
        <v>Grupo 1</v>
      </c>
    </row>
    <row r="1557" spans="1:17" x14ac:dyDescent="0.25">
      <c r="A1557" t="s">
        <v>167</v>
      </c>
      <c r="B1557" s="2">
        <v>45468.727083333331</v>
      </c>
      <c r="C1557" t="s">
        <v>331</v>
      </c>
      <c r="D1557" t="s">
        <v>217</v>
      </c>
      <c r="E1557">
        <v>3</v>
      </c>
      <c r="F1557">
        <v>933.49</v>
      </c>
      <c r="G1557" t="s">
        <v>220</v>
      </c>
      <c r="H1557">
        <v>2800.47</v>
      </c>
      <c r="I1557">
        <v>2024</v>
      </c>
      <c r="J1557">
        <v>6</v>
      </c>
      <c r="K1557">
        <v>17</v>
      </c>
      <c r="L1557" s="14">
        <v>933.49000000000012</v>
      </c>
      <c r="M1557" s="4" t="str">
        <f t="shared" si="96"/>
        <v>martes</v>
      </c>
      <c r="N1557" s="4" t="str">
        <f t="shared" si="97"/>
        <v>junio</v>
      </c>
      <c r="O1557" s="4" t="str">
        <f t="shared" si="98"/>
        <v>NO</v>
      </c>
      <c r="P1557" s="4" t="str">
        <f t="shared" si="99"/>
        <v>NO</v>
      </c>
      <c r="Q1557" s="4" t="str" cm="1">
        <f t="array" ref="Q1557">_xlfn.IFS(AND(H1557&gt;=0,H1557&lt;=3333),"Grupo 1",AND(H1557&gt;3333,H1557&lt;=6666),"Grupo 2",AND(H1557&gt;6666,H1557&lt;=10000),"Grupo 3")</f>
        <v>Grupo 1</v>
      </c>
    </row>
    <row r="1558" spans="1:17" x14ac:dyDescent="0.25">
      <c r="A1558" t="s">
        <v>168</v>
      </c>
      <c r="B1558" s="2">
        <v>45202.955555555563</v>
      </c>
      <c r="C1558" t="s">
        <v>332</v>
      </c>
      <c r="D1558" t="s">
        <v>219</v>
      </c>
      <c r="E1558">
        <v>2</v>
      </c>
      <c r="F1558">
        <v>1035.0899999999999</v>
      </c>
      <c r="G1558" t="s">
        <v>221</v>
      </c>
      <c r="H1558">
        <v>2070.1799999999998</v>
      </c>
      <c r="I1558">
        <v>2023</v>
      </c>
      <c r="J1558">
        <v>10</v>
      </c>
      <c r="K1558">
        <v>22</v>
      </c>
      <c r="L1558" s="14">
        <v>1035.0899999999999</v>
      </c>
      <c r="M1558" s="4" t="str">
        <f t="shared" si="96"/>
        <v>martes</v>
      </c>
      <c r="N1558" s="4" t="str">
        <f t="shared" si="97"/>
        <v>octubre</v>
      </c>
      <c r="O1558" s="4" t="str">
        <f t="shared" si="98"/>
        <v>NO</v>
      </c>
      <c r="P1558" s="4" t="str">
        <f t="shared" si="99"/>
        <v>SI</v>
      </c>
      <c r="Q1558" s="4" t="str" cm="1">
        <f t="array" ref="Q1558">_xlfn.IFS(AND(H1558&gt;=0,H1558&lt;=3333),"Grupo 1",AND(H1558&gt;3333,H1558&lt;=6666),"Grupo 2",AND(H1558&gt;6666,H1558&lt;=10000),"Grupo 3")</f>
        <v>Grupo 1</v>
      </c>
    </row>
    <row r="1559" spans="1:17" x14ac:dyDescent="0.25">
      <c r="A1559" t="s">
        <v>169</v>
      </c>
      <c r="B1559" s="2">
        <v>45323.202777777777</v>
      </c>
      <c r="C1559" t="s">
        <v>333</v>
      </c>
      <c r="D1559" t="s">
        <v>215</v>
      </c>
      <c r="E1559">
        <v>2</v>
      </c>
      <c r="F1559">
        <v>1325.01</v>
      </c>
      <c r="G1559" t="s">
        <v>220</v>
      </c>
      <c r="H1559">
        <v>2650.02</v>
      </c>
      <c r="I1559">
        <v>2024</v>
      </c>
      <c r="J1559">
        <v>2</v>
      </c>
      <c r="K1559">
        <v>4</v>
      </c>
      <c r="L1559" s="14">
        <v>1325.01</v>
      </c>
      <c r="M1559" s="4" t="str">
        <f t="shared" si="96"/>
        <v>jueves</v>
      </c>
      <c r="N1559" s="4" t="str">
        <f t="shared" si="97"/>
        <v>febrero</v>
      </c>
      <c r="O1559" s="4" t="str">
        <f t="shared" si="98"/>
        <v>NO</v>
      </c>
      <c r="P1559" s="4" t="str">
        <f t="shared" si="99"/>
        <v>SI</v>
      </c>
      <c r="Q1559" s="4" t="str" cm="1">
        <f t="array" ref="Q1559">_xlfn.IFS(AND(H1559&gt;=0,H1559&lt;=3333),"Grupo 1",AND(H1559&gt;3333,H1559&lt;=6666),"Grupo 2",AND(H1559&gt;6666,H1559&lt;=10000),"Grupo 3")</f>
        <v>Grupo 1</v>
      </c>
    </row>
    <row r="1560" spans="1:17" x14ac:dyDescent="0.25">
      <c r="A1560" t="s">
        <v>170</v>
      </c>
      <c r="B1560" s="2">
        <v>45288.395833333343</v>
      </c>
      <c r="C1560" t="s">
        <v>334</v>
      </c>
      <c r="D1560" t="s">
        <v>213</v>
      </c>
      <c r="E1560">
        <v>4</v>
      </c>
      <c r="F1560">
        <v>710.84</v>
      </c>
      <c r="G1560" t="s">
        <v>221</v>
      </c>
      <c r="H1560">
        <v>2843.36</v>
      </c>
      <c r="I1560">
        <v>2023</v>
      </c>
      <c r="J1560">
        <v>12</v>
      </c>
      <c r="K1560">
        <v>9</v>
      </c>
      <c r="L1560" s="14">
        <v>710.84</v>
      </c>
      <c r="M1560" s="4" t="str">
        <f t="shared" si="96"/>
        <v>jueves</v>
      </c>
      <c r="N1560" s="4" t="str">
        <f t="shared" si="97"/>
        <v>diciembre</v>
      </c>
      <c r="O1560" s="4" t="str">
        <f t="shared" si="98"/>
        <v>NO</v>
      </c>
      <c r="P1560" s="4" t="str">
        <f t="shared" si="99"/>
        <v>NO</v>
      </c>
      <c r="Q1560" s="4" t="str" cm="1">
        <f t="array" ref="Q1560">_xlfn.IFS(AND(H1560&gt;=0,H1560&lt;=3333),"Grupo 1",AND(H1560&gt;3333,H1560&lt;=6666),"Grupo 2",AND(H1560&gt;6666,H1560&lt;=10000),"Grupo 3")</f>
        <v>Grupo 1</v>
      </c>
    </row>
    <row r="1561" spans="1:17" x14ac:dyDescent="0.25">
      <c r="A1561" t="s">
        <v>171</v>
      </c>
      <c r="B1561" s="2">
        <v>45900.337500000001</v>
      </c>
      <c r="C1561" t="s">
        <v>335</v>
      </c>
      <c r="D1561" t="s">
        <v>214</v>
      </c>
      <c r="E1561">
        <v>3</v>
      </c>
      <c r="F1561">
        <v>97.27</v>
      </c>
      <c r="G1561" t="s">
        <v>222</v>
      </c>
      <c r="H1561">
        <v>291.81</v>
      </c>
      <c r="I1561">
        <v>2025</v>
      </c>
      <c r="J1561">
        <v>8</v>
      </c>
      <c r="K1561">
        <v>8</v>
      </c>
      <c r="L1561" s="14">
        <v>97.27</v>
      </c>
      <c r="M1561" s="4" t="str">
        <f t="shared" si="96"/>
        <v>domingo</v>
      </c>
      <c r="N1561" s="4" t="str">
        <f t="shared" si="97"/>
        <v>agosto</v>
      </c>
      <c r="O1561" s="4" t="str">
        <f t="shared" si="98"/>
        <v>NO</v>
      </c>
      <c r="P1561" s="4" t="str">
        <f t="shared" si="99"/>
        <v>NO</v>
      </c>
      <c r="Q1561" s="4" t="str" cm="1">
        <f t="array" ref="Q1561">_xlfn.IFS(AND(H1561&gt;=0,H1561&lt;=3333),"Grupo 1",AND(H1561&gt;3333,H1561&lt;=6666),"Grupo 2",AND(H1561&gt;6666,H1561&lt;=10000),"Grupo 3")</f>
        <v>Grupo 1</v>
      </c>
    </row>
    <row r="1562" spans="1:17" x14ac:dyDescent="0.25">
      <c r="A1562" t="s">
        <v>172</v>
      </c>
      <c r="B1562" s="2">
        <v>45576.732638888891</v>
      </c>
      <c r="C1562" t="s">
        <v>336</v>
      </c>
      <c r="D1562" t="s">
        <v>215</v>
      </c>
      <c r="E1562">
        <v>5</v>
      </c>
      <c r="F1562">
        <v>498.36</v>
      </c>
      <c r="G1562" t="s">
        <v>220</v>
      </c>
      <c r="H1562">
        <v>2491.8000000000002</v>
      </c>
      <c r="I1562">
        <v>2024</v>
      </c>
      <c r="J1562">
        <v>10</v>
      </c>
      <c r="K1562">
        <v>17</v>
      </c>
      <c r="L1562" s="14">
        <v>498.36</v>
      </c>
      <c r="M1562" s="4" t="str">
        <f t="shared" si="96"/>
        <v>viernes</v>
      </c>
      <c r="N1562" s="4" t="str">
        <f t="shared" si="97"/>
        <v>octubre</v>
      </c>
      <c r="O1562" s="4" t="str">
        <f t="shared" si="98"/>
        <v>NO</v>
      </c>
      <c r="P1562" s="4" t="str">
        <f t="shared" si="99"/>
        <v>NO</v>
      </c>
      <c r="Q1562" s="4" t="str" cm="1">
        <f t="array" ref="Q1562">_xlfn.IFS(AND(H1562&gt;=0,H1562&lt;=3333),"Grupo 1",AND(H1562&gt;3333,H1562&lt;=6666),"Grupo 2",AND(H1562&gt;6666,H1562&lt;=10000),"Grupo 3")</f>
        <v>Grupo 1</v>
      </c>
    </row>
    <row r="1563" spans="1:17" x14ac:dyDescent="0.25">
      <c r="A1563" t="s">
        <v>173</v>
      </c>
      <c r="B1563" s="2">
        <v>45392.97152777778</v>
      </c>
      <c r="C1563" t="s">
        <v>337</v>
      </c>
      <c r="D1563" t="s">
        <v>214</v>
      </c>
      <c r="E1563">
        <v>5</v>
      </c>
      <c r="F1563">
        <v>980.89</v>
      </c>
      <c r="G1563" t="s">
        <v>222</v>
      </c>
      <c r="H1563">
        <v>4904.45</v>
      </c>
      <c r="I1563">
        <v>2024</v>
      </c>
      <c r="J1563">
        <v>4</v>
      </c>
      <c r="K1563">
        <v>23</v>
      </c>
      <c r="L1563" s="14">
        <v>980.89</v>
      </c>
      <c r="M1563" s="4" t="str">
        <f t="shared" si="96"/>
        <v>miércoles</v>
      </c>
      <c r="N1563" s="4" t="str">
        <f t="shared" si="97"/>
        <v>abril</v>
      </c>
      <c r="O1563" s="4" t="str">
        <f t="shared" si="98"/>
        <v>SI</v>
      </c>
      <c r="P1563" s="4" t="str">
        <f t="shared" si="99"/>
        <v>NO</v>
      </c>
      <c r="Q1563" s="4" t="str" cm="1">
        <f t="array" ref="Q1563">_xlfn.IFS(AND(H1563&gt;=0,H1563&lt;=3333),"Grupo 1",AND(H1563&gt;3333,H1563&lt;=6666),"Grupo 2",AND(H1563&gt;6666,H1563&lt;=10000),"Grupo 3")</f>
        <v>Grupo 2</v>
      </c>
    </row>
    <row r="1564" spans="1:17" x14ac:dyDescent="0.25">
      <c r="A1564" t="s">
        <v>174</v>
      </c>
      <c r="B1564" s="2">
        <v>45584.049305555563</v>
      </c>
      <c r="C1564" t="s">
        <v>338</v>
      </c>
      <c r="D1564" t="s">
        <v>213</v>
      </c>
      <c r="E1564">
        <v>1</v>
      </c>
      <c r="F1564">
        <v>1390.33</v>
      </c>
      <c r="G1564" t="s">
        <v>221</v>
      </c>
      <c r="H1564">
        <v>1390.33</v>
      </c>
      <c r="I1564">
        <v>2024</v>
      </c>
      <c r="J1564">
        <v>10</v>
      </c>
      <c r="K1564">
        <v>1</v>
      </c>
      <c r="L1564" s="14">
        <v>1390.33</v>
      </c>
      <c r="M1564" s="4" t="str">
        <f t="shared" si="96"/>
        <v>sábado</v>
      </c>
      <c r="N1564" s="4" t="str">
        <f t="shared" si="97"/>
        <v>octubre</v>
      </c>
      <c r="O1564" s="4" t="str">
        <f t="shared" si="98"/>
        <v>NO</v>
      </c>
      <c r="P1564" s="4" t="str">
        <f t="shared" si="99"/>
        <v>SI</v>
      </c>
      <c r="Q1564" s="4" t="str" cm="1">
        <f t="array" ref="Q1564">_xlfn.IFS(AND(H1564&gt;=0,H1564&lt;=3333),"Grupo 1",AND(H1564&gt;3333,H1564&lt;=6666),"Grupo 2",AND(H1564&gt;6666,H1564&lt;=10000),"Grupo 3")</f>
        <v>Grupo 1</v>
      </c>
    </row>
    <row r="1565" spans="1:17" x14ac:dyDescent="0.25">
      <c r="A1565" t="s">
        <v>175</v>
      </c>
      <c r="B1565" s="2">
        <v>44941.657638888893</v>
      </c>
      <c r="C1565" t="s">
        <v>339</v>
      </c>
      <c r="D1565" t="s">
        <v>217</v>
      </c>
      <c r="E1565">
        <v>5</v>
      </c>
      <c r="F1565">
        <v>1708.09</v>
      </c>
      <c r="G1565" t="s">
        <v>220</v>
      </c>
      <c r="H1565">
        <v>8540.4499999999989</v>
      </c>
      <c r="I1565">
        <v>2023</v>
      </c>
      <c r="J1565">
        <v>1</v>
      </c>
      <c r="K1565">
        <v>15</v>
      </c>
      <c r="L1565" s="14">
        <v>1708.09</v>
      </c>
      <c r="M1565" s="4" t="str">
        <f t="shared" si="96"/>
        <v>domingo</v>
      </c>
      <c r="N1565" s="4" t="str">
        <f t="shared" si="97"/>
        <v>enero</v>
      </c>
      <c r="O1565" s="4" t="str">
        <f t="shared" si="98"/>
        <v>SI</v>
      </c>
      <c r="P1565" s="4" t="str">
        <f t="shared" si="99"/>
        <v>SI</v>
      </c>
      <c r="Q1565" s="4" t="str" cm="1">
        <f t="array" ref="Q1565">_xlfn.IFS(AND(H1565&gt;=0,H1565&lt;=3333),"Grupo 1",AND(H1565&gt;3333,H1565&lt;=6666),"Grupo 2",AND(H1565&gt;6666,H1565&lt;=10000),"Grupo 3")</f>
        <v>Grupo 3</v>
      </c>
    </row>
    <row r="1566" spans="1:17" x14ac:dyDescent="0.25">
      <c r="A1566" t="s">
        <v>176</v>
      </c>
      <c r="B1566" s="2">
        <v>45238.718055555553</v>
      </c>
      <c r="C1566" t="s">
        <v>340</v>
      </c>
      <c r="D1566" t="s">
        <v>219</v>
      </c>
      <c r="E1566">
        <v>3</v>
      </c>
      <c r="F1566">
        <v>459.4</v>
      </c>
      <c r="G1566" t="s">
        <v>221</v>
      </c>
      <c r="H1566">
        <v>1378.2</v>
      </c>
      <c r="I1566">
        <v>2023</v>
      </c>
      <c r="J1566">
        <v>11</v>
      </c>
      <c r="K1566">
        <v>17</v>
      </c>
      <c r="L1566" s="14">
        <v>459.39999999999992</v>
      </c>
      <c r="M1566" s="4" t="str">
        <f t="shared" si="96"/>
        <v>miércoles</v>
      </c>
      <c r="N1566" s="4" t="str">
        <f t="shared" si="97"/>
        <v>noviembre</v>
      </c>
      <c r="O1566" s="4" t="str">
        <f t="shared" si="98"/>
        <v>NO</v>
      </c>
      <c r="P1566" s="4" t="str">
        <f t="shared" si="99"/>
        <v>NO</v>
      </c>
      <c r="Q1566" s="4" t="str" cm="1">
        <f t="array" ref="Q1566">_xlfn.IFS(AND(H1566&gt;=0,H1566&lt;=3333),"Grupo 1",AND(H1566&gt;3333,H1566&lt;=6666),"Grupo 2",AND(H1566&gt;6666,H1566&lt;=10000),"Grupo 3")</f>
        <v>Grupo 1</v>
      </c>
    </row>
    <row r="1567" spans="1:17" x14ac:dyDescent="0.25">
      <c r="A1567" t="s">
        <v>177</v>
      </c>
      <c r="B1567" s="2">
        <v>44973.59652777778</v>
      </c>
      <c r="C1567" t="s">
        <v>341</v>
      </c>
      <c r="D1567" t="s">
        <v>215</v>
      </c>
      <c r="E1567">
        <v>1</v>
      </c>
      <c r="F1567">
        <v>1578.33</v>
      </c>
      <c r="G1567" t="s">
        <v>220</v>
      </c>
      <c r="H1567">
        <v>1578.33</v>
      </c>
      <c r="I1567">
        <v>2023</v>
      </c>
      <c r="J1567">
        <v>2</v>
      </c>
      <c r="K1567">
        <v>14</v>
      </c>
      <c r="L1567" s="14">
        <v>1578.33</v>
      </c>
      <c r="M1567" s="4" t="str">
        <f t="shared" si="96"/>
        <v>jueves</v>
      </c>
      <c r="N1567" s="4" t="str">
        <f t="shared" si="97"/>
        <v>febrero</v>
      </c>
      <c r="O1567" s="4" t="str">
        <f t="shared" si="98"/>
        <v>NO</v>
      </c>
      <c r="P1567" s="4" t="str">
        <f t="shared" si="99"/>
        <v>SI</v>
      </c>
      <c r="Q1567" s="4" t="str" cm="1">
        <f t="array" ref="Q1567">_xlfn.IFS(AND(H1567&gt;=0,H1567&lt;=3333),"Grupo 1",AND(H1567&gt;3333,H1567&lt;=6666),"Grupo 2",AND(H1567&gt;6666,H1567&lt;=10000),"Grupo 3")</f>
        <v>Grupo 1</v>
      </c>
    </row>
    <row r="1568" spans="1:17" x14ac:dyDescent="0.25">
      <c r="A1568" t="s">
        <v>178</v>
      </c>
      <c r="B1568" s="2">
        <v>45445.690972222219</v>
      </c>
      <c r="C1568" t="s">
        <v>342</v>
      </c>
      <c r="D1568" t="s">
        <v>213</v>
      </c>
      <c r="E1568">
        <v>5</v>
      </c>
      <c r="F1568">
        <v>1602.39</v>
      </c>
      <c r="G1568" t="s">
        <v>221</v>
      </c>
      <c r="H1568">
        <v>8011.9500000000007</v>
      </c>
      <c r="I1568">
        <v>2024</v>
      </c>
      <c r="J1568">
        <v>6</v>
      </c>
      <c r="K1568">
        <v>16</v>
      </c>
      <c r="L1568" s="14">
        <v>1602.39</v>
      </c>
      <c r="M1568" s="4" t="str">
        <f t="shared" si="96"/>
        <v>domingo</v>
      </c>
      <c r="N1568" s="4" t="str">
        <f t="shared" si="97"/>
        <v>junio</v>
      </c>
      <c r="O1568" s="4" t="str">
        <f t="shared" si="98"/>
        <v>SI</v>
      </c>
      <c r="P1568" s="4" t="str">
        <f t="shared" si="99"/>
        <v>SI</v>
      </c>
      <c r="Q1568" s="4" t="str" cm="1">
        <f t="array" ref="Q1568">_xlfn.IFS(AND(H1568&gt;=0,H1568&lt;=3333),"Grupo 1",AND(H1568&gt;3333,H1568&lt;=6666),"Grupo 2",AND(H1568&gt;6666,H1568&lt;=10000),"Grupo 3")</f>
        <v>Grupo 3</v>
      </c>
    </row>
    <row r="1569" spans="1:17" x14ac:dyDescent="0.25">
      <c r="A1569" t="s">
        <v>179</v>
      </c>
      <c r="B1569" s="2">
        <v>45035.472916666673</v>
      </c>
      <c r="C1569" t="s">
        <v>343</v>
      </c>
      <c r="D1569" t="s">
        <v>213</v>
      </c>
      <c r="E1569">
        <v>2</v>
      </c>
      <c r="F1569">
        <v>714.55</v>
      </c>
      <c r="G1569" t="s">
        <v>221</v>
      </c>
      <c r="H1569">
        <v>1429.1</v>
      </c>
      <c r="I1569">
        <v>2023</v>
      </c>
      <c r="J1569">
        <v>4</v>
      </c>
      <c r="K1569">
        <v>11</v>
      </c>
      <c r="L1569" s="14">
        <v>714.55</v>
      </c>
      <c r="M1569" s="4" t="str">
        <f t="shared" si="96"/>
        <v>miércoles</v>
      </c>
      <c r="N1569" s="4" t="str">
        <f t="shared" si="97"/>
        <v>abril</v>
      </c>
      <c r="O1569" s="4" t="str">
        <f t="shared" si="98"/>
        <v>NO</v>
      </c>
      <c r="P1569" s="4" t="str">
        <f t="shared" si="99"/>
        <v>NO</v>
      </c>
      <c r="Q1569" s="4" t="str" cm="1">
        <f t="array" ref="Q1569">_xlfn.IFS(AND(H1569&gt;=0,H1569&lt;=3333),"Grupo 1",AND(H1569&gt;3333,H1569&lt;=6666),"Grupo 2",AND(H1569&gt;6666,H1569&lt;=10000),"Grupo 3")</f>
        <v>Grupo 1</v>
      </c>
    </row>
    <row r="1570" spans="1:17" x14ac:dyDescent="0.25">
      <c r="A1570" t="s">
        <v>180</v>
      </c>
      <c r="B1570" s="2">
        <v>45836.104166666657</v>
      </c>
      <c r="C1570" t="s">
        <v>344</v>
      </c>
      <c r="D1570" t="s">
        <v>214</v>
      </c>
      <c r="E1570">
        <v>2</v>
      </c>
      <c r="F1570">
        <v>140.54</v>
      </c>
      <c r="G1570" t="s">
        <v>222</v>
      </c>
      <c r="H1570">
        <v>281.08</v>
      </c>
      <c r="I1570">
        <v>2025</v>
      </c>
      <c r="J1570">
        <v>6</v>
      </c>
      <c r="K1570">
        <v>2</v>
      </c>
      <c r="L1570" s="14">
        <v>140.54</v>
      </c>
      <c r="M1570" s="4" t="str">
        <f t="shared" si="96"/>
        <v>sábado</v>
      </c>
      <c r="N1570" s="4" t="str">
        <f t="shared" si="97"/>
        <v>junio</v>
      </c>
      <c r="O1570" s="4" t="str">
        <f t="shared" si="98"/>
        <v>NO</v>
      </c>
      <c r="P1570" s="4" t="str">
        <f t="shared" si="99"/>
        <v>NO</v>
      </c>
      <c r="Q1570" s="4" t="str" cm="1">
        <f t="array" ref="Q1570">_xlfn.IFS(AND(H1570&gt;=0,H1570&lt;=3333),"Grupo 1",AND(H1570&gt;3333,H1570&lt;=6666),"Grupo 2",AND(H1570&gt;6666,H1570&lt;=10000),"Grupo 3")</f>
        <v>Grupo 1</v>
      </c>
    </row>
    <row r="1571" spans="1:17" x14ac:dyDescent="0.25">
      <c r="A1571" t="s">
        <v>181</v>
      </c>
      <c r="B1571" s="2">
        <v>45584.553472222222</v>
      </c>
      <c r="C1571" t="s">
        <v>345</v>
      </c>
      <c r="D1571" t="s">
        <v>218</v>
      </c>
      <c r="E1571">
        <v>5</v>
      </c>
      <c r="F1571">
        <v>286.87</v>
      </c>
      <c r="G1571" t="s">
        <v>221</v>
      </c>
      <c r="H1571">
        <v>1434.35</v>
      </c>
      <c r="I1571">
        <v>2024</v>
      </c>
      <c r="J1571">
        <v>10</v>
      </c>
      <c r="K1571">
        <v>13</v>
      </c>
      <c r="L1571" s="14">
        <v>286.87</v>
      </c>
      <c r="M1571" s="4" t="str">
        <f t="shared" si="96"/>
        <v>sábado</v>
      </c>
      <c r="N1571" s="4" t="str">
        <f t="shared" si="97"/>
        <v>octubre</v>
      </c>
      <c r="O1571" s="4" t="str">
        <f t="shared" si="98"/>
        <v>NO</v>
      </c>
      <c r="P1571" s="4" t="str">
        <f t="shared" si="99"/>
        <v>NO</v>
      </c>
      <c r="Q1571" s="4" t="str" cm="1">
        <f t="array" ref="Q1571">_xlfn.IFS(AND(H1571&gt;=0,H1571&lt;=3333),"Grupo 1",AND(H1571&gt;3333,H1571&lt;=6666),"Grupo 2",AND(H1571&gt;6666,H1571&lt;=10000),"Grupo 3")</f>
        <v>Grupo 1</v>
      </c>
    </row>
    <row r="1572" spans="1:17" x14ac:dyDescent="0.25">
      <c r="A1572" t="s">
        <v>182</v>
      </c>
      <c r="B1572" s="2">
        <v>45338.585416666669</v>
      </c>
      <c r="C1572" t="s">
        <v>346</v>
      </c>
      <c r="D1572" t="s">
        <v>216</v>
      </c>
      <c r="E1572">
        <v>5</v>
      </c>
      <c r="F1572">
        <v>1897.97</v>
      </c>
      <c r="G1572" t="s">
        <v>221</v>
      </c>
      <c r="H1572">
        <v>9489.85</v>
      </c>
      <c r="I1572">
        <v>2024</v>
      </c>
      <c r="J1572">
        <v>2</v>
      </c>
      <c r="K1572">
        <v>14</v>
      </c>
      <c r="L1572" s="14">
        <v>1897.97</v>
      </c>
      <c r="M1572" s="4" t="str">
        <f t="shared" si="96"/>
        <v>viernes</v>
      </c>
      <c r="N1572" s="4" t="str">
        <f t="shared" si="97"/>
        <v>febrero</v>
      </c>
      <c r="O1572" s="4" t="str">
        <f t="shared" si="98"/>
        <v>SI</v>
      </c>
      <c r="P1572" s="4" t="str">
        <f t="shared" si="99"/>
        <v>SI</v>
      </c>
      <c r="Q1572" s="4" t="str" cm="1">
        <f t="array" ref="Q1572">_xlfn.IFS(AND(H1572&gt;=0,H1572&lt;=3333),"Grupo 1",AND(H1572&gt;3333,H1572&lt;=6666),"Grupo 2",AND(H1572&gt;6666,H1572&lt;=10000),"Grupo 3")</f>
        <v>Grupo 3</v>
      </c>
    </row>
    <row r="1573" spans="1:17" x14ac:dyDescent="0.25">
      <c r="A1573" t="s">
        <v>183</v>
      </c>
      <c r="B1573" s="2">
        <v>45625.480555555558</v>
      </c>
      <c r="C1573" t="s">
        <v>347</v>
      </c>
      <c r="D1573" t="s">
        <v>213</v>
      </c>
      <c r="E1573">
        <v>2</v>
      </c>
      <c r="F1573">
        <v>587.71</v>
      </c>
      <c r="G1573" t="s">
        <v>221</v>
      </c>
      <c r="H1573">
        <v>1175.42</v>
      </c>
      <c r="I1573">
        <v>2024</v>
      </c>
      <c r="J1573">
        <v>11</v>
      </c>
      <c r="K1573">
        <v>11</v>
      </c>
      <c r="L1573" s="14">
        <v>587.71</v>
      </c>
      <c r="M1573" s="4" t="str">
        <f t="shared" si="96"/>
        <v>viernes</v>
      </c>
      <c r="N1573" s="4" t="str">
        <f t="shared" si="97"/>
        <v>noviembre</v>
      </c>
      <c r="O1573" s="4" t="str">
        <f t="shared" si="98"/>
        <v>NO</v>
      </c>
      <c r="P1573" s="4" t="str">
        <f t="shared" si="99"/>
        <v>NO</v>
      </c>
      <c r="Q1573" s="4" t="str" cm="1">
        <f t="array" ref="Q1573">_xlfn.IFS(AND(H1573&gt;=0,H1573&lt;=3333),"Grupo 1",AND(H1573&gt;3333,H1573&lt;=6666),"Grupo 2",AND(H1573&gt;6666,H1573&lt;=10000),"Grupo 3")</f>
        <v>Grupo 1</v>
      </c>
    </row>
    <row r="1574" spans="1:17" x14ac:dyDescent="0.25">
      <c r="A1574" t="s">
        <v>184</v>
      </c>
      <c r="B1574" s="2">
        <v>45291</v>
      </c>
      <c r="C1574" t="s">
        <v>348</v>
      </c>
      <c r="D1574" t="s">
        <v>216</v>
      </c>
      <c r="E1574">
        <v>4</v>
      </c>
      <c r="F1574">
        <v>895.13</v>
      </c>
      <c r="G1574" t="s">
        <v>221</v>
      </c>
      <c r="H1574">
        <v>3580.52</v>
      </c>
      <c r="I1574">
        <v>2023</v>
      </c>
      <c r="J1574">
        <v>12</v>
      </c>
      <c r="K1574">
        <v>0</v>
      </c>
      <c r="L1574" s="14">
        <v>895.13</v>
      </c>
      <c r="M1574" s="4" t="str">
        <f t="shared" si="96"/>
        <v>domingo</v>
      </c>
      <c r="N1574" s="4" t="str">
        <f t="shared" si="97"/>
        <v>diciembre</v>
      </c>
      <c r="O1574" s="4" t="str">
        <f t="shared" si="98"/>
        <v>SI</v>
      </c>
      <c r="P1574" s="4" t="str">
        <f t="shared" si="99"/>
        <v>NO</v>
      </c>
      <c r="Q1574" s="4" t="str" cm="1">
        <f t="array" ref="Q1574">_xlfn.IFS(AND(H1574&gt;=0,H1574&lt;=3333),"Grupo 1",AND(H1574&gt;3333,H1574&lt;=6666),"Grupo 2",AND(H1574&gt;6666,H1574&lt;=10000),"Grupo 3")</f>
        <v>Grupo 2</v>
      </c>
    </row>
    <row r="1575" spans="1:17" x14ac:dyDescent="0.25">
      <c r="A1575" t="s">
        <v>185</v>
      </c>
      <c r="B1575" s="2">
        <v>45548.488194444442</v>
      </c>
      <c r="C1575" t="s">
        <v>349</v>
      </c>
      <c r="D1575" t="s">
        <v>215</v>
      </c>
      <c r="E1575">
        <v>3</v>
      </c>
      <c r="F1575">
        <v>1457.35</v>
      </c>
      <c r="G1575" t="s">
        <v>220</v>
      </c>
      <c r="H1575">
        <v>4372.0499999999993</v>
      </c>
      <c r="I1575">
        <v>2024</v>
      </c>
      <c r="J1575">
        <v>9</v>
      </c>
      <c r="K1575">
        <v>11</v>
      </c>
      <c r="L1575" s="14">
        <v>1457.35</v>
      </c>
      <c r="M1575" s="4" t="str">
        <f t="shared" si="96"/>
        <v>viernes</v>
      </c>
      <c r="N1575" s="4" t="str">
        <f t="shared" si="97"/>
        <v>septiembre</v>
      </c>
      <c r="O1575" s="4" t="str">
        <f t="shared" si="98"/>
        <v>SI</v>
      </c>
      <c r="P1575" s="4" t="str">
        <f t="shared" si="99"/>
        <v>SI</v>
      </c>
      <c r="Q1575" s="4" t="str" cm="1">
        <f t="array" ref="Q1575">_xlfn.IFS(AND(H1575&gt;=0,H1575&lt;=3333),"Grupo 1",AND(H1575&gt;3333,H1575&lt;=6666),"Grupo 2",AND(H1575&gt;6666,H1575&lt;=10000),"Grupo 3")</f>
        <v>Grupo 2</v>
      </c>
    </row>
    <row r="1576" spans="1:17" x14ac:dyDescent="0.25">
      <c r="A1576" t="s">
        <v>186</v>
      </c>
      <c r="B1576" s="2">
        <v>45540.261805555558</v>
      </c>
      <c r="C1576" t="s">
        <v>350</v>
      </c>
      <c r="D1576" t="s">
        <v>214</v>
      </c>
      <c r="E1576">
        <v>3</v>
      </c>
      <c r="F1576">
        <v>1083.32</v>
      </c>
      <c r="G1576" t="s">
        <v>222</v>
      </c>
      <c r="H1576">
        <v>3249.96</v>
      </c>
      <c r="I1576">
        <v>2024</v>
      </c>
      <c r="J1576">
        <v>9</v>
      </c>
      <c r="K1576">
        <v>6</v>
      </c>
      <c r="L1576" s="14">
        <v>1083.32</v>
      </c>
      <c r="M1576" s="4" t="str">
        <f t="shared" si="96"/>
        <v>jueves</v>
      </c>
      <c r="N1576" s="4" t="str">
        <f t="shared" si="97"/>
        <v>septiembre</v>
      </c>
      <c r="O1576" s="4" t="str">
        <f t="shared" si="98"/>
        <v>SI</v>
      </c>
      <c r="P1576" s="4" t="str">
        <f t="shared" si="99"/>
        <v>SI</v>
      </c>
      <c r="Q1576" s="4" t="str" cm="1">
        <f t="array" ref="Q1576">_xlfn.IFS(AND(H1576&gt;=0,H1576&lt;=3333),"Grupo 1",AND(H1576&gt;3333,H1576&lt;=6666),"Grupo 2",AND(H1576&gt;6666,H1576&lt;=10000),"Grupo 3")</f>
        <v>Grupo 1</v>
      </c>
    </row>
    <row r="1577" spans="1:17" x14ac:dyDescent="0.25">
      <c r="A1577" t="s">
        <v>187</v>
      </c>
      <c r="B1577" s="2">
        <v>45783.684027777781</v>
      </c>
      <c r="C1577" t="s">
        <v>351</v>
      </c>
      <c r="D1577" t="s">
        <v>217</v>
      </c>
      <c r="E1577">
        <v>3</v>
      </c>
      <c r="F1577">
        <v>1542.71</v>
      </c>
      <c r="G1577" t="s">
        <v>220</v>
      </c>
      <c r="H1577">
        <v>4628.13</v>
      </c>
      <c r="I1577">
        <v>2025</v>
      </c>
      <c r="J1577">
        <v>5</v>
      </c>
      <c r="K1577">
        <v>16</v>
      </c>
      <c r="L1577" s="14">
        <v>1542.71</v>
      </c>
      <c r="M1577" s="4" t="str">
        <f t="shared" si="96"/>
        <v>martes</v>
      </c>
      <c r="N1577" s="4" t="str">
        <f t="shared" si="97"/>
        <v>mayo</v>
      </c>
      <c r="O1577" s="4" t="str">
        <f t="shared" si="98"/>
        <v>SI</v>
      </c>
      <c r="P1577" s="4" t="str">
        <f t="shared" si="99"/>
        <v>SI</v>
      </c>
      <c r="Q1577" s="4" t="str" cm="1">
        <f t="array" ref="Q1577">_xlfn.IFS(AND(H1577&gt;=0,H1577&lt;=3333),"Grupo 1",AND(H1577&gt;3333,H1577&lt;=6666),"Grupo 2",AND(H1577&gt;6666,H1577&lt;=10000),"Grupo 3")</f>
        <v>Grupo 2</v>
      </c>
    </row>
    <row r="1578" spans="1:17" x14ac:dyDescent="0.25">
      <c r="A1578" t="s">
        <v>188</v>
      </c>
      <c r="B1578" s="2">
        <v>45692.470138888893</v>
      </c>
      <c r="C1578" t="s">
        <v>352</v>
      </c>
      <c r="D1578" t="s">
        <v>215</v>
      </c>
      <c r="E1578">
        <v>5</v>
      </c>
      <c r="F1578">
        <v>723.8</v>
      </c>
      <c r="G1578" t="s">
        <v>220</v>
      </c>
      <c r="H1578">
        <v>3619</v>
      </c>
      <c r="I1578">
        <v>2025</v>
      </c>
      <c r="J1578">
        <v>2</v>
      </c>
      <c r="K1578">
        <v>11</v>
      </c>
      <c r="L1578" s="14">
        <v>723.8</v>
      </c>
      <c r="M1578" s="4" t="str">
        <f t="shared" si="96"/>
        <v>martes</v>
      </c>
      <c r="N1578" s="4" t="str">
        <f t="shared" si="97"/>
        <v>febrero</v>
      </c>
      <c r="O1578" s="4" t="str">
        <f t="shared" si="98"/>
        <v>SI</v>
      </c>
      <c r="P1578" s="4" t="str">
        <f t="shared" si="99"/>
        <v>NO</v>
      </c>
      <c r="Q1578" s="4" t="str" cm="1">
        <f t="array" ref="Q1578">_xlfn.IFS(AND(H1578&gt;=0,H1578&lt;=3333),"Grupo 1",AND(H1578&gt;3333,H1578&lt;=6666),"Grupo 2",AND(H1578&gt;6666,H1578&lt;=10000),"Grupo 3")</f>
        <v>Grupo 2</v>
      </c>
    </row>
    <row r="1579" spans="1:17" x14ac:dyDescent="0.25">
      <c r="A1579" t="s">
        <v>189</v>
      </c>
      <c r="B1579" s="2">
        <v>45186.410416666673</v>
      </c>
      <c r="C1579" t="s">
        <v>353</v>
      </c>
      <c r="D1579" t="s">
        <v>213</v>
      </c>
      <c r="E1579">
        <v>5</v>
      </c>
      <c r="F1579">
        <v>179.97</v>
      </c>
      <c r="G1579" t="s">
        <v>221</v>
      </c>
      <c r="H1579">
        <v>899.85</v>
      </c>
      <c r="I1579">
        <v>2023</v>
      </c>
      <c r="J1579">
        <v>9</v>
      </c>
      <c r="K1579">
        <v>9</v>
      </c>
      <c r="L1579" s="14">
        <v>179.97</v>
      </c>
      <c r="M1579" s="4" t="str">
        <f t="shared" si="96"/>
        <v>domingo</v>
      </c>
      <c r="N1579" s="4" t="str">
        <f t="shared" si="97"/>
        <v>septiembre</v>
      </c>
      <c r="O1579" s="4" t="str">
        <f t="shared" si="98"/>
        <v>NO</v>
      </c>
      <c r="P1579" s="4" t="str">
        <f t="shared" si="99"/>
        <v>NO</v>
      </c>
      <c r="Q1579" s="4" t="str" cm="1">
        <f t="array" ref="Q1579">_xlfn.IFS(AND(H1579&gt;=0,H1579&lt;=3333),"Grupo 1",AND(H1579&gt;3333,H1579&lt;=6666),"Grupo 2",AND(H1579&gt;6666,H1579&lt;=10000),"Grupo 3")</f>
        <v>Grupo 1</v>
      </c>
    </row>
    <row r="1580" spans="1:17" x14ac:dyDescent="0.25">
      <c r="A1580" t="s">
        <v>190</v>
      </c>
      <c r="B1580" s="2">
        <v>45539.616666666669</v>
      </c>
      <c r="C1580" t="s">
        <v>354</v>
      </c>
      <c r="D1580" t="s">
        <v>217</v>
      </c>
      <c r="E1580">
        <v>1</v>
      </c>
      <c r="F1580">
        <v>1318.43</v>
      </c>
      <c r="G1580" t="s">
        <v>220</v>
      </c>
      <c r="H1580">
        <v>1318.43</v>
      </c>
      <c r="I1580">
        <v>2024</v>
      </c>
      <c r="J1580">
        <v>9</v>
      </c>
      <c r="K1580">
        <v>14</v>
      </c>
      <c r="L1580" s="14">
        <v>1318.43</v>
      </c>
      <c r="M1580" s="4" t="str">
        <f t="shared" si="96"/>
        <v>miércoles</v>
      </c>
      <c r="N1580" s="4" t="str">
        <f t="shared" si="97"/>
        <v>septiembre</v>
      </c>
      <c r="O1580" s="4" t="str">
        <f t="shared" si="98"/>
        <v>NO</v>
      </c>
      <c r="P1580" s="4" t="str">
        <f t="shared" si="99"/>
        <v>SI</v>
      </c>
      <c r="Q1580" s="4" t="str" cm="1">
        <f t="array" ref="Q1580">_xlfn.IFS(AND(H1580&gt;=0,H1580&lt;=3333),"Grupo 1",AND(H1580&gt;3333,H1580&lt;=6666),"Grupo 2",AND(H1580&gt;6666,H1580&lt;=10000),"Grupo 3")</f>
        <v>Grupo 1</v>
      </c>
    </row>
    <row r="1581" spans="1:17" x14ac:dyDescent="0.25">
      <c r="A1581" t="s">
        <v>191</v>
      </c>
      <c r="B1581" s="2">
        <v>45073.392361111109</v>
      </c>
      <c r="C1581" t="s">
        <v>355</v>
      </c>
      <c r="D1581" t="s">
        <v>215</v>
      </c>
      <c r="E1581">
        <v>2</v>
      </c>
      <c r="F1581">
        <v>307.37</v>
      </c>
      <c r="G1581" t="s">
        <v>220</v>
      </c>
      <c r="H1581">
        <v>614.74</v>
      </c>
      <c r="I1581">
        <v>2023</v>
      </c>
      <c r="J1581">
        <v>5</v>
      </c>
      <c r="K1581">
        <v>9</v>
      </c>
      <c r="L1581" s="14">
        <v>307.37</v>
      </c>
      <c r="M1581" s="4" t="str">
        <f t="shared" si="96"/>
        <v>sábado</v>
      </c>
      <c r="N1581" s="4" t="str">
        <f t="shared" si="97"/>
        <v>mayo</v>
      </c>
      <c r="O1581" s="4" t="str">
        <f t="shared" si="98"/>
        <v>NO</v>
      </c>
      <c r="P1581" s="4" t="str">
        <f t="shared" si="99"/>
        <v>NO</v>
      </c>
      <c r="Q1581" s="4" t="str" cm="1">
        <f t="array" ref="Q1581">_xlfn.IFS(AND(H1581&gt;=0,H1581&lt;=3333),"Grupo 1",AND(H1581&gt;3333,H1581&lt;=6666),"Grupo 2",AND(H1581&gt;6666,H1581&lt;=10000),"Grupo 3")</f>
        <v>Grupo 1</v>
      </c>
    </row>
    <row r="1582" spans="1:17" x14ac:dyDescent="0.25">
      <c r="A1582" t="s">
        <v>192</v>
      </c>
      <c r="B1582" s="2">
        <v>45287.277777777781</v>
      </c>
      <c r="C1582" t="s">
        <v>356</v>
      </c>
      <c r="D1582" t="s">
        <v>214</v>
      </c>
      <c r="E1582">
        <v>1</v>
      </c>
      <c r="F1582">
        <v>1364.97</v>
      </c>
      <c r="G1582" t="s">
        <v>222</v>
      </c>
      <c r="H1582">
        <v>1364.97</v>
      </c>
      <c r="I1582">
        <v>2023</v>
      </c>
      <c r="J1582">
        <v>12</v>
      </c>
      <c r="K1582">
        <v>6</v>
      </c>
      <c r="L1582" s="14">
        <v>1364.97</v>
      </c>
      <c r="M1582" s="4" t="str">
        <f t="shared" si="96"/>
        <v>miércoles</v>
      </c>
      <c r="N1582" s="4" t="str">
        <f t="shared" si="97"/>
        <v>diciembre</v>
      </c>
      <c r="O1582" s="4" t="str">
        <f t="shared" si="98"/>
        <v>NO</v>
      </c>
      <c r="P1582" s="4" t="str">
        <f t="shared" si="99"/>
        <v>SI</v>
      </c>
      <c r="Q1582" s="4" t="str" cm="1">
        <f t="array" ref="Q1582">_xlfn.IFS(AND(H1582&gt;=0,H1582&lt;=3333),"Grupo 1",AND(H1582&gt;3333,H1582&lt;=6666),"Grupo 2",AND(H1582&gt;6666,H1582&lt;=10000),"Grupo 3")</f>
        <v>Grupo 1</v>
      </c>
    </row>
    <row r="1583" spans="1:17" x14ac:dyDescent="0.25">
      <c r="A1583" t="s">
        <v>193</v>
      </c>
      <c r="B1583" s="2">
        <v>45398.678472222222</v>
      </c>
      <c r="C1583" t="s">
        <v>357</v>
      </c>
      <c r="D1583" t="s">
        <v>219</v>
      </c>
      <c r="E1583">
        <v>3</v>
      </c>
      <c r="F1583">
        <v>244.23</v>
      </c>
      <c r="G1583" t="s">
        <v>221</v>
      </c>
      <c r="H1583">
        <v>732.68999999999994</v>
      </c>
      <c r="I1583">
        <v>2024</v>
      </c>
      <c r="J1583">
        <v>4</v>
      </c>
      <c r="K1583">
        <v>16</v>
      </c>
      <c r="L1583" s="14">
        <v>244.23</v>
      </c>
      <c r="M1583" s="4" t="str">
        <f t="shared" si="96"/>
        <v>martes</v>
      </c>
      <c r="N1583" s="4" t="str">
        <f t="shared" si="97"/>
        <v>abril</v>
      </c>
      <c r="O1583" s="4" t="str">
        <f t="shared" si="98"/>
        <v>NO</v>
      </c>
      <c r="P1583" s="4" t="str">
        <f t="shared" si="99"/>
        <v>NO</v>
      </c>
      <c r="Q1583" s="4" t="str" cm="1">
        <f t="array" ref="Q1583">_xlfn.IFS(AND(H1583&gt;=0,H1583&lt;=3333),"Grupo 1",AND(H1583&gt;3333,H1583&lt;=6666),"Grupo 2",AND(H1583&gt;6666,H1583&lt;=10000),"Grupo 3")</f>
        <v>Grupo 1</v>
      </c>
    </row>
    <row r="1584" spans="1:17" x14ac:dyDescent="0.25">
      <c r="A1584" t="s">
        <v>194</v>
      </c>
      <c r="B1584" s="2">
        <v>44949.395833333343</v>
      </c>
      <c r="C1584" t="s">
        <v>358</v>
      </c>
      <c r="D1584" t="s">
        <v>216</v>
      </c>
      <c r="E1584">
        <v>3</v>
      </c>
      <c r="F1584">
        <v>245.64</v>
      </c>
      <c r="G1584" t="s">
        <v>221</v>
      </c>
      <c r="H1584">
        <v>736.92</v>
      </c>
      <c r="I1584">
        <v>2023</v>
      </c>
      <c r="J1584">
        <v>1</v>
      </c>
      <c r="K1584">
        <v>9</v>
      </c>
      <c r="L1584" s="14">
        <v>245.64</v>
      </c>
      <c r="M1584" s="4" t="str">
        <f t="shared" si="96"/>
        <v>lunes</v>
      </c>
      <c r="N1584" s="4" t="str">
        <f t="shared" si="97"/>
        <v>enero</v>
      </c>
      <c r="O1584" s="4" t="str">
        <f t="shared" si="98"/>
        <v>NO</v>
      </c>
      <c r="P1584" s="4" t="str">
        <f t="shared" si="99"/>
        <v>NO</v>
      </c>
      <c r="Q1584" s="4" t="str" cm="1">
        <f t="array" ref="Q1584">_xlfn.IFS(AND(H1584&gt;=0,H1584&lt;=3333),"Grupo 1",AND(H1584&gt;3333,H1584&lt;=6666),"Grupo 2",AND(H1584&gt;6666,H1584&lt;=10000),"Grupo 3")</f>
        <v>Grupo 1</v>
      </c>
    </row>
    <row r="1585" spans="1:17" x14ac:dyDescent="0.25">
      <c r="A1585" t="s">
        <v>195</v>
      </c>
      <c r="B1585" s="2">
        <v>45560.538194444453</v>
      </c>
      <c r="C1585" t="s">
        <v>359</v>
      </c>
      <c r="D1585" t="s">
        <v>216</v>
      </c>
      <c r="E1585">
        <v>1</v>
      </c>
      <c r="F1585">
        <v>1501.34</v>
      </c>
      <c r="G1585" t="s">
        <v>221</v>
      </c>
      <c r="H1585">
        <v>1501.34</v>
      </c>
      <c r="I1585">
        <v>2024</v>
      </c>
      <c r="J1585">
        <v>9</v>
      </c>
      <c r="K1585">
        <v>12</v>
      </c>
      <c r="L1585" s="14">
        <v>1501.34</v>
      </c>
      <c r="M1585" s="4" t="str">
        <f t="shared" si="96"/>
        <v>miércoles</v>
      </c>
      <c r="N1585" s="4" t="str">
        <f t="shared" si="97"/>
        <v>septiembre</v>
      </c>
      <c r="O1585" s="4" t="str">
        <f t="shared" si="98"/>
        <v>NO</v>
      </c>
      <c r="P1585" s="4" t="str">
        <f t="shared" si="99"/>
        <v>SI</v>
      </c>
      <c r="Q1585" s="4" t="str" cm="1">
        <f t="array" ref="Q1585">_xlfn.IFS(AND(H1585&gt;=0,H1585&lt;=3333),"Grupo 1",AND(H1585&gt;3333,H1585&lt;=6666),"Grupo 2",AND(H1585&gt;6666,H1585&lt;=10000),"Grupo 3")</f>
        <v>Grupo 1</v>
      </c>
    </row>
    <row r="1586" spans="1:17" x14ac:dyDescent="0.25">
      <c r="A1586" t="s">
        <v>196</v>
      </c>
      <c r="B1586" s="2">
        <v>45636.231249999997</v>
      </c>
      <c r="C1586" t="s">
        <v>261</v>
      </c>
      <c r="D1586" t="s">
        <v>213</v>
      </c>
      <c r="E1586">
        <v>4</v>
      </c>
      <c r="F1586">
        <v>995.18</v>
      </c>
      <c r="G1586" t="s">
        <v>221</v>
      </c>
      <c r="H1586">
        <v>3980.72</v>
      </c>
      <c r="I1586">
        <v>2024</v>
      </c>
      <c r="J1586">
        <v>12</v>
      </c>
      <c r="K1586">
        <v>5</v>
      </c>
      <c r="L1586" s="14">
        <v>995.18</v>
      </c>
      <c r="M1586" s="4" t="str">
        <f t="shared" si="96"/>
        <v>martes</v>
      </c>
      <c r="N1586" s="4" t="str">
        <f t="shared" si="97"/>
        <v>diciembre</v>
      </c>
      <c r="O1586" s="4" t="str">
        <f t="shared" si="98"/>
        <v>SI</v>
      </c>
      <c r="P1586" s="4" t="str">
        <f t="shared" si="99"/>
        <v>SI</v>
      </c>
      <c r="Q1586" s="4" t="str" cm="1">
        <f t="array" ref="Q1586">_xlfn.IFS(AND(H1586&gt;=0,H1586&lt;=3333),"Grupo 1",AND(H1586&gt;3333,H1586&lt;=6666),"Grupo 2",AND(H1586&gt;6666,H1586&lt;=10000),"Grupo 3")</f>
        <v>Grupo 2</v>
      </c>
    </row>
    <row r="1587" spans="1:17" x14ac:dyDescent="0.25">
      <c r="A1587" t="s">
        <v>197</v>
      </c>
      <c r="B1587" s="2">
        <v>45218.252083333333</v>
      </c>
      <c r="C1587" t="s">
        <v>262</v>
      </c>
      <c r="D1587" t="s">
        <v>213</v>
      </c>
      <c r="E1587">
        <v>2</v>
      </c>
      <c r="F1587">
        <v>1834.72</v>
      </c>
      <c r="G1587" t="s">
        <v>221</v>
      </c>
      <c r="H1587">
        <v>3669.44</v>
      </c>
      <c r="I1587">
        <v>2023</v>
      </c>
      <c r="J1587">
        <v>10</v>
      </c>
      <c r="K1587">
        <v>6</v>
      </c>
      <c r="L1587" s="14">
        <v>1834.72</v>
      </c>
      <c r="M1587" s="4" t="str">
        <f t="shared" si="96"/>
        <v>jueves</v>
      </c>
      <c r="N1587" s="4" t="str">
        <f t="shared" si="97"/>
        <v>octubre</v>
      </c>
      <c r="O1587" s="4" t="str">
        <f t="shared" si="98"/>
        <v>SI</v>
      </c>
      <c r="P1587" s="4" t="str">
        <f t="shared" si="99"/>
        <v>SI</v>
      </c>
      <c r="Q1587" s="4" t="str" cm="1">
        <f t="array" ref="Q1587">_xlfn.IFS(AND(H1587&gt;=0,H1587&lt;=3333),"Grupo 1",AND(H1587&gt;3333,H1587&lt;=6666),"Grupo 2",AND(H1587&gt;6666,H1587&lt;=10000),"Grupo 3")</f>
        <v>Grupo 2</v>
      </c>
    </row>
    <row r="1588" spans="1:17" x14ac:dyDescent="0.25">
      <c r="A1588" t="s">
        <v>198</v>
      </c>
      <c r="B1588" s="2">
        <v>45615.827777777777</v>
      </c>
      <c r="C1588" t="s">
        <v>263</v>
      </c>
      <c r="D1588" t="s">
        <v>219</v>
      </c>
      <c r="E1588">
        <v>2</v>
      </c>
      <c r="F1588">
        <v>1942.31</v>
      </c>
      <c r="G1588" t="s">
        <v>221</v>
      </c>
      <c r="H1588">
        <v>3884.62</v>
      </c>
      <c r="I1588">
        <v>2024</v>
      </c>
      <c r="J1588">
        <v>11</v>
      </c>
      <c r="K1588">
        <v>19</v>
      </c>
      <c r="L1588" s="14">
        <v>1942.31</v>
      </c>
      <c r="M1588" s="4" t="str">
        <f t="shared" si="96"/>
        <v>martes</v>
      </c>
      <c r="N1588" s="4" t="str">
        <f t="shared" si="97"/>
        <v>noviembre</v>
      </c>
      <c r="O1588" s="4" t="str">
        <f t="shared" si="98"/>
        <v>SI</v>
      </c>
      <c r="P1588" s="4" t="str">
        <f t="shared" si="99"/>
        <v>SI</v>
      </c>
      <c r="Q1588" s="4" t="str" cm="1">
        <f t="array" ref="Q1588">_xlfn.IFS(AND(H1588&gt;=0,H1588&lt;=3333),"Grupo 1",AND(H1588&gt;3333,H1588&lt;=6666),"Grupo 2",AND(H1588&gt;6666,H1588&lt;=10000),"Grupo 3")</f>
        <v>Grupo 2</v>
      </c>
    </row>
    <row r="1589" spans="1:17" x14ac:dyDescent="0.25">
      <c r="A1589" t="s">
        <v>199</v>
      </c>
      <c r="B1589" s="2">
        <v>45755.705555555563</v>
      </c>
      <c r="C1589" t="s">
        <v>264</v>
      </c>
      <c r="D1589" t="s">
        <v>219</v>
      </c>
      <c r="E1589">
        <v>3</v>
      </c>
      <c r="F1589">
        <v>1025.57</v>
      </c>
      <c r="G1589" t="s">
        <v>221</v>
      </c>
      <c r="H1589">
        <v>3076.71</v>
      </c>
      <c r="I1589">
        <v>2025</v>
      </c>
      <c r="J1589">
        <v>4</v>
      </c>
      <c r="K1589">
        <v>16</v>
      </c>
      <c r="L1589" s="14">
        <v>1025.57</v>
      </c>
      <c r="M1589" s="4" t="str">
        <f t="shared" si="96"/>
        <v>martes</v>
      </c>
      <c r="N1589" s="4" t="str">
        <f t="shared" si="97"/>
        <v>abril</v>
      </c>
      <c r="O1589" s="4" t="str">
        <f t="shared" si="98"/>
        <v>SI</v>
      </c>
      <c r="P1589" s="4" t="str">
        <f t="shared" si="99"/>
        <v>SI</v>
      </c>
      <c r="Q1589" s="4" t="str" cm="1">
        <f t="array" ref="Q1589">_xlfn.IFS(AND(H1589&gt;=0,H1589&lt;=3333),"Grupo 1",AND(H1589&gt;3333,H1589&lt;=6666),"Grupo 2",AND(H1589&gt;6666,H1589&lt;=10000),"Grupo 3")</f>
        <v>Grupo 1</v>
      </c>
    </row>
    <row r="1590" spans="1:17" x14ac:dyDescent="0.25">
      <c r="A1590" t="s">
        <v>200</v>
      </c>
      <c r="B1590" s="2">
        <v>44962.009722222218</v>
      </c>
      <c r="C1590" t="s">
        <v>265</v>
      </c>
      <c r="D1590" t="s">
        <v>215</v>
      </c>
      <c r="E1590">
        <v>4</v>
      </c>
      <c r="F1590">
        <v>555.19000000000005</v>
      </c>
      <c r="G1590" t="s">
        <v>220</v>
      </c>
      <c r="H1590">
        <v>2220.7600000000002</v>
      </c>
      <c r="I1590">
        <v>2023</v>
      </c>
      <c r="J1590">
        <v>2</v>
      </c>
      <c r="K1590">
        <v>0</v>
      </c>
      <c r="L1590" s="14">
        <v>555.19000000000005</v>
      </c>
      <c r="M1590" s="4" t="str">
        <f t="shared" si="96"/>
        <v>domingo</v>
      </c>
      <c r="N1590" s="4" t="str">
        <f t="shared" si="97"/>
        <v>febrero</v>
      </c>
      <c r="O1590" s="4" t="str">
        <f t="shared" si="98"/>
        <v>NO</v>
      </c>
      <c r="P1590" s="4" t="str">
        <f t="shared" si="99"/>
        <v>NO</v>
      </c>
      <c r="Q1590" s="4" t="str" cm="1">
        <f t="array" ref="Q1590">_xlfn.IFS(AND(H1590&gt;=0,H1590&lt;=3333),"Grupo 1",AND(H1590&gt;3333,H1590&lt;=6666),"Grupo 2",AND(H1590&gt;6666,H1590&lt;=10000),"Grupo 3")</f>
        <v>Grupo 1</v>
      </c>
    </row>
    <row r="1591" spans="1:17" x14ac:dyDescent="0.25">
      <c r="A1591" t="s">
        <v>201</v>
      </c>
      <c r="B1591" s="2">
        <v>45194.675000000003</v>
      </c>
      <c r="C1591" t="s">
        <v>266</v>
      </c>
      <c r="D1591" t="s">
        <v>214</v>
      </c>
      <c r="E1591">
        <v>5</v>
      </c>
      <c r="F1591">
        <v>750.82</v>
      </c>
      <c r="G1591" t="s">
        <v>222</v>
      </c>
      <c r="H1591">
        <v>3754.1</v>
      </c>
      <c r="I1591">
        <v>2023</v>
      </c>
      <c r="J1591">
        <v>9</v>
      </c>
      <c r="K1591">
        <v>16</v>
      </c>
      <c r="L1591" s="14">
        <v>750.82</v>
      </c>
      <c r="M1591" s="4" t="str">
        <f t="shared" si="96"/>
        <v>lunes</v>
      </c>
      <c r="N1591" s="4" t="str">
        <f t="shared" si="97"/>
        <v>septiembre</v>
      </c>
      <c r="O1591" s="4" t="str">
        <f t="shared" si="98"/>
        <v>SI</v>
      </c>
      <c r="P1591" s="4" t="str">
        <f t="shared" si="99"/>
        <v>NO</v>
      </c>
      <c r="Q1591" s="4" t="str" cm="1">
        <f t="array" ref="Q1591">_xlfn.IFS(AND(H1591&gt;=0,H1591&lt;=3333),"Grupo 1",AND(H1591&gt;3333,H1591&lt;=6666),"Grupo 2",AND(H1591&gt;6666,H1591&lt;=10000),"Grupo 3")</f>
        <v>Grupo 2</v>
      </c>
    </row>
    <row r="1592" spans="1:17" x14ac:dyDescent="0.25">
      <c r="A1592" t="s">
        <v>202</v>
      </c>
      <c r="B1592" s="2">
        <v>45818.179861111108</v>
      </c>
      <c r="C1592" t="s">
        <v>267</v>
      </c>
      <c r="D1592" t="s">
        <v>215</v>
      </c>
      <c r="E1592">
        <v>2</v>
      </c>
      <c r="F1592">
        <v>1609.9</v>
      </c>
      <c r="G1592" t="s">
        <v>220</v>
      </c>
      <c r="H1592">
        <v>3219.8</v>
      </c>
      <c r="I1592">
        <v>2025</v>
      </c>
      <c r="J1592">
        <v>6</v>
      </c>
      <c r="K1592">
        <v>4</v>
      </c>
      <c r="L1592" s="14">
        <v>1609.9</v>
      </c>
      <c r="M1592" s="4" t="str">
        <f t="shared" si="96"/>
        <v>martes</v>
      </c>
      <c r="N1592" s="4" t="str">
        <f t="shared" si="97"/>
        <v>junio</v>
      </c>
      <c r="O1592" s="4" t="str">
        <f t="shared" si="98"/>
        <v>SI</v>
      </c>
      <c r="P1592" s="4" t="str">
        <f t="shared" si="99"/>
        <v>SI</v>
      </c>
      <c r="Q1592" s="4" t="str" cm="1">
        <f t="array" ref="Q1592">_xlfn.IFS(AND(H1592&gt;=0,H1592&lt;=3333),"Grupo 1",AND(H1592&gt;3333,H1592&lt;=6666),"Grupo 2",AND(H1592&gt;6666,H1592&lt;=10000),"Grupo 3")</f>
        <v>Grupo 1</v>
      </c>
    </row>
    <row r="1593" spans="1:17" x14ac:dyDescent="0.25">
      <c r="A1593" t="s">
        <v>203</v>
      </c>
      <c r="B1593" s="2">
        <v>45755.011111111111</v>
      </c>
      <c r="C1593" t="s">
        <v>268</v>
      </c>
      <c r="D1593" t="s">
        <v>214</v>
      </c>
      <c r="E1593">
        <v>3</v>
      </c>
      <c r="F1593">
        <v>27.89</v>
      </c>
      <c r="G1593" t="s">
        <v>222</v>
      </c>
      <c r="H1593">
        <v>83.67</v>
      </c>
      <c r="I1593">
        <v>2025</v>
      </c>
      <c r="J1593">
        <v>4</v>
      </c>
      <c r="K1593">
        <v>0</v>
      </c>
      <c r="L1593" s="14">
        <v>27.89</v>
      </c>
      <c r="M1593" s="4" t="str">
        <f t="shared" si="96"/>
        <v>martes</v>
      </c>
      <c r="N1593" s="4" t="str">
        <f t="shared" si="97"/>
        <v>abril</v>
      </c>
      <c r="O1593" s="4" t="str">
        <f t="shared" si="98"/>
        <v>NO</v>
      </c>
      <c r="P1593" s="4" t="str">
        <f t="shared" si="99"/>
        <v>NO</v>
      </c>
      <c r="Q1593" s="4" t="str" cm="1">
        <f t="array" ref="Q1593">_xlfn.IFS(AND(H1593&gt;=0,H1593&lt;=3333),"Grupo 1",AND(H1593&gt;3333,H1593&lt;=6666),"Grupo 2",AND(H1593&gt;6666,H1593&lt;=10000),"Grupo 3")</f>
        <v>Grupo 1</v>
      </c>
    </row>
    <row r="1594" spans="1:17" x14ac:dyDescent="0.25">
      <c r="A1594" t="s">
        <v>204</v>
      </c>
      <c r="B1594" s="2">
        <v>45862.584722222222</v>
      </c>
      <c r="C1594" t="s">
        <v>269</v>
      </c>
      <c r="D1594" t="s">
        <v>219</v>
      </c>
      <c r="E1594">
        <v>1</v>
      </c>
      <c r="F1594">
        <v>1700.54</v>
      </c>
      <c r="G1594" t="s">
        <v>221</v>
      </c>
      <c r="H1594">
        <v>1700.54</v>
      </c>
      <c r="I1594">
        <v>2025</v>
      </c>
      <c r="J1594">
        <v>7</v>
      </c>
      <c r="K1594">
        <v>14</v>
      </c>
      <c r="L1594" s="14">
        <v>1700.54</v>
      </c>
      <c r="M1594" s="4" t="str">
        <f t="shared" si="96"/>
        <v>jueves</v>
      </c>
      <c r="N1594" s="4" t="str">
        <f t="shared" si="97"/>
        <v>julio</v>
      </c>
      <c r="O1594" s="4" t="str">
        <f t="shared" si="98"/>
        <v>NO</v>
      </c>
      <c r="P1594" s="4" t="str">
        <f t="shared" si="99"/>
        <v>SI</v>
      </c>
      <c r="Q1594" s="4" t="str" cm="1">
        <f t="array" ref="Q1594">_xlfn.IFS(AND(H1594&gt;=0,H1594&lt;=3333),"Grupo 1",AND(H1594&gt;3333,H1594&lt;=6666),"Grupo 2",AND(H1594&gt;6666,H1594&lt;=10000),"Grupo 3")</f>
        <v>Grupo 1</v>
      </c>
    </row>
    <row r="1595" spans="1:17" x14ac:dyDescent="0.25">
      <c r="A1595" t="s">
        <v>205</v>
      </c>
      <c r="B1595" s="2">
        <v>45802.370833333327</v>
      </c>
      <c r="C1595" t="s">
        <v>270</v>
      </c>
      <c r="D1595" t="s">
        <v>219</v>
      </c>
      <c r="E1595">
        <v>3</v>
      </c>
      <c r="F1595">
        <v>473.4</v>
      </c>
      <c r="G1595" t="s">
        <v>221</v>
      </c>
      <c r="H1595">
        <v>1420.2</v>
      </c>
      <c r="I1595">
        <v>2025</v>
      </c>
      <c r="J1595">
        <v>5</v>
      </c>
      <c r="K1595">
        <v>8</v>
      </c>
      <c r="L1595" s="14">
        <v>473.39999999999992</v>
      </c>
      <c r="M1595" s="4" t="str">
        <f t="shared" si="96"/>
        <v>domingo</v>
      </c>
      <c r="N1595" s="4" t="str">
        <f t="shared" si="97"/>
        <v>mayo</v>
      </c>
      <c r="O1595" s="4" t="str">
        <f t="shared" si="98"/>
        <v>NO</v>
      </c>
      <c r="P1595" s="4" t="str">
        <f t="shared" si="99"/>
        <v>NO</v>
      </c>
      <c r="Q1595" s="4" t="str" cm="1">
        <f t="array" ref="Q1595">_xlfn.IFS(AND(H1595&gt;=0,H1595&lt;=3333),"Grupo 1",AND(H1595&gt;3333,H1595&lt;=6666),"Grupo 2",AND(H1595&gt;6666,H1595&lt;=10000),"Grupo 3")</f>
        <v>Grupo 1</v>
      </c>
    </row>
    <row r="1596" spans="1:17" x14ac:dyDescent="0.25">
      <c r="A1596" t="s">
        <v>206</v>
      </c>
      <c r="B1596" s="2">
        <v>45178.038888888892</v>
      </c>
      <c r="C1596" t="s">
        <v>271</v>
      </c>
      <c r="D1596" t="s">
        <v>215</v>
      </c>
      <c r="E1596">
        <v>1</v>
      </c>
      <c r="F1596">
        <v>521.32000000000005</v>
      </c>
      <c r="G1596" t="s">
        <v>220</v>
      </c>
      <c r="H1596">
        <v>521.32000000000005</v>
      </c>
      <c r="I1596">
        <v>2023</v>
      </c>
      <c r="J1596">
        <v>9</v>
      </c>
      <c r="K1596">
        <v>0</v>
      </c>
      <c r="L1596" s="14">
        <v>521.32000000000005</v>
      </c>
      <c r="M1596" s="4" t="str">
        <f t="shared" si="96"/>
        <v>sábado</v>
      </c>
      <c r="N1596" s="4" t="str">
        <f t="shared" si="97"/>
        <v>septiembre</v>
      </c>
      <c r="O1596" s="4" t="str">
        <f t="shared" si="98"/>
        <v>NO</v>
      </c>
      <c r="P1596" s="4" t="str">
        <f t="shared" si="99"/>
        <v>NO</v>
      </c>
      <c r="Q1596" s="4" t="str" cm="1">
        <f t="array" ref="Q1596">_xlfn.IFS(AND(H1596&gt;=0,H1596&lt;=3333),"Grupo 1",AND(H1596&gt;3333,H1596&lt;=6666),"Grupo 2",AND(H1596&gt;6666,H1596&lt;=10000),"Grupo 3")</f>
        <v>Grupo 1</v>
      </c>
    </row>
    <row r="1597" spans="1:17" x14ac:dyDescent="0.25">
      <c r="A1597" t="s">
        <v>207</v>
      </c>
      <c r="B1597" s="2">
        <v>45748.34097222222</v>
      </c>
      <c r="C1597" t="s">
        <v>272</v>
      </c>
      <c r="D1597" t="s">
        <v>213</v>
      </c>
      <c r="E1597">
        <v>1</v>
      </c>
      <c r="F1597">
        <v>1067.6400000000001</v>
      </c>
      <c r="G1597" t="s">
        <v>221</v>
      </c>
      <c r="H1597">
        <v>1067.6400000000001</v>
      </c>
      <c r="I1597">
        <v>2025</v>
      </c>
      <c r="J1597">
        <v>4</v>
      </c>
      <c r="K1597">
        <v>8</v>
      </c>
      <c r="L1597" s="14">
        <v>1067.6400000000001</v>
      </c>
      <c r="M1597" s="4" t="str">
        <f t="shared" si="96"/>
        <v>martes</v>
      </c>
      <c r="N1597" s="4" t="str">
        <f t="shared" si="97"/>
        <v>abril</v>
      </c>
      <c r="O1597" s="4" t="str">
        <f t="shared" si="98"/>
        <v>NO</v>
      </c>
      <c r="P1597" s="4" t="str">
        <f t="shared" si="99"/>
        <v>SI</v>
      </c>
      <c r="Q1597" s="4" t="str" cm="1">
        <f t="array" ref="Q1597">_xlfn.IFS(AND(H1597&gt;=0,H1597&lt;=3333),"Grupo 1",AND(H1597&gt;3333,H1597&lt;=6666),"Grupo 2",AND(H1597&gt;6666,H1597&lt;=10000),"Grupo 3")</f>
        <v>Grupo 1</v>
      </c>
    </row>
    <row r="1598" spans="1:17" x14ac:dyDescent="0.25">
      <c r="A1598" t="s">
        <v>208</v>
      </c>
      <c r="B1598" s="2">
        <v>45055.556250000001</v>
      </c>
      <c r="C1598" t="s">
        <v>273</v>
      </c>
      <c r="D1598" t="s">
        <v>218</v>
      </c>
      <c r="E1598">
        <v>1</v>
      </c>
      <c r="F1598">
        <v>1903.64</v>
      </c>
      <c r="G1598" t="s">
        <v>221</v>
      </c>
      <c r="H1598">
        <v>1903.64</v>
      </c>
      <c r="I1598">
        <v>2023</v>
      </c>
      <c r="J1598">
        <v>5</v>
      </c>
      <c r="K1598">
        <v>13</v>
      </c>
      <c r="L1598" s="14">
        <v>1903.64</v>
      </c>
      <c r="M1598" s="4" t="str">
        <f t="shared" si="96"/>
        <v>martes</v>
      </c>
      <c r="N1598" s="4" t="str">
        <f t="shared" si="97"/>
        <v>mayo</v>
      </c>
      <c r="O1598" s="4" t="str">
        <f t="shared" si="98"/>
        <v>NO</v>
      </c>
      <c r="P1598" s="4" t="str">
        <f t="shared" si="99"/>
        <v>SI</v>
      </c>
      <c r="Q1598" s="4" t="str" cm="1">
        <f t="array" ref="Q1598">_xlfn.IFS(AND(H1598&gt;=0,H1598&lt;=3333),"Grupo 1",AND(H1598&gt;3333,H1598&lt;=6666),"Grupo 2",AND(H1598&gt;6666,H1598&lt;=10000),"Grupo 3")</f>
        <v>Grupo 1</v>
      </c>
    </row>
    <row r="1599" spans="1:17" x14ac:dyDescent="0.25">
      <c r="A1599" t="s">
        <v>209</v>
      </c>
      <c r="B1599" s="2">
        <v>44958.773611111108</v>
      </c>
      <c r="C1599" t="s">
        <v>274</v>
      </c>
      <c r="D1599" t="s">
        <v>214</v>
      </c>
      <c r="E1599">
        <v>2</v>
      </c>
      <c r="F1599">
        <v>1460.16</v>
      </c>
      <c r="G1599" t="s">
        <v>222</v>
      </c>
      <c r="H1599">
        <v>2920.32</v>
      </c>
      <c r="I1599">
        <v>2023</v>
      </c>
      <c r="J1599">
        <v>2</v>
      </c>
      <c r="K1599">
        <v>18</v>
      </c>
      <c r="L1599" s="14">
        <v>1460.16</v>
      </c>
      <c r="M1599" s="4" t="str">
        <f t="shared" si="96"/>
        <v>miércoles</v>
      </c>
      <c r="N1599" s="4" t="str">
        <f t="shared" si="97"/>
        <v>febrero</v>
      </c>
      <c r="O1599" s="4" t="str">
        <f t="shared" si="98"/>
        <v>SI</v>
      </c>
      <c r="P1599" s="4" t="str">
        <f t="shared" si="99"/>
        <v>SI</v>
      </c>
      <c r="Q1599" s="4" t="str" cm="1">
        <f t="array" ref="Q1599">_xlfn.IFS(AND(H1599&gt;=0,H1599&lt;=3333),"Grupo 1",AND(H1599&gt;3333,H1599&lt;=6666),"Grupo 2",AND(H1599&gt;6666,H1599&lt;=10000),"Grupo 3")</f>
        <v>Grupo 1</v>
      </c>
    </row>
    <row r="1600" spans="1:17" x14ac:dyDescent="0.25">
      <c r="A1600" t="s">
        <v>210</v>
      </c>
      <c r="B1600" s="2">
        <v>45816.563888888893</v>
      </c>
      <c r="C1600" t="s">
        <v>275</v>
      </c>
      <c r="D1600" t="s">
        <v>212</v>
      </c>
      <c r="E1600">
        <v>4</v>
      </c>
      <c r="F1600">
        <v>847</v>
      </c>
      <c r="G1600" t="s">
        <v>220</v>
      </c>
      <c r="H1600">
        <v>3388</v>
      </c>
      <c r="I1600">
        <v>2025</v>
      </c>
      <c r="J1600">
        <v>6</v>
      </c>
      <c r="K1600">
        <v>13</v>
      </c>
      <c r="L1600" s="14">
        <v>847</v>
      </c>
      <c r="M1600" s="4" t="str">
        <f t="shared" si="96"/>
        <v>domingo</v>
      </c>
      <c r="N1600" s="4" t="str">
        <f t="shared" si="97"/>
        <v>junio</v>
      </c>
      <c r="O1600" s="4" t="str">
        <f t="shared" si="98"/>
        <v>SI</v>
      </c>
      <c r="P1600" s="4" t="str">
        <f t="shared" si="99"/>
        <v>NO</v>
      </c>
      <c r="Q1600" s="4" t="str" cm="1">
        <f t="array" ref="Q1600">_xlfn.IFS(AND(H1600&gt;=0,H1600&lt;=3333),"Grupo 1",AND(H1600&gt;3333,H1600&lt;=6666),"Grupo 2",AND(H1600&gt;6666,H1600&lt;=10000),"Grupo 3")</f>
        <v>Grupo 2</v>
      </c>
    </row>
    <row r="1601" spans="1:17" x14ac:dyDescent="0.25">
      <c r="A1601" t="s">
        <v>211</v>
      </c>
      <c r="B1601" s="2">
        <v>45089.396527777782</v>
      </c>
      <c r="C1601" t="s">
        <v>276</v>
      </c>
      <c r="D1601" t="s">
        <v>218</v>
      </c>
      <c r="E1601">
        <v>2</v>
      </c>
      <c r="F1601">
        <v>1243.3399999999999</v>
      </c>
      <c r="G1601" t="s">
        <v>221</v>
      </c>
      <c r="H1601">
        <v>2486.6799999999998</v>
      </c>
      <c r="I1601">
        <v>2023</v>
      </c>
      <c r="J1601">
        <v>6</v>
      </c>
      <c r="K1601">
        <v>9</v>
      </c>
      <c r="L1601" s="14">
        <v>1243.3399999999999</v>
      </c>
      <c r="M1601" s="4" t="str">
        <f t="shared" si="96"/>
        <v>lunes</v>
      </c>
      <c r="N1601" s="4" t="str">
        <f t="shared" si="97"/>
        <v>junio</v>
      </c>
      <c r="O1601" s="4" t="str">
        <f t="shared" si="98"/>
        <v>NO</v>
      </c>
      <c r="P1601" s="4" t="str">
        <f t="shared" si="99"/>
        <v>SI</v>
      </c>
      <c r="Q1601" s="4" t="str" cm="1">
        <f t="array" ref="Q1601">_xlfn.IFS(AND(H1601&gt;=0,H1601&lt;=3333),"Grupo 1",AND(H1601&gt;3333,H1601&lt;=6666),"Grupo 2",AND(H1601&gt;6666,H1601&lt;=10000),"Grupo 3")</f>
        <v>Grupo 1</v>
      </c>
    </row>
    <row r="1602" spans="1:17" x14ac:dyDescent="0.25">
      <c r="A1602" t="s">
        <v>12</v>
      </c>
      <c r="B1602" s="2">
        <v>45280.478472222218</v>
      </c>
      <c r="C1602" t="s">
        <v>277</v>
      </c>
      <c r="D1602" t="s">
        <v>212</v>
      </c>
      <c r="E1602">
        <v>5</v>
      </c>
      <c r="F1602">
        <v>1497.24</v>
      </c>
      <c r="G1602" t="s">
        <v>220</v>
      </c>
      <c r="H1602">
        <v>7486.2</v>
      </c>
      <c r="I1602">
        <v>2023</v>
      </c>
      <c r="J1602">
        <v>12</v>
      </c>
      <c r="K1602">
        <v>11</v>
      </c>
      <c r="L1602" s="14">
        <v>1497.24</v>
      </c>
      <c r="M1602" s="4" t="str">
        <f t="shared" ref="M1602:M1665" si="100">TEXT(B1602,"dddd")</f>
        <v>miércoles</v>
      </c>
      <c r="N1602" s="4" t="str">
        <f t="shared" ref="N1602:N1665" si="101">TEXT(B1602,"mmmm")</f>
        <v>diciembre</v>
      </c>
      <c r="O1602" s="4" t="str">
        <f t="shared" si="98"/>
        <v>SI</v>
      </c>
      <c r="P1602" s="4" t="str">
        <f t="shared" si="99"/>
        <v>SI</v>
      </c>
      <c r="Q1602" s="4" t="str" cm="1">
        <f t="array" ref="Q1602">_xlfn.IFS(AND(H1602&gt;=0,H1602&lt;=3333),"Grupo 1",AND(H1602&gt;3333,H1602&lt;=6666),"Grupo 2",AND(H1602&gt;6666,H1602&lt;=10000),"Grupo 3")</f>
        <v>Grupo 3</v>
      </c>
    </row>
    <row r="1603" spans="1:17" x14ac:dyDescent="0.25">
      <c r="A1603" t="s">
        <v>13</v>
      </c>
      <c r="B1603" s="2">
        <v>45008.840277777781</v>
      </c>
      <c r="C1603" t="s">
        <v>278</v>
      </c>
      <c r="D1603" t="s">
        <v>212</v>
      </c>
      <c r="E1603">
        <v>1</v>
      </c>
      <c r="F1603">
        <v>1687.54</v>
      </c>
      <c r="G1603" t="s">
        <v>220</v>
      </c>
      <c r="H1603">
        <v>1687.54</v>
      </c>
      <c r="I1603">
        <v>2023</v>
      </c>
      <c r="J1603">
        <v>3</v>
      </c>
      <c r="K1603">
        <v>20</v>
      </c>
      <c r="L1603" s="14">
        <v>1687.54</v>
      </c>
      <c r="M1603" s="4" t="str">
        <f t="shared" si="100"/>
        <v>jueves</v>
      </c>
      <c r="N1603" s="4" t="str">
        <f t="shared" si="101"/>
        <v>marzo</v>
      </c>
      <c r="O1603" s="4" t="str">
        <f t="shared" ref="O1603:O1666" si="102">IF(H1603&gt;AVERAGE(H:H),"SI","NO")</f>
        <v>NO</v>
      </c>
      <c r="P1603" s="4" t="str">
        <f t="shared" ref="P1603:P1666" si="103">IF(L1603&gt;AVERAGE(L:L),"SI","NO")</f>
        <v>SI</v>
      </c>
      <c r="Q1603" s="4" t="str" cm="1">
        <f t="array" ref="Q1603">_xlfn.IFS(AND(H1603&gt;=0,H1603&lt;=3333),"Grupo 1",AND(H1603&gt;3333,H1603&lt;=6666),"Grupo 2",AND(H1603&gt;6666,H1603&lt;=10000),"Grupo 3")</f>
        <v>Grupo 1</v>
      </c>
    </row>
    <row r="1604" spans="1:17" x14ac:dyDescent="0.25">
      <c r="A1604" t="s">
        <v>14</v>
      </c>
      <c r="B1604" s="2">
        <v>45355.443749999999</v>
      </c>
      <c r="C1604" t="s">
        <v>279</v>
      </c>
      <c r="D1604" t="s">
        <v>213</v>
      </c>
      <c r="E1604">
        <v>3</v>
      </c>
      <c r="F1604">
        <v>768.8</v>
      </c>
      <c r="G1604" t="s">
        <v>221</v>
      </c>
      <c r="H1604">
        <v>2306.4</v>
      </c>
      <c r="I1604">
        <v>2024</v>
      </c>
      <c r="J1604">
        <v>3</v>
      </c>
      <c r="K1604">
        <v>10</v>
      </c>
      <c r="L1604" s="14">
        <v>768.79999999999984</v>
      </c>
      <c r="M1604" s="4" t="str">
        <f t="shared" si="100"/>
        <v>lunes</v>
      </c>
      <c r="N1604" s="4" t="str">
        <f t="shared" si="101"/>
        <v>marzo</v>
      </c>
      <c r="O1604" s="4" t="str">
        <f t="shared" si="102"/>
        <v>NO</v>
      </c>
      <c r="P1604" s="4" t="str">
        <f t="shared" si="103"/>
        <v>NO</v>
      </c>
      <c r="Q1604" s="4" t="str" cm="1">
        <f t="array" ref="Q1604">_xlfn.IFS(AND(H1604&gt;=0,H1604&lt;=3333),"Grupo 1",AND(H1604&gt;3333,H1604&lt;=6666),"Grupo 2",AND(H1604&gt;6666,H1604&lt;=10000),"Grupo 3")</f>
        <v>Grupo 1</v>
      </c>
    </row>
    <row r="1605" spans="1:17" x14ac:dyDescent="0.25">
      <c r="A1605" t="s">
        <v>15</v>
      </c>
      <c r="B1605" s="2">
        <v>45704.374305555553</v>
      </c>
      <c r="C1605" t="s">
        <v>280</v>
      </c>
      <c r="D1605" t="s">
        <v>214</v>
      </c>
      <c r="E1605">
        <v>1</v>
      </c>
      <c r="F1605">
        <v>1532.67</v>
      </c>
      <c r="G1605" t="s">
        <v>222</v>
      </c>
      <c r="H1605">
        <v>1532.67</v>
      </c>
      <c r="I1605">
        <v>2025</v>
      </c>
      <c r="J1605">
        <v>2</v>
      </c>
      <c r="K1605">
        <v>8</v>
      </c>
      <c r="L1605" s="14">
        <v>1532.67</v>
      </c>
      <c r="M1605" s="4" t="str">
        <f t="shared" si="100"/>
        <v>domingo</v>
      </c>
      <c r="N1605" s="4" t="str">
        <f t="shared" si="101"/>
        <v>febrero</v>
      </c>
      <c r="O1605" s="4" t="str">
        <f t="shared" si="102"/>
        <v>NO</v>
      </c>
      <c r="P1605" s="4" t="str">
        <f t="shared" si="103"/>
        <v>SI</v>
      </c>
      <c r="Q1605" s="4" t="str" cm="1">
        <f t="array" ref="Q1605">_xlfn.IFS(AND(H1605&gt;=0,H1605&lt;=3333),"Grupo 1",AND(H1605&gt;3333,H1605&lt;=6666),"Grupo 2",AND(H1605&gt;6666,H1605&lt;=10000),"Grupo 3")</f>
        <v>Grupo 1</v>
      </c>
    </row>
    <row r="1606" spans="1:17" x14ac:dyDescent="0.25">
      <c r="A1606" t="s">
        <v>16</v>
      </c>
      <c r="B1606" s="2">
        <v>45772.848611111112</v>
      </c>
      <c r="C1606" t="s">
        <v>281</v>
      </c>
      <c r="D1606" t="s">
        <v>214</v>
      </c>
      <c r="E1606">
        <v>3</v>
      </c>
      <c r="F1606">
        <v>1709.47</v>
      </c>
      <c r="G1606" t="s">
        <v>222</v>
      </c>
      <c r="H1606">
        <v>5128.41</v>
      </c>
      <c r="I1606">
        <v>2025</v>
      </c>
      <c r="J1606">
        <v>4</v>
      </c>
      <c r="K1606">
        <v>20</v>
      </c>
      <c r="L1606" s="14">
        <v>1709.47</v>
      </c>
      <c r="M1606" s="4" t="str">
        <f t="shared" si="100"/>
        <v>viernes</v>
      </c>
      <c r="N1606" s="4" t="str">
        <f t="shared" si="101"/>
        <v>abril</v>
      </c>
      <c r="O1606" s="4" t="str">
        <f t="shared" si="102"/>
        <v>SI</v>
      </c>
      <c r="P1606" s="4" t="str">
        <f t="shared" si="103"/>
        <v>SI</v>
      </c>
      <c r="Q1606" s="4" t="str" cm="1">
        <f t="array" ref="Q1606">_xlfn.IFS(AND(H1606&gt;=0,H1606&lt;=3333),"Grupo 1",AND(H1606&gt;3333,H1606&lt;=6666),"Grupo 2",AND(H1606&gt;6666,H1606&lt;=10000),"Grupo 3")</f>
        <v>Grupo 2</v>
      </c>
    </row>
    <row r="1607" spans="1:17" x14ac:dyDescent="0.25">
      <c r="A1607" t="s">
        <v>17</v>
      </c>
      <c r="B1607" s="2">
        <v>45101.225694444453</v>
      </c>
      <c r="C1607" t="s">
        <v>282</v>
      </c>
      <c r="D1607" t="s">
        <v>215</v>
      </c>
      <c r="E1607">
        <v>3</v>
      </c>
      <c r="F1607">
        <v>297.54000000000002</v>
      </c>
      <c r="G1607" t="s">
        <v>220</v>
      </c>
      <c r="H1607">
        <v>892.62000000000012</v>
      </c>
      <c r="I1607">
        <v>2023</v>
      </c>
      <c r="J1607">
        <v>6</v>
      </c>
      <c r="K1607">
        <v>5</v>
      </c>
      <c r="L1607" s="14">
        <v>297.54000000000002</v>
      </c>
      <c r="M1607" s="4" t="str">
        <f t="shared" si="100"/>
        <v>sábado</v>
      </c>
      <c r="N1607" s="4" t="str">
        <f t="shared" si="101"/>
        <v>junio</v>
      </c>
      <c r="O1607" s="4" t="str">
        <f t="shared" si="102"/>
        <v>NO</v>
      </c>
      <c r="P1607" s="4" t="str">
        <f t="shared" si="103"/>
        <v>NO</v>
      </c>
      <c r="Q1607" s="4" t="str" cm="1">
        <f t="array" ref="Q1607">_xlfn.IFS(AND(H1607&gt;=0,H1607&lt;=3333),"Grupo 1",AND(H1607&gt;3333,H1607&lt;=6666),"Grupo 2",AND(H1607&gt;6666,H1607&lt;=10000),"Grupo 3")</f>
        <v>Grupo 1</v>
      </c>
    </row>
    <row r="1608" spans="1:17" x14ac:dyDescent="0.25">
      <c r="A1608" t="s">
        <v>18</v>
      </c>
      <c r="B1608" s="2">
        <v>45694.432638888888</v>
      </c>
      <c r="C1608" t="s">
        <v>283</v>
      </c>
      <c r="D1608" t="s">
        <v>216</v>
      </c>
      <c r="E1608">
        <v>4</v>
      </c>
      <c r="F1608">
        <v>1546.65</v>
      </c>
      <c r="G1608" t="s">
        <v>221</v>
      </c>
      <c r="H1608">
        <v>6186.6</v>
      </c>
      <c r="I1608">
        <v>2025</v>
      </c>
      <c r="J1608">
        <v>2</v>
      </c>
      <c r="K1608">
        <v>10</v>
      </c>
      <c r="L1608" s="14">
        <v>1546.65</v>
      </c>
      <c r="M1608" s="4" t="str">
        <f t="shared" si="100"/>
        <v>jueves</v>
      </c>
      <c r="N1608" s="4" t="str">
        <f t="shared" si="101"/>
        <v>febrero</v>
      </c>
      <c r="O1608" s="4" t="str">
        <f t="shared" si="102"/>
        <v>SI</v>
      </c>
      <c r="P1608" s="4" t="str">
        <f t="shared" si="103"/>
        <v>SI</v>
      </c>
      <c r="Q1608" s="4" t="str" cm="1">
        <f t="array" ref="Q1608">_xlfn.IFS(AND(H1608&gt;=0,H1608&lt;=3333),"Grupo 1",AND(H1608&gt;3333,H1608&lt;=6666),"Grupo 2",AND(H1608&gt;6666,H1608&lt;=10000),"Grupo 3")</f>
        <v>Grupo 2</v>
      </c>
    </row>
    <row r="1609" spans="1:17" x14ac:dyDescent="0.25">
      <c r="A1609" t="s">
        <v>19</v>
      </c>
      <c r="B1609" s="2">
        <v>45798.69027777778</v>
      </c>
      <c r="C1609" t="s">
        <v>284</v>
      </c>
      <c r="D1609" t="s">
        <v>212</v>
      </c>
      <c r="E1609">
        <v>1</v>
      </c>
      <c r="F1609">
        <v>1575.18</v>
      </c>
      <c r="G1609" t="s">
        <v>220</v>
      </c>
      <c r="H1609">
        <v>1575.18</v>
      </c>
      <c r="I1609">
        <v>2025</v>
      </c>
      <c r="J1609">
        <v>5</v>
      </c>
      <c r="K1609">
        <v>16</v>
      </c>
      <c r="L1609" s="14">
        <v>1575.18</v>
      </c>
      <c r="M1609" s="4" t="str">
        <f t="shared" si="100"/>
        <v>miércoles</v>
      </c>
      <c r="N1609" s="4" t="str">
        <f t="shared" si="101"/>
        <v>mayo</v>
      </c>
      <c r="O1609" s="4" t="str">
        <f t="shared" si="102"/>
        <v>NO</v>
      </c>
      <c r="P1609" s="4" t="str">
        <f t="shared" si="103"/>
        <v>SI</v>
      </c>
      <c r="Q1609" s="4" t="str" cm="1">
        <f t="array" ref="Q1609">_xlfn.IFS(AND(H1609&gt;=0,H1609&lt;=3333),"Grupo 1",AND(H1609&gt;3333,H1609&lt;=6666),"Grupo 2",AND(H1609&gt;6666,H1609&lt;=10000),"Grupo 3")</f>
        <v>Grupo 1</v>
      </c>
    </row>
    <row r="1610" spans="1:17" x14ac:dyDescent="0.25">
      <c r="A1610" t="s">
        <v>20</v>
      </c>
      <c r="B1610" s="2">
        <v>45425.797222222223</v>
      </c>
      <c r="C1610" t="s">
        <v>285</v>
      </c>
      <c r="D1610" t="s">
        <v>217</v>
      </c>
      <c r="E1610">
        <v>5</v>
      </c>
      <c r="F1610">
        <v>1815.86</v>
      </c>
      <c r="G1610" t="s">
        <v>220</v>
      </c>
      <c r="H1610">
        <v>9079.2999999999993</v>
      </c>
      <c r="I1610">
        <v>2024</v>
      </c>
      <c r="J1610">
        <v>5</v>
      </c>
      <c r="K1610">
        <v>19</v>
      </c>
      <c r="L1610" s="14">
        <v>1815.86</v>
      </c>
      <c r="M1610" s="4" t="str">
        <f t="shared" si="100"/>
        <v>lunes</v>
      </c>
      <c r="N1610" s="4" t="str">
        <f t="shared" si="101"/>
        <v>mayo</v>
      </c>
      <c r="O1610" s="4" t="str">
        <f t="shared" si="102"/>
        <v>SI</v>
      </c>
      <c r="P1610" s="4" t="str">
        <f t="shared" si="103"/>
        <v>SI</v>
      </c>
      <c r="Q1610" s="4" t="str" cm="1">
        <f t="array" ref="Q1610">_xlfn.IFS(AND(H1610&gt;=0,H1610&lt;=3333),"Grupo 1",AND(H1610&gt;3333,H1610&lt;=6666),"Grupo 2",AND(H1610&gt;6666,H1610&lt;=10000),"Grupo 3")</f>
        <v>Grupo 3</v>
      </c>
    </row>
    <row r="1611" spans="1:17" x14ac:dyDescent="0.25">
      <c r="A1611" t="s">
        <v>21</v>
      </c>
      <c r="B1611" s="2">
        <v>45525.152083333327</v>
      </c>
      <c r="C1611" t="s">
        <v>286</v>
      </c>
      <c r="D1611" t="s">
        <v>212</v>
      </c>
      <c r="E1611">
        <v>1</v>
      </c>
      <c r="F1611">
        <v>564.11</v>
      </c>
      <c r="G1611" t="s">
        <v>220</v>
      </c>
      <c r="H1611">
        <v>564.11</v>
      </c>
      <c r="I1611">
        <v>2024</v>
      </c>
      <c r="J1611">
        <v>8</v>
      </c>
      <c r="K1611">
        <v>3</v>
      </c>
      <c r="L1611" s="14">
        <v>564.11</v>
      </c>
      <c r="M1611" s="4" t="str">
        <f t="shared" si="100"/>
        <v>miércoles</v>
      </c>
      <c r="N1611" s="4" t="str">
        <f t="shared" si="101"/>
        <v>agosto</v>
      </c>
      <c r="O1611" s="4" t="str">
        <f t="shared" si="102"/>
        <v>NO</v>
      </c>
      <c r="P1611" s="4" t="str">
        <f t="shared" si="103"/>
        <v>NO</v>
      </c>
      <c r="Q1611" s="4" t="str" cm="1">
        <f t="array" ref="Q1611">_xlfn.IFS(AND(H1611&gt;=0,H1611&lt;=3333),"Grupo 1",AND(H1611&gt;3333,H1611&lt;=6666),"Grupo 2",AND(H1611&gt;6666,H1611&lt;=10000),"Grupo 3")</f>
        <v>Grupo 1</v>
      </c>
    </row>
    <row r="1612" spans="1:17" x14ac:dyDescent="0.25">
      <c r="A1612" t="s">
        <v>22</v>
      </c>
      <c r="B1612" s="2">
        <v>45580.043749999997</v>
      </c>
      <c r="C1612" t="s">
        <v>287</v>
      </c>
      <c r="D1612" t="s">
        <v>217</v>
      </c>
      <c r="E1612">
        <v>1</v>
      </c>
      <c r="F1612">
        <v>454.9</v>
      </c>
      <c r="G1612" t="s">
        <v>220</v>
      </c>
      <c r="H1612">
        <v>454.9</v>
      </c>
      <c r="I1612">
        <v>2024</v>
      </c>
      <c r="J1612">
        <v>10</v>
      </c>
      <c r="K1612">
        <v>1</v>
      </c>
      <c r="L1612" s="14">
        <v>454.9</v>
      </c>
      <c r="M1612" s="4" t="str">
        <f t="shared" si="100"/>
        <v>martes</v>
      </c>
      <c r="N1612" s="4" t="str">
        <f t="shared" si="101"/>
        <v>octubre</v>
      </c>
      <c r="O1612" s="4" t="str">
        <f t="shared" si="102"/>
        <v>NO</v>
      </c>
      <c r="P1612" s="4" t="str">
        <f t="shared" si="103"/>
        <v>NO</v>
      </c>
      <c r="Q1612" s="4" t="str" cm="1">
        <f t="array" ref="Q1612">_xlfn.IFS(AND(H1612&gt;=0,H1612&lt;=3333),"Grupo 1",AND(H1612&gt;3333,H1612&lt;=6666),"Grupo 2",AND(H1612&gt;6666,H1612&lt;=10000),"Grupo 3")</f>
        <v>Grupo 1</v>
      </c>
    </row>
    <row r="1613" spans="1:17" x14ac:dyDescent="0.25">
      <c r="A1613" t="s">
        <v>23</v>
      </c>
      <c r="B1613" s="2">
        <v>45551.151388888888</v>
      </c>
      <c r="C1613" t="s">
        <v>288</v>
      </c>
      <c r="D1613" t="s">
        <v>218</v>
      </c>
      <c r="E1613">
        <v>3</v>
      </c>
      <c r="F1613">
        <v>1277.51</v>
      </c>
      <c r="G1613" t="s">
        <v>221</v>
      </c>
      <c r="H1613">
        <v>3832.53</v>
      </c>
      <c r="I1613">
        <v>2024</v>
      </c>
      <c r="J1613">
        <v>9</v>
      </c>
      <c r="K1613">
        <v>3</v>
      </c>
      <c r="L1613" s="14">
        <v>1277.51</v>
      </c>
      <c r="M1613" s="4" t="str">
        <f t="shared" si="100"/>
        <v>lunes</v>
      </c>
      <c r="N1613" s="4" t="str">
        <f t="shared" si="101"/>
        <v>septiembre</v>
      </c>
      <c r="O1613" s="4" t="str">
        <f t="shared" si="102"/>
        <v>SI</v>
      </c>
      <c r="P1613" s="4" t="str">
        <f t="shared" si="103"/>
        <v>SI</v>
      </c>
      <c r="Q1613" s="4" t="str" cm="1">
        <f t="array" ref="Q1613">_xlfn.IFS(AND(H1613&gt;=0,H1613&lt;=3333),"Grupo 1",AND(H1613&gt;3333,H1613&lt;=6666),"Grupo 2",AND(H1613&gt;6666,H1613&lt;=10000),"Grupo 3")</f>
        <v>Grupo 2</v>
      </c>
    </row>
    <row r="1614" spans="1:17" x14ac:dyDescent="0.25">
      <c r="A1614" t="s">
        <v>24</v>
      </c>
      <c r="B1614" s="2">
        <v>45230.395833333343</v>
      </c>
      <c r="C1614" t="s">
        <v>289</v>
      </c>
      <c r="D1614" t="s">
        <v>214</v>
      </c>
      <c r="E1614">
        <v>2</v>
      </c>
      <c r="F1614">
        <v>1870.95</v>
      </c>
      <c r="G1614" t="s">
        <v>222</v>
      </c>
      <c r="H1614">
        <v>3741.9</v>
      </c>
      <c r="I1614">
        <v>2023</v>
      </c>
      <c r="J1614">
        <v>10</v>
      </c>
      <c r="K1614">
        <v>9</v>
      </c>
      <c r="L1614" s="14">
        <v>1870.95</v>
      </c>
      <c r="M1614" s="4" t="str">
        <f t="shared" si="100"/>
        <v>martes</v>
      </c>
      <c r="N1614" s="4" t="str">
        <f t="shared" si="101"/>
        <v>octubre</v>
      </c>
      <c r="O1614" s="4" t="str">
        <f t="shared" si="102"/>
        <v>SI</v>
      </c>
      <c r="P1614" s="4" t="str">
        <f t="shared" si="103"/>
        <v>SI</v>
      </c>
      <c r="Q1614" s="4" t="str" cm="1">
        <f t="array" ref="Q1614">_xlfn.IFS(AND(H1614&gt;=0,H1614&lt;=3333),"Grupo 1",AND(H1614&gt;3333,H1614&lt;=6666),"Grupo 2",AND(H1614&gt;6666,H1614&lt;=10000),"Grupo 3")</f>
        <v>Grupo 2</v>
      </c>
    </row>
    <row r="1615" spans="1:17" x14ac:dyDescent="0.25">
      <c r="A1615" t="s">
        <v>25</v>
      </c>
      <c r="B1615" s="2">
        <v>45234.645833333343</v>
      </c>
      <c r="C1615" t="s">
        <v>290</v>
      </c>
      <c r="D1615" t="s">
        <v>212</v>
      </c>
      <c r="E1615">
        <v>4</v>
      </c>
      <c r="F1615">
        <v>1227.23</v>
      </c>
      <c r="G1615" t="s">
        <v>220</v>
      </c>
      <c r="H1615">
        <v>4908.92</v>
      </c>
      <c r="I1615">
        <v>2023</v>
      </c>
      <c r="J1615">
        <v>11</v>
      </c>
      <c r="K1615">
        <v>15</v>
      </c>
      <c r="L1615" s="14">
        <v>1227.23</v>
      </c>
      <c r="M1615" s="4" t="str">
        <f t="shared" si="100"/>
        <v>sábado</v>
      </c>
      <c r="N1615" s="4" t="str">
        <f t="shared" si="101"/>
        <v>noviembre</v>
      </c>
      <c r="O1615" s="4" t="str">
        <f t="shared" si="102"/>
        <v>SI</v>
      </c>
      <c r="P1615" s="4" t="str">
        <f t="shared" si="103"/>
        <v>SI</v>
      </c>
      <c r="Q1615" s="4" t="str" cm="1">
        <f t="array" ref="Q1615">_xlfn.IFS(AND(H1615&gt;=0,H1615&lt;=3333),"Grupo 1",AND(H1615&gt;3333,H1615&lt;=6666),"Grupo 2",AND(H1615&gt;6666,H1615&lt;=10000),"Grupo 3")</f>
        <v>Grupo 2</v>
      </c>
    </row>
    <row r="1616" spans="1:17" x14ac:dyDescent="0.25">
      <c r="A1616" t="s">
        <v>26</v>
      </c>
      <c r="B1616" s="2">
        <v>45464.76666666667</v>
      </c>
      <c r="C1616" t="s">
        <v>291</v>
      </c>
      <c r="D1616" t="s">
        <v>215</v>
      </c>
      <c r="E1616">
        <v>1</v>
      </c>
      <c r="F1616">
        <v>1329.6</v>
      </c>
      <c r="G1616" t="s">
        <v>220</v>
      </c>
      <c r="H1616">
        <v>1329.6</v>
      </c>
      <c r="I1616">
        <v>2024</v>
      </c>
      <c r="J1616">
        <v>6</v>
      </c>
      <c r="K1616">
        <v>18</v>
      </c>
      <c r="L1616" s="14">
        <v>1329.6</v>
      </c>
      <c r="M1616" s="4" t="str">
        <f t="shared" si="100"/>
        <v>viernes</v>
      </c>
      <c r="N1616" s="4" t="str">
        <f t="shared" si="101"/>
        <v>junio</v>
      </c>
      <c r="O1616" s="4" t="str">
        <f t="shared" si="102"/>
        <v>NO</v>
      </c>
      <c r="P1616" s="4" t="str">
        <f t="shared" si="103"/>
        <v>SI</v>
      </c>
      <c r="Q1616" s="4" t="str" cm="1">
        <f t="array" ref="Q1616">_xlfn.IFS(AND(H1616&gt;=0,H1616&lt;=3333),"Grupo 1",AND(H1616&gt;3333,H1616&lt;=6666),"Grupo 2",AND(H1616&gt;6666,H1616&lt;=10000),"Grupo 3")</f>
        <v>Grupo 1</v>
      </c>
    </row>
    <row r="1617" spans="1:17" x14ac:dyDescent="0.25">
      <c r="A1617" t="s">
        <v>27</v>
      </c>
      <c r="B1617" s="2">
        <v>45138.240277777782</v>
      </c>
      <c r="C1617" t="s">
        <v>292</v>
      </c>
      <c r="D1617" t="s">
        <v>212</v>
      </c>
      <c r="E1617">
        <v>3</v>
      </c>
      <c r="F1617">
        <v>1734.12</v>
      </c>
      <c r="G1617" t="s">
        <v>220</v>
      </c>
      <c r="H1617">
        <v>5202.3599999999997</v>
      </c>
      <c r="I1617">
        <v>2023</v>
      </c>
      <c r="J1617">
        <v>7</v>
      </c>
      <c r="K1617">
        <v>5</v>
      </c>
      <c r="L1617" s="14">
        <v>1734.12</v>
      </c>
      <c r="M1617" s="4" t="str">
        <f t="shared" si="100"/>
        <v>lunes</v>
      </c>
      <c r="N1617" s="4" t="str">
        <f t="shared" si="101"/>
        <v>julio</v>
      </c>
      <c r="O1617" s="4" t="str">
        <f t="shared" si="102"/>
        <v>SI</v>
      </c>
      <c r="P1617" s="4" t="str">
        <f t="shared" si="103"/>
        <v>SI</v>
      </c>
      <c r="Q1617" s="4" t="str" cm="1">
        <f t="array" ref="Q1617">_xlfn.IFS(AND(H1617&gt;=0,H1617&lt;=3333),"Grupo 1",AND(H1617&gt;3333,H1617&lt;=6666),"Grupo 2",AND(H1617&gt;6666,H1617&lt;=10000),"Grupo 3")</f>
        <v>Grupo 2</v>
      </c>
    </row>
    <row r="1618" spans="1:17" x14ac:dyDescent="0.25">
      <c r="A1618" t="s">
        <v>28</v>
      </c>
      <c r="B1618" s="2">
        <v>45455.688888888893</v>
      </c>
      <c r="C1618" t="s">
        <v>293</v>
      </c>
      <c r="D1618" t="s">
        <v>212</v>
      </c>
      <c r="E1618">
        <v>1</v>
      </c>
      <c r="F1618">
        <v>1209.6199999999999</v>
      </c>
      <c r="G1618" t="s">
        <v>220</v>
      </c>
      <c r="H1618">
        <v>1209.6199999999999</v>
      </c>
      <c r="I1618">
        <v>2024</v>
      </c>
      <c r="J1618">
        <v>6</v>
      </c>
      <c r="K1618">
        <v>16</v>
      </c>
      <c r="L1618" s="14">
        <v>1209.6199999999999</v>
      </c>
      <c r="M1618" s="4" t="str">
        <f t="shared" si="100"/>
        <v>miércoles</v>
      </c>
      <c r="N1618" s="4" t="str">
        <f t="shared" si="101"/>
        <v>junio</v>
      </c>
      <c r="O1618" s="4" t="str">
        <f t="shared" si="102"/>
        <v>NO</v>
      </c>
      <c r="P1618" s="4" t="str">
        <f t="shared" si="103"/>
        <v>SI</v>
      </c>
      <c r="Q1618" s="4" t="str" cm="1">
        <f t="array" ref="Q1618">_xlfn.IFS(AND(H1618&gt;=0,H1618&lt;=3333),"Grupo 1",AND(H1618&gt;3333,H1618&lt;=6666),"Grupo 2",AND(H1618&gt;6666,H1618&lt;=10000),"Grupo 3")</f>
        <v>Grupo 1</v>
      </c>
    </row>
    <row r="1619" spans="1:17" x14ac:dyDescent="0.25">
      <c r="A1619" t="s">
        <v>29</v>
      </c>
      <c r="B1619" s="2">
        <v>45301.151388888888</v>
      </c>
      <c r="C1619" t="s">
        <v>294</v>
      </c>
      <c r="D1619" t="s">
        <v>218</v>
      </c>
      <c r="E1619">
        <v>3</v>
      </c>
      <c r="F1619">
        <v>922.33</v>
      </c>
      <c r="G1619" t="s">
        <v>221</v>
      </c>
      <c r="H1619">
        <v>2766.99</v>
      </c>
      <c r="I1619">
        <v>2024</v>
      </c>
      <c r="J1619">
        <v>1</v>
      </c>
      <c r="K1619">
        <v>3</v>
      </c>
      <c r="L1619" s="14">
        <v>922.33</v>
      </c>
      <c r="M1619" s="4" t="str">
        <f t="shared" si="100"/>
        <v>miércoles</v>
      </c>
      <c r="N1619" s="4" t="str">
        <f t="shared" si="101"/>
        <v>enero</v>
      </c>
      <c r="O1619" s="4" t="str">
        <f t="shared" si="102"/>
        <v>NO</v>
      </c>
      <c r="P1619" s="4" t="str">
        <f t="shared" si="103"/>
        <v>NO</v>
      </c>
      <c r="Q1619" s="4" t="str" cm="1">
        <f t="array" ref="Q1619">_xlfn.IFS(AND(H1619&gt;=0,H1619&lt;=3333),"Grupo 1",AND(H1619&gt;3333,H1619&lt;=6666),"Grupo 2",AND(H1619&gt;6666,H1619&lt;=10000),"Grupo 3")</f>
        <v>Grupo 1</v>
      </c>
    </row>
    <row r="1620" spans="1:17" x14ac:dyDescent="0.25">
      <c r="A1620" t="s">
        <v>30</v>
      </c>
      <c r="B1620" s="2">
        <v>45677.761111111111</v>
      </c>
      <c r="C1620" t="s">
        <v>295</v>
      </c>
      <c r="D1620" t="s">
        <v>216</v>
      </c>
      <c r="E1620">
        <v>4</v>
      </c>
      <c r="F1620">
        <v>54.42</v>
      </c>
      <c r="G1620" t="s">
        <v>221</v>
      </c>
      <c r="H1620">
        <v>217.68</v>
      </c>
      <c r="I1620">
        <v>2025</v>
      </c>
      <c r="J1620">
        <v>1</v>
      </c>
      <c r="K1620">
        <v>18</v>
      </c>
      <c r="L1620" s="14">
        <v>54.42</v>
      </c>
      <c r="M1620" s="4" t="str">
        <f t="shared" si="100"/>
        <v>lunes</v>
      </c>
      <c r="N1620" s="4" t="str">
        <f t="shared" si="101"/>
        <v>enero</v>
      </c>
      <c r="O1620" s="4" t="str">
        <f t="shared" si="102"/>
        <v>NO</v>
      </c>
      <c r="P1620" s="4" t="str">
        <f t="shared" si="103"/>
        <v>NO</v>
      </c>
      <c r="Q1620" s="4" t="str" cm="1">
        <f t="array" ref="Q1620">_xlfn.IFS(AND(H1620&gt;=0,H1620&lt;=3333),"Grupo 1",AND(H1620&gt;3333,H1620&lt;=6666),"Grupo 2",AND(H1620&gt;6666,H1620&lt;=10000),"Grupo 3")</f>
        <v>Grupo 1</v>
      </c>
    </row>
    <row r="1621" spans="1:17" x14ac:dyDescent="0.25">
      <c r="A1621" t="s">
        <v>31</v>
      </c>
      <c r="B1621" s="2">
        <v>45238.713888888888</v>
      </c>
      <c r="C1621" t="s">
        <v>296</v>
      </c>
      <c r="D1621" t="s">
        <v>218</v>
      </c>
      <c r="E1621">
        <v>2</v>
      </c>
      <c r="F1621">
        <v>1567.18</v>
      </c>
      <c r="G1621" t="s">
        <v>221</v>
      </c>
      <c r="H1621">
        <v>3134.36</v>
      </c>
      <c r="I1621">
        <v>2023</v>
      </c>
      <c r="J1621">
        <v>11</v>
      </c>
      <c r="K1621">
        <v>17</v>
      </c>
      <c r="L1621" s="14">
        <v>1567.18</v>
      </c>
      <c r="M1621" s="4" t="str">
        <f t="shared" si="100"/>
        <v>miércoles</v>
      </c>
      <c r="N1621" s="4" t="str">
        <f t="shared" si="101"/>
        <v>noviembre</v>
      </c>
      <c r="O1621" s="4" t="str">
        <f t="shared" si="102"/>
        <v>SI</v>
      </c>
      <c r="P1621" s="4" t="str">
        <f t="shared" si="103"/>
        <v>SI</v>
      </c>
      <c r="Q1621" s="4" t="str" cm="1">
        <f t="array" ref="Q1621">_xlfn.IFS(AND(H1621&gt;=0,H1621&lt;=3333),"Grupo 1",AND(H1621&gt;3333,H1621&lt;=6666),"Grupo 2",AND(H1621&gt;6666,H1621&lt;=10000),"Grupo 3")</f>
        <v>Grupo 1</v>
      </c>
    </row>
    <row r="1622" spans="1:17" x14ac:dyDescent="0.25">
      <c r="A1622" t="s">
        <v>32</v>
      </c>
      <c r="B1622" s="2">
        <v>45231.386111111111</v>
      </c>
      <c r="C1622" t="s">
        <v>297</v>
      </c>
      <c r="D1622" t="s">
        <v>213</v>
      </c>
      <c r="E1622">
        <v>2</v>
      </c>
      <c r="F1622">
        <v>519.79999999999995</v>
      </c>
      <c r="G1622" t="s">
        <v>221</v>
      </c>
      <c r="H1622">
        <v>1039.5999999999999</v>
      </c>
      <c r="I1622">
        <v>2023</v>
      </c>
      <c r="J1622">
        <v>11</v>
      </c>
      <c r="K1622">
        <v>9</v>
      </c>
      <c r="L1622" s="14">
        <v>519.79999999999995</v>
      </c>
      <c r="M1622" s="4" t="str">
        <f t="shared" si="100"/>
        <v>miércoles</v>
      </c>
      <c r="N1622" s="4" t="str">
        <f t="shared" si="101"/>
        <v>noviembre</v>
      </c>
      <c r="O1622" s="4" t="str">
        <f t="shared" si="102"/>
        <v>NO</v>
      </c>
      <c r="P1622" s="4" t="str">
        <f t="shared" si="103"/>
        <v>NO</v>
      </c>
      <c r="Q1622" s="4" t="str" cm="1">
        <f t="array" ref="Q1622">_xlfn.IFS(AND(H1622&gt;=0,H1622&lt;=3333),"Grupo 1",AND(H1622&gt;3333,H1622&lt;=6666),"Grupo 2",AND(H1622&gt;6666,H1622&lt;=10000),"Grupo 3")</f>
        <v>Grupo 1</v>
      </c>
    </row>
    <row r="1623" spans="1:17" x14ac:dyDescent="0.25">
      <c r="A1623" t="s">
        <v>33</v>
      </c>
      <c r="B1623" s="2">
        <v>45421.563888888893</v>
      </c>
      <c r="C1623" t="s">
        <v>298</v>
      </c>
      <c r="D1623" t="s">
        <v>214</v>
      </c>
      <c r="E1623">
        <v>1</v>
      </c>
      <c r="F1623">
        <v>1267.01</v>
      </c>
      <c r="G1623" t="s">
        <v>222</v>
      </c>
      <c r="H1623">
        <v>1267.01</v>
      </c>
      <c r="I1623">
        <v>2024</v>
      </c>
      <c r="J1623">
        <v>5</v>
      </c>
      <c r="K1623">
        <v>13</v>
      </c>
      <c r="L1623" s="14">
        <v>1267.01</v>
      </c>
      <c r="M1623" s="4" t="str">
        <f t="shared" si="100"/>
        <v>jueves</v>
      </c>
      <c r="N1623" s="4" t="str">
        <f t="shared" si="101"/>
        <v>mayo</v>
      </c>
      <c r="O1623" s="4" t="str">
        <f t="shared" si="102"/>
        <v>NO</v>
      </c>
      <c r="P1623" s="4" t="str">
        <f t="shared" si="103"/>
        <v>SI</v>
      </c>
      <c r="Q1623" s="4" t="str" cm="1">
        <f t="array" ref="Q1623">_xlfn.IFS(AND(H1623&gt;=0,H1623&lt;=3333),"Grupo 1",AND(H1623&gt;3333,H1623&lt;=6666),"Grupo 2",AND(H1623&gt;6666,H1623&lt;=10000),"Grupo 3")</f>
        <v>Grupo 1</v>
      </c>
    </row>
    <row r="1624" spans="1:17" x14ac:dyDescent="0.25">
      <c r="A1624" t="s">
        <v>34</v>
      </c>
      <c r="B1624" s="2">
        <v>45437.592361111107</v>
      </c>
      <c r="C1624" t="s">
        <v>299</v>
      </c>
      <c r="D1624" t="s">
        <v>212</v>
      </c>
      <c r="E1624">
        <v>4</v>
      </c>
      <c r="F1624">
        <v>1027.81</v>
      </c>
      <c r="G1624" t="s">
        <v>220</v>
      </c>
      <c r="H1624">
        <v>4111.24</v>
      </c>
      <c r="I1624">
        <v>2024</v>
      </c>
      <c r="J1624">
        <v>5</v>
      </c>
      <c r="K1624">
        <v>14</v>
      </c>
      <c r="L1624" s="14">
        <v>1027.81</v>
      </c>
      <c r="M1624" s="4" t="str">
        <f t="shared" si="100"/>
        <v>sábado</v>
      </c>
      <c r="N1624" s="4" t="str">
        <f t="shared" si="101"/>
        <v>mayo</v>
      </c>
      <c r="O1624" s="4" t="str">
        <f t="shared" si="102"/>
        <v>SI</v>
      </c>
      <c r="P1624" s="4" t="str">
        <f t="shared" si="103"/>
        <v>SI</v>
      </c>
      <c r="Q1624" s="4" t="str" cm="1">
        <f t="array" ref="Q1624">_xlfn.IFS(AND(H1624&gt;=0,H1624&lt;=3333),"Grupo 1",AND(H1624&gt;3333,H1624&lt;=6666),"Grupo 2",AND(H1624&gt;6666,H1624&lt;=10000),"Grupo 3")</f>
        <v>Grupo 2</v>
      </c>
    </row>
    <row r="1625" spans="1:17" x14ac:dyDescent="0.25">
      <c r="A1625" t="s">
        <v>35</v>
      </c>
      <c r="B1625" s="2">
        <v>45355.487500000003</v>
      </c>
      <c r="C1625" t="s">
        <v>300</v>
      </c>
      <c r="D1625" t="s">
        <v>216</v>
      </c>
      <c r="E1625">
        <v>3</v>
      </c>
      <c r="F1625">
        <v>925.62</v>
      </c>
      <c r="G1625" t="s">
        <v>221</v>
      </c>
      <c r="H1625">
        <v>2776.86</v>
      </c>
      <c r="I1625">
        <v>2024</v>
      </c>
      <c r="J1625">
        <v>3</v>
      </c>
      <c r="K1625">
        <v>11</v>
      </c>
      <c r="L1625" s="14">
        <v>925.62</v>
      </c>
      <c r="M1625" s="4" t="str">
        <f t="shared" si="100"/>
        <v>lunes</v>
      </c>
      <c r="N1625" s="4" t="str">
        <f t="shared" si="101"/>
        <v>marzo</v>
      </c>
      <c r="O1625" s="4" t="str">
        <f t="shared" si="102"/>
        <v>NO</v>
      </c>
      <c r="P1625" s="4" t="str">
        <f t="shared" si="103"/>
        <v>NO</v>
      </c>
      <c r="Q1625" s="4" t="str" cm="1">
        <f t="array" ref="Q1625">_xlfn.IFS(AND(H1625&gt;=0,H1625&lt;=3333),"Grupo 1",AND(H1625&gt;3333,H1625&lt;=6666),"Grupo 2",AND(H1625&gt;6666,H1625&lt;=10000),"Grupo 3")</f>
        <v>Grupo 1</v>
      </c>
    </row>
    <row r="1626" spans="1:17" x14ac:dyDescent="0.25">
      <c r="A1626" t="s">
        <v>36</v>
      </c>
      <c r="B1626" s="2">
        <v>45924.43472222222</v>
      </c>
      <c r="C1626" t="s">
        <v>301</v>
      </c>
      <c r="D1626" t="s">
        <v>212</v>
      </c>
      <c r="E1626">
        <v>3</v>
      </c>
      <c r="F1626">
        <v>213.71</v>
      </c>
      <c r="G1626" t="s">
        <v>220</v>
      </c>
      <c r="H1626">
        <v>641.13</v>
      </c>
      <c r="I1626">
        <v>2025</v>
      </c>
      <c r="J1626">
        <v>9</v>
      </c>
      <c r="K1626">
        <v>10</v>
      </c>
      <c r="L1626" s="14">
        <v>213.71</v>
      </c>
      <c r="M1626" s="4" t="str">
        <f t="shared" si="100"/>
        <v>miércoles</v>
      </c>
      <c r="N1626" s="4" t="str">
        <f t="shared" si="101"/>
        <v>septiembre</v>
      </c>
      <c r="O1626" s="4" t="str">
        <f t="shared" si="102"/>
        <v>NO</v>
      </c>
      <c r="P1626" s="4" t="str">
        <f t="shared" si="103"/>
        <v>NO</v>
      </c>
      <c r="Q1626" s="4" t="str" cm="1">
        <f t="array" ref="Q1626">_xlfn.IFS(AND(H1626&gt;=0,H1626&lt;=3333),"Grupo 1",AND(H1626&gt;3333,H1626&lt;=6666),"Grupo 2",AND(H1626&gt;6666,H1626&lt;=10000),"Grupo 3")</f>
        <v>Grupo 1</v>
      </c>
    </row>
    <row r="1627" spans="1:17" x14ac:dyDescent="0.25">
      <c r="A1627" t="s">
        <v>37</v>
      </c>
      <c r="B1627" s="2">
        <v>45471.931250000001</v>
      </c>
      <c r="C1627" t="s">
        <v>302</v>
      </c>
      <c r="D1627" t="s">
        <v>217</v>
      </c>
      <c r="E1627">
        <v>2</v>
      </c>
      <c r="F1627">
        <v>1146.75</v>
      </c>
      <c r="G1627" t="s">
        <v>220</v>
      </c>
      <c r="H1627">
        <v>2293.5</v>
      </c>
      <c r="I1627">
        <v>2024</v>
      </c>
      <c r="J1627">
        <v>6</v>
      </c>
      <c r="K1627">
        <v>22</v>
      </c>
      <c r="L1627" s="14">
        <v>1146.75</v>
      </c>
      <c r="M1627" s="4" t="str">
        <f t="shared" si="100"/>
        <v>viernes</v>
      </c>
      <c r="N1627" s="4" t="str">
        <f t="shared" si="101"/>
        <v>junio</v>
      </c>
      <c r="O1627" s="4" t="str">
        <f t="shared" si="102"/>
        <v>NO</v>
      </c>
      <c r="P1627" s="4" t="str">
        <f t="shared" si="103"/>
        <v>SI</v>
      </c>
      <c r="Q1627" s="4" t="str" cm="1">
        <f t="array" ref="Q1627">_xlfn.IFS(AND(H1627&gt;=0,H1627&lt;=3333),"Grupo 1",AND(H1627&gt;3333,H1627&lt;=6666),"Grupo 2",AND(H1627&gt;6666,H1627&lt;=10000),"Grupo 3")</f>
        <v>Grupo 1</v>
      </c>
    </row>
    <row r="1628" spans="1:17" x14ac:dyDescent="0.25">
      <c r="A1628" t="s">
        <v>38</v>
      </c>
      <c r="B1628" s="2">
        <v>45003.59097222222</v>
      </c>
      <c r="C1628" t="s">
        <v>303</v>
      </c>
      <c r="D1628" t="s">
        <v>217</v>
      </c>
      <c r="E1628">
        <v>5</v>
      </c>
      <c r="F1628">
        <v>907.28</v>
      </c>
      <c r="G1628" t="s">
        <v>220</v>
      </c>
      <c r="H1628">
        <v>4536.3999999999996</v>
      </c>
      <c r="I1628">
        <v>2023</v>
      </c>
      <c r="J1628">
        <v>3</v>
      </c>
      <c r="K1628">
        <v>14</v>
      </c>
      <c r="L1628" s="14">
        <v>907.28</v>
      </c>
      <c r="M1628" s="4" t="str">
        <f t="shared" si="100"/>
        <v>sábado</v>
      </c>
      <c r="N1628" s="4" t="str">
        <f t="shared" si="101"/>
        <v>marzo</v>
      </c>
      <c r="O1628" s="4" t="str">
        <f t="shared" si="102"/>
        <v>SI</v>
      </c>
      <c r="P1628" s="4" t="str">
        <f t="shared" si="103"/>
        <v>NO</v>
      </c>
      <c r="Q1628" s="4" t="str" cm="1">
        <f t="array" ref="Q1628">_xlfn.IFS(AND(H1628&gt;=0,H1628&lt;=3333),"Grupo 1",AND(H1628&gt;3333,H1628&lt;=6666),"Grupo 2",AND(H1628&gt;6666,H1628&lt;=10000),"Grupo 3")</f>
        <v>Grupo 2</v>
      </c>
    </row>
    <row r="1629" spans="1:17" x14ac:dyDescent="0.25">
      <c r="A1629" t="s">
        <v>39</v>
      </c>
      <c r="B1629" s="2">
        <v>45206.394444444442</v>
      </c>
      <c r="C1629" t="s">
        <v>304</v>
      </c>
      <c r="D1629" t="s">
        <v>216</v>
      </c>
      <c r="E1629">
        <v>2</v>
      </c>
      <c r="F1629">
        <v>1734.44</v>
      </c>
      <c r="G1629" t="s">
        <v>221</v>
      </c>
      <c r="H1629">
        <v>3468.88</v>
      </c>
      <c r="I1629">
        <v>2023</v>
      </c>
      <c r="J1629">
        <v>10</v>
      </c>
      <c r="K1629">
        <v>9</v>
      </c>
      <c r="L1629" s="14">
        <v>1734.44</v>
      </c>
      <c r="M1629" s="4" t="str">
        <f t="shared" si="100"/>
        <v>sábado</v>
      </c>
      <c r="N1629" s="4" t="str">
        <f t="shared" si="101"/>
        <v>octubre</v>
      </c>
      <c r="O1629" s="4" t="str">
        <f t="shared" si="102"/>
        <v>SI</v>
      </c>
      <c r="P1629" s="4" t="str">
        <f t="shared" si="103"/>
        <v>SI</v>
      </c>
      <c r="Q1629" s="4" t="str" cm="1">
        <f t="array" ref="Q1629">_xlfn.IFS(AND(H1629&gt;=0,H1629&lt;=3333),"Grupo 1",AND(H1629&gt;3333,H1629&lt;=6666),"Grupo 2",AND(H1629&gt;6666,H1629&lt;=10000),"Grupo 3")</f>
        <v>Grupo 2</v>
      </c>
    </row>
    <row r="1630" spans="1:17" x14ac:dyDescent="0.25">
      <c r="A1630" t="s">
        <v>40</v>
      </c>
      <c r="B1630" s="2">
        <v>45595.773611111108</v>
      </c>
      <c r="C1630" t="s">
        <v>305</v>
      </c>
      <c r="D1630" t="s">
        <v>213</v>
      </c>
      <c r="E1630">
        <v>1</v>
      </c>
      <c r="F1630">
        <v>424.35</v>
      </c>
      <c r="G1630" t="s">
        <v>221</v>
      </c>
      <c r="H1630">
        <v>424.35</v>
      </c>
      <c r="I1630">
        <v>2024</v>
      </c>
      <c r="J1630">
        <v>10</v>
      </c>
      <c r="K1630">
        <v>18</v>
      </c>
      <c r="L1630" s="14">
        <v>424.35</v>
      </c>
      <c r="M1630" s="4" t="str">
        <f t="shared" si="100"/>
        <v>miércoles</v>
      </c>
      <c r="N1630" s="4" t="str">
        <f t="shared" si="101"/>
        <v>octubre</v>
      </c>
      <c r="O1630" s="4" t="str">
        <f t="shared" si="102"/>
        <v>NO</v>
      </c>
      <c r="P1630" s="4" t="str">
        <f t="shared" si="103"/>
        <v>NO</v>
      </c>
      <c r="Q1630" s="4" t="str" cm="1">
        <f t="array" ref="Q1630">_xlfn.IFS(AND(H1630&gt;=0,H1630&lt;=3333),"Grupo 1",AND(H1630&gt;3333,H1630&lt;=6666),"Grupo 2",AND(H1630&gt;6666,H1630&lt;=10000),"Grupo 3")</f>
        <v>Grupo 1</v>
      </c>
    </row>
    <row r="1631" spans="1:17" x14ac:dyDescent="0.25">
      <c r="A1631" t="s">
        <v>41</v>
      </c>
      <c r="B1631" s="2">
        <v>45888.736805555563</v>
      </c>
      <c r="C1631" t="s">
        <v>306</v>
      </c>
      <c r="D1631" t="s">
        <v>212</v>
      </c>
      <c r="E1631">
        <v>1</v>
      </c>
      <c r="F1631">
        <v>252.57</v>
      </c>
      <c r="G1631" t="s">
        <v>220</v>
      </c>
      <c r="H1631">
        <v>252.57</v>
      </c>
      <c r="I1631">
        <v>2025</v>
      </c>
      <c r="J1631">
        <v>8</v>
      </c>
      <c r="K1631">
        <v>17</v>
      </c>
      <c r="L1631" s="14">
        <v>252.57</v>
      </c>
      <c r="M1631" s="4" t="str">
        <f t="shared" si="100"/>
        <v>martes</v>
      </c>
      <c r="N1631" s="4" t="str">
        <f t="shared" si="101"/>
        <v>agosto</v>
      </c>
      <c r="O1631" s="4" t="str">
        <f t="shared" si="102"/>
        <v>NO</v>
      </c>
      <c r="P1631" s="4" t="str">
        <f t="shared" si="103"/>
        <v>NO</v>
      </c>
      <c r="Q1631" s="4" t="str" cm="1">
        <f t="array" ref="Q1631">_xlfn.IFS(AND(H1631&gt;=0,H1631&lt;=3333),"Grupo 1",AND(H1631&gt;3333,H1631&lt;=6666),"Grupo 2",AND(H1631&gt;6666,H1631&lt;=10000),"Grupo 3")</f>
        <v>Grupo 1</v>
      </c>
    </row>
    <row r="1632" spans="1:17" x14ac:dyDescent="0.25">
      <c r="A1632" t="s">
        <v>42</v>
      </c>
      <c r="B1632" s="2">
        <v>45478.06527777778</v>
      </c>
      <c r="C1632" t="s">
        <v>307</v>
      </c>
      <c r="D1632" t="s">
        <v>218</v>
      </c>
      <c r="E1632">
        <v>3</v>
      </c>
      <c r="F1632">
        <v>21.56</v>
      </c>
      <c r="G1632" t="s">
        <v>221</v>
      </c>
      <c r="H1632">
        <v>64.679999999999993</v>
      </c>
      <c r="I1632">
        <v>2024</v>
      </c>
      <c r="J1632">
        <v>7</v>
      </c>
      <c r="K1632">
        <v>1</v>
      </c>
      <c r="L1632" s="14">
        <v>21.56</v>
      </c>
      <c r="M1632" s="4" t="str">
        <f t="shared" si="100"/>
        <v>viernes</v>
      </c>
      <c r="N1632" s="4" t="str">
        <f t="shared" si="101"/>
        <v>julio</v>
      </c>
      <c r="O1632" s="4" t="str">
        <f t="shared" si="102"/>
        <v>NO</v>
      </c>
      <c r="P1632" s="4" t="str">
        <f t="shared" si="103"/>
        <v>NO</v>
      </c>
      <c r="Q1632" s="4" t="str" cm="1">
        <f t="array" ref="Q1632">_xlfn.IFS(AND(H1632&gt;=0,H1632&lt;=3333),"Grupo 1",AND(H1632&gt;3333,H1632&lt;=6666),"Grupo 2",AND(H1632&gt;6666,H1632&lt;=10000),"Grupo 3")</f>
        <v>Grupo 1</v>
      </c>
    </row>
    <row r="1633" spans="1:17" x14ac:dyDescent="0.25">
      <c r="A1633" t="s">
        <v>43</v>
      </c>
      <c r="B1633" s="2">
        <v>45402.668749999997</v>
      </c>
      <c r="C1633" t="s">
        <v>308</v>
      </c>
      <c r="D1633" t="s">
        <v>214</v>
      </c>
      <c r="E1633">
        <v>1</v>
      </c>
      <c r="F1633">
        <v>446.81</v>
      </c>
      <c r="G1633" t="s">
        <v>222</v>
      </c>
      <c r="H1633">
        <v>446.81</v>
      </c>
      <c r="I1633">
        <v>2024</v>
      </c>
      <c r="J1633">
        <v>4</v>
      </c>
      <c r="K1633">
        <v>16</v>
      </c>
      <c r="L1633" s="14">
        <v>446.81</v>
      </c>
      <c r="M1633" s="4" t="str">
        <f t="shared" si="100"/>
        <v>sábado</v>
      </c>
      <c r="N1633" s="4" t="str">
        <f t="shared" si="101"/>
        <v>abril</v>
      </c>
      <c r="O1633" s="4" t="str">
        <f t="shared" si="102"/>
        <v>NO</v>
      </c>
      <c r="P1633" s="4" t="str">
        <f t="shared" si="103"/>
        <v>NO</v>
      </c>
      <c r="Q1633" s="4" t="str" cm="1">
        <f t="array" ref="Q1633">_xlfn.IFS(AND(H1633&gt;=0,H1633&lt;=3333),"Grupo 1",AND(H1633&gt;3333,H1633&lt;=6666),"Grupo 2",AND(H1633&gt;6666,H1633&lt;=10000),"Grupo 3")</f>
        <v>Grupo 1</v>
      </c>
    </row>
    <row r="1634" spans="1:17" x14ac:dyDescent="0.25">
      <c r="A1634" t="s">
        <v>44</v>
      </c>
      <c r="B1634" s="2">
        <v>45033.806944444441</v>
      </c>
      <c r="C1634" t="s">
        <v>309</v>
      </c>
      <c r="D1634" t="s">
        <v>218</v>
      </c>
      <c r="E1634">
        <v>2</v>
      </c>
      <c r="F1634">
        <v>64.67</v>
      </c>
      <c r="G1634" t="s">
        <v>221</v>
      </c>
      <c r="H1634">
        <v>129.34</v>
      </c>
      <c r="I1634">
        <v>2023</v>
      </c>
      <c r="J1634">
        <v>4</v>
      </c>
      <c r="K1634">
        <v>19</v>
      </c>
      <c r="L1634" s="14">
        <v>64.67</v>
      </c>
      <c r="M1634" s="4" t="str">
        <f t="shared" si="100"/>
        <v>lunes</v>
      </c>
      <c r="N1634" s="4" t="str">
        <f t="shared" si="101"/>
        <v>abril</v>
      </c>
      <c r="O1634" s="4" t="str">
        <f t="shared" si="102"/>
        <v>NO</v>
      </c>
      <c r="P1634" s="4" t="str">
        <f t="shared" si="103"/>
        <v>NO</v>
      </c>
      <c r="Q1634" s="4" t="str" cm="1">
        <f t="array" ref="Q1634">_xlfn.IFS(AND(H1634&gt;=0,H1634&lt;=3333),"Grupo 1",AND(H1634&gt;3333,H1634&lt;=6666),"Grupo 2",AND(H1634&gt;6666,H1634&lt;=10000),"Grupo 3")</f>
        <v>Grupo 1</v>
      </c>
    </row>
    <row r="1635" spans="1:17" x14ac:dyDescent="0.25">
      <c r="A1635" t="s">
        <v>45</v>
      </c>
      <c r="B1635" s="2">
        <v>45432.781944444447</v>
      </c>
      <c r="C1635" t="s">
        <v>310</v>
      </c>
      <c r="D1635" t="s">
        <v>216</v>
      </c>
      <c r="E1635">
        <v>5</v>
      </c>
      <c r="F1635">
        <v>1168.3499999999999</v>
      </c>
      <c r="G1635" t="s">
        <v>221</v>
      </c>
      <c r="H1635">
        <v>5841.75</v>
      </c>
      <c r="I1635">
        <v>2024</v>
      </c>
      <c r="J1635">
        <v>5</v>
      </c>
      <c r="K1635">
        <v>18</v>
      </c>
      <c r="L1635" s="14">
        <v>1168.3499999999999</v>
      </c>
      <c r="M1635" s="4" t="str">
        <f t="shared" si="100"/>
        <v>lunes</v>
      </c>
      <c r="N1635" s="4" t="str">
        <f t="shared" si="101"/>
        <v>mayo</v>
      </c>
      <c r="O1635" s="4" t="str">
        <f t="shared" si="102"/>
        <v>SI</v>
      </c>
      <c r="P1635" s="4" t="str">
        <f t="shared" si="103"/>
        <v>SI</v>
      </c>
      <c r="Q1635" s="4" t="str" cm="1">
        <f t="array" ref="Q1635">_xlfn.IFS(AND(H1635&gt;=0,H1635&lt;=3333),"Grupo 1",AND(H1635&gt;3333,H1635&lt;=6666),"Grupo 2",AND(H1635&gt;6666,H1635&lt;=10000),"Grupo 3")</f>
        <v>Grupo 2</v>
      </c>
    </row>
    <row r="1636" spans="1:17" x14ac:dyDescent="0.25">
      <c r="A1636" t="s">
        <v>46</v>
      </c>
      <c r="B1636" s="2">
        <v>45746.083333333343</v>
      </c>
      <c r="C1636" t="s">
        <v>311</v>
      </c>
      <c r="D1636" t="s">
        <v>214</v>
      </c>
      <c r="E1636">
        <v>2</v>
      </c>
      <c r="F1636">
        <v>349.3</v>
      </c>
      <c r="G1636" t="s">
        <v>222</v>
      </c>
      <c r="H1636">
        <v>698.6</v>
      </c>
      <c r="I1636">
        <v>2025</v>
      </c>
      <c r="J1636">
        <v>3</v>
      </c>
      <c r="K1636">
        <v>2</v>
      </c>
      <c r="L1636" s="14">
        <v>349.3</v>
      </c>
      <c r="M1636" s="4" t="str">
        <f t="shared" si="100"/>
        <v>domingo</v>
      </c>
      <c r="N1636" s="4" t="str">
        <f t="shared" si="101"/>
        <v>marzo</v>
      </c>
      <c r="O1636" s="4" t="str">
        <f t="shared" si="102"/>
        <v>NO</v>
      </c>
      <c r="P1636" s="4" t="str">
        <f t="shared" si="103"/>
        <v>NO</v>
      </c>
      <c r="Q1636" s="4" t="str" cm="1">
        <f t="array" ref="Q1636">_xlfn.IFS(AND(H1636&gt;=0,H1636&lt;=3333),"Grupo 1",AND(H1636&gt;3333,H1636&lt;=6666),"Grupo 2",AND(H1636&gt;6666,H1636&lt;=10000),"Grupo 3")</f>
        <v>Grupo 1</v>
      </c>
    </row>
    <row r="1637" spans="1:17" x14ac:dyDescent="0.25">
      <c r="A1637" t="s">
        <v>47</v>
      </c>
      <c r="B1637" s="2">
        <v>45515.355555555558</v>
      </c>
      <c r="C1637" t="s">
        <v>312</v>
      </c>
      <c r="D1637" t="s">
        <v>216</v>
      </c>
      <c r="E1637">
        <v>3</v>
      </c>
      <c r="F1637">
        <v>1154.06</v>
      </c>
      <c r="G1637" t="s">
        <v>221</v>
      </c>
      <c r="H1637">
        <v>3462.18</v>
      </c>
      <c r="I1637">
        <v>2024</v>
      </c>
      <c r="J1637">
        <v>8</v>
      </c>
      <c r="K1637">
        <v>8</v>
      </c>
      <c r="L1637" s="14">
        <v>1154.06</v>
      </c>
      <c r="M1637" s="4" t="str">
        <f t="shared" si="100"/>
        <v>domingo</v>
      </c>
      <c r="N1637" s="4" t="str">
        <f t="shared" si="101"/>
        <v>agosto</v>
      </c>
      <c r="O1637" s="4" t="str">
        <f t="shared" si="102"/>
        <v>SI</v>
      </c>
      <c r="P1637" s="4" t="str">
        <f t="shared" si="103"/>
        <v>SI</v>
      </c>
      <c r="Q1637" s="4" t="str" cm="1">
        <f t="array" ref="Q1637">_xlfn.IFS(AND(H1637&gt;=0,H1637&lt;=3333),"Grupo 1",AND(H1637&gt;3333,H1637&lt;=6666),"Grupo 2",AND(H1637&gt;6666,H1637&lt;=10000),"Grupo 3")</f>
        <v>Grupo 2</v>
      </c>
    </row>
    <row r="1638" spans="1:17" x14ac:dyDescent="0.25">
      <c r="A1638" t="s">
        <v>48</v>
      </c>
      <c r="B1638" s="2">
        <v>45730.554861111108</v>
      </c>
      <c r="C1638" t="s">
        <v>313</v>
      </c>
      <c r="D1638" t="s">
        <v>215</v>
      </c>
      <c r="E1638">
        <v>4</v>
      </c>
      <c r="F1638">
        <v>1566.37</v>
      </c>
      <c r="G1638" t="s">
        <v>220</v>
      </c>
      <c r="H1638">
        <v>6265.48</v>
      </c>
      <c r="I1638">
        <v>2025</v>
      </c>
      <c r="J1638">
        <v>3</v>
      </c>
      <c r="K1638">
        <v>13</v>
      </c>
      <c r="L1638" s="14">
        <v>1566.37</v>
      </c>
      <c r="M1638" s="4" t="str">
        <f t="shared" si="100"/>
        <v>viernes</v>
      </c>
      <c r="N1638" s="4" t="str">
        <f t="shared" si="101"/>
        <v>marzo</v>
      </c>
      <c r="O1638" s="4" t="str">
        <f t="shared" si="102"/>
        <v>SI</v>
      </c>
      <c r="P1638" s="4" t="str">
        <f t="shared" si="103"/>
        <v>SI</v>
      </c>
      <c r="Q1638" s="4" t="str" cm="1">
        <f t="array" ref="Q1638">_xlfn.IFS(AND(H1638&gt;=0,H1638&lt;=3333),"Grupo 1",AND(H1638&gt;3333,H1638&lt;=6666),"Grupo 2",AND(H1638&gt;6666,H1638&lt;=10000),"Grupo 3")</f>
        <v>Grupo 2</v>
      </c>
    </row>
    <row r="1639" spans="1:17" x14ac:dyDescent="0.25">
      <c r="A1639" t="s">
        <v>49</v>
      </c>
      <c r="B1639" s="2">
        <v>45603.252083333333</v>
      </c>
      <c r="C1639" t="s">
        <v>314</v>
      </c>
      <c r="D1639" t="s">
        <v>212</v>
      </c>
      <c r="E1639">
        <v>2</v>
      </c>
      <c r="F1639">
        <v>674.48</v>
      </c>
      <c r="G1639" t="s">
        <v>220</v>
      </c>
      <c r="H1639">
        <v>1348.96</v>
      </c>
      <c r="I1639">
        <v>2024</v>
      </c>
      <c r="J1639">
        <v>11</v>
      </c>
      <c r="K1639">
        <v>6</v>
      </c>
      <c r="L1639" s="14">
        <v>674.48</v>
      </c>
      <c r="M1639" s="4" t="str">
        <f t="shared" si="100"/>
        <v>jueves</v>
      </c>
      <c r="N1639" s="4" t="str">
        <f t="shared" si="101"/>
        <v>noviembre</v>
      </c>
      <c r="O1639" s="4" t="str">
        <f t="shared" si="102"/>
        <v>NO</v>
      </c>
      <c r="P1639" s="4" t="str">
        <f t="shared" si="103"/>
        <v>NO</v>
      </c>
      <c r="Q1639" s="4" t="str" cm="1">
        <f t="array" ref="Q1639">_xlfn.IFS(AND(H1639&gt;=0,H1639&lt;=3333),"Grupo 1",AND(H1639&gt;3333,H1639&lt;=6666),"Grupo 2",AND(H1639&gt;6666,H1639&lt;=10000),"Grupo 3")</f>
        <v>Grupo 1</v>
      </c>
    </row>
    <row r="1640" spans="1:17" x14ac:dyDescent="0.25">
      <c r="A1640" t="s">
        <v>50</v>
      </c>
      <c r="B1640" s="2">
        <v>45420.054861111108</v>
      </c>
      <c r="C1640" t="s">
        <v>315</v>
      </c>
      <c r="D1640" t="s">
        <v>212</v>
      </c>
      <c r="E1640">
        <v>2</v>
      </c>
      <c r="F1640">
        <v>1543.98</v>
      </c>
      <c r="G1640" t="s">
        <v>220</v>
      </c>
      <c r="H1640">
        <v>3087.96</v>
      </c>
      <c r="I1640">
        <v>2024</v>
      </c>
      <c r="J1640">
        <v>5</v>
      </c>
      <c r="K1640">
        <v>1</v>
      </c>
      <c r="L1640" s="14">
        <v>1543.98</v>
      </c>
      <c r="M1640" s="4" t="str">
        <f t="shared" si="100"/>
        <v>miércoles</v>
      </c>
      <c r="N1640" s="4" t="str">
        <f t="shared" si="101"/>
        <v>mayo</v>
      </c>
      <c r="O1640" s="4" t="str">
        <f t="shared" si="102"/>
        <v>SI</v>
      </c>
      <c r="P1640" s="4" t="str">
        <f t="shared" si="103"/>
        <v>SI</v>
      </c>
      <c r="Q1640" s="4" t="str" cm="1">
        <f t="array" ref="Q1640">_xlfn.IFS(AND(H1640&gt;=0,H1640&lt;=3333),"Grupo 1",AND(H1640&gt;3333,H1640&lt;=6666),"Grupo 2",AND(H1640&gt;6666,H1640&lt;=10000),"Grupo 3")</f>
        <v>Grupo 1</v>
      </c>
    </row>
    <row r="1641" spans="1:17" x14ac:dyDescent="0.25">
      <c r="A1641" t="s">
        <v>51</v>
      </c>
      <c r="B1641" s="2">
        <v>44931.743055555547</v>
      </c>
      <c r="C1641" t="s">
        <v>316</v>
      </c>
      <c r="D1641" t="s">
        <v>217</v>
      </c>
      <c r="E1641">
        <v>5</v>
      </c>
      <c r="F1641">
        <v>917.31</v>
      </c>
      <c r="G1641" t="s">
        <v>220</v>
      </c>
      <c r="H1641">
        <v>4586.5499999999993</v>
      </c>
      <c r="I1641">
        <v>2023</v>
      </c>
      <c r="J1641">
        <v>1</v>
      </c>
      <c r="K1641">
        <v>17</v>
      </c>
      <c r="L1641" s="14">
        <v>917.30999999999983</v>
      </c>
      <c r="M1641" s="4" t="str">
        <f t="shared" si="100"/>
        <v>jueves</v>
      </c>
      <c r="N1641" s="4" t="str">
        <f t="shared" si="101"/>
        <v>enero</v>
      </c>
      <c r="O1641" s="4" t="str">
        <f t="shared" si="102"/>
        <v>SI</v>
      </c>
      <c r="P1641" s="4" t="str">
        <f t="shared" si="103"/>
        <v>NO</v>
      </c>
      <c r="Q1641" s="4" t="str" cm="1">
        <f t="array" ref="Q1641">_xlfn.IFS(AND(H1641&gt;=0,H1641&lt;=3333),"Grupo 1",AND(H1641&gt;3333,H1641&lt;=6666),"Grupo 2",AND(H1641&gt;6666,H1641&lt;=10000),"Grupo 3")</f>
        <v>Grupo 2</v>
      </c>
    </row>
    <row r="1642" spans="1:17" x14ac:dyDescent="0.25">
      <c r="A1642" t="s">
        <v>52</v>
      </c>
      <c r="B1642" s="2">
        <v>45326.684027777781</v>
      </c>
      <c r="C1642" t="s">
        <v>317</v>
      </c>
      <c r="D1642" t="s">
        <v>219</v>
      </c>
      <c r="E1642">
        <v>4</v>
      </c>
      <c r="F1642">
        <v>450.36</v>
      </c>
      <c r="G1642" t="s">
        <v>221</v>
      </c>
      <c r="H1642">
        <v>1801.44</v>
      </c>
      <c r="I1642">
        <v>2024</v>
      </c>
      <c r="J1642">
        <v>2</v>
      </c>
      <c r="K1642">
        <v>16</v>
      </c>
      <c r="L1642" s="14">
        <v>450.36</v>
      </c>
      <c r="M1642" s="4" t="str">
        <f t="shared" si="100"/>
        <v>domingo</v>
      </c>
      <c r="N1642" s="4" t="str">
        <f t="shared" si="101"/>
        <v>febrero</v>
      </c>
      <c r="O1642" s="4" t="str">
        <f t="shared" si="102"/>
        <v>NO</v>
      </c>
      <c r="P1642" s="4" t="str">
        <f t="shared" si="103"/>
        <v>NO</v>
      </c>
      <c r="Q1642" s="4" t="str" cm="1">
        <f t="array" ref="Q1642">_xlfn.IFS(AND(H1642&gt;=0,H1642&lt;=3333),"Grupo 1",AND(H1642&gt;3333,H1642&lt;=6666),"Grupo 2",AND(H1642&gt;6666,H1642&lt;=10000),"Grupo 3")</f>
        <v>Grupo 1</v>
      </c>
    </row>
    <row r="1643" spans="1:17" x14ac:dyDescent="0.25">
      <c r="A1643" t="s">
        <v>53</v>
      </c>
      <c r="B1643" s="2">
        <v>45146.872916666667</v>
      </c>
      <c r="C1643" t="s">
        <v>318</v>
      </c>
      <c r="D1643" t="s">
        <v>215</v>
      </c>
      <c r="E1643">
        <v>2</v>
      </c>
      <c r="F1643">
        <v>755.48</v>
      </c>
      <c r="G1643" t="s">
        <v>220</v>
      </c>
      <c r="H1643">
        <v>1510.96</v>
      </c>
      <c r="I1643">
        <v>2023</v>
      </c>
      <c r="J1643">
        <v>8</v>
      </c>
      <c r="K1643">
        <v>20</v>
      </c>
      <c r="L1643" s="14">
        <v>755.48</v>
      </c>
      <c r="M1643" s="4" t="str">
        <f t="shared" si="100"/>
        <v>martes</v>
      </c>
      <c r="N1643" s="4" t="str">
        <f t="shared" si="101"/>
        <v>agosto</v>
      </c>
      <c r="O1643" s="4" t="str">
        <f t="shared" si="102"/>
        <v>NO</v>
      </c>
      <c r="P1643" s="4" t="str">
        <f t="shared" si="103"/>
        <v>NO</v>
      </c>
      <c r="Q1643" s="4" t="str" cm="1">
        <f t="array" ref="Q1643">_xlfn.IFS(AND(H1643&gt;=0,H1643&lt;=3333),"Grupo 1",AND(H1643&gt;3333,H1643&lt;=6666),"Grupo 2",AND(H1643&gt;6666,H1643&lt;=10000),"Grupo 3")</f>
        <v>Grupo 1</v>
      </c>
    </row>
    <row r="1644" spans="1:17" x14ac:dyDescent="0.25">
      <c r="A1644" t="s">
        <v>54</v>
      </c>
      <c r="B1644" s="2">
        <v>45464.595833333333</v>
      </c>
      <c r="C1644" t="s">
        <v>319</v>
      </c>
      <c r="D1644" t="s">
        <v>213</v>
      </c>
      <c r="E1644">
        <v>3</v>
      </c>
      <c r="F1644">
        <v>1855.55</v>
      </c>
      <c r="G1644" t="s">
        <v>221</v>
      </c>
      <c r="H1644">
        <v>5566.65</v>
      </c>
      <c r="I1644">
        <v>2024</v>
      </c>
      <c r="J1644">
        <v>6</v>
      </c>
      <c r="K1644">
        <v>14</v>
      </c>
      <c r="L1644" s="14">
        <v>1855.55</v>
      </c>
      <c r="M1644" s="4" t="str">
        <f t="shared" si="100"/>
        <v>viernes</v>
      </c>
      <c r="N1644" s="4" t="str">
        <f t="shared" si="101"/>
        <v>junio</v>
      </c>
      <c r="O1644" s="4" t="str">
        <f t="shared" si="102"/>
        <v>SI</v>
      </c>
      <c r="P1644" s="4" t="str">
        <f t="shared" si="103"/>
        <v>SI</v>
      </c>
      <c r="Q1644" s="4" t="str" cm="1">
        <f t="array" ref="Q1644">_xlfn.IFS(AND(H1644&gt;=0,H1644&lt;=3333),"Grupo 1",AND(H1644&gt;3333,H1644&lt;=6666),"Grupo 2",AND(H1644&gt;6666,H1644&lt;=10000),"Grupo 3")</f>
        <v>Grupo 2</v>
      </c>
    </row>
    <row r="1645" spans="1:17" x14ac:dyDescent="0.25">
      <c r="A1645" t="s">
        <v>55</v>
      </c>
      <c r="B1645" s="2">
        <v>45171.9</v>
      </c>
      <c r="C1645" t="s">
        <v>320</v>
      </c>
      <c r="D1645" t="s">
        <v>216</v>
      </c>
      <c r="E1645">
        <v>5</v>
      </c>
      <c r="F1645">
        <v>1011.75</v>
      </c>
      <c r="G1645" t="s">
        <v>221</v>
      </c>
      <c r="H1645">
        <v>5058.75</v>
      </c>
      <c r="I1645">
        <v>2023</v>
      </c>
      <c r="J1645">
        <v>9</v>
      </c>
      <c r="K1645">
        <v>21</v>
      </c>
      <c r="L1645" s="14">
        <v>1011.75</v>
      </c>
      <c r="M1645" s="4" t="str">
        <f t="shared" si="100"/>
        <v>sábado</v>
      </c>
      <c r="N1645" s="4" t="str">
        <f t="shared" si="101"/>
        <v>septiembre</v>
      </c>
      <c r="O1645" s="4" t="str">
        <f t="shared" si="102"/>
        <v>SI</v>
      </c>
      <c r="P1645" s="4" t="str">
        <f t="shared" si="103"/>
        <v>SI</v>
      </c>
      <c r="Q1645" s="4" t="str" cm="1">
        <f t="array" ref="Q1645">_xlfn.IFS(AND(H1645&gt;=0,H1645&lt;=3333),"Grupo 1",AND(H1645&gt;3333,H1645&lt;=6666),"Grupo 2",AND(H1645&gt;6666,H1645&lt;=10000),"Grupo 3")</f>
        <v>Grupo 2</v>
      </c>
    </row>
    <row r="1646" spans="1:17" x14ac:dyDescent="0.25">
      <c r="A1646" t="s">
        <v>56</v>
      </c>
      <c r="B1646" s="2">
        <v>44992.136111111111</v>
      </c>
      <c r="C1646" t="s">
        <v>321</v>
      </c>
      <c r="D1646" t="s">
        <v>213</v>
      </c>
      <c r="E1646">
        <v>5</v>
      </c>
      <c r="F1646">
        <v>1218.3399999999999</v>
      </c>
      <c r="G1646" t="s">
        <v>221</v>
      </c>
      <c r="H1646">
        <v>6091.7</v>
      </c>
      <c r="I1646">
        <v>2023</v>
      </c>
      <c r="J1646">
        <v>3</v>
      </c>
      <c r="K1646">
        <v>3</v>
      </c>
      <c r="L1646" s="14">
        <v>1218.3399999999999</v>
      </c>
      <c r="M1646" s="4" t="str">
        <f t="shared" si="100"/>
        <v>martes</v>
      </c>
      <c r="N1646" s="4" t="str">
        <f t="shared" si="101"/>
        <v>marzo</v>
      </c>
      <c r="O1646" s="4" t="str">
        <f t="shared" si="102"/>
        <v>SI</v>
      </c>
      <c r="P1646" s="4" t="str">
        <f t="shared" si="103"/>
        <v>SI</v>
      </c>
      <c r="Q1646" s="4" t="str" cm="1">
        <f t="array" ref="Q1646">_xlfn.IFS(AND(H1646&gt;=0,H1646&lt;=3333),"Grupo 1",AND(H1646&gt;3333,H1646&lt;=6666),"Grupo 2",AND(H1646&gt;6666,H1646&lt;=10000),"Grupo 3")</f>
        <v>Grupo 2</v>
      </c>
    </row>
    <row r="1647" spans="1:17" x14ac:dyDescent="0.25">
      <c r="A1647" t="s">
        <v>57</v>
      </c>
      <c r="B1647" s="2">
        <v>44927.061111111107</v>
      </c>
      <c r="C1647" t="s">
        <v>322</v>
      </c>
      <c r="D1647" t="s">
        <v>216</v>
      </c>
      <c r="E1647">
        <v>2</v>
      </c>
      <c r="F1647">
        <v>361.59</v>
      </c>
      <c r="G1647" t="s">
        <v>221</v>
      </c>
      <c r="H1647">
        <v>723.18</v>
      </c>
      <c r="I1647">
        <v>2023</v>
      </c>
      <c r="J1647">
        <v>1</v>
      </c>
      <c r="K1647">
        <v>1</v>
      </c>
      <c r="L1647" s="14">
        <v>361.59</v>
      </c>
      <c r="M1647" s="4" t="str">
        <f t="shared" si="100"/>
        <v>domingo</v>
      </c>
      <c r="N1647" s="4" t="str">
        <f t="shared" si="101"/>
        <v>enero</v>
      </c>
      <c r="O1647" s="4" t="str">
        <f t="shared" si="102"/>
        <v>NO</v>
      </c>
      <c r="P1647" s="4" t="str">
        <f t="shared" si="103"/>
        <v>NO</v>
      </c>
      <c r="Q1647" s="4" t="str" cm="1">
        <f t="array" ref="Q1647">_xlfn.IFS(AND(H1647&gt;=0,H1647&lt;=3333),"Grupo 1",AND(H1647&gt;3333,H1647&lt;=6666),"Grupo 2",AND(H1647&gt;6666,H1647&lt;=10000),"Grupo 3")</f>
        <v>Grupo 1</v>
      </c>
    </row>
    <row r="1648" spans="1:17" x14ac:dyDescent="0.25">
      <c r="A1648" t="s">
        <v>58</v>
      </c>
      <c r="B1648" s="2">
        <v>45097.359027777777</v>
      </c>
      <c r="C1648" t="s">
        <v>323</v>
      </c>
      <c r="D1648" t="s">
        <v>213</v>
      </c>
      <c r="E1648">
        <v>5</v>
      </c>
      <c r="F1648">
        <v>958.8</v>
      </c>
      <c r="G1648" t="s">
        <v>221</v>
      </c>
      <c r="H1648">
        <v>4794</v>
      </c>
      <c r="I1648">
        <v>2023</v>
      </c>
      <c r="J1648">
        <v>6</v>
      </c>
      <c r="K1648">
        <v>8</v>
      </c>
      <c r="L1648" s="14">
        <v>958.8</v>
      </c>
      <c r="M1648" s="4" t="str">
        <f t="shared" si="100"/>
        <v>martes</v>
      </c>
      <c r="N1648" s="4" t="str">
        <f t="shared" si="101"/>
        <v>junio</v>
      </c>
      <c r="O1648" s="4" t="str">
        <f t="shared" si="102"/>
        <v>SI</v>
      </c>
      <c r="P1648" s="4" t="str">
        <f t="shared" si="103"/>
        <v>NO</v>
      </c>
      <c r="Q1648" s="4" t="str" cm="1">
        <f t="array" ref="Q1648">_xlfn.IFS(AND(H1648&gt;=0,H1648&lt;=3333),"Grupo 1",AND(H1648&gt;3333,H1648&lt;=6666),"Grupo 2",AND(H1648&gt;6666,H1648&lt;=10000),"Grupo 3")</f>
        <v>Grupo 2</v>
      </c>
    </row>
    <row r="1649" spans="1:17" x14ac:dyDescent="0.25">
      <c r="A1649" t="s">
        <v>59</v>
      </c>
      <c r="B1649" s="2">
        <v>45755.288194444453</v>
      </c>
      <c r="C1649" t="s">
        <v>324</v>
      </c>
      <c r="D1649" t="s">
        <v>214</v>
      </c>
      <c r="E1649">
        <v>5</v>
      </c>
      <c r="F1649">
        <v>1776.87</v>
      </c>
      <c r="G1649" t="s">
        <v>222</v>
      </c>
      <c r="H1649">
        <v>8884.3499999999985</v>
      </c>
      <c r="I1649">
        <v>2025</v>
      </c>
      <c r="J1649">
        <v>4</v>
      </c>
      <c r="K1649">
        <v>6</v>
      </c>
      <c r="L1649" s="14">
        <v>1776.87</v>
      </c>
      <c r="M1649" s="4" t="str">
        <f t="shared" si="100"/>
        <v>martes</v>
      </c>
      <c r="N1649" s="4" t="str">
        <f t="shared" si="101"/>
        <v>abril</v>
      </c>
      <c r="O1649" s="4" t="str">
        <f t="shared" si="102"/>
        <v>SI</v>
      </c>
      <c r="P1649" s="4" t="str">
        <f t="shared" si="103"/>
        <v>SI</v>
      </c>
      <c r="Q1649" s="4" t="str" cm="1">
        <f t="array" ref="Q1649">_xlfn.IFS(AND(H1649&gt;=0,H1649&lt;=3333),"Grupo 1",AND(H1649&gt;3333,H1649&lt;=6666),"Grupo 2",AND(H1649&gt;6666,H1649&lt;=10000),"Grupo 3")</f>
        <v>Grupo 3</v>
      </c>
    </row>
    <row r="1650" spans="1:17" x14ac:dyDescent="0.25">
      <c r="A1650" t="s">
        <v>60</v>
      </c>
      <c r="B1650" s="2">
        <v>45782.866666666669</v>
      </c>
      <c r="C1650" t="s">
        <v>325</v>
      </c>
      <c r="D1650" t="s">
        <v>219</v>
      </c>
      <c r="E1650">
        <v>1</v>
      </c>
      <c r="F1650">
        <v>1467.34</v>
      </c>
      <c r="G1650" t="s">
        <v>221</v>
      </c>
      <c r="H1650">
        <v>1467.34</v>
      </c>
      <c r="I1650">
        <v>2025</v>
      </c>
      <c r="J1650">
        <v>5</v>
      </c>
      <c r="K1650">
        <v>20</v>
      </c>
      <c r="L1650" s="14">
        <v>1467.34</v>
      </c>
      <c r="M1650" s="4" t="str">
        <f t="shared" si="100"/>
        <v>lunes</v>
      </c>
      <c r="N1650" s="4" t="str">
        <f t="shared" si="101"/>
        <v>mayo</v>
      </c>
      <c r="O1650" s="4" t="str">
        <f t="shared" si="102"/>
        <v>NO</v>
      </c>
      <c r="P1650" s="4" t="str">
        <f t="shared" si="103"/>
        <v>SI</v>
      </c>
      <c r="Q1650" s="4" t="str" cm="1">
        <f t="array" ref="Q1650">_xlfn.IFS(AND(H1650&gt;=0,H1650&lt;=3333),"Grupo 1",AND(H1650&gt;3333,H1650&lt;=6666),"Grupo 2",AND(H1650&gt;6666,H1650&lt;=10000),"Grupo 3")</f>
        <v>Grupo 1</v>
      </c>
    </row>
    <row r="1651" spans="1:17" x14ac:dyDescent="0.25">
      <c r="A1651" t="s">
        <v>61</v>
      </c>
      <c r="B1651" s="2">
        <v>45819.341666666667</v>
      </c>
      <c r="C1651" t="s">
        <v>326</v>
      </c>
      <c r="D1651" t="s">
        <v>214</v>
      </c>
      <c r="E1651">
        <v>3</v>
      </c>
      <c r="F1651">
        <v>683.91</v>
      </c>
      <c r="G1651" t="s">
        <v>222</v>
      </c>
      <c r="H1651">
        <v>2051.73</v>
      </c>
      <c r="I1651">
        <v>2025</v>
      </c>
      <c r="J1651">
        <v>6</v>
      </c>
      <c r="K1651">
        <v>8</v>
      </c>
      <c r="L1651" s="14">
        <v>683.91</v>
      </c>
      <c r="M1651" s="4" t="str">
        <f t="shared" si="100"/>
        <v>miércoles</v>
      </c>
      <c r="N1651" s="4" t="str">
        <f t="shared" si="101"/>
        <v>junio</v>
      </c>
      <c r="O1651" s="4" t="str">
        <f t="shared" si="102"/>
        <v>NO</v>
      </c>
      <c r="P1651" s="4" t="str">
        <f t="shared" si="103"/>
        <v>NO</v>
      </c>
      <c r="Q1651" s="4" t="str" cm="1">
        <f t="array" ref="Q1651">_xlfn.IFS(AND(H1651&gt;=0,H1651&lt;=3333),"Grupo 1",AND(H1651&gt;3333,H1651&lt;=6666),"Grupo 2",AND(H1651&gt;6666,H1651&lt;=10000),"Grupo 3")</f>
        <v>Grupo 1</v>
      </c>
    </row>
    <row r="1652" spans="1:17" x14ac:dyDescent="0.25">
      <c r="A1652" t="s">
        <v>62</v>
      </c>
      <c r="B1652" s="2">
        <v>45441.993055555547</v>
      </c>
      <c r="C1652" t="s">
        <v>327</v>
      </c>
      <c r="D1652" t="s">
        <v>214</v>
      </c>
      <c r="E1652">
        <v>1</v>
      </c>
      <c r="F1652">
        <v>1083.8599999999999</v>
      </c>
      <c r="G1652" t="s">
        <v>222</v>
      </c>
      <c r="H1652">
        <v>1083.8599999999999</v>
      </c>
      <c r="I1652">
        <v>2024</v>
      </c>
      <c r="J1652">
        <v>5</v>
      </c>
      <c r="K1652">
        <v>23</v>
      </c>
      <c r="L1652" s="14">
        <v>1083.8599999999999</v>
      </c>
      <c r="M1652" s="4" t="str">
        <f t="shared" si="100"/>
        <v>miércoles</v>
      </c>
      <c r="N1652" s="4" t="str">
        <f t="shared" si="101"/>
        <v>mayo</v>
      </c>
      <c r="O1652" s="4" t="str">
        <f t="shared" si="102"/>
        <v>NO</v>
      </c>
      <c r="P1652" s="4" t="str">
        <f t="shared" si="103"/>
        <v>SI</v>
      </c>
      <c r="Q1652" s="4" t="str" cm="1">
        <f t="array" ref="Q1652">_xlfn.IFS(AND(H1652&gt;=0,H1652&lt;=3333),"Grupo 1",AND(H1652&gt;3333,H1652&lt;=6666),"Grupo 2",AND(H1652&gt;6666,H1652&lt;=10000),"Grupo 3")</f>
        <v>Grupo 1</v>
      </c>
    </row>
    <row r="1653" spans="1:17" x14ac:dyDescent="0.25">
      <c r="A1653" t="s">
        <v>63</v>
      </c>
      <c r="B1653" s="2">
        <v>45180.999305555553</v>
      </c>
      <c r="C1653" t="s">
        <v>328</v>
      </c>
      <c r="D1653" t="s">
        <v>212</v>
      </c>
      <c r="E1653">
        <v>2</v>
      </c>
      <c r="F1653">
        <v>1551.85</v>
      </c>
      <c r="G1653" t="s">
        <v>220</v>
      </c>
      <c r="H1653">
        <v>3103.7</v>
      </c>
      <c r="I1653">
        <v>2023</v>
      </c>
      <c r="J1653">
        <v>9</v>
      </c>
      <c r="K1653">
        <v>23</v>
      </c>
      <c r="L1653" s="14">
        <v>1551.85</v>
      </c>
      <c r="M1653" s="4" t="str">
        <f t="shared" si="100"/>
        <v>lunes</v>
      </c>
      <c r="N1653" s="4" t="str">
        <f t="shared" si="101"/>
        <v>septiembre</v>
      </c>
      <c r="O1653" s="4" t="str">
        <f t="shared" si="102"/>
        <v>SI</v>
      </c>
      <c r="P1653" s="4" t="str">
        <f t="shared" si="103"/>
        <v>SI</v>
      </c>
      <c r="Q1653" s="4" t="str" cm="1">
        <f t="array" ref="Q1653">_xlfn.IFS(AND(H1653&gt;=0,H1653&lt;=3333),"Grupo 1",AND(H1653&gt;3333,H1653&lt;=6666),"Grupo 2",AND(H1653&gt;6666,H1653&lt;=10000),"Grupo 3")</f>
        <v>Grupo 1</v>
      </c>
    </row>
    <row r="1654" spans="1:17" x14ac:dyDescent="0.25">
      <c r="A1654" t="s">
        <v>64</v>
      </c>
      <c r="B1654" s="2">
        <v>45624.619444444441</v>
      </c>
      <c r="C1654" t="s">
        <v>329</v>
      </c>
      <c r="D1654" t="s">
        <v>217</v>
      </c>
      <c r="E1654">
        <v>5</v>
      </c>
      <c r="F1654">
        <v>1368.27</v>
      </c>
      <c r="G1654" t="s">
        <v>220</v>
      </c>
      <c r="H1654">
        <v>6841.35</v>
      </c>
      <c r="I1654">
        <v>2024</v>
      </c>
      <c r="J1654">
        <v>11</v>
      </c>
      <c r="K1654">
        <v>14</v>
      </c>
      <c r="L1654" s="14">
        <v>1368.27</v>
      </c>
      <c r="M1654" s="4" t="str">
        <f t="shared" si="100"/>
        <v>jueves</v>
      </c>
      <c r="N1654" s="4" t="str">
        <f t="shared" si="101"/>
        <v>noviembre</v>
      </c>
      <c r="O1654" s="4" t="str">
        <f t="shared" si="102"/>
        <v>SI</v>
      </c>
      <c r="P1654" s="4" t="str">
        <f t="shared" si="103"/>
        <v>SI</v>
      </c>
      <c r="Q1654" s="4" t="str" cm="1">
        <f t="array" ref="Q1654">_xlfn.IFS(AND(H1654&gt;=0,H1654&lt;=3333),"Grupo 1",AND(H1654&gt;3333,H1654&lt;=6666),"Grupo 2",AND(H1654&gt;6666,H1654&lt;=10000),"Grupo 3")</f>
        <v>Grupo 3</v>
      </c>
    </row>
    <row r="1655" spans="1:17" x14ac:dyDescent="0.25">
      <c r="A1655" t="s">
        <v>65</v>
      </c>
      <c r="B1655" s="2">
        <v>45447.955555555563</v>
      </c>
      <c r="C1655" t="s">
        <v>330</v>
      </c>
      <c r="D1655" t="s">
        <v>217</v>
      </c>
      <c r="E1655">
        <v>4</v>
      </c>
      <c r="F1655">
        <v>1818.88</v>
      </c>
      <c r="G1655" t="s">
        <v>220</v>
      </c>
      <c r="H1655">
        <v>7275.52</v>
      </c>
      <c r="I1655">
        <v>2024</v>
      </c>
      <c r="J1655">
        <v>6</v>
      </c>
      <c r="K1655">
        <v>22</v>
      </c>
      <c r="L1655" s="14">
        <v>1818.88</v>
      </c>
      <c r="M1655" s="4" t="str">
        <f t="shared" si="100"/>
        <v>martes</v>
      </c>
      <c r="N1655" s="4" t="str">
        <f t="shared" si="101"/>
        <v>junio</v>
      </c>
      <c r="O1655" s="4" t="str">
        <f t="shared" si="102"/>
        <v>SI</v>
      </c>
      <c r="P1655" s="4" t="str">
        <f t="shared" si="103"/>
        <v>SI</v>
      </c>
      <c r="Q1655" s="4" t="str" cm="1">
        <f t="array" ref="Q1655">_xlfn.IFS(AND(H1655&gt;=0,H1655&lt;=3333),"Grupo 1",AND(H1655&gt;3333,H1655&lt;=6666),"Grupo 2",AND(H1655&gt;6666,H1655&lt;=10000),"Grupo 3")</f>
        <v>Grupo 3</v>
      </c>
    </row>
    <row r="1656" spans="1:17" x14ac:dyDescent="0.25">
      <c r="A1656" t="s">
        <v>66</v>
      </c>
      <c r="B1656" s="2">
        <v>45051.74722222222</v>
      </c>
      <c r="C1656" t="s">
        <v>331</v>
      </c>
      <c r="D1656" t="s">
        <v>218</v>
      </c>
      <c r="E1656">
        <v>4</v>
      </c>
      <c r="F1656">
        <v>1601.32</v>
      </c>
      <c r="G1656" t="s">
        <v>221</v>
      </c>
      <c r="H1656">
        <v>6405.28</v>
      </c>
      <c r="I1656">
        <v>2023</v>
      </c>
      <c r="J1656">
        <v>5</v>
      </c>
      <c r="K1656">
        <v>17</v>
      </c>
      <c r="L1656" s="14">
        <v>1601.32</v>
      </c>
      <c r="M1656" s="4" t="str">
        <f t="shared" si="100"/>
        <v>viernes</v>
      </c>
      <c r="N1656" s="4" t="str">
        <f t="shared" si="101"/>
        <v>mayo</v>
      </c>
      <c r="O1656" s="4" t="str">
        <f t="shared" si="102"/>
        <v>SI</v>
      </c>
      <c r="P1656" s="4" t="str">
        <f t="shared" si="103"/>
        <v>SI</v>
      </c>
      <c r="Q1656" s="4" t="str" cm="1">
        <f t="array" ref="Q1656">_xlfn.IFS(AND(H1656&gt;=0,H1656&lt;=3333),"Grupo 1",AND(H1656&gt;3333,H1656&lt;=6666),"Grupo 2",AND(H1656&gt;6666,H1656&lt;=10000),"Grupo 3")</f>
        <v>Grupo 2</v>
      </c>
    </row>
    <row r="1657" spans="1:17" x14ac:dyDescent="0.25">
      <c r="A1657" t="s">
        <v>67</v>
      </c>
      <c r="B1657" s="2">
        <v>45019.26666666667</v>
      </c>
      <c r="C1657" t="s">
        <v>332</v>
      </c>
      <c r="D1657" t="s">
        <v>213</v>
      </c>
      <c r="E1657">
        <v>4</v>
      </c>
      <c r="F1657">
        <v>177.79</v>
      </c>
      <c r="G1657" t="s">
        <v>221</v>
      </c>
      <c r="H1657">
        <v>711.16</v>
      </c>
      <c r="I1657">
        <v>2023</v>
      </c>
      <c r="J1657">
        <v>4</v>
      </c>
      <c r="K1657">
        <v>6</v>
      </c>
      <c r="L1657" s="14">
        <v>177.79</v>
      </c>
      <c r="M1657" s="4" t="str">
        <f t="shared" si="100"/>
        <v>lunes</v>
      </c>
      <c r="N1657" s="4" t="str">
        <f t="shared" si="101"/>
        <v>abril</v>
      </c>
      <c r="O1657" s="4" t="str">
        <f t="shared" si="102"/>
        <v>NO</v>
      </c>
      <c r="P1657" s="4" t="str">
        <f t="shared" si="103"/>
        <v>NO</v>
      </c>
      <c r="Q1657" s="4" t="str" cm="1">
        <f t="array" ref="Q1657">_xlfn.IFS(AND(H1657&gt;=0,H1657&lt;=3333),"Grupo 1",AND(H1657&gt;3333,H1657&lt;=6666),"Grupo 2",AND(H1657&gt;6666,H1657&lt;=10000),"Grupo 3")</f>
        <v>Grupo 1</v>
      </c>
    </row>
    <row r="1658" spans="1:17" x14ac:dyDescent="0.25">
      <c r="A1658" t="s">
        <v>68</v>
      </c>
      <c r="B1658" s="2">
        <v>44969.094444444447</v>
      </c>
      <c r="C1658" t="s">
        <v>333</v>
      </c>
      <c r="D1658" t="s">
        <v>213</v>
      </c>
      <c r="E1658">
        <v>1</v>
      </c>
      <c r="F1658">
        <v>83.48</v>
      </c>
      <c r="G1658" t="s">
        <v>221</v>
      </c>
      <c r="H1658">
        <v>83.48</v>
      </c>
      <c r="I1658">
        <v>2023</v>
      </c>
      <c r="J1658">
        <v>2</v>
      </c>
      <c r="K1658">
        <v>2</v>
      </c>
      <c r="L1658" s="14">
        <v>83.48</v>
      </c>
      <c r="M1658" s="4" t="str">
        <f t="shared" si="100"/>
        <v>domingo</v>
      </c>
      <c r="N1658" s="4" t="str">
        <f t="shared" si="101"/>
        <v>febrero</v>
      </c>
      <c r="O1658" s="4" t="str">
        <f t="shared" si="102"/>
        <v>NO</v>
      </c>
      <c r="P1658" s="4" t="str">
        <f t="shared" si="103"/>
        <v>NO</v>
      </c>
      <c r="Q1658" s="4" t="str" cm="1">
        <f t="array" ref="Q1658">_xlfn.IFS(AND(H1658&gt;=0,H1658&lt;=3333),"Grupo 1",AND(H1658&gt;3333,H1658&lt;=6666),"Grupo 2",AND(H1658&gt;6666,H1658&lt;=10000),"Grupo 3")</f>
        <v>Grupo 1</v>
      </c>
    </row>
    <row r="1659" spans="1:17" x14ac:dyDescent="0.25">
      <c r="A1659" t="s">
        <v>69</v>
      </c>
      <c r="B1659" s="2">
        <v>45091.519444444442</v>
      </c>
      <c r="C1659" t="s">
        <v>334</v>
      </c>
      <c r="D1659" t="s">
        <v>219</v>
      </c>
      <c r="E1659">
        <v>1</v>
      </c>
      <c r="F1659">
        <v>1372.72</v>
      </c>
      <c r="G1659" t="s">
        <v>221</v>
      </c>
      <c r="H1659">
        <v>1372.72</v>
      </c>
      <c r="I1659">
        <v>2023</v>
      </c>
      <c r="J1659">
        <v>6</v>
      </c>
      <c r="K1659">
        <v>12</v>
      </c>
      <c r="L1659" s="14">
        <v>1372.72</v>
      </c>
      <c r="M1659" s="4" t="str">
        <f t="shared" si="100"/>
        <v>miércoles</v>
      </c>
      <c r="N1659" s="4" t="str">
        <f t="shared" si="101"/>
        <v>junio</v>
      </c>
      <c r="O1659" s="4" t="str">
        <f t="shared" si="102"/>
        <v>NO</v>
      </c>
      <c r="P1659" s="4" t="str">
        <f t="shared" si="103"/>
        <v>SI</v>
      </c>
      <c r="Q1659" s="4" t="str" cm="1">
        <f t="array" ref="Q1659">_xlfn.IFS(AND(H1659&gt;=0,H1659&lt;=3333),"Grupo 1",AND(H1659&gt;3333,H1659&lt;=6666),"Grupo 2",AND(H1659&gt;6666,H1659&lt;=10000),"Grupo 3")</f>
        <v>Grupo 1</v>
      </c>
    </row>
    <row r="1660" spans="1:17" x14ac:dyDescent="0.25">
      <c r="A1660" t="s">
        <v>70</v>
      </c>
      <c r="B1660" s="2">
        <v>45494</v>
      </c>
      <c r="C1660" t="s">
        <v>335</v>
      </c>
      <c r="D1660" t="s">
        <v>212</v>
      </c>
      <c r="E1660">
        <v>1</v>
      </c>
      <c r="F1660">
        <v>1618.91</v>
      </c>
      <c r="G1660" t="s">
        <v>220</v>
      </c>
      <c r="H1660">
        <v>1618.91</v>
      </c>
      <c r="I1660">
        <v>2024</v>
      </c>
      <c r="J1660">
        <v>7</v>
      </c>
      <c r="K1660">
        <v>0</v>
      </c>
      <c r="L1660" s="14">
        <v>1618.91</v>
      </c>
      <c r="M1660" s="4" t="str">
        <f t="shared" si="100"/>
        <v>domingo</v>
      </c>
      <c r="N1660" s="4" t="str">
        <f t="shared" si="101"/>
        <v>julio</v>
      </c>
      <c r="O1660" s="4" t="str">
        <f t="shared" si="102"/>
        <v>NO</v>
      </c>
      <c r="P1660" s="4" t="str">
        <f t="shared" si="103"/>
        <v>SI</v>
      </c>
      <c r="Q1660" s="4" t="str" cm="1">
        <f t="array" ref="Q1660">_xlfn.IFS(AND(H1660&gt;=0,H1660&lt;=3333),"Grupo 1",AND(H1660&gt;3333,H1660&lt;=6666),"Grupo 2",AND(H1660&gt;6666,H1660&lt;=10000),"Grupo 3")</f>
        <v>Grupo 1</v>
      </c>
    </row>
    <row r="1661" spans="1:17" x14ac:dyDescent="0.25">
      <c r="A1661" t="s">
        <v>71</v>
      </c>
      <c r="B1661" s="2">
        <v>45364.463194444441</v>
      </c>
      <c r="C1661" t="s">
        <v>336</v>
      </c>
      <c r="D1661" t="s">
        <v>215</v>
      </c>
      <c r="E1661">
        <v>4</v>
      </c>
      <c r="F1661">
        <v>530.65</v>
      </c>
      <c r="G1661" t="s">
        <v>220</v>
      </c>
      <c r="H1661">
        <v>2122.6</v>
      </c>
      <c r="I1661">
        <v>2024</v>
      </c>
      <c r="J1661">
        <v>3</v>
      </c>
      <c r="K1661">
        <v>11</v>
      </c>
      <c r="L1661" s="14">
        <v>530.65</v>
      </c>
      <c r="M1661" s="4" t="str">
        <f t="shared" si="100"/>
        <v>miércoles</v>
      </c>
      <c r="N1661" s="4" t="str">
        <f t="shared" si="101"/>
        <v>marzo</v>
      </c>
      <c r="O1661" s="4" t="str">
        <f t="shared" si="102"/>
        <v>NO</v>
      </c>
      <c r="P1661" s="4" t="str">
        <f t="shared" si="103"/>
        <v>NO</v>
      </c>
      <c r="Q1661" s="4" t="str" cm="1">
        <f t="array" ref="Q1661">_xlfn.IFS(AND(H1661&gt;=0,H1661&lt;=3333),"Grupo 1",AND(H1661&gt;3333,H1661&lt;=6666),"Grupo 2",AND(H1661&gt;6666,H1661&lt;=10000),"Grupo 3")</f>
        <v>Grupo 1</v>
      </c>
    </row>
    <row r="1662" spans="1:17" x14ac:dyDescent="0.25">
      <c r="A1662" t="s">
        <v>72</v>
      </c>
      <c r="B1662" s="2">
        <v>45583.023611111108</v>
      </c>
      <c r="C1662" t="s">
        <v>337</v>
      </c>
      <c r="D1662" t="s">
        <v>216</v>
      </c>
      <c r="E1662">
        <v>5</v>
      </c>
      <c r="F1662">
        <v>418.83</v>
      </c>
      <c r="G1662" t="s">
        <v>221</v>
      </c>
      <c r="H1662">
        <v>2094.15</v>
      </c>
      <c r="I1662">
        <v>2024</v>
      </c>
      <c r="J1662">
        <v>10</v>
      </c>
      <c r="K1662">
        <v>0</v>
      </c>
      <c r="L1662" s="14">
        <v>418.83</v>
      </c>
      <c r="M1662" s="4" t="str">
        <f t="shared" si="100"/>
        <v>viernes</v>
      </c>
      <c r="N1662" s="4" t="str">
        <f t="shared" si="101"/>
        <v>octubre</v>
      </c>
      <c r="O1662" s="4" t="str">
        <f t="shared" si="102"/>
        <v>NO</v>
      </c>
      <c r="P1662" s="4" t="str">
        <f t="shared" si="103"/>
        <v>NO</v>
      </c>
      <c r="Q1662" s="4" t="str" cm="1">
        <f t="array" ref="Q1662">_xlfn.IFS(AND(H1662&gt;=0,H1662&lt;=3333),"Grupo 1",AND(H1662&gt;3333,H1662&lt;=6666),"Grupo 2",AND(H1662&gt;6666,H1662&lt;=10000),"Grupo 3")</f>
        <v>Grupo 1</v>
      </c>
    </row>
    <row r="1663" spans="1:17" x14ac:dyDescent="0.25">
      <c r="A1663" t="s">
        <v>73</v>
      </c>
      <c r="B1663" s="2">
        <v>45779.546527777777</v>
      </c>
      <c r="C1663" t="s">
        <v>338</v>
      </c>
      <c r="D1663" t="s">
        <v>214</v>
      </c>
      <c r="E1663">
        <v>3</v>
      </c>
      <c r="F1663">
        <v>664.98</v>
      </c>
      <c r="G1663" t="s">
        <v>222</v>
      </c>
      <c r="H1663">
        <v>1994.94</v>
      </c>
      <c r="I1663">
        <v>2025</v>
      </c>
      <c r="J1663">
        <v>5</v>
      </c>
      <c r="K1663">
        <v>13</v>
      </c>
      <c r="L1663" s="14">
        <v>664.98</v>
      </c>
      <c r="M1663" s="4" t="str">
        <f t="shared" si="100"/>
        <v>viernes</v>
      </c>
      <c r="N1663" s="4" t="str">
        <f t="shared" si="101"/>
        <v>mayo</v>
      </c>
      <c r="O1663" s="4" t="str">
        <f t="shared" si="102"/>
        <v>NO</v>
      </c>
      <c r="P1663" s="4" t="str">
        <f t="shared" si="103"/>
        <v>NO</v>
      </c>
      <c r="Q1663" s="4" t="str" cm="1">
        <f t="array" ref="Q1663">_xlfn.IFS(AND(H1663&gt;=0,H1663&lt;=3333),"Grupo 1",AND(H1663&gt;3333,H1663&lt;=6666),"Grupo 2",AND(H1663&gt;6666,H1663&lt;=10000),"Grupo 3")</f>
        <v>Grupo 1</v>
      </c>
    </row>
    <row r="1664" spans="1:17" x14ac:dyDescent="0.25">
      <c r="A1664" t="s">
        <v>74</v>
      </c>
      <c r="B1664" s="2">
        <v>45516.480555555558</v>
      </c>
      <c r="C1664" t="s">
        <v>339</v>
      </c>
      <c r="D1664" t="s">
        <v>217</v>
      </c>
      <c r="E1664">
        <v>1</v>
      </c>
      <c r="F1664">
        <v>1322.41</v>
      </c>
      <c r="G1664" t="s">
        <v>220</v>
      </c>
      <c r="H1664">
        <v>1322.41</v>
      </c>
      <c r="I1664">
        <v>2024</v>
      </c>
      <c r="J1664">
        <v>8</v>
      </c>
      <c r="K1664">
        <v>11</v>
      </c>
      <c r="L1664" s="14">
        <v>1322.41</v>
      </c>
      <c r="M1664" s="4" t="str">
        <f t="shared" si="100"/>
        <v>lunes</v>
      </c>
      <c r="N1664" s="4" t="str">
        <f t="shared" si="101"/>
        <v>agosto</v>
      </c>
      <c r="O1664" s="4" t="str">
        <f t="shared" si="102"/>
        <v>NO</v>
      </c>
      <c r="P1664" s="4" t="str">
        <f t="shared" si="103"/>
        <v>SI</v>
      </c>
      <c r="Q1664" s="4" t="str" cm="1">
        <f t="array" ref="Q1664">_xlfn.IFS(AND(H1664&gt;=0,H1664&lt;=3333),"Grupo 1",AND(H1664&gt;3333,H1664&lt;=6666),"Grupo 2",AND(H1664&gt;6666,H1664&lt;=10000),"Grupo 3")</f>
        <v>Grupo 1</v>
      </c>
    </row>
    <row r="1665" spans="1:17" x14ac:dyDescent="0.25">
      <c r="A1665" t="s">
        <v>75</v>
      </c>
      <c r="B1665" s="2">
        <v>45285.25277777778</v>
      </c>
      <c r="C1665" t="s">
        <v>340</v>
      </c>
      <c r="D1665" t="s">
        <v>212</v>
      </c>
      <c r="E1665">
        <v>4</v>
      </c>
      <c r="F1665">
        <v>1467.27</v>
      </c>
      <c r="G1665" t="s">
        <v>220</v>
      </c>
      <c r="H1665">
        <v>5869.08</v>
      </c>
      <c r="I1665">
        <v>2023</v>
      </c>
      <c r="J1665">
        <v>12</v>
      </c>
      <c r="K1665">
        <v>6</v>
      </c>
      <c r="L1665" s="14">
        <v>1467.27</v>
      </c>
      <c r="M1665" s="4" t="str">
        <f t="shared" si="100"/>
        <v>lunes</v>
      </c>
      <c r="N1665" s="4" t="str">
        <f t="shared" si="101"/>
        <v>diciembre</v>
      </c>
      <c r="O1665" s="4" t="str">
        <f t="shared" si="102"/>
        <v>SI</v>
      </c>
      <c r="P1665" s="4" t="str">
        <f t="shared" si="103"/>
        <v>SI</v>
      </c>
      <c r="Q1665" s="4" t="str" cm="1">
        <f t="array" ref="Q1665">_xlfn.IFS(AND(H1665&gt;=0,H1665&lt;=3333),"Grupo 1",AND(H1665&gt;3333,H1665&lt;=6666),"Grupo 2",AND(H1665&gt;6666,H1665&lt;=10000),"Grupo 3")</f>
        <v>Grupo 2</v>
      </c>
    </row>
    <row r="1666" spans="1:17" x14ac:dyDescent="0.25">
      <c r="A1666" t="s">
        <v>76</v>
      </c>
      <c r="B1666" s="2">
        <v>45297.965277777781</v>
      </c>
      <c r="C1666" t="s">
        <v>341</v>
      </c>
      <c r="D1666" t="s">
        <v>215</v>
      </c>
      <c r="E1666">
        <v>4</v>
      </c>
      <c r="F1666">
        <v>1804.12</v>
      </c>
      <c r="G1666" t="s">
        <v>220</v>
      </c>
      <c r="H1666">
        <v>7216.48</v>
      </c>
      <c r="I1666">
        <v>2024</v>
      </c>
      <c r="J1666">
        <v>1</v>
      </c>
      <c r="K1666">
        <v>23</v>
      </c>
      <c r="L1666" s="14">
        <v>1804.12</v>
      </c>
      <c r="M1666" s="4" t="str">
        <f t="shared" ref="M1666:M1729" si="104">TEXT(B1666,"dddd")</f>
        <v>sábado</v>
      </c>
      <c r="N1666" s="4" t="str">
        <f t="shared" ref="N1666:N1729" si="105">TEXT(B1666,"mmmm")</f>
        <v>enero</v>
      </c>
      <c r="O1666" s="4" t="str">
        <f t="shared" si="102"/>
        <v>SI</v>
      </c>
      <c r="P1666" s="4" t="str">
        <f t="shared" si="103"/>
        <v>SI</v>
      </c>
      <c r="Q1666" s="4" t="str" cm="1">
        <f t="array" ref="Q1666">_xlfn.IFS(AND(H1666&gt;=0,H1666&lt;=3333),"Grupo 1",AND(H1666&gt;3333,H1666&lt;=6666),"Grupo 2",AND(H1666&gt;6666,H1666&lt;=10000),"Grupo 3")</f>
        <v>Grupo 3</v>
      </c>
    </row>
    <row r="1667" spans="1:17" x14ac:dyDescent="0.25">
      <c r="A1667" t="s">
        <v>77</v>
      </c>
      <c r="B1667" s="2">
        <v>45434.519444444442</v>
      </c>
      <c r="C1667" t="s">
        <v>342</v>
      </c>
      <c r="D1667" t="s">
        <v>219</v>
      </c>
      <c r="E1667">
        <v>1</v>
      </c>
      <c r="F1667">
        <v>1172.72</v>
      </c>
      <c r="G1667" t="s">
        <v>221</v>
      </c>
      <c r="H1667">
        <v>1172.72</v>
      </c>
      <c r="I1667">
        <v>2024</v>
      </c>
      <c r="J1667">
        <v>5</v>
      </c>
      <c r="K1667">
        <v>12</v>
      </c>
      <c r="L1667" s="14">
        <v>1172.72</v>
      </c>
      <c r="M1667" s="4" t="str">
        <f t="shared" si="104"/>
        <v>miércoles</v>
      </c>
      <c r="N1667" s="4" t="str">
        <f t="shared" si="105"/>
        <v>mayo</v>
      </c>
      <c r="O1667" s="4" t="str">
        <f t="shared" ref="O1667:O1730" si="106">IF(H1667&gt;AVERAGE(H:H),"SI","NO")</f>
        <v>NO</v>
      </c>
      <c r="P1667" s="4" t="str">
        <f t="shared" ref="P1667:P1730" si="107">IF(L1667&gt;AVERAGE(L:L),"SI","NO")</f>
        <v>SI</v>
      </c>
      <c r="Q1667" s="4" t="str" cm="1">
        <f t="array" ref="Q1667">_xlfn.IFS(AND(H1667&gt;=0,H1667&lt;=3333),"Grupo 1",AND(H1667&gt;3333,H1667&lt;=6666),"Grupo 2",AND(H1667&gt;6666,H1667&lt;=10000),"Grupo 3")</f>
        <v>Grupo 1</v>
      </c>
    </row>
    <row r="1668" spans="1:17" x14ac:dyDescent="0.25">
      <c r="A1668" t="s">
        <v>78</v>
      </c>
      <c r="B1668" s="2">
        <v>45290.050694444442</v>
      </c>
      <c r="C1668" t="s">
        <v>343</v>
      </c>
      <c r="D1668" t="s">
        <v>218</v>
      </c>
      <c r="E1668">
        <v>1</v>
      </c>
      <c r="F1668">
        <v>725.07</v>
      </c>
      <c r="G1668" t="s">
        <v>221</v>
      </c>
      <c r="H1668">
        <v>725.07</v>
      </c>
      <c r="I1668">
        <v>2023</v>
      </c>
      <c r="J1668">
        <v>12</v>
      </c>
      <c r="K1668">
        <v>1</v>
      </c>
      <c r="L1668" s="14">
        <v>725.07</v>
      </c>
      <c r="M1668" s="4" t="str">
        <f t="shared" si="104"/>
        <v>sábado</v>
      </c>
      <c r="N1668" s="4" t="str">
        <f t="shared" si="105"/>
        <v>diciembre</v>
      </c>
      <c r="O1668" s="4" t="str">
        <f t="shared" si="106"/>
        <v>NO</v>
      </c>
      <c r="P1668" s="4" t="str">
        <f t="shared" si="107"/>
        <v>NO</v>
      </c>
      <c r="Q1668" s="4" t="str" cm="1">
        <f t="array" ref="Q1668">_xlfn.IFS(AND(H1668&gt;=0,H1668&lt;=3333),"Grupo 1",AND(H1668&gt;3333,H1668&lt;=6666),"Grupo 2",AND(H1668&gt;6666,H1668&lt;=10000),"Grupo 3")</f>
        <v>Grupo 1</v>
      </c>
    </row>
    <row r="1669" spans="1:17" x14ac:dyDescent="0.25">
      <c r="A1669" t="s">
        <v>79</v>
      </c>
      <c r="B1669" s="2">
        <v>45684.334027777782</v>
      </c>
      <c r="C1669" t="s">
        <v>344</v>
      </c>
      <c r="D1669" t="s">
        <v>212</v>
      </c>
      <c r="E1669">
        <v>5</v>
      </c>
      <c r="F1669">
        <v>563.69000000000005</v>
      </c>
      <c r="G1669" t="s">
        <v>220</v>
      </c>
      <c r="H1669">
        <v>2818.45</v>
      </c>
      <c r="I1669">
        <v>2025</v>
      </c>
      <c r="J1669">
        <v>1</v>
      </c>
      <c r="K1669">
        <v>8</v>
      </c>
      <c r="L1669" s="14">
        <v>563.69000000000005</v>
      </c>
      <c r="M1669" s="4" t="str">
        <f t="shared" si="104"/>
        <v>lunes</v>
      </c>
      <c r="N1669" s="4" t="str">
        <f t="shared" si="105"/>
        <v>enero</v>
      </c>
      <c r="O1669" s="4" t="str">
        <f t="shared" si="106"/>
        <v>NO</v>
      </c>
      <c r="P1669" s="4" t="str">
        <f t="shared" si="107"/>
        <v>NO</v>
      </c>
      <c r="Q1669" s="4" t="str" cm="1">
        <f t="array" ref="Q1669">_xlfn.IFS(AND(H1669&gt;=0,H1669&lt;=3333),"Grupo 1",AND(H1669&gt;3333,H1669&lt;=6666),"Grupo 2",AND(H1669&gt;6666,H1669&lt;=10000),"Grupo 3")</f>
        <v>Grupo 1</v>
      </c>
    </row>
    <row r="1670" spans="1:17" x14ac:dyDescent="0.25">
      <c r="A1670" t="s">
        <v>80</v>
      </c>
      <c r="B1670" s="2">
        <v>45222.202777777777</v>
      </c>
      <c r="C1670" t="s">
        <v>345</v>
      </c>
      <c r="D1670" t="s">
        <v>219</v>
      </c>
      <c r="E1670">
        <v>5</v>
      </c>
      <c r="F1670">
        <v>1547.41</v>
      </c>
      <c r="G1670" t="s">
        <v>221</v>
      </c>
      <c r="H1670">
        <v>7737.05</v>
      </c>
      <c r="I1670">
        <v>2023</v>
      </c>
      <c r="J1670">
        <v>10</v>
      </c>
      <c r="K1670">
        <v>4</v>
      </c>
      <c r="L1670" s="14">
        <v>1547.41</v>
      </c>
      <c r="M1670" s="4" t="str">
        <f t="shared" si="104"/>
        <v>lunes</v>
      </c>
      <c r="N1670" s="4" t="str">
        <f t="shared" si="105"/>
        <v>octubre</v>
      </c>
      <c r="O1670" s="4" t="str">
        <f t="shared" si="106"/>
        <v>SI</v>
      </c>
      <c r="P1670" s="4" t="str">
        <f t="shared" si="107"/>
        <v>SI</v>
      </c>
      <c r="Q1670" s="4" t="str" cm="1">
        <f t="array" ref="Q1670">_xlfn.IFS(AND(H1670&gt;=0,H1670&lt;=3333),"Grupo 1",AND(H1670&gt;3333,H1670&lt;=6666),"Grupo 2",AND(H1670&gt;6666,H1670&lt;=10000),"Grupo 3")</f>
        <v>Grupo 3</v>
      </c>
    </row>
    <row r="1671" spans="1:17" x14ac:dyDescent="0.25">
      <c r="A1671" t="s">
        <v>81</v>
      </c>
      <c r="B1671" s="2">
        <v>45274.597916666673</v>
      </c>
      <c r="C1671" t="s">
        <v>346</v>
      </c>
      <c r="D1671" t="s">
        <v>216</v>
      </c>
      <c r="E1671">
        <v>2</v>
      </c>
      <c r="F1671">
        <v>1903.65</v>
      </c>
      <c r="G1671" t="s">
        <v>221</v>
      </c>
      <c r="H1671">
        <v>3807.3</v>
      </c>
      <c r="I1671">
        <v>2023</v>
      </c>
      <c r="J1671">
        <v>12</v>
      </c>
      <c r="K1671">
        <v>14</v>
      </c>
      <c r="L1671" s="14">
        <v>1903.65</v>
      </c>
      <c r="M1671" s="4" t="str">
        <f t="shared" si="104"/>
        <v>jueves</v>
      </c>
      <c r="N1671" s="4" t="str">
        <f t="shared" si="105"/>
        <v>diciembre</v>
      </c>
      <c r="O1671" s="4" t="str">
        <f t="shared" si="106"/>
        <v>SI</v>
      </c>
      <c r="P1671" s="4" t="str">
        <f t="shared" si="107"/>
        <v>SI</v>
      </c>
      <c r="Q1671" s="4" t="str" cm="1">
        <f t="array" ref="Q1671">_xlfn.IFS(AND(H1671&gt;=0,H1671&lt;=3333),"Grupo 1",AND(H1671&gt;3333,H1671&lt;=6666),"Grupo 2",AND(H1671&gt;6666,H1671&lt;=10000),"Grupo 3")</f>
        <v>Grupo 2</v>
      </c>
    </row>
    <row r="1672" spans="1:17" x14ac:dyDescent="0.25">
      <c r="A1672" t="s">
        <v>82</v>
      </c>
      <c r="B1672" s="2">
        <v>45358.874305555553</v>
      </c>
      <c r="C1672" t="s">
        <v>347</v>
      </c>
      <c r="D1672" t="s">
        <v>215</v>
      </c>
      <c r="E1672">
        <v>2</v>
      </c>
      <c r="F1672">
        <v>1198.2</v>
      </c>
      <c r="G1672" t="s">
        <v>220</v>
      </c>
      <c r="H1672">
        <v>2396.4</v>
      </c>
      <c r="I1672">
        <v>2024</v>
      </c>
      <c r="J1672">
        <v>3</v>
      </c>
      <c r="K1672">
        <v>20</v>
      </c>
      <c r="L1672" s="14">
        <v>1198.2</v>
      </c>
      <c r="M1672" s="4" t="str">
        <f t="shared" si="104"/>
        <v>jueves</v>
      </c>
      <c r="N1672" s="4" t="str">
        <f t="shared" si="105"/>
        <v>marzo</v>
      </c>
      <c r="O1672" s="4" t="str">
        <f t="shared" si="106"/>
        <v>NO</v>
      </c>
      <c r="P1672" s="4" t="str">
        <f t="shared" si="107"/>
        <v>SI</v>
      </c>
      <c r="Q1672" s="4" t="str" cm="1">
        <f t="array" ref="Q1672">_xlfn.IFS(AND(H1672&gt;=0,H1672&lt;=3333),"Grupo 1",AND(H1672&gt;3333,H1672&lt;=6666),"Grupo 2",AND(H1672&gt;6666,H1672&lt;=10000),"Grupo 3")</f>
        <v>Grupo 1</v>
      </c>
    </row>
    <row r="1673" spans="1:17" x14ac:dyDescent="0.25">
      <c r="A1673" t="s">
        <v>83</v>
      </c>
      <c r="B1673" s="2">
        <v>45850.171527777777</v>
      </c>
      <c r="C1673" t="s">
        <v>348</v>
      </c>
      <c r="D1673" t="s">
        <v>213</v>
      </c>
      <c r="E1673">
        <v>3</v>
      </c>
      <c r="F1673">
        <v>543.72</v>
      </c>
      <c r="G1673" t="s">
        <v>221</v>
      </c>
      <c r="H1673">
        <v>1631.16</v>
      </c>
      <c r="I1673">
        <v>2025</v>
      </c>
      <c r="J1673">
        <v>7</v>
      </c>
      <c r="K1673">
        <v>4</v>
      </c>
      <c r="L1673" s="14">
        <v>543.72</v>
      </c>
      <c r="M1673" s="4" t="str">
        <f t="shared" si="104"/>
        <v>sábado</v>
      </c>
      <c r="N1673" s="4" t="str">
        <f t="shared" si="105"/>
        <v>julio</v>
      </c>
      <c r="O1673" s="4" t="str">
        <f t="shared" si="106"/>
        <v>NO</v>
      </c>
      <c r="P1673" s="4" t="str">
        <f t="shared" si="107"/>
        <v>NO</v>
      </c>
      <c r="Q1673" s="4" t="str" cm="1">
        <f t="array" ref="Q1673">_xlfn.IFS(AND(H1673&gt;=0,H1673&lt;=3333),"Grupo 1",AND(H1673&gt;3333,H1673&lt;=6666),"Grupo 2",AND(H1673&gt;6666,H1673&lt;=10000),"Grupo 3")</f>
        <v>Grupo 1</v>
      </c>
    </row>
    <row r="1674" spans="1:17" x14ac:dyDescent="0.25">
      <c r="A1674" t="s">
        <v>84</v>
      </c>
      <c r="B1674" s="2">
        <v>45041.884027777778</v>
      </c>
      <c r="C1674" t="s">
        <v>349</v>
      </c>
      <c r="D1674" t="s">
        <v>216</v>
      </c>
      <c r="E1674">
        <v>2</v>
      </c>
      <c r="F1674">
        <v>1449.53</v>
      </c>
      <c r="G1674" t="s">
        <v>221</v>
      </c>
      <c r="H1674">
        <v>2899.06</v>
      </c>
      <c r="I1674">
        <v>2023</v>
      </c>
      <c r="J1674">
        <v>4</v>
      </c>
      <c r="K1674">
        <v>21</v>
      </c>
      <c r="L1674" s="14">
        <v>1449.53</v>
      </c>
      <c r="M1674" s="4" t="str">
        <f t="shared" si="104"/>
        <v>martes</v>
      </c>
      <c r="N1674" s="4" t="str">
        <f t="shared" si="105"/>
        <v>abril</v>
      </c>
      <c r="O1674" s="4" t="str">
        <f t="shared" si="106"/>
        <v>SI</v>
      </c>
      <c r="P1674" s="4" t="str">
        <f t="shared" si="107"/>
        <v>SI</v>
      </c>
      <c r="Q1674" s="4" t="str" cm="1">
        <f t="array" ref="Q1674">_xlfn.IFS(AND(H1674&gt;=0,H1674&lt;=3333),"Grupo 1",AND(H1674&gt;3333,H1674&lt;=6666),"Grupo 2",AND(H1674&gt;6666,H1674&lt;=10000),"Grupo 3")</f>
        <v>Grupo 1</v>
      </c>
    </row>
    <row r="1675" spans="1:17" x14ac:dyDescent="0.25">
      <c r="A1675" t="s">
        <v>85</v>
      </c>
      <c r="B1675" s="2">
        <v>45564.772916666669</v>
      </c>
      <c r="C1675" t="s">
        <v>350</v>
      </c>
      <c r="D1675" t="s">
        <v>214</v>
      </c>
      <c r="E1675">
        <v>5</v>
      </c>
      <c r="F1675">
        <v>472.42</v>
      </c>
      <c r="G1675" t="s">
        <v>222</v>
      </c>
      <c r="H1675">
        <v>2362.1</v>
      </c>
      <c r="I1675">
        <v>2024</v>
      </c>
      <c r="J1675">
        <v>9</v>
      </c>
      <c r="K1675">
        <v>18</v>
      </c>
      <c r="L1675" s="14">
        <v>472.42</v>
      </c>
      <c r="M1675" s="4" t="str">
        <f t="shared" si="104"/>
        <v>domingo</v>
      </c>
      <c r="N1675" s="4" t="str">
        <f t="shared" si="105"/>
        <v>septiembre</v>
      </c>
      <c r="O1675" s="4" t="str">
        <f t="shared" si="106"/>
        <v>NO</v>
      </c>
      <c r="P1675" s="4" t="str">
        <f t="shared" si="107"/>
        <v>NO</v>
      </c>
      <c r="Q1675" s="4" t="str" cm="1">
        <f t="array" ref="Q1675">_xlfn.IFS(AND(H1675&gt;=0,H1675&lt;=3333),"Grupo 1",AND(H1675&gt;3333,H1675&lt;=6666),"Grupo 2",AND(H1675&gt;6666,H1675&lt;=10000),"Grupo 3")</f>
        <v>Grupo 1</v>
      </c>
    </row>
    <row r="1676" spans="1:17" x14ac:dyDescent="0.25">
      <c r="A1676" t="s">
        <v>86</v>
      </c>
      <c r="B1676" s="2">
        <v>45118.247916666667</v>
      </c>
      <c r="C1676" t="s">
        <v>351</v>
      </c>
      <c r="D1676" t="s">
        <v>219</v>
      </c>
      <c r="E1676">
        <v>3</v>
      </c>
      <c r="F1676">
        <v>367.9</v>
      </c>
      <c r="G1676" t="s">
        <v>221</v>
      </c>
      <c r="H1676">
        <v>1103.7</v>
      </c>
      <c r="I1676">
        <v>2023</v>
      </c>
      <c r="J1676">
        <v>7</v>
      </c>
      <c r="K1676">
        <v>5</v>
      </c>
      <c r="L1676" s="14">
        <v>367.89999999999992</v>
      </c>
      <c r="M1676" s="4" t="str">
        <f t="shared" si="104"/>
        <v>martes</v>
      </c>
      <c r="N1676" s="4" t="str">
        <f t="shared" si="105"/>
        <v>julio</v>
      </c>
      <c r="O1676" s="4" t="str">
        <f t="shared" si="106"/>
        <v>NO</v>
      </c>
      <c r="P1676" s="4" t="str">
        <f t="shared" si="107"/>
        <v>NO</v>
      </c>
      <c r="Q1676" s="4" t="str" cm="1">
        <f t="array" ref="Q1676">_xlfn.IFS(AND(H1676&gt;=0,H1676&lt;=3333),"Grupo 1",AND(H1676&gt;3333,H1676&lt;=6666),"Grupo 2",AND(H1676&gt;6666,H1676&lt;=10000),"Grupo 3")</f>
        <v>Grupo 1</v>
      </c>
    </row>
    <row r="1677" spans="1:17" x14ac:dyDescent="0.25">
      <c r="A1677" t="s">
        <v>87</v>
      </c>
      <c r="B1677" s="2">
        <v>45717.986111111109</v>
      </c>
      <c r="C1677" t="s">
        <v>352</v>
      </c>
      <c r="D1677" t="s">
        <v>219</v>
      </c>
      <c r="E1677">
        <v>5</v>
      </c>
      <c r="F1677">
        <v>739.51</v>
      </c>
      <c r="G1677" t="s">
        <v>221</v>
      </c>
      <c r="H1677">
        <v>3697.55</v>
      </c>
      <c r="I1677">
        <v>2025</v>
      </c>
      <c r="J1677">
        <v>3</v>
      </c>
      <c r="K1677">
        <v>23</v>
      </c>
      <c r="L1677" s="14">
        <v>739.51</v>
      </c>
      <c r="M1677" s="4" t="str">
        <f t="shared" si="104"/>
        <v>sábado</v>
      </c>
      <c r="N1677" s="4" t="str">
        <f t="shared" si="105"/>
        <v>marzo</v>
      </c>
      <c r="O1677" s="4" t="str">
        <f t="shared" si="106"/>
        <v>SI</v>
      </c>
      <c r="P1677" s="4" t="str">
        <f t="shared" si="107"/>
        <v>NO</v>
      </c>
      <c r="Q1677" s="4" t="str" cm="1">
        <f t="array" ref="Q1677">_xlfn.IFS(AND(H1677&gt;=0,H1677&lt;=3333),"Grupo 1",AND(H1677&gt;3333,H1677&lt;=6666),"Grupo 2",AND(H1677&gt;6666,H1677&lt;=10000),"Grupo 3")</f>
        <v>Grupo 2</v>
      </c>
    </row>
    <row r="1678" spans="1:17" x14ac:dyDescent="0.25">
      <c r="A1678" t="s">
        <v>88</v>
      </c>
      <c r="B1678" s="2">
        <v>45162.795138888891</v>
      </c>
      <c r="C1678" t="s">
        <v>353</v>
      </c>
      <c r="D1678" t="s">
        <v>217</v>
      </c>
      <c r="E1678">
        <v>2</v>
      </c>
      <c r="F1678">
        <v>1089.1300000000001</v>
      </c>
      <c r="G1678" t="s">
        <v>220</v>
      </c>
      <c r="H1678">
        <v>2178.2600000000002</v>
      </c>
      <c r="I1678">
        <v>2023</v>
      </c>
      <c r="J1678">
        <v>8</v>
      </c>
      <c r="K1678">
        <v>19</v>
      </c>
      <c r="L1678" s="14">
        <v>1089.1300000000001</v>
      </c>
      <c r="M1678" s="4" t="str">
        <f t="shared" si="104"/>
        <v>jueves</v>
      </c>
      <c r="N1678" s="4" t="str">
        <f t="shared" si="105"/>
        <v>agosto</v>
      </c>
      <c r="O1678" s="4" t="str">
        <f t="shared" si="106"/>
        <v>NO</v>
      </c>
      <c r="P1678" s="4" t="str">
        <f t="shared" si="107"/>
        <v>SI</v>
      </c>
      <c r="Q1678" s="4" t="str" cm="1">
        <f t="array" ref="Q1678">_xlfn.IFS(AND(H1678&gt;=0,H1678&lt;=3333),"Grupo 1",AND(H1678&gt;3333,H1678&lt;=6666),"Grupo 2",AND(H1678&gt;6666,H1678&lt;=10000),"Grupo 3")</f>
        <v>Grupo 1</v>
      </c>
    </row>
    <row r="1679" spans="1:17" x14ac:dyDescent="0.25">
      <c r="A1679" t="s">
        <v>89</v>
      </c>
      <c r="B1679" s="2">
        <v>45517.353472222218</v>
      </c>
      <c r="C1679" t="s">
        <v>354</v>
      </c>
      <c r="D1679" t="s">
        <v>216</v>
      </c>
      <c r="E1679">
        <v>5</v>
      </c>
      <c r="F1679">
        <v>1632.75</v>
      </c>
      <c r="G1679" t="s">
        <v>221</v>
      </c>
      <c r="H1679">
        <v>8163.75</v>
      </c>
      <c r="I1679">
        <v>2024</v>
      </c>
      <c r="J1679">
        <v>8</v>
      </c>
      <c r="K1679">
        <v>8</v>
      </c>
      <c r="L1679" s="14">
        <v>1632.75</v>
      </c>
      <c r="M1679" s="4" t="str">
        <f t="shared" si="104"/>
        <v>martes</v>
      </c>
      <c r="N1679" s="4" t="str">
        <f t="shared" si="105"/>
        <v>agosto</v>
      </c>
      <c r="O1679" s="4" t="str">
        <f t="shared" si="106"/>
        <v>SI</v>
      </c>
      <c r="P1679" s="4" t="str">
        <f t="shared" si="107"/>
        <v>SI</v>
      </c>
      <c r="Q1679" s="4" t="str" cm="1">
        <f t="array" ref="Q1679">_xlfn.IFS(AND(H1679&gt;=0,H1679&lt;=3333),"Grupo 1",AND(H1679&gt;3333,H1679&lt;=6666),"Grupo 2",AND(H1679&gt;6666,H1679&lt;=10000),"Grupo 3")</f>
        <v>Grupo 3</v>
      </c>
    </row>
    <row r="1680" spans="1:17" x14ac:dyDescent="0.25">
      <c r="A1680" t="s">
        <v>90</v>
      </c>
      <c r="B1680" s="2">
        <v>45245.664583333331</v>
      </c>
      <c r="C1680" t="s">
        <v>355</v>
      </c>
      <c r="D1680" t="s">
        <v>212</v>
      </c>
      <c r="E1680">
        <v>3</v>
      </c>
      <c r="F1680">
        <v>817.35</v>
      </c>
      <c r="G1680" t="s">
        <v>220</v>
      </c>
      <c r="H1680">
        <v>2452.0500000000002</v>
      </c>
      <c r="I1680">
        <v>2023</v>
      </c>
      <c r="J1680">
        <v>11</v>
      </c>
      <c r="K1680">
        <v>15</v>
      </c>
      <c r="L1680" s="14">
        <v>817.35</v>
      </c>
      <c r="M1680" s="4" t="str">
        <f t="shared" si="104"/>
        <v>miércoles</v>
      </c>
      <c r="N1680" s="4" t="str">
        <f t="shared" si="105"/>
        <v>noviembre</v>
      </c>
      <c r="O1680" s="4" t="str">
        <f t="shared" si="106"/>
        <v>NO</v>
      </c>
      <c r="P1680" s="4" t="str">
        <f t="shared" si="107"/>
        <v>NO</v>
      </c>
      <c r="Q1680" s="4" t="str" cm="1">
        <f t="array" ref="Q1680">_xlfn.IFS(AND(H1680&gt;=0,H1680&lt;=3333),"Grupo 1",AND(H1680&gt;3333,H1680&lt;=6666),"Grupo 2",AND(H1680&gt;6666,H1680&lt;=10000),"Grupo 3")</f>
        <v>Grupo 1</v>
      </c>
    </row>
    <row r="1681" spans="1:17" x14ac:dyDescent="0.25">
      <c r="A1681" t="s">
        <v>91</v>
      </c>
      <c r="B1681" s="2">
        <v>45603.368055555547</v>
      </c>
      <c r="C1681" t="s">
        <v>356</v>
      </c>
      <c r="D1681" t="s">
        <v>213</v>
      </c>
      <c r="E1681">
        <v>2</v>
      </c>
      <c r="F1681">
        <v>1186.58</v>
      </c>
      <c r="G1681" t="s">
        <v>221</v>
      </c>
      <c r="H1681">
        <v>2373.16</v>
      </c>
      <c r="I1681">
        <v>2024</v>
      </c>
      <c r="J1681">
        <v>11</v>
      </c>
      <c r="K1681">
        <v>8</v>
      </c>
      <c r="L1681" s="14">
        <v>1186.58</v>
      </c>
      <c r="M1681" s="4" t="str">
        <f t="shared" si="104"/>
        <v>jueves</v>
      </c>
      <c r="N1681" s="4" t="str">
        <f t="shared" si="105"/>
        <v>noviembre</v>
      </c>
      <c r="O1681" s="4" t="str">
        <f t="shared" si="106"/>
        <v>NO</v>
      </c>
      <c r="P1681" s="4" t="str">
        <f t="shared" si="107"/>
        <v>SI</v>
      </c>
      <c r="Q1681" s="4" t="str" cm="1">
        <f t="array" ref="Q1681">_xlfn.IFS(AND(H1681&gt;=0,H1681&lt;=3333),"Grupo 1",AND(H1681&gt;3333,H1681&lt;=6666),"Grupo 2",AND(H1681&gt;6666,H1681&lt;=10000),"Grupo 3")</f>
        <v>Grupo 1</v>
      </c>
    </row>
    <row r="1682" spans="1:17" x14ac:dyDescent="0.25">
      <c r="A1682" t="s">
        <v>92</v>
      </c>
      <c r="B1682" s="2">
        <v>44990.597916666673</v>
      </c>
      <c r="C1682" t="s">
        <v>357</v>
      </c>
      <c r="D1682" t="s">
        <v>215</v>
      </c>
      <c r="E1682">
        <v>2</v>
      </c>
      <c r="F1682">
        <v>1872.8</v>
      </c>
      <c r="G1682" t="s">
        <v>220</v>
      </c>
      <c r="H1682">
        <v>3745.6</v>
      </c>
      <c r="I1682">
        <v>2023</v>
      </c>
      <c r="J1682">
        <v>3</v>
      </c>
      <c r="K1682">
        <v>14</v>
      </c>
      <c r="L1682" s="14">
        <v>1872.8</v>
      </c>
      <c r="M1682" s="4" t="str">
        <f t="shared" si="104"/>
        <v>domingo</v>
      </c>
      <c r="N1682" s="4" t="str">
        <f t="shared" si="105"/>
        <v>marzo</v>
      </c>
      <c r="O1682" s="4" t="str">
        <f t="shared" si="106"/>
        <v>SI</v>
      </c>
      <c r="P1682" s="4" t="str">
        <f t="shared" si="107"/>
        <v>SI</v>
      </c>
      <c r="Q1682" s="4" t="str" cm="1">
        <f t="array" ref="Q1682">_xlfn.IFS(AND(H1682&gt;=0,H1682&lt;=3333),"Grupo 1",AND(H1682&gt;3333,H1682&lt;=6666),"Grupo 2",AND(H1682&gt;6666,H1682&lt;=10000),"Grupo 3")</f>
        <v>Grupo 2</v>
      </c>
    </row>
    <row r="1683" spans="1:17" x14ac:dyDescent="0.25">
      <c r="A1683" t="s">
        <v>93</v>
      </c>
      <c r="B1683" s="2">
        <v>45273.106249999997</v>
      </c>
      <c r="C1683" t="s">
        <v>358</v>
      </c>
      <c r="D1683" t="s">
        <v>214</v>
      </c>
      <c r="E1683">
        <v>3</v>
      </c>
      <c r="F1683">
        <v>680.19</v>
      </c>
      <c r="G1683" t="s">
        <v>222</v>
      </c>
      <c r="H1683">
        <v>2040.57</v>
      </c>
      <c r="I1683">
        <v>2023</v>
      </c>
      <c r="J1683">
        <v>12</v>
      </c>
      <c r="K1683">
        <v>2</v>
      </c>
      <c r="L1683" s="14">
        <v>680.19</v>
      </c>
      <c r="M1683" s="4" t="str">
        <f t="shared" si="104"/>
        <v>miércoles</v>
      </c>
      <c r="N1683" s="4" t="str">
        <f t="shared" si="105"/>
        <v>diciembre</v>
      </c>
      <c r="O1683" s="4" t="str">
        <f t="shared" si="106"/>
        <v>NO</v>
      </c>
      <c r="P1683" s="4" t="str">
        <f t="shared" si="107"/>
        <v>NO</v>
      </c>
      <c r="Q1683" s="4" t="str" cm="1">
        <f t="array" ref="Q1683">_xlfn.IFS(AND(H1683&gt;=0,H1683&lt;=3333),"Grupo 1",AND(H1683&gt;3333,H1683&lt;=6666),"Grupo 2",AND(H1683&gt;6666,H1683&lt;=10000),"Grupo 3")</f>
        <v>Grupo 1</v>
      </c>
    </row>
    <row r="1684" spans="1:17" x14ac:dyDescent="0.25">
      <c r="A1684" t="s">
        <v>94</v>
      </c>
      <c r="B1684" s="2">
        <v>45022.271527777782</v>
      </c>
      <c r="C1684" t="s">
        <v>359</v>
      </c>
      <c r="D1684" t="s">
        <v>216</v>
      </c>
      <c r="E1684">
        <v>4</v>
      </c>
      <c r="F1684">
        <v>262.82</v>
      </c>
      <c r="G1684" t="s">
        <v>221</v>
      </c>
      <c r="H1684">
        <v>1051.28</v>
      </c>
      <c r="I1684">
        <v>2023</v>
      </c>
      <c r="J1684">
        <v>4</v>
      </c>
      <c r="K1684">
        <v>6</v>
      </c>
      <c r="L1684" s="14">
        <v>262.82</v>
      </c>
      <c r="M1684" s="4" t="str">
        <f t="shared" si="104"/>
        <v>jueves</v>
      </c>
      <c r="N1684" s="4" t="str">
        <f t="shared" si="105"/>
        <v>abril</v>
      </c>
      <c r="O1684" s="4" t="str">
        <f t="shared" si="106"/>
        <v>NO</v>
      </c>
      <c r="P1684" s="4" t="str">
        <f t="shared" si="107"/>
        <v>NO</v>
      </c>
      <c r="Q1684" s="4" t="str" cm="1">
        <f t="array" ref="Q1684">_xlfn.IFS(AND(H1684&gt;=0,H1684&lt;=3333),"Grupo 1",AND(H1684&gt;3333,H1684&lt;=6666),"Grupo 2",AND(H1684&gt;6666,H1684&lt;=10000),"Grupo 3")</f>
        <v>Grupo 1</v>
      </c>
    </row>
    <row r="1685" spans="1:17" x14ac:dyDescent="0.25">
      <c r="A1685" t="s">
        <v>95</v>
      </c>
      <c r="B1685" s="2">
        <v>45682.68472222222</v>
      </c>
      <c r="C1685" t="s">
        <v>261</v>
      </c>
      <c r="D1685" t="s">
        <v>215</v>
      </c>
      <c r="E1685">
        <v>4</v>
      </c>
      <c r="F1685">
        <v>1531.75</v>
      </c>
      <c r="G1685" t="s">
        <v>220</v>
      </c>
      <c r="H1685">
        <v>6127</v>
      </c>
      <c r="I1685">
        <v>2025</v>
      </c>
      <c r="J1685">
        <v>1</v>
      </c>
      <c r="K1685">
        <v>16</v>
      </c>
      <c r="L1685" s="14">
        <v>1531.75</v>
      </c>
      <c r="M1685" s="4" t="str">
        <f t="shared" si="104"/>
        <v>sábado</v>
      </c>
      <c r="N1685" s="4" t="str">
        <f t="shared" si="105"/>
        <v>enero</v>
      </c>
      <c r="O1685" s="4" t="str">
        <f t="shared" si="106"/>
        <v>SI</v>
      </c>
      <c r="P1685" s="4" t="str">
        <f t="shared" si="107"/>
        <v>SI</v>
      </c>
      <c r="Q1685" s="4" t="str" cm="1">
        <f t="array" ref="Q1685">_xlfn.IFS(AND(H1685&gt;=0,H1685&lt;=3333),"Grupo 1",AND(H1685&gt;3333,H1685&lt;=6666),"Grupo 2",AND(H1685&gt;6666,H1685&lt;=10000),"Grupo 3")</f>
        <v>Grupo 2</v>
      </c>
    </row>
    <row r="1686" spans="1:17" x14ac:dyDescent="0.25">
      <c r="A1686" t="s">
        <v>96</v>
      </c>
      <c r="B1686" s="2">
        <v>45099.143750000003</v>
      </c>
      <c r="C1686" t="s">
        <v>262</v>
      </c>
      <c r="D1686" t="s">
        <v>215</v>
      </c>
      <c r="E1686">
        <v>1</v>
      </c>
      <c r="F1686">
        <v>503.84</v>
      </c>
      <c r="G1686" t="s">
        <v>220</v>
      </c>
      <c r="H1686">
        <v>503.84</v>
      </c>
      <c r="I1686">
        <v>2023</v>
      </c>
      <c r="J1686">
        <v>6</v>
      </c>
      <c r="K1686">
        <v>3</v>
      </c>
      <c r="L1686" s="14">
        <v>503.84</v>
      </c>
      <c r="M1686" s="4" t="str">
        <f t="shared" si="104"/>
        <v>jueves</v>
      </c>
      <c r="N1686" s="4" t="str">
        <f t="shared" si="105"/>
        <v>junio</v>
      </c>
      <c r="O1686" s="4" t="str">
        <f t="shared" si="106"/>
        <v>NO</v>
      </c>
      <c r="P1686" s="4" t="str">
        <f t="shared" si="107"/>
        <v>NO</v>
      </c>
      <c r="Q1686" s="4" t="str" cm="1">
        <f t="array" ref="Q1686">_xlfn.IFS(AND(H1686&gt;=0,H1686&lt;=3333),"Grupo 1",AND(H1686&gt;3333,H1686&lt;=6666),"Grupo 2",AND(H1686&gt;6666,H1686&lt;=10000),"Grupo 3")</f>
        <v>Grupo 1</v>
      </c>
    </row>
    <row r="1687" spans="1:17" x14ac:dyDescent="0.25">
      <c r="A1687" t="s">
        <v>97</v>
      </c>
      <c r="B1687" s="2">
        <v>45546.810416666667</v>
      </c>
      <c r="C1687" t="s">
        <v>263</v>
      </c>
      <c r="D1687" t="s">
        <v>217</v>
      </c>
      <c r="E1687">
        <v>4</v>
      </c>
      <c r="F1687">
        <v>1908.41</v>
      </c>
      <c r="G1687" t="s">
        <v>220</v>
      </c>
      <c r="H1687">
        <v>7633.64</v>
      </c>
      <c r="I1687">
        <v>2024</v>
      </c>
      <c r="J1687">
        <v>9</v>
      </c>
      <c r="K1687">
        <v>19</v>
      </c>
      <c r="L1687" s="14">
        <v>1908.41</v>
      </c>
      <c r="M1687" s="4" t="str">
        <f t="shared" si="104"/>
        <v>miércoles</v>
      </c>
      <c r="N1687" s="4" t="str">
        <f t="shared" si="105"/>
        <v>septiembre</v>
      </c>
      <c r="O1687" s="4" t="str">
        <f t="shared" si="106"/>
        <v>SI</v>
      </c>
      <c r="P1687" s="4" t="str">
        <f t="shared" si="107"/>
        <v>SI</v>
      </c>
      <c r="Q1687" s="4" t="str" cm="1">
        <f t="array" ref="Q1687">_xlfn.IFS(AND(H1687&gt;=0,H1687&lt;=3333),"Grupo 1",AND(H1687&gt;3333,H1687&lt;=6666),"Grupo 2",AND(H1687&gt;6666,H1687&lt;=10000),"Grupo 3")</f>
        <v>Grupo 3</v>
      </c>
    </row>
    <row r="1688" spans="1:17" x14ac:dyDescent="0.25">
      <c r="A1688" t="s">
        <v>98</v>
      </c>
      <c r="B1688" s="2">
        <v>45451.106249999997</v>
      </c>
      <c r="C1688" t="s">
        <v>264</v>
      </c>
      <c r="D1688" t="s">
        <v>215</v>
      </c>
      <c r="E1688">
        <v>2</v>
      </c>
      <c r="F1688">
        <v>114.6</v>
      </c>
      <c r="G1688" t="s">
        <v>220</v>
      </c>
      <c r="H1688">
        <v>229.2</v>
      </c>
      <c r="I1688">
        <v>2024</v>
      </c>
      <c r="J1688">
        <v>6</v>
      </c>
      <c r="K1688">
        <v>2</v>
      </c>
      <c r="L1688" s="14">
        <v>114.6</v>
      </c>
      <c r="M1688" s="4" t="str">
        <f t="shared" si="104"/>
        <v>sábado</v>
      </c>
      <c r="N1688" s="4" t="str">
        <f t="shared" si="105"/>
        <v>junio</v>
      </c>
      <c r="O1688" s="4" t="str">
        <f t="shared" si="106"/>
        <v>NO</v>
      </c>
      <c r="P1688" s="4" t="str">
        <f t="shared" si="107"/>
        <v>NO</v>
      </c>
      <c r="Q1688" s="4" t="str" cm="1">
        <f t="array" ref="Q1688">_xlfn.IFS(AND(H1688&gt;=0,H1688&lt;=3333),"Grupo 1",AND(H1688&gt;3333,H1688&lt;=6666),"Grupo 2",AND(H1688&gt;6666,H1688&lt;=10000),"Grupo 3")</f>
        <v>Grupo 1</v>
      </c>
    </row>
    <row r="1689" spans="1:17" x14ac:dyDescent="0.25">
      <c r="A1689" t="s">
        <v>99</v>
      </c>
      <c r="B1689" s="2">
        <v>45101.551388888889</v>
      </c>
      <c r="C1689" t="s">
        <v>265</v>
      </c>
      <c r="D1689" t="s">
        <v>215</v>
      </c>
      <c r="E1689">
        <v>2</v>
      </c>
      <c r="F1689">
        <v>595.78</v>
      </c>
      <c r="G1689" t="s">
        <v>220</v>
      </c>
      <c r="H1689">
        <v>1191.56</v>
      </c>
      <c r="I1689">
        <v>2023</v>
      </c>
      <c r="J1689">
        <v>6</v>
      </c>
      <c r="K1689">
        <v>13</v>
      </c>
      <c r="L1689" s="14">
        <v>595.78</v>
      </c>
      <c r="M1689" s="4" t="str">
        <f t="shared" si="104"/>
        <v>sábado</v>
      </c>
      <c r="N1689" s="4" t="str">
        <f t="shared" si="105"/>
        <v>junio</v>
      </c>
      <c r="O1689" s="4" t="str">
        <f t="shared" si="106"/>
        <v>NO</v>
      </c>
      <c r="P1689" s="4" t="str">
        <f t="shared" si="107"/>
        <v>NO</v>
      </c>
      <c r="Q1689" s="4" t="str" cm="1">
        <f t="array" ref="Q1689">_xlfn.IFS(AND(H1689&gt;=0,H1689&lt;=3333),"Grupo 1",AND(H1689&gt;3333,H1689&lt;=6666),"Grupo 2",AND(H1689&gt;6666,H1689&lt;=10000),"Grupo 3")</f>
        <v>Grupo 1</v>
      </c>
    </row>
    <row r="1690" spans="1:17" x14ac:dyDescent="0.25">
      <c r="A1690" t="s">
        <v>100</v>
      </c>
      <c r="B1690" s="2">
        <v>45405.413194444453</v>
      </c>
      <c r="C1690" t="s">
        <v>266</v>
      </c>
      <c r="D1690" t="s">
        <v>217</v>
      </c>
      <c r="E1690">
        <v>2</v>
      </c>
      <c r="F1690">
        <v>75.02</v>
      </c>
      <c r="G1690" t="s">
        <v>220</v>
      </c>
      <c r="H1690">
        <v>150.04</v>
      </c>
      <c r="I1690">
        <v>2024</v>
      </c>
      <c r="J1690">
        <v>4</v>
      </c>
      <c r="K1690">
        <v>9</v>
      </c>
      <c r="L1690" s="14">
        <v>75.02</v>
      </c>
      <c r="M1690" s="4" t="str">
        <f t="shared" si="104"/>
        <v>martes</v>
      </c>
      <c r="N1690" s="4" t="str">
        <f t="shared" si="105"/>
        <v>abril</v>
      </c>
      <c r="O1690" s="4" t="str">
        <f t="shared" si="106"/>
        <v>NO</v>
      </c>
      <c r="P1690" s="4" t="str">
        <f t="shared" si="107"/>
        <v>NO</v>
      </c>
      <c r="Q1690" s="4" t="str" cm="1">
        <f t="array" ref="Q1690">_xlfn.IFS(AND(H1690&gt;=0,H1690&lt;=3333),"Grupo 1",AND(H1690&gt;3333,H1690&lt;=6666),"Grupo 2",AND(H1690&gt;6666,H1690&lt;=10000),"Grupo 3")</f>
        <v>Grupo 1</v>
      </c>
    </row>
    <row r="1691" spans="1:17" x14ac:dyDescent="0.25">
      <c r="A1691" t="s">
        <v>101</v>
      </c>
      <c r="B1691" s="2">
        <v>45465.332638888889</v>
      </c>
      <c r="C1691" t="s">
        <v>267</v>
      </c>
      <c r="D1691" t="s">
        <v>216</v>
      </c>
      <c r="E1691">
        <v>5</v>
      </c>
      <c r="F1691">
        <v>540.91999999999996</v>
      </c>
      <c r="G1691" t="s">
        <v>221</v>
      </c>
      <c r="H1691">
        <v>2704.6</v>
      </c>
      <c r="I1691">
        <v>2024</v>
      </c>
      <c r="J1691">
        <v>6</v>
      </c>
      <c r="K1691">
        <v>7</v>
      </c>
      <c r="L1691" s="14">
        <v>540.91999999999996</v>
      </c>
      <c r="M1691" s="4" t="str">
        <f t="shared" si="104"/>
        <v>sábado</v>
      </c>
      <c r="N1691" s="4" t="str">
        <f t="shared" si="105"/>
        <v>junio</v>
      </c>
      <c r="O1691" s="4" t="str">
        <f t="shared" si="106"/>
        <v>NO</v>
      </c>
      <c r="P1691" s="4" t="str">
        <f t="shared" si="107"/>
        <v>NO</v>
      </c>
      <c r="Q1691" s="4" t="str" cm="1">
        <f t="array" ref="Q1691">_xlfn.IFS(AND(H1691&gt;=0,H1691&lt;=3333),"Grupo 1",AND(H1691&gt;3333,H1691&lt;=6666),"Grupo 2",AND(H1691&gt;6666,H1691&lt;=10000),"Grupo 3")</f>
        <v>Grupo 1</v>
      </c>
    </row>
    <row r="1692" spans="1:17" x14ac:dyDescent="0.25">
      <c r="A1692" t="s">
        <v>102</v>
      </c>
      <c r="B1692" s="2">
        <v>45863.330555555563</v>
      </c>
      <c r="C1692" t="s">
        <v>268</v>
      </c>
      <c r="D1692" t="s">
        <v>212</v>
      </c>
      <c r="E1692">
        <v>2</v>
      </c>
      <c r="F1692">
        <v>356.91</v>
      </c>
      <c r="G1692" t="s">
        <v>220</v>
      </c>
      <c r="H1692">
        <v>713.82</v>
      </c>
      <c r="I1692">
        <v>2025</v>
      </c>
      <c r="J1692">
        <v>7</v>
      </c>
      <c r="K1692">
        <v>7</v>
      </c>
      <c r="L1692" s="14">
        <v>356.91</v>
      </c>
      <c r="M1692" s="4" t="str">
        <f t="shared" si="104"/>
        <v>viernes</v>
      </c>
      <c r="N1692" s="4" t="str">
        <f t="shared" si="105"/>
        <v>julio</v>
      </c>
      <c r="O1692" s="4" t="str">
        <f t="shared" si="106"/>
        <v>NO</v>
      </c>
      <c r="P1692" s="4" t="str">
        <f t="shared" si="107"/>
        <v>NO</v>
      </c>
      <c r="Q1692" s="4" t="str" cm="1">
        <f t="array" ref="Q1692">_xlfn.IFS(AND(H1692&gt;=0,H1692&lt;=3333),"Grupo 1",AND(H1692&gt;3333,H1692&lt;=6666),"Grupo 2",AND(H1692&gt;6666,H1692&lt;=10000),"Grupo 3")</f>
        <v>Grupo 1</v>
      </c>
    </row>
    <row r="1693" spans="1:17" x14ac:dyDescent="0.25">
      <c r="A1693" t="s">
        <v>103</v>
      </c>
      <c r="B1693" s="2">
        <v>45727.712500000001</v>
      </c>
      <c r="C1693" t="s">
        <v>269</v>
      </c>
      <c r="D1693" t="s">
        <v>219</v>
      </c>
      <c r="E1693">
        <v>3</v>
      </c>
      <c r="F1693">
        <v>1135.67</v>
      </c>
      <c r="G1693" t="s">
        <v>221</v>
      </c>
      <c r="H1693">
        <v>3407.01</v>
      </c>
      <c r="I1693">
        <v>2025</v>
      </c>
      <c r="J1693">
        <v>3</v>
      </c>
      <c r="K1693">
        <v>17</v>
      </c>
      <c r="L1693" s="14">
        <v>1135.67</v>
      </c>
      <c r="M1693" s="4" t="str">
        <f t="shared" si="104"/>
        <v>martes</v>
      </c>
      <c r="N1693" s="4" t="str">
        <f t="shared" si="105"/>
        <v>marzo</v>
      </c>
      <c r="O1693" s="4" t="str">
        <f t="shared" si="106"/>
        <v>SI</v>
      </c>
      <c r="P1693" s="4" t="str">
        <f t="shared" si="107"/>
        <v>SI</v>
      </c>
      <c r="Q1693" s="4" t="str" cm="1">
        <f t="array" ref="Q1693">_xlfn.IFS(AND(H1693&gt;=0,H1693&lt;=3333),"Grupo 1",AND(H1693&gt;3333,H1693&lt;=6666),"Grupo 2",AND(H1693&gt;6666,H1693&lt;=10000),"Grupo 3")</f>
        <v>Grupo 2</v>
      </c>
    </row>
    <row r="1694" spans="1:17" x14ac:dyDescent="0.25">
      <c r="A1694" t="s">
        <v>104</v>
      </c>
      <c r="B1694" s="2">
        <v>45676.398611111108</v>
      </c>
      <c r="C1694" t="s">
        <v>270</v>
      </c>
      <c r="D1694" t="s">
        <v>215</v>
      </c>
      <c r="E1694">
        <v>3</v>
      </c>
      <c r="F1694">
        <v>805.69</v>
      </c>
      <c r="G1694" t="s">
        <v>220</v>
      </c>
      <c r="H1694">
        <v>2417.0700000000002</v>
      </c>
      <c r="I1694">
        <v>2025</v>
      </c>
      <c r="J1694">
        <v>1</v>
      </c>
      <c r="K1694">
        <v>9</v>
      </c>
      <c r="L1694" s="14">
        <v>805.69</v>
      </c>
      <c r="M1694" s="4" t="str">
        <f t="shared" si="104"/>
        <v>domingo</v>
      </c>
      <c r="N1694" s="4" t="str">
        <f t="shared" si="105"/>
        <v>enero</v>
      </c>
      <c r="O1694" s="4" t="str">
        <f t="shared" si="106"/>
        <v>NO</v>
      </c>
      <c r="P1694" s="4" t="str">
        <f t="shared" si="107"/>
        <v>NO</v>
      </c>
      <c r="Q1694" s="4" t="str" cm="1">
        <f t="array" ref="Q1694">_xlfn.IFS(AND(H1694&gt;=0,H1694&lt;=3333),"Grupo 1",AND(H1694&gt;3333,H1694&lt;=6666),"Grupo 2",AND(H1694&gt;6666,H1694&lt;=10000),"Grupo 3")</f>
        <v>Grupo 1</v>
      </c>
    </row>
    <row r="1695" spans="1:17" x14ac:dyDescent="0.25">
      <c r="A1695" t="s">
        <v>105</v>
      </c>
      <c r="B1695" s="2">
        <v>45289.026388888888</v>
      </c>
      <c r="C1695" t="s">
        <v>271</v>
      </c>
      <c r="D1695" t="s">
        <v>217</v>
      </c>
      <c r="E1695">
        <v>2</v>
      </c>
      <c r="F1695">
        <v>1259.07</v>
      </c>
      <c r="G1695" t="s">
        <v>220</v>
      </c>
      <c r="H1695">
        <v>2518.14</v>
      </c>
      <c r="I1695">
        <v>2023</v>
      </c>
      <c r="J1695">
        <v>12</v>
      </c>
      <c r="K1695">
        <v>0</v>
      </c>
      <c r="L1695" s="14">
        <v>1259.07</v>
      </c>
      <c r="M1695" s="4" t="str">
        <f t="shared" si="104"/>
        <v>viernes</v>
      </c>
      <c r="N1695" s="4" t="str">
        <f t="shared" si="105"/>
        <v>diciembre</v>
      </c>
      <c r="O1695" s="4" t="str">
        <f t="shared" si="106"/>
        <v>NO</v>
      </c>
      <c r="P1695" s="4" t="str">
        <f t="shared" si="107"/>
        <v>SI</v>
      </c>
      <c r="Q1695" s="4" t="str" cm="1">
        <f t="array" ref="Q1695">_xlfn.IFS(AND(H1695&gt;=0,H1695&lt;=3333),"Grupo 1",AND(H1695&gt;3333,H1695&lt;=6666),"Grupo 2",AND(H1695&gt;6666,H1695&lt;=10000),"Grupo 3")</f>
        <v>Grupo 1</v>
      </c>
    </row>
    <row r="1696" spans="1:17" x14ac:dyDescent="0.25">
      <c r="A1696" t="s">
        <v>106</v>
      </c>
      <c r="B1696" s="2">
        <v>45473.418749999997</v>
      </c>
      <c r="C1696" t="s">
        <v>272</v>
      </c>
      <c r="D1696" t="s">
        <v>218</v>
      </c>
      <c r="E1696">
        <v>3</v>
      </c>
      <c r="F1696">
        <v>600.4</v>
      </c>
      <c r="G1696" t="s">
        <v>221</v>
      </c>
      <c r="H1696">
        <v>1801.2</v>
      </c>
      <c r="I1696">
        <v>2024</v>
      </c>
      <c r="J1696">
        <v>6</v>
      </c>
      <c r="K1696">
        <v>10</v>
      </c>
      <c r="L1696" s="14">
        <v>600.4</v>
      </c>
      <c r="M1696" s="4" t="str">
        <f t="shared" si="104"/>
        <v>domingo</v>
      </c>
      <c r="N1696" s="4" t="str">
        <f t="shared" si="105"/>
        <v>junio</v>
      </c>
      <c r="O1696" s="4" t="str">
        <f t="shared" si="106"/>
        <v>NO</v>
      </c>
      <c r="P1696" s="4" t="str">
        <f t="shared" si="107"/>
        <v>NO</v>
      </c>
      <c r="Q1696" s="4" t="str" cm="1">
        <f t="array" ref="Q1696">_xlfn.IFS(AND(H1696&gt;=0,H1696&lt;=3333),"Grupo 1",AND(H1696&gt;3333,H1696&lt;=6666),"Grupo 2",AND(H1696&gt;6666,H1696&lt;=10000),"Grupo 3")</f>
        <v>Grupo 1</v>
      </c>
    </row>
    <row r="1697" spans="1:17" x14ac:dyDescent="0.25">
      <c r="A1697" t="s">
        <v>107</v>
      </c>
      <c r="B1697" s="2">
        <v>45499.757638888892</v>
      </c>
      <c r="C1697" t="s">
        <v>273</v>
      </c>
      <c r="D1697" t="s">
        <v>214</v>
      </c>
      <c r="E1697">
        <v>2</v>
      </c>
      <c r="F1697">
        <v>479.81</v>
      </c>
      <c r="G1697" t="s">
        <v>222</v>
      </c>
      <c r="H1697">
        <v>959.62</v>
      </c>
      <c r="I1697">
        <v>2024</v>
      </c>
      <c r="J1697">
        <v>7</v>
      </c>
      <c r="K1697">
        <v>18</v>
      </c>
      <c r="L1697" s="14">
        <v>479.81</v>
      </c>
      <c r="M1697" s="4" t="str">
        <f t="shared" si="104"/>
        <v>viernes</v>
      </c>
      <c r="N1697" s="4" t="str">
        <f t="shared" si="105"/>
        <v>julio</v>
      </c>
      <c r="O1697" s="4" t="str">
        <f t="shared" si="106"/>
        <v>NO</v>
      </c>
      <c r="P1697" s="4" t="str">
        <f t="shared" si="107"/>
        <v>NO</v>
      </c>
      <c r="Q1697" s="4" t="str" cm="1">
        <f t="array" ref="Q1697">_xlfn.IFS(AND(H1697&gt;=0,H1697&lt;=3333),"Grupo 1",AND(H1697&gt;3333,H1697&lt;=6666),"Grupo 2",AND(H1697&gt;6666,H1697&lt;=10000),"Grupo 3")</f>
        <v>Grupo 1</v>
      </c>
    </row>
    <row r="1698" spans="1:17" x14ac:dyDescent="0.25">
      <c r="A1698" t="s">
        <v>108</v>
      </c>
      <c r="B1698" s="2">
        <v>45541.331250000003</v>
      </c>
      <c r="C1698" t="s">
        <v>274</v>
      </c>
      <c r="D1698" t="s">
        <v>216</v>
      </c>
      <c r="E1698">
        <v>1</v>
      </c>
      <c r="F1698">
        <v>1888.86</v>
      </c>
      <c r="G1698" t="s">
        <v>221</v>
      </c>
      <c r="H1698">
        <v>1888.86</v>
      </c>
      <c r="I1698">
        <v>2024</v>
      </c>
      <c r="J1698">
        <v>9</v>
      </c>
      <c r="K1698">
        <v>7</v>
      </c>
      <c r="L1698" s="14">
        <v>1888.86</v>
      </c>
      <c r="M1698" s="4" t="str">
        <f t="shared" si="104"/>
        <v>viernes</v>
      </c>
      <c r="N1698" s="4" t="str">
        <f t="shared" si="105"/>
        <v>septiembre</v>
      </c>
      <c r="O1698" s="4" t="str">
        <f t="shared" si="106"/>
        <v>NO</v>
      </c>
      <c r="P1698" s="4" t="str">
        <f t="shared" si="107"/>
        <v>SI</v>
      </c>
      <c r="Q1698" s="4" t="str" cm="1">
        <f t="array" ref="Q1698">_xlfn.IFS(AND(H1698&gt;=0,H1698&lt;=3333),"Grupo 1",AND(H1698&gt;3333,H1698&lt;=6666),"Grupo 2",AND(H1698&gt;6666,H1698&lt;=10000),"Grupo 3")</f>
        <v>Grupo 1</v>
      </c>
    </row>
    <row r="1699" spans="1:17" x14ac:dyDescent="0.25">
      <c r="A1699" t="s">
        <v>109</v>
      </c>
      <c r="B1699" s="2">
        <v>45542.574305555558</v>
      </c>
      <c r="C1699" t="s">
        <v>275</v>
      </c>
      <c r="D1699" t="s">
        <v>217</v>
      </c>
      <c r="E1699">
        <v>4</v>
      </c>
      <c r="F1699">
        <v>1821.05</v>
      </c>
      <c r="G1699" t="s">
        <v>220</v>
      </c>
      <c r="H1699">
        <v>7284.2</v>
      </c>
      <c r="I1699">
        <v>2024</v>
      </c>
      <c r="J1699">
        <v>9</v>
      </c>
      <c r="K1699">
        <v>13</v>
      </c>
      <c r="L1699" s="14">
        <v>1821.05</v>
      </c>
      <c r="M1699" s="4" t="str">
        <f t="shared" si="104"/>
        <v>sábado</v>
      </c>
      <c r="N1699" s="4" t="str">
        <f t="shared" si="105"/>
        <v>septiembre</v>
      </c>
      <c r="O1699" s="4" t="str">
        <f t="shared" si="106"/>
        <v>SI</v>
      </c>
      <c r="P1699" s="4" t="str">
        <f t="shared" si="107"/>
        <v>SI</v>
      </c>
      <c r="Q1699" s="4" t="str" cm="1">
        <f t="array" ref="Q1699">_xlfn.IFS(AND(H1699&gt;=0,H1699&lt;=3333),"Grupo 1",AND(H1699&gt;3333,H1699&lt;=6666),"Grupo 2",AND(H1699&gt;6666,H1699&lt;=10000),"Grupo 3")</f>
        <v>Grupo 3</v>
      </c>
    </row>
    <row r="1700" spans="1:17" x14ac:dyDescent="0.25">
      <c r="A1700" t="s">
        <v>110</v>
      </c>
      <c r="B1700" s="2">
        <v>45846.336805555547</v>
      </c>
      <c r="C1700" t="s">
        <v>276</v>
      </c>
      <c r="D1700" t="s">
        <v>218</v>
      </c>
      <c r="E1700">
        <v>3</v>
      </c>
      <c r="F1700">
        <v>1537.23</v>
      </c>
      <c r="G1700" t="s">
        <v>221</v>
      </c>
      <c r="H1700">
        <v>4611.6900000000014</v>
      </c>
      <c r="I1700">
        <v>2025</v>
      </c>
      <c r="J1700">
        <v>7</v>
      </c>
      <c r="K1700">
        <v>8</v>
      </c>
      <c r="L1700" s="14">
        <v>1537.23</v>
      </c>
      <c r="M1700" s="4" t="str">
        <f t="shared" si="104"/>
        <v>martes</v>
      </c>
      <c r="N1700" s="4" t="str">
        <f t="shared" si="105"/>
        <v>julio</v>
      </c>
      <c r="O1700" s="4" t="str">
        <f t="shared" si="106"/>
        <v>SI</v>
      </c>
      <c r="P1700" s="4" t="str">
        <f t="shared" si="107"/>
        <v>SI</v>
      </c>
      <c r="Q1700" s="4" t="str" cm="1">
        <f t="array" ref="Q1700">_xlfn.IFS(AND(H1700&gt;=0,H1700&lt;=3333),"Grupo 1",AND(H1700&gt;3333,H1700&lt;=6666),"Grupo 2",AND(H1700&gt;6666,H1700&lt;=10000),"Grupo 3")</f>
        <v>Grupo 2</v>
      </c>
    </row>
    <row r="1701" spans="1:17" x14ac:dyDescent="0.25">
      <c r="A1701" t="s">
        <v>111</v>
      </c>
      <c r="B1701" s="2">
        <v>45318.705555555563</v>
      </c>
      <c r="C1701" t="s">
        <v>277</v>
      </c>
      <c r="D1701" t="s">
        <v>214</v>
      </c>
      <c r="E1701">
        <v>3</v>
      </c>
      <c r="F1701">
        <v>311.66000000000003</v>
      </c>
      <c r="G1701" t="s">
        <v>222</v>
      </c>
      <c r="H1701">
        <v>934.98</v>
      </c>
      <c r="I1701">
        <v>2024</v>
      </c>
      <c r="J1701">
        <v>1</v>
      </c>
      <c r="K1701">
        <v>16</v>
      </c>
      <c r="L1701" s="14">
        <v>311.66000000000003</v>
      </c>
      <c r="M1701" s="4" t="str">
        <f t="shared" si="104"/>
        <v>sábado</v>
      </c>
      <c r="N1701" s="4" t="str">
        <f t="shared" si="105"/>
        <v>enero</v>
      </c>
      <c r="O1701" s="4" t="str">
        <f t="shared" si="106"/>
        <v>NO</v>
      </c>
      <c r="P1701" s="4" t="str">
        <f t="shared" si="107"/>
        <v>NO</v>
      </c>
      <c r="Q1701" s="4" t="str" cm="1">
        <f t="array" ref="Q1701">_xlfn.IFS(AND(H1701&gt;=0,H1701&lt;=3333),"Grupo 1",AND(H1701&gt;3333,H1701&lt;=6666),"Grupo 2",AND(H1701&gt;6666,H1701&lt;=10000),"Grupo 3")</f>
        <v>Grupo 1</v>
      </c>
    </row>
    <row r="1702" spans="1:17" x14ac:dyDescent="0.25">
      <c r="A1702" t="s">
        <v>112</v>
      </c>
      <c r="B1702" s="2">
        <v>45595.668055555558</v>
      </c>
      <c r="C1702" t="s">
        <v>278</v>
      </c>
      <c r="D1702" t="s">
        <v>213</v>
      </c>
      <c r="E1702">
        <v>5</v>
      </c>
      <c r="F1702">
        <v>149.09</v>
      </c>
      <c r="G1702" t="s">
        <v>221</v>
      </c>
      <c r="H1702">
        <v>745.45</v>
      </c>
      <c r="I1702">
        <v>2024</v>
      </c>
      <c r="J1702">
        <v>10</v>
      </c>
      <c r="K1702">
        <v>16</v>
      </c>
      <c r="L1702" s="14">
        <v>149.09</v>
      </c>
      <c r="M1702" s="4" t="str">
        <f t="shared" si="104"/>
        <v>miércoles</v>
      </c>
      <c r="N1702" s="4" t="str">
        <f t="shared" si="105"/>
        <v>octubre</v>
      </c>
      <c r="O1702" s="4" t="str">
        <f t="shared" si="106"/>
        <v>NO</v>
      </c>
      <c r="P1702" s="4" t="str">
        <f t="shared" si="107"/>
        <v>NO</v>
      </c>
      <c r="Q1702" s="4" t="str" cm="1">
        <f t="array" ref="Q1702">_xlfn.IFS(AND(H1702&gt;=0,H1702&lt;=3333),"Grupo 1",AND(H1702&gt;3333,H1702&lt;=6666),"Grupo 2",AND(H1702&gt;6666,H1702&lt;=10000),"Grupo 3")</f>
        <v>Grupo 1</v>
      </c>
    </row>
    <row r="1703" spans="1:17" x14ac:dyDescent="0.25">
      <c r="A1703" t="s">
        <v>113</v>
      </c>
      <c r="B1703" s="2">
        <v>44984.418055555558</v>
      </c>
      <c r="C1703" t="s">
        <v>279</v>
      </c>
      <c r="D1703" t="s">
        <v>217</v>
      </c>
      <c r="E1703">
        <v>5</v>
      </c>
      <c r="F1703">
        <v>1885.48</v>
      </c>
      <c r="G1703" t="s">
        <v>220</v>
      </c>
      <c r="H1703">
        <v>9427.4</v>
      </c>
      <c r="I1703">
        <v>2023</v>
      </c>
      <c r="J1703">
        <v>2</v>
      </c>
      <c r="K1703">
        <v>10</v>
      </c>
      <c r="L1703" s="14">
        <v>1885.48</v>
      </c>
      <c r="M1703" s="4" t="str">
        <f t="shared" si="104"/>
        <v>lunes</v>
      </c>
      <c r="N1703" s="4" t="str">
        <f t="shared" si="105"/>
        <v>febrero</v>
      </c>
      <c r="O1703" s="4" t="str">
        <f t="shared" si="106"/>
        <v>SI</v>
      </c>
      <c r="P1703" s="4" t="str">
        <f t="shared" si="107"/>
        <v>SI</v>
      </c>
      <c r="Q1703" s="4" t="str" cm="1">
        <f t="array" ref="Q1703">_xlfn.IFS(AND(H1703&gt;=0,H1703&lt;=3333),"Grupo 1",AND(H1703&gt;3333,H1703&lt;=6666),"Grupo 2",AND(H1703&gt;6666,H1703&lt;=10000),"Grupo 3")</f>
        <v>Grupo 3</v>
      </c>
    </row>
    <row r="1704" spans="1:17" x14ac:dyDescent="0.25">
      <c r="A1704" t="s">
        <v>114</v>
      </c>
      <c r="B1704" s="2">
        <v>45153.455555555563</v>
      </c>
      <c r="C1704" t="s">
        <v>280</v>
      </c>
      <c r="D1704" t="s">
        <v>216</v>
      </c>
      <c r="E1704">
        <v>3</v>
      </c>
      <c r="F1704">
        <v>1591.92</v>
      </c>
      <c r="G1704" t="s">
        <v>221</v>
      </c>
      <c r="H1704">
        <v>4775.76</v>
      </c>
      <c r="I1704">
        <v>2023</v>
      </c>
      <c r="J1704">
        <v>8</v>
      </c>
      <c r="K1704">
        <v>10</v>
      </c>
      <c r="L1704" s="14">
        <v>1591.92</v>
      </c>
      <c r="M1704" s="4" t="str">
        <f t="shared" si="104"/>
        <v>martes</v>
      </c>
      <c r="N1704" s="4" t="str">
        <f t="shared" si="105"/>
        <v>agosto</v>
      </c>
      <c r="O1704" s="4" t="str">
        <f t="shared" si="106"/>
        <v>SI</v>
      </c>
      <c r="P1704" s="4" t="str">
        <f t="shared" si="107"/>
        <v>SI</v>
      </c>
      <c r="Q1704" s="4" t="str" cm="1">
        <f t="array" ref="Q1704">_xlfn.IFS(AND(H1704&gt;=0,H1704&lt;=3333),"Grupo 1",AND(H1704&gt;3333,H1704&lt;=6666),"Grupo 2",AND(H1704&gt;6666,H1704&lt;=10000),"Grupo 3")</f>
        <v>Grupo 2</v>
      </c>
    </row>
    <row r="1705" spans="1:17" x14ac:dyDescent="0.25">
      <c r="A1705" t="s">
        <v>115</v>
      </c>
      <c r="B1705" s="2">
        <v>45919.24722222222</v>
      </c>
      <c r="C1705" t="s">
        <v>281</v>
      </c>
      <c r="D1705" t="s">
        <v>216</v>
      </c>
      <c r="E1705">
        <v>5</v>
      </c>
      <c r="F1705">
        <v>1383.33</v>
      </c>
      <c r="G1705" t="s">
        <v>221</v>
      </c>
      <c r="H1705">
        <v>6916.65</v>
      </c>
      <c r="I1705">
        <v>2025</v>
      </c>
      <c r="J1705">
        <v>9</v>
      </c>
      <c r="K1705">
        <v>5</v>
      </c>
      <c r="L1705" s="14">
        <v>1383.33</v>
      </c>
      <c r="M1705" s="4" t="str">
        <f t="shared" si="104"/>
        <v>viernes</v>
      </c>
      <c r="N1705" s="4" t="str">
        <f t="shared" si="105"/>
        <v>septiembre</v>
      </c>
      <c r="O1705" s="4" t="str">
        <f t="shared" si="106"/>
        <v>SI</v>
      </c>
      <c r="P1705" s="4" t="str">
        <f t="shared" si="107"/>
        <v>SI</v>
      </c>
      <c r="Q1705" s="4" t="str" cm="1">
        <f t="array" ref="Q1705">_xlfn.IFS(AND(H1705&gt;=0,H1705&lt;=3333),"Grupo 1",AND(H1705&gt;3333,H1705&lt;=6666),"Grupo 2",AND(H1705&gt;6666,H1705&lt;=10000),"Grupo 3")</f>
        <v>Grupo 3</v>
      </c>
    </row>
    <row r="1706" spans="1:17" x14ac:dyDescent="0.25">
      <c r="A1706" t="s">
        <v>116</v>
      </c>
      <c r="B1706" s="2">
        <v>45815.543055555558</v>
      </c>
      <c r="C1706" t="s">
        <v>282</v>
      </c>
      <c r="D1706" t="s">
        <v>214</v>
      </c>
      <c r="E1706">
        <v>2</v>
      </c>
      <c r="F1706">
        <v>1051.23</v>
      </c>
      <c r="G1706" t="s">
        <v>222</v>
      </c>
      <c r="H1706">
        <v>2102.46</v>
      </c>
      <c r="I1706">
        <v>2025</v>
      </c>
      <c r="J1706">
        <v>6</v>
      </c>
      <c r="K1706">
        <v>13</v>
      </c>
      <c r="L1706" s="14">
        <v>1051.23</v>
      </c>
      <c r="M1706" s="4" t="str">
        <f t="shared" si="104"/>
        <v>sábado</v>
      </c>
      <c r="N1706" s="4" t="str">
        <f t="shared" si="105"/>
        <v>junio</v>
      </c>
      <c r="O1706" s="4" t="str">
        <f t="shared" si="106"/>
        <v>NO</v>
      </c>
      <c r="P1706" s="4" t="str">
        <f t="shared" si="107"/>
        <v>SI</v>
      </c>
      <c r="Q1706" s="4" t="str" cm="1">
        <f t="array" ref="Q1706">_xlfn.IFS(AND(H1706&gt;=0,H1706&lt;=3333),"Grupo 1",AND(H1706&gt;3333,H1706&lt;=6666),"Grupo 2",AND(H1706&gt;6666,H1706&lt;=10000),"Grupo 3")</f>
        <v>Grupo 1</v>
      </c>
    </row>
    <row r="1707" spans="1:17" x14ac:dyDescent="0.25">
      <c r="A1707" t="s">
        <v>117</v>
      </c>
      <c r="B1707" s="2">
        <v>45255.4</v>
      </c>
      <c r="C1707" t="s">
        <v>283</v>
      </c>
      <c r="D1707" t="s">
        <v>219</v>
      </c>
      <c r="E1707">
        <v>4</v>
      </c>
      <c r="F1707">
        <v>1274.46</v>
      </c>
      <c r="G1707" t="s">
        <v>221</v>
      </c>
      <c r="H1707">
        <v>5097.84</v>
      </c>
      <c r="I1707">
        <v>2023</v>
      </c>
      <c r="J1707">
        <v>11</v>
      </c>
      <c r="K1707">
        <v>9</v>
      </c>
      <c r="L1707" s="14">
        <v>1274.46</v>
      </c>
      <c r="M1707" s="4" t="str">
        <f t="shared" si="104"/>
        <v>sábado</v>
      </c>
      <c r="N1707" s="4" t="str">
        <f t="shared" si="105"/>
        <v>noviembre</v>
      </c>
      <c r="O1707" s="4" t="str">
        <f t="shared" si="106"/>
        <v>SI</v>
      </c>
      <c r="P1707" s="4" t="str">
        <f t="shared" si="107"/>
        <v>SI</v>
      </c>
      <c r="Q1707" s="4" t="str" cm="1">
        <f t="array" ref="Q1707">_xlfn.IFS(AND(H1707&gt;=0,H1707&lt;=3333),"Grupo 1",AND(H1707&gt;3333,H1707&lt;=6666),"Grupo 2",AND(H1707&gt;6666,H1707&lt;=10000),"Grupo 3")</f>
        <v>Grupo 2</v>
      </c>
    </row>
    <row r="1708" spans="1:17" x14ac:dyDescent="0.25">
      <c r="A1708" t="s">
        <v>118</v>
      </c>
      <c r="B1708" s="2">
        <v>45754.797222222223</v>
      </c>
      <c r="C1708" t="s">
        <v>284</v>
      </c>
      <c r="D1708" t="s">
        <v>212</v>
      </c>
      <c r="E1708">
        <v>1</v>
      </c>
      <c r="F1708">
        <v>1251.08</v>
      </c>
      <c r="G1708" t="s">
        <v>220</v>
      </c>
      <c r="H1708">
        <v>1251.08</v>
      </c>
      <c r="I1708">
        <v>2025</v>
      </c>
      <c r="J1708">
        <v>4</v>
      </c>
      <c r="K1708">
        <v>19</v>
      </c>
      <c r="L1708" s="14">
        <v>1251.08</v>
      </c>
      <c r="M1708" s="4" t="str">
        <f t="shared" si="104"/>
        <v>lunes</v>
      </c>
      <c r="N1708" s="4" t="str">
        <f t="shared" si="105"/>
        <v>abril</v>
      </c>
      <c r="O1708" s="4" t="str">
        <f t="shared" si="106"/>
        <v>NO</v>
      </c>
      <c r="P1708" s="4" t="str">
        <f t="shared" si="107"/>
        <v>SI</v>
      </c>
      <c r="Q1708" s="4" t="str" cm="1">
        <f t="array" ref="Q1708">_xlfn.IFS(AND(H1708&gt;=0,H1708&lt;=3333),"Grupo 1",AND(H1708&gt;3333,H1708&lt;=6666),"Grupo 2",AND(H1708&gt;6666,H1708&lt;=10000),"Grupo 3")</f>
        <v>Grupo 1</v>
      </c>
    </row>
    <row r="1709" spans="1:17" x14ac:dyDescent="0.25">
      <c r="A1709" t="s">
        <v>119</v>
      </c>
      <c r="B1709" s="2">
        <v>45764.185416666667</v>
      </c>
      <c r="C1709" t="s">
        <v>285</v>
      </c>
      <c r="D1709" t="s">
        <v>219</v>
      </c>
      <c r="E1709">
        <v>5</v>
      </c>
      <c r="F1709">
        <v>1582.2</v>
      </c>
      <c r="G1709" t="s">
        <v>221</v>
      </c>
      <c r="H1709">
        <v>7911</v>
      </c>
      <c r="I1709">
        <v>2025</v>
      </c>
      <c r="J1709">
        <v>4</v>
      </c>
      <c r="K1709">
        <v>4</v>
      </c>
      <c r="L1709" s="14">
        <v>1582.2</v>
      </c>
      <c r="M1709" s="4" t="str">
        <f t="shared" si="104"/>
        <v>jueves</v>
      </c>
      <c r="N1709" s="4" t="str">
        <f t="shared" si="105"/>
        <v>abril</v>
      </c>
      <c r="O1709" s="4" t="str">
        <f t="shared" si="106"/>
        <v>SI</v>
      </c>
      <c r="P1709" s="4" t="str">
        <f t="shared" si="107"/>
        <v>SI</v>
      </c>
      <c r="Q1709" s="4" t="str" cm="1">
        <f t="array" ref="Q1709">_xlfn.IFS(AND(H1709&gt;=0,H1709&lt;=3333),"Grupo 1",AND(H1709&gt;3333,H1709&lt;=6666),"Grupo 2",AND(H1709&gt;6666,H1709&lt;=10000),"Grupo 3")</f>
        <v>Grupo 3</v>
      </c>
    </row>
    <row r="1710" spans="1:17" x14ac:dyDescent="0.25">
      <c r="A1710" t="s">
        <v>120</v>
      </c>
      <c r="B1710" s="2">
        <v>45240.82916666667</v>
      </c>
      <c r="C1710" t="s">
        <v>286</v>
      </c>
      <c r="D1710" t="s">
        <v>214</v>
      </c>
      <c r="E1710">
        <v>1</v>
      </c>
      <c r="F1710">
        <v>81.92</v>
      </c>
      <c r="G1710" t="s">
        <v>222</v>
      </c>
      <c r="H1710">
        <v>81.92</v>
      </c>
      <c r="I1710">
        <v>2023</v>
      </c>
      <c r="J1710">
        <v>11</v>
      </c>
      <c r="K1710">
        <v>19</v>
      </c>
      <c r="L1710" s="14">
        <v>81.92</v>
      </c>
      <c r="M1710" s="4" t="str">
        <f t="shared" si="104"/>
        <v>viernes</v>
      </c>
      <c r="N1710" s="4" t="str">
        <f t="shared" si="105"/>
        <v>noviembre</v>
      </c>
      <c r="O1710" s="4" t="str">
        <f t="shared" si="106"/>
        <v>NO</v>
      </c>
      <c r="P1710" s="4" t="str">
        <f t="shared" si="107"/>
        <v>NO</v>
      </c>
      <c r="Q1710" s="4" t="str" cm="1">
        <f t="array" ref="Q1710">_xlfn.IFS(AND(H1710&gt;=0,H1710&lt;=3333),"Grupo 1",AND(H1710&gt;3333,H1710&lt;=6666),"Grupo 2",AND(H1710&gt;6666,H1710&lt;=10000),"Grupo 3")</f>
        <v>Grupo 1</v>
      </c>
    </row>
    <row r="1711" spans="1:17" x14ac:dyDescent="0.25">
      <c r="A1711" t="s">
        <v>121</v>
      </c>
      <c r="B1711" s="2">
        <v>45634.470138888893</v>
      </c>
      <c r="C1711" t="s">
        <v>287</v>
      </c>
      <c r="D1711" t="s">
        <v>218</v>
      </c>
      <c r="E1711">
        <v>1</v>
      </c>
      <c r="F1711">
        <v>1153.31</v>
      </c>
      <c r="G1711" t="s">
        <v>221</v>
      </c>
      <c r="H1711">
        <v>1153.31</v>
      </c>
      <c r="I1711">
        <v>2024</v>
      </c>
      <c r="J1711">
        <v>12</v>
      </c>
      <c r="K1711">
        <v>11</v>
      </c>
      <c r="L1711" s="14">
        <v>1153.31</v>
      </c>
      <c r="M1711" s="4" t="str">
        <f t="shared" si="104"/>
        <v>domingo</v>
      </c>
      <c r="N1711" s="4" t="str">
        <f t="shared" si="105"/>
        <v>diciembre</v>
      </c>
      <c r="O1711" s="4" t="str">
        <f t="shared" si="106"/>
        <v>NO</v>
      </c>
      <c r="P1711" s="4" t="str">
        <f t="shared" si="107"/>
        <v>SI</v>
      </c>
      <c r="Q1711" s="4" t="str" cm="1">
        <f t="array" ref="Q1711">_xlfn.IFS(AND(H1711&gt;=0,H1711&lt;=3333),"Grupo 1",AND(H1711&gt;3333,H1711&lt;=6666),"Grupo 2",AND(H1711&gt;6666,H1711&lt;=10000),"Grupo 3")</f>
        <v>Grupo 1</v>
      </c>
    </row>
    <row r="1712" spans="1:17" x14ac:dyDescent="0.25">
      <c r="A1712" t="s">
        <v>122</v>
      </c>
      <c r="B1712" s="2">
        <v>45913.939583333333</v>
      </c>
      <c r="C1712" t="s">
        <v>288</v>
      </c>
      <c r="D1712" t="s">
        <v>218</v>
      </c>
      <c r="E1712">
        <v>3</v>
      </c>
      <c r="F1712">
        <v>1078.08</v>
      </c>
      <c r="G1712" t="s">
        <v>221</v>
      </c>
      <c r="H1712">
        <v>3234.24</v>
      </c>
      <c r="I1712">
        <v>2025</v>
      </c>
      <c r="J1712">
        <v>9</v>
      </c>
      <c r="K1712">
        <v>22</v>
      </c>
      <c r="L1712" s="14">
        <v>1078.08</v>
      </c>
      <c r="M1712" s="4" t="str">
        <f t="shared" si="104"/>
        <v>sábado</v>
      </c>
      <c r="N1712" s="4" t="str">
        <f t="shared" si="105"/>
        <v>septiembre</v>
      </c>
      <c r="O1712" s="4" t="str">
        <f t="shared" si="106"/>
        <v>SI</v>
      </c>
      <c r="P1712" s="4" t="str">
        <f t="shared" si="107"/>
        <v>SI</v>
      </c>
      <c r="Q1712" s="4" t="str" cm="1">
        <f t="array" ref="Q1712">_xlfn.IFS(AND(H1712&gt;=0,H1712&lt;=3333),"Grupo 1",AND(H1712&gt;3333,H1712&lt;=6666),"Grupo 2",AND(H1712&gt;6666,H1712&lt;=10000),"Grupo 3")</f>
        <v>Grupo 1</v>
      </c>
    </row>
    <row r="1713" spans="1:17" x14ac:dyDescent="0.25">
      <c r="A1713" t="s">
        <v>123</v>
      </c>
      <c r="B1713" s="2">
        <v>45526.149305555547</v>
      </c>
      <c r="C1713" t="s">
        <v>289</v>
      </c>
      <c r="D1713" t="s">
        <v>215</v>
      </c>
      <c r="E1713">
        <v>1</v>
      </c>
      <c r="F1713">
        <v>201.91</v>
      </c>
      <c r="G1713" t="s">
        <v>220</v>
      </c>
      <c r="H1713">
        <v>201.91</v>
      </c>
      <c r="I1713">
        <v>2024</v>
      </c>
      <c r="J1713">
        <v>8</v>
      </c>
      <c r="K1713">
        <v>3</v>
      </c>
      <c r="L1713" s="14">
        <v>201.91</v>
      </c>
      <c r="M1713" s="4" t="str">
        <f t="shared" si="104"/>
        <v>jueves</v>
      </c>
      <c r="N1713" s="4" t="str">
        <f t="shared" si="105"/>
        <v>agosto</v>
      </c>
      <c r="O1713" s="4" t="str">
        <f t="shared" si="106"/>
        <v>NO</v>
      </c>
      <c r="P1713" s="4" t="str">
        <f t="shared" si="107"/>
        <v>NO</v>
      </c>
      <c r="Q1713" s="4" t="str" cm="1">
        <f t="array" ref="Q1713">_xlfn.IFS(AND(H1713&gt;=0,H1713&lt;=3333),"Grupo 1",AND(H1713&gt;3333,H1713&lt;=6666),"Grupo 2",AND(H1713&gt;6666,H1713&lt;=10000),"Grupo 3")</f>
        <v>Grupo 1</v>
      </c>
    </row>
    <row r="1714" spans="1:17" x14ac:dyDescent="0.25">
      <c r="A1714" t="s">
        <v>124</v>
      </c>
      <c r="B1714" s="2">
        <v>45487.067361111112</v>
      </c>
      <c r="C1714" t="s">
        <v>290</v>
      </c>
      <c r="D1714" t="s">
        <v>216</v>
      </c>
      <c r="E1714">
        <v>3</v>
      </c>
      <c r="F1714">
        <v>727.36</v>
      </c>
      <c r="G1714" t="s">
        <v>221</v>
      </c>
      <c r="H1714">
        <v>2182.08</v>
      </c>
      <c r="I1714">
        <v>2024</v>
      </c>
      <c r="J1714">
        <v>7</v>
      </c>
      <c r="K1714">
        <v>1</v>
      </c>
      <c r="L1714" s="14">
        <v>727.36</v>
      </c>
      <c r="M1714" s="4" t="str">
        <f t="shared" si="104"/>
        <v>domingo</v>
      </c>
      <c r="N1714" s="4" t="str">
        <f t="shared" si="105"/>
        <v>julio</v>
      </c>
      <c r="O1714" s="4" t="str">
        <f t="shared" si="106"/>
        <v>NO</v>
      </c>
      <c r="P1714" s="4" t="str">
        <f t="shared" si="107"/>
        <v>NO</v>
      </c>
      <c r="Q1714" s="4" t="str" cm="1">
        <f t="array" ref="Q1714">_xlfn.IFS(AND(H1714&gt;=0,H1714&lt;=3333),"Grupo 1",AND(H1714&gt;3333,H1714&lt;=6666),"Grupo 2",AND(H1714&gt;6666,H1714&lt;=10000),"Grupo 3")</f>
        <v>Grupo 1</v>
      </c>
    </row>
    <row r="1715" spans="1:17" x14ac:dyDescent="0.25">
      <c r="A1715" t="s">
        <v>125</v>
      </c>
      <c r="B1715" s="2">
        <v>45281.986805555563</v>
      </c>
      <c r="C1715" t="s">
        <v>291</v>
      </c>
      <c r="D1715" t="s">
        <v>219</v>
      </c>
      <c r="E1715">
        <v>3</v>
      </c>
      <c r="F1715">
        <v>1645.43</v>
      </c>
      <c r="G1715" t="s">
        <v>221</v>
      </c>
      <c r="H1715">
        <v>4936.29</v>
      </c>
      <c r="I1715">
        <v>2023</v>
      </c>
      <c r="J1715">
        <v>12</v>
      </c>
      <c r="K1715">
        <v>23</v>
      </c>
      <c r="L1715" s="14">
        <v>1645.43</v>
      </c>
      <c r="M1715" s="4" t="str">
        <f t="shared" si="104"/>
        <v>jueves</v>
      </c>
      <c r="N1715" s="4" t="str">
        <f t="shared" si="105"/>
        <v>diciembre</v>
      </c>
      <c r="O1715" s="4" t="str">
        <f t="shared" si="106"/>
        <v>SI</v>
      </c>
      <c r="P1715" s="4" t="str">
        <f t="shared" si="107"/>
        <v>SI</v>
      </c>
      <c r="Q1715" s="4" t="str" cm="1">
        <f t="array" ref="Q1715">_xlfn.IFS(AND(H1715&gt;=0,H1715&lt;=3333),"Grupo 1",AND(H1715&gt;3333,H1715&lt;=6666),"Grupo 2",AND(H1715&gt;6666,H1715&lt;=10000),"Grupo 3")</f>
        <v>Grupo 2</v>
      </c>
    </row>
    <row r="1716" spans="1:17" x14ac:dyDescent="0.25">
      <c r="A1716" t="s">
        <v>126</v>
      </c>
      <c r="B1716" s="2">
        <v>45468.378472222219</v>
      </c>
      <c r="C1716" t="s">
        <v>292</v>
      </c>
      <c r="D1716" t="s">
        <v>217</v>
      </c>
      <c r="E1716">
        <v>3</v>
      </c>
      <c r="F1716">
        <v>420.05</v>
      </c>
      <c r="G1716" t="s">
        <v>220</v>
      </c>
      <c r="H1716">
        <v>1260.1500000000001</v>
      </c>
      <c r="I1716">
        <v>2024</v>
      </c>
      <c r="J1716">
        <v>6</v>
      </c>
      <c r="K1716">
        <v>9</v>
      </c>
      <c r="L1716" s="14">
        <v>420.05</v>
      </c>
      <c r="M1716" s="4" t="str">
        <f t="shared" si="104"/>
        <v>martes</v>
      </c>
      <c r="N1716" s="4" t="str">
        <f t="shared" si="105"/>
        <v>junio</v>
      </c>
      <c r="O1716" s="4" t="str">
        <f t="shared" si="106"/>
        <v>NO</v>
      </c>
      <c r="P1716" s="4" t="str">
        <f t="shared" si="107"/>
        <v>NO</v>
      </c>
      <c r="Q1716" s="4" t="str" cm="1">
        <f t="array" ref="Q1716">_xlfn.IFS(AND(H1716&gt;=0,H1716&lt;=3333),"Grupo 1",AND(H1716&gt;3333,H1716&lt;=6666),"Grupo 2",AND(H1716&gt;6666,H1716&lt;=10000),"Grupo 3")</f>
        <v>Grupo 1</v>
      </c>
    </row>
    <row r="1717" spans="1:17" x14ac:dyDescent="0.25">
      <c r="A1717" t="s">
        <v>127</v>
      </c>
      <c r="B1717" s="2">
        <v>45529.436805555553</v>
      </c>
      <c r="C1717" t="s">
        <v>293</v>
      </c>
      <c r="D1717" t="s">
        <v>214</v>
      </c>
      <c r="E1717">
        <v>4</v>
      </c>
      <c r="F1717">
        <v>496.9</v>
      </c>
      <c r="G1717" t="s">
        <v>222</v>
      </c>
      <c r="H1717">
        <v>1987.6</v>
      </c>
      <c r="I1717">
        <v>2024</v>
      </c>
      <c r="J1717">
        <v>8</v>
      </c>
      <c r="K1717">
        <v>10</v>
      </c>
      <c r="L1717" s="14">
        <v>496.9</v>
      </c>
      <c r="M1717" s="4" t="str">
        <f t="shared" si="104"/>
        <v>domingo</v>
      </c>
      <c r="N1717" s="4" t="str">
        <f t="shared" si="105"/>
        <v>agosto</v>
      </c>
      <c r="O1717" s="4" t="str">
        <f t="shared" si="106"/>
        <v>NO</v>
      </c>
      <c r="P1717" s="4" t="str">
        <f t="shared" si="107"/>
        <v>NO</v>
      </c>
      <c r="Q1717" s="4" t="str" cm="1">
        <f t="array" ref="Q1717">_xlfn.IFS(AND(H1717&gt;=0,H1717&lt;=3333),"Grupo 1",AND(H1717&gt;3333,H1717&lt;=6666),"Grupo 2",AND(H1717&gt;6666,H1717&lt;=10000),"Grupo 3")</f>
        <v>Grupo 1</v>
      </c>
    </row>
    <row r="1718" spans="1:17" x14ac:dyDescent="0.25">
      <c r="A1718" t="s">
        <v>128</v>
      </c>
      <c r="B1718" s="2">
        <v>44961.01666666667</v>
      </c>
      <c r="C1718" t="s">
        <v>294</v>
      </c>
      <c r="D1718" t="s">
        <v>213</v>
      </c>
      <c r="E1718">
        <v>2</v>
      </c>
      <c r="F1718">
        <v>721.56</v>
      </c>
      <c r="G1718" t="s">
        <v>221</v>
      </c>
      <c r="H1718">
        <v>1443.12</v>
      </c>
      <c r="I1718">
        <v>2023</v>
      </c>
      <c r="J1718">
        <v>2</v>
      </c>
      <c r="K1718">
        <v>0</v>
      </c>
      <c r="L1718" s="14">
        <v>721.56</v>
      </c>
      <c r="M1718" s="4" t="str">
        <f t="shared" si="104"/>
        <v>sábado</v>
      </c>
      <c r="N1718" s="4" t="str">
        <f t="shared" si="105"/>
        <v>febrero</v>
      </c>
      <c r="O1718" s="4" t="str">
        <f t="shared" si="106"/>
        <v>NO</v>
      </c>
      <c r="P1718" s="4" t="str">
        <f t="shared" si="107"/>
        <v>NO</v>
      </c>
      <c r="Q1718" s="4" t="str" cm="1">
        <f t="array" ref="Q1718">_xlfn.IFS(AND(H1718&gt;=0,H1718&lt;=3333),"Grupo 1",AND(H1718&gt;3333,H1718&lt;=6666),"Grupo 2",AND(H1718&gt;6666,H1718&lt;=10000),"Grupo 3")</f>
        <v>Grupo 1</v>
      </c>
    </row>
    <row r="1719" spans="1:17" x14ac:dyDescent="0.25">
      <c r="A1719" t="s">
        <v>129</v>
      </c>
      <c r="B1719" s="2">
        <v>45041.746527777781</v>
      </c>
      <c r="C1719" t="s">
        <v>295</v>
      </c>
      <c r="D1719" t="s">
        <v>219</v>
      </c>
      <c r="E1719">
        <v>4</v>
      </c>
      <c r="F1719">
        <v>1353.9</v>
      </c>
      <c r="G1719" t="s">
        <v>221</v>
      </c>
      <c r="H1719">
        <v>5415.6</v>
      </c>
      <c r="I1719">
        <v>2023</v>
      </c>
      <c r="J1719">
        <v>4</v>
      </c>
      <c r="K1719">
        <v>17</v>
      </c>
      <c r="L1719" s="14">
        <v>1353.9</v>
      </c>
      <c r="M1719" s="4" t="str">
        <f t="shared" si="104"/>
        <v>martes</v>
      </c>
      <c r="N1719" s="4" t="str">
        <f t="shared" si="105"/>
        <v>abril</v>
      </c>
      <c r="O1719" s="4" t="str">
        <f t="shared" si="106"/>
        <v>SI</v>
      </c>
      <c r="P1719" s="4" t="str">
        <f t="shared" si="107"/>
        <v>SI</v>
      </c>
      <c r="Q1719" s="4" t="str" cm="1">
        <f t="array" ref="Q1719">_xlfn.IFS(AND(H1719&gt;=0,H1719&lt;=3333),"Grupo 1",AND(H1719&gt;3333,H1719&lt;=6666),"Grupo 2",AND(H1719&gt;6666,H1719&lt;=10000),"Grupo 3")</f>
        <v>Grupo 2</v>
      </c>
    </row>
    <row r="1720" spans="1:17" x14ac:dyDescent="0.25">
      <c r="A1720" t="s">
        <v>130</v>
      </c>
      <c r="B1720" s="2">
        <v>45400.756249999999</v>
      </c>
      <c r="C1720" t="s">
        <v>296</v>
      </c>
      <c r="D1720" t="s">
        <v>215</v>
      </c>
      <c r="E1720">
        <v>2</v>
      </c>
      <c r="F1720">
        <v>429.52</v>
      </c>
      <c r="G1720" t="s">
        <v>220</v>
      </c>
      <c r="H1720">
        <v>859.04</v>
      </c>
      <c r="I1720">
        <v>2024</v>
      </c>
      <c r="J1720">
        <v>4</v>
      </c>
      <c r="K1720">
        <v>18</v>
      </c>
      <c r="L1720" s="14">
        <v>429.52</v>
      </c>
      <c r="M1720" s="4" t="str">
        <f t="shared" si="104"/>
        <v>jueves</v>
      </c>
      <c r="N1720" s="4" t="str">
        <f t="shared" si="105"/>
        <v>abril</v>
      </c>
      <c r="O1720" s="4" t="str">
        <f t="shared" si="106"/>
        <v>NO</v>
      </c>
      <c r="P1720" s="4" t="str">
        <f t="shared" si="107"/>
        <v>NO</v>
      </c>
      <c r="Q1720" s="4" t="str" cm="1">
        <f t="array" ref="Q1720">_xlfn.IFS(AND(H1720&gt;=0,H1720&lt;=3333),"Grupo 1",AND(H1720&gt;3333,H1720&lt;=6666),"Grupo 2",AND(H1720&gt;6666,H1720&lt;=10000),"Grupo 3")</f>
        <v>Grupo 1</v>
      </c>
    </row>
    <row r="1721" spans="1:17" x14ac:dyDescent="0.25">
      <c r="A1721" t="s">
        <v>131</v>
      </c>
      <c r="B1721" s="2">
        <v>45465.772916666669</v>
      </c>
      <c r="C1721" t="s">
        <v>297</v>
      </c>
      <c r="D1721" t="s">
        <v>214</v>
      </c>
      <c r="E1721">
        <v>2</v>
      </c>
      <c r="F1721">
        <v>1824.96</v>
      </c>
      <c r="G1721" t="s">
        <v>222</v>
      </c>
      <c r="H1721">
        <v>3649.92</v>
      </c>
      <c r="I1721">
        <v>2024</v>
      </c>
      <c r="J1721">
        <v>6</v>
      </c>
      <c r="K1721">
        <v>18</v>
      </c>
      <c r="L1721" s="14">
        <v>1824.96</v>
      </c>
      <c r="M1721" s="4" t="str">
        <f t="shared" si="104"/>
        <v>sábado</v>
      </c>
      <c r="N1721" s="4" t="str">
        <f t="shared" si="105"/>
        <v>junio</v>
      </c>
      <c r="O1721" s="4" t="str">
        <f t="shared" si="106"/>
        <v>SI</v>
      </c>
      <c r="P1721" s="4" t="str">
        <f t="shared" si="107"/>
        <v>SI</v>
      </c>
      <c r="Q1721" s="4" t="str" cm="1">
        <f t="array" ref="Q1721">_xlfn.IFS(AND(H1721&gt;=0,H1721&lt;=3333),"Grupo 1",AND(H1721&gt;3333,H1721&lt;=6666),"Grupo 2",AND(H1721&gt;6666,H1721&lt;=10000),"Grupo 3")</f>
        <v>Grupo 2</v>
      </c>
    </row>
    <row r="1722" spans="1:17" x14ac:dyDescent="0.25">
      <c r="A1722" t="s">
        <v>132</v>
      </c>
      <c r="B1722" s="2">
        <v>45316.202777777777</v>
      </c>
      <c r="C1722" t="s">
        <v>298</v>
      </c>
      <c r="D1722" t="s">
        <v>218</v>
      </c>
      <c r="E1722">
        <v>5</v>
      </c>
      <c r="F1722">
        <v>1059.81</v>
      </c>
      <c r="G1722" t="s">
        <v>221</v>
      </c>
      <c r="H1722">
        <v>5299.0499999999993</v>
      </c>
      <c r="I1722">
        <v>2024</v>
      </c>
      <c r="J1722">
        <v>1</v>
      </c>
      <c r="K1722">
        <v>4</v>
      </c>
      <c r="L1722" s="14">
        <v>1059.81</v>
      </c>
      <c r="M1722" s="4" t="str">
        <f t="shared" si="104"/>
        <v>jueves</v>
      </c>
      <c r="N1722" s="4" t="str">
        <f t="shared" si="105"/>
        <v>enero</v>
      </c>
      <c r="O1722" s="4" t="str">
        <f t="shared" si="106"/>
        <v>SI</v>
      </c>
      <c r="P1722" s="4" t="str">
        <f t="shared" si="107"/>
        <v>SI</v>
      </c>
      <c r="Q1722" s="4" t="str" cm="1">
        <f t="array" ref="Q1722">_xlfn.IFS(AND(H1722&gt;=0,H1722&lt;=3333),"Grupo 1",AND(H1722&gt;3333,H1722&lt;=6666),"Grupo 2",AND(H1722&gt;6666,H1722&lt;=10000),"Grupo 3")</f>
        <v>Grupo 2</v>
      </c>
    </row>
    <row r="1723" spans="1:17" x14ac:dyDescent="0.25">
      <c r="A1723" t="s">
        <v>133</v>
      </c>
      <c r="B1723" s="2">
        <v>45118.634722222218</v>
      </c>
      <c r="C1723" t="s">
        <v>299</v>
      </c>
      <c r="D1723" t="s">
        <v>214</v>
      </c>
      <c r="E1723">
        <v>4</v>
      </c>
      <c r="F1723">
        <v>46.39</v>
      </c>
      <c r="G1723" t="s">
        <v>222</v>
      </c>
      <c r="H1723">
        <v>185.56</v>
      </c>
      <c r="I1723">
        <v>2023</v>
      </c>
      <c r="J1723">
        <v>7</v>
      </c>
      <c r="K1723">
        <v>15</v>
      </c>
      <c r="L1723" s="14">
        <v>46.39</v>
      </c>
      <c r="M1723" s="4" t="str">
        <f t="shared" si="104"/>
        <v>martes</v>
      </c>
      <c r="N1723" s="4" t="str">
        <f t="shared" si="105"/>
        <v>julio</v>
      </c>
      <c r="O1723" s="4" t="str">
        <f t="shared" si="106"/>
        <v>NO</v>
      </c>
      <c r="P1723" s="4" t="str">
        <f t="shared" si="107"/>
        <v>NO</v>
      </c>
      <c r="Q1723" s="4" t="str" cm="1">
        <f t="array" ref="Q1723">_xlfn.IFS(AND(H1723&gt;=0,H1723&lt;=3333),"Grupo 1",AND(H1723&gt;3333,H1723&lt;=6666),"Grupo 2",AND(H1723&gt;6666,H1723&lt;=10000),"Grupo 3")</f>
        <v>Grupo 1</v>
      </c>
    </row>
    <row r="1724" spans="1:17" x14ac:dyDescent="0.25">
      <c r="A1724" t="s">
        <v>134</v>
      </c>
      <c r="B1724" s="2">
        <v>45232.75</v>
      </c>
      <c r="C1724" t="s">
        <v>300</v>
      </c>
      <c r="D1724" t="s">
        <v>217</v>
      </c>
      <c r="E1724">
        <v>1</v>
      </c>
      <c r="F1724">
        <v>754.07</v>
      </c>
      <c r="G1724" t="s">
        <v>220</v>
      </c>
      <c r="H1724">
        <v>754.07</v>
      </c>
      <c r="I1724">
        <v>2023</v>
      </c>
      <c r="J1724">
        <v>11</v>
      </c>
      <c r="K1724">
        <v>18</v>
      </c>
      <c r="L1724" s="14">
        <v>754.07</v>
      </c>
      <c r="M1724" s="4" t="str">
        <f t="shared" si="104"/>
        <v>jueves</v>
      </c>
      <c r="N1724" s="4" t="str">
        <f t="shared" si="105"/>
        <v>noviembre</v>
      </c>
      <c r="O1724" s="4" t="str">
        <f t="shared" si="106"/>
        <v>NO</v>
      </c>
      <c r="P1724" s="4" t="str">
        <f t="shared" si="107"/>
        <v>NO</v>
      </c>
      <c r="Q1724" s="4" t="str" cm="1">
        <f t="array" ref="Q1724">_xlfn.IFS(AND(H1724&gt;=0,H1724&lt;=3333),"Grupo 1",AND(H1724&gt;3333,H1724&lt;=6666),"Grupo 2",AND(H1724&gt;6666,H1724&lt;=10000),"Grupo 3")</f>
        <v>Grupo 1</v>
      </c>
    </row>
    <row r="1725" spans="1:17" x14ac:dyDescent="0.25">
      <c r="A1725" t="s">
        <v>135</v>
      </c>
      <c r="B1725" s="2">
        <v>45745.421527777777</v>
      </c>
      <c r="C1725" t="s">
        <v>301</v>
      </c>
      <c r="D1725" t="s">
        <v>219</v>
      </c>
      <c r="E1725">
        <v>1</v>
      </c>
      <c r="F1725">
        <v>1681.02</v>
      </c>
      <c r="G1725" t="s">
        <v>221</v>
      </c>
      <c r="H1725">
        <v>1681.02</v>
      </c>
      <c r="I1725">
        <v>2025</v>
      </c>
      <c r="J1725">
        <v>3</v>
      </c>
      <c r="K1725">
        <v>10</v>
      </c>
      <c r="L1725" s="14">
        <v>1681.02</v>
      </c>
      <c r="M1725" s="4" t="str">
        <f t="shared" si="104"/>
        <v>sábado</v>
      </c>
      <c r="N1725" s="4" t="str">
        <f t="shared" si="105"/>
        <v>marzo</v>
      </c>
      <c r="O1725" s="4" t="str">
        <f t="shared" si="106"/>
        <v>NO</v>
      </c>
      <c r="P1725" s="4" t="str">
        <f t="shared" si="107"/>
        <v>SI</v>
      </c>
      <c r="Q1725" s="4" t="str" cm="1">
        <f t="array" ref="Q1725">_xlfn.IFS(AND(H1725&gt;=0,H1725&lt;=3333),"Grupo 1",AND(H1725&gt;3333,H1725&lt;=6666),"Grupo 2",AND(H1725&gt;6666,H1725&lt;=10000),"Grupo 3")</f>
        <v>Grupo 1</v>
      </c>
    </row>
    <row r="1726" spans="1:17" x14ac:dyDescent="0.25">
      <c r="A1726" t="s">
        <v>136</v>
      </c>
      <c r="B1726" s="2">
        <v>45802.370833333327</v>
      </c>
      <c r="C1726" t="s">
        <v>302</v>
      </c>
      <c r="D1726" t="s">
        <v>212</v>
      </c>
      <c r="E1726">
        <v>2</v>
      </c>
      <c r="F1726">
        <v>1198.72</v>
      </c>
      <c r="G1726" t="s">
        <v>220</v>
      </c>
      <c r="H1726">
        <v>2397.44</v>
      </c>
      <c r="I1726">
        <v>2025</v>
      </c>
      <c r="J1726">
        <v>5</v>
      </c>
      <c r="K1726">
        <v>8</v>
      </c>
      <c r="L1726" s="14">
        <v>1198.72</v>
      </c>
      <c r="M1726" s="4" t="str">
        <f t="shared" si="104"/>
        <v>domingo</v>
      </c>
      <c r="N1726" s="4" t="str">
        <f t="shared" si="105"/>
        <v>mayo</v>
      </c>
      <c r="O1726" s="4" t="str">
        <f t="shared" si="106"/>
        <v>NO</v>
      </c>
      <c r="P1726" s="4" t="str">
        <f t="shared" si="107"/>
        <v>SI</v>
      </c>
      <c r="Q1726" s="4" t="str" cm="1">
        <f t="array" ref="Q1726">_xlfn.IFS(AND(H1726&gt;=0,H1726&lt;=3333),"Grupo 1",AND(H1726&gt;3333,H1726&lt;=6666),"Grupo 2",AND(H1726&gt;6666,H1726&lt;=10000),"Grupo 3")</f>
        <v>Grupo 1</v>
      </c>
    </row>
    <row r="1727" spans="1:17" x14ac:dyDescent="0.25">
      <c r="A1727" t="s">
        <v>137</v>
      </c>
      <c r="B1727" s="2">
        <v>45249.604861111111</v>
      </c>
      <c r="C1727" t="s">
        <v>303</v>
      </c>
      <c r="D1727" t="s">
        <v>219</v>
      </c>
      <c r="E1727">
        <v>2</v>
      </c>
      <c r="F1727">
        <v>1040.2</v>
      </c>
      <c r="G1727" t="s">
        <v>221</v>
      </c>
      <c r="H1727">
        <v>2080.4</v>
      </c>
      <c r="I1727">
        <v>2023</v>
      </c>
      <c r="J1727">
        <v>11</v>
      </c>
      <c r="K1727">
        <v>14</v>
      </c>
      <c r="L1727" s="14">
        <v>1040.2</v>
      </c>
      <c r="M1727" s="4" t="str">
        <f t="shared" si="104"/>
        <v>domingo</v>
      </c>
      <c r="N1727" s="4" t="str">
        <f t="shared" si="105"/>
        <v>noviembre</v>
      </c>
      <c r="O1727" s="4" t="str">
        <f t="shared" si="106"/>
        <v>NO</v>
      </c>
      <c r="P1727" s="4" t="str">
        <f t="shared" si="107"/>
        <v>SI</v>
      </c>
      <c r="Q1727" s="4" t="str" cm="1">
        <f t="array" ref="Q1727">_xlfn.IFS(AND(H1727&gt;=0,H1727&lt;=3333),"Grupo 1",AND(H1727&gt;3333,H1727&lt;=6666),"Grupo 2",AND(H1727&gt;6666,H1727&lt;=10000),"Grupo 3")</f>
        <v>Grupo 1</v>
      </c>
    </row>
    <row r="1728" spans="1:17" x14ac:dyDescent="0.25">
      <c r="A1728" t="s">
        <v>138</v>
      </c>
      <c r="B1728" s="2">
        <v>45854.013194444437</v>
      </c>
      <c r="C1728" t="s">
        <v>304</v>
      </c>
      <c r="D1728" t="s">
        <v>213</v>
      </c>
      <c r="E1728">
        <v>3</v>
      </c>
      <c r="F1728">
        <v>107.53</v>
      </c>
      <c r="G1728" t="s">
        <v>221</v>
      </c>
      <c r="H1728">
        <v>322.58999999999997</v>
      </c>
      <c r="I1728">
        <v>2025</v>
      </c>
      <c r="J1728">
        <v>7</v>
      </c>
      <c r="K1728">
        <v>0</v>
      </c>
      <c r="L1728" s="14">
        <v>107.53</v>
      </c>
      <c r="M1728" s="4" t="str">
        <f t="shared" si="104"/>
        <v>miércoles</v>
      </c>
      <c r="N1728" s="4" t="str">
        <f t="shared" si="105"/>
        <v>julio</v>
      </c>
      <c r="O1728" s="4" t="str">
        <f t="shared" si="106"/>
        <v>NO</v>
      </c>
      <c r="P1728" s="4" t="str">
        <f t="shared" si="107"/>
        <v>NO</v>
      </c>
      <c r="Q1728" s="4" t="str" cm="1">
        <f t="array" ref="Q1728">_xlfn.IFS(AND(H1728&gt;=0,H1728&lt;=3333),"Grupo 1",AND(H1728&gt;3333,H1728&lt;=6666),"Grupo 2",AND(H1728&gt;6666,H1728&lt;=10000),"Grupo 3")</f>
        <v>Grupo 1</v>
      </c>
    </row>
    <row r="1729" spans="1:17" x14ac:dyDescent="0.25">
      <c r="A1729" t="s">
        <v>139</v>
      </c>
      <c r="B1729" s="2">
        <v>45828.018055555563</v>
      </c>
      <c r="C1729" t="s">
        <v>305</v>
      </c>
      <c r="D1729" t="s">
        <v>215</v>
      </c>
      <c r="E1729">
        <v>4</v>
      </c>
      <c r="F1729">
        <v>380.66</v>
      </c>
      <c r="G1729" t="s">
        <v>220</v>
      </c>
      <c r="H1729">
        <v>1522.64</v>
      </c>
      <c r="I1729">
        <v>2025</v>
      </c>
      <c r="J1729">
        <v>6</v>
      </c>
      <c r="K1729">
        <v>0</v>
      </c>
      <c r="L1729" s="14">
        <v>380.66</v>
      </c>
      <c r="M1729" s="4" t="str">
        <f t="shared" si="104"/>
        <v>viernes</v>
      </c>
      <c r="N1729" s="4" t="str">
        <f t="shared" si="105"/>
        <v>junio</v>
      </c>
      <c r="O1729" s="4" t="str">
        <f t="shared" si="106"/>
        <v>NO</v>
      </c>
      <c r="P1729" s="4" t="str">
        <f t="shared" si="107"/>
        <v>NO</v>
      </c>
      <c r="Q1729" s="4" t="str" cm="1">
        <f t="array" ref="Q1729">_xlfn.IFS(AND(H1729&gt;=0,H1729&lt;=3333),"Grupo 1",AND(H1729&gt;3333,H1729&lt;=6666),"Grupo 2",AND(H1729&gt;6666,H1729&lt;=10000),"Grupo 3")</f>
        <v>Grupo 1</v>
      </c>
    </row>
    <row r="1730" spans="1:17" x14ac:dyDescent="0.25">
      <c r="A1730" t="s">
        <v>140</v>
      </c>
      <c r="B1730" s="2">
        <v>45673.40902777778</v>
      </c>
      <c r="C1730" t="s">
        <v>306</v>
      </c>
      <c r="D1730" t="s">
        <v>212</v>
      </c>
      <c r="E1730">
        <v>2</v>
      </c>
      <c r="F1730">
        <v>700.11</v>
      </c>
      <c r="G1730" t="s">
        <v>220</v>
      </c>
      <c r="H1730">
        <v>1400.22</v>
      </c>
      <c r="I1730">
        <v>2025</v>
      </c>
      <c r="J1730">
        <v>1</v>
      </c>
      <c r="K1730">
        <v>9</v>
      </c>
      <c r="L1730" s="14">
        <v>700.11</v>
      </c>
      <c r="M1730" s="4" t="str">
        <f t="shared" ref="M1730:M1793" si="108">TEXT(B1730,"dddd")</f>
        <v>jueves</v>
      </c>
      <c r="N1730" s="4" t="str">
        <f t="shared" ref="N1730:N1793" si="109">TEXT(B1730,"mmmm")</f>
        <v>enero</v>
      </c>
      <c r="O1730" s="4" t="str">
        <f t="shared" si="106"/>
        <v>NO</v>
      </c>
      <c r="P1730" s="4" t="str">
        <f t="shared" si="107"/>
        <v>NO</v>
      </c>
      <c r="Q1730" s="4" t="str" cm="1">
        <f t="array" ref="Q1730">_xlfn.IFS(AND(H1730&gt;=0,H1730&lt;=3333),"Grupo 1",AND(H1730&gt;3333,H1730&lt;=6666),"Grupo 2",AND(H1730&gt;6666,H1730&lt;=10000),"Grupo 3")</f>
        <v>Grupo 1</v>
      </c>
    </row>
    <row r="1731" spans="1:17" x14ac:dyDescent="0.25">
      <c r="A1731" t="s">
        <v>141</v>
      </c>
      <c r="B1731" s="2">
        <v>44932.951388888891</v>
      </c>
      <c r="C1731" t="s">
        <v>307</v>
      </c>
      <c r="D1731" t="s">
        <v>215</v>
      </c>
      <c r="E1731">
        <v>5</v>
      </c>
      <c r="F1731">
        <v>358.48</v>
      </c>
      <c r="G1731" t="s">
        <v>220</v>
      </c>
      <c r="H1731">
        <v>1792.4</v>
      </c>
      <c r="I1731">
        <v>2023</v>
      </c>
      <c r="J1731">
        <v>1</v>
      </c>
      <c r="K1731">
        <v>22</v>
      </c>
      <c r="L1731" s="14">
        <v>358.48</v>
      </c>
      <c r="M1731" s="4" t="str">
        <f t="shared" si="108"/>
        <v>viernes</v>
      </c>
      <c r="N1731" s="4" t="str">
        <f t="shared" si="109"/>
        <v>enero</v>
      </c>
      <c r="O1731" s="4" t="str">
        <f t="shared" ref="O1731:O1794" si="110">IF(H1731&gt;AVERAGE(H:H),"SI","NO")</f>
        <v>NO</v>
      </c>
      <c r="P1731" s="4" t="str">
        <f t="shared" ref="P1731:P1794" si="111">IF(L1731&gt;AVERAGE(L:L),"SI","NO")</f>
        <v>NO</v>
      </c>
      <c r="Q1731" s="4" t="str" cm="1">
        <f t="array" ref="Q1731">_xlfn.IFS(AND(H1731&gt;=0,H1731&lt;=3333),"Grupo 1",AND(H1731&gt;3333,H1731&lt;=6666),"Grupo 2",AND(H1731&gt;6666,H1731&lt;=10000),"Grupo 3")</f>
        <v>Grupo 1</v>
      </c>
    </row>
    <row r="1732" spans="1:17" x14ac:dyDescent="0.25">
      <c r="A1732" t="s">
        <v>142</v>
      </c>
      <c r="B1732" s="2">
        <v>45381.871527777781</v>
      </c>
      <c r="C1732" t="s">
        <v>308</v>
      </c>
      <c r="D1732" t="s">
        <v>214</v>
      </c>
      <c r="E1732">
        <v>4</v>
      </c>
      <c r="F1732">
        <v>746.6</v>
      </c>
      <c r="G1732" t="s">
        <v>222</v>
      </c>
      <c r="H1732">
        <v>2986.4</v>
      </c>
      <c r="I1732">
        <v>2024</v>
      </c>
      <c r="J1732">
        <v>3</v>
      </c>
      <c r="K1732">
        <v>20</v>
      </c>
      <c r="L1732" s="14">
        <v>746.6</v>
      </c>
      <c r="M1732" s="4" t="str">
        <f t="shared" si="108"/>
        <v>sábado</v>
      </c>
      <c r="N1732" s="4" t="str">
        <f t="shared" si="109"/>
        <v>marzo</v>
      </c>
      <c r="O1732" s="4" t="str">
        <f t="shared" si="110"/>
        <v>SI</v>
      </c>
      <c r="P1732" s="4" t="str">
        <f t="shared" si="111"/>
        <v>NO</v>
      </c>
      <c r="Q1732" s="4" t="str" cm="1">
        <f t="array" ref="Q1732">_xlfn.IFS(AND(H1732&gt;=0,H1732&lt;=3333),"Grupo 1",AND(H1732&gt;3333,H1732&lt;=6666),"Grupo 2",AND(H1732&gt;6666,H1732&lt;=10000),"Grupo 3")</f>
        <v>Grupo 1</v>
      </c>
    </row>
    <row r="1733" spans="1:17" x14ac:dyDescent="0.25">
      <c r="A1733" t="s">
        <v>143</v>
      </c>
      <c r="B1733" s="2">
        <v>45450.97152777778</v>
      </c>
      <c r="C1733" t="s">
        <v>309</v>
      </c>
      <c r="D1733" t="s">
        <v>217</v>
      </c>
      <c r="E1733">
        <v>1</v>
      </c>
      <c r="F1733">
        <v>751.43</v>
      </c>
      <c r="G1733" t="s">
        <v>220</v>
      </c>
      <c r="H1733">
        <v>751.43</v>
      </c>
      <c r="I1733">
        <v>2024</v>
      </c>
      <c r="J1733">
        <v>6</v>
      </c>
      <c r="K1733">
        <v>23</v>
      </c>
      <c r="L1733" s="14">
        <v>751.43</v>
      </c>
      <c r="M1733" s="4" t="str">
        <f t="shared" si="108"/>
        <v>viernes</v>
      </c>
      <c r="N1733" s="4" t="str">
        <f t="shared" si="109"/>
        <v>junio</v>
      </c>
      <c r="O1733" s="4" t="str">
        <f t="shared" si="110"/>
        <v>NO</v>
      </c>
      <c r="P1733" s="4" t="str">
        <f t="shared" si="111"/>
        <v>NO</v>
      </c>
      <c r="Q1733" s="4" t="str" cm="1">
        <f t="array" ref="Q1733">_xlfn.IFS(AND(H1733&gt;=0,H1733&lt;=3333),"Grupo 1",AND(H1733&gt;3333,H1733&lt;=6666),"Grupo 2",AND(H1733&gt;6666,H1733&lt;=10000),"Grupo 3")</f>
        <v>Grupo 1</v>
      </c>
    </row>
    <row r="1734" spans="1:17" x14ac:dyDescent="0.25">
      <c r="A1734" t="s">
        <v>144</v>
      </c>
      <c r="B1734" s="2">
        <v>45122.813888888893</v>
      </c>
      <c r="C1734" t="s">
        <v>310</v>
      </c>
      <c r="D1734" t="s">
        <v>218</v>
      </c>
      <c r="E1734">
        <v>5</v>
      </c>
      <c r="F1734">
        <v>1109.08</v>
      </c>
      <c r="G1734" t="s">
        <v>221</v>
      </c>
      <c r="H1734">
        <v>5545.4</v>
      </c>
      <c r="I1734">
        <v>2023</v>
      </c>
      <c r="J1734">
        <v>7</v>
      </c>
      <c r="K1734">
        <v>19</v>
      </c>
      <c r="L1734" s="14">
        <v>1109.08</v>
      </c>
      <c r="M1734" s="4" t="str">
        <f t="shared" si="108"/>
        <v>sábado</v>
      </c>
      <c r="N1734" s="4" t="str">
        <f t="shared" si="109"/>
        <v>julio</v>
      </c>
      <c r="O1734" s="4" t="str">
        <f t="shared" si="110"/>
        <v>SI</v>
      </c>
      <c r="P1734" s="4" t="str">
        <f t="shared" si="111"/>
        <v>SI</v>
      </c>
      <c r="Q1734" s="4" t="str" cm="1">
        <f t="array" ref="Q1734">_xlfn.IFS(AND(H1734&gt;=0,H1734&lt;=3333),"Grupo 1",AND(H1734&gt;3333,H1734&lt;=6666),"Grupo 2",AND(H1734&gt;6666,H1734&lt;=10000),"Grupo 3")</f>
        <v>Grupo 2</v>
      </c>
    </row>
    <row r="1735" spans="1:17" x14ac:dyDescent="0.25">
      <c r="A1735" t="s">
        <v>145</v>
      </c>
      <c r="B1735" s="2">
        <v>45329.842361111107</v>
      </c>
      <c r="C1735" t="s">
        <v>311</v>
      </c>
      <c r="D1735" t="s">
        <v>212</v>
      </c>
      <c r="E1735">
        <v>5</v>
      </c>
      <c r="F1735">
        <v>642.74</v>
      </c>
      <c r="G1735" t="s">
        <v>220</v>
      </c>
      <c r="H1735">
        <v>3213.7</v>
      </c>
      <c r="I1735">
        <v>2024</v>
      </c>
      <c r="J1735">
        <v>2</v>
      </c>
      <c r="K1735">
        <v>20</v>
      </c>
      <c r="L1735" s="14">
        <v>642.74</v>
      </c>
      <c r="M1735" s="4" t="str">
        <f t="shared" si="108"/>
        <v>miércoles</v>
      </c>
      <c r="N1735" s="4" t="str">
        <f t="shared" si="109"/>
        <v>febrero</v>
      </c>
      <c r="O1735" s="4" t="str">
        <f t="shared" si="110"/>
        <v>SI</v>
      </c>
      <c r="P1735" s="4" t="str">
        <f t="shared" si="111"/>
        <v>NO</v>
      </c>
      <c r="Q1735" s="4" t="str" cm="1">
        <f t="array" ref="Q1735">_xlfn.IFS(AND(H1735&gt;=0,H1735&lt;=3333),"Grupo 1",AND(H1735&gt;3333,H1735&lt;=6666),"Grupo 2",AND(H1735&gt;6666,H1735&lt;=10000),"Grupo 3")</f>
        <v>Grupo 1</v>
      </c>
    </row>
    <row r="1736" spans="1:17" x14ac:dyDescent="0.25">
      <c r="A1736" t="s">
        <v>146</v>
      </c>
      <c r="B1736" s="2">
        <v>45615.539583333331</v>
      </c>
      <c r="C1736" t="s">
        <v>312</v>
      </c>
      <c r="D1736" t="s">
        <v>219</v>
      </c>
      <c r="E1736">
        <v>5</v>
      </c>
      <c r="F1736">
        <v>245.73</v>
      </c>
      <c r="G1736" t="s">
        <v>221</v>
      </c>
      <c r="H1736">
        <v>1228.6500000000001</v>
      </c>
      <c r="I1736">
        <v>2024</v>
      </c>
      <c r="J1736">
        <v>11</v>
      </c>
      <c r="K1736">
        <v>12</v>
      </c>
      <c r="L1736" s="14">
        <v>245.73</v>
      </c>
      <c r="M1736" s="4" t="str">
        <f t="shared" si="108"/>
        <v>martes</v>
      </c>
      <c r="N1736" s="4" t="str">
        <f t="shared" si="109"/>
        <v>noviembre</v>
      </c>
      <c r="O1736" s="4" t="str">
        <f t="shared" si="110"/>
        <v>NO</v>
      </c>
      <c r="P1736" s="4" t="str">
        <f t="shared" si="111"/>
        <v>NO</v>
      </c>
      <c r="Q1736" s="4" t="str" cm="1">
        <f t="array" ref="Q1736">_xlfn.IFS(AND(H1736&gt;=0,H1736&lt;=3333),"Grupo 1",AND(H1736&gt;3333,H1736&lt;=6666),"Grupo 2",AND(H1736&gt;6666,H1736&lt;=10000),"Grupo 3")</f>
        <v>Grupo 1</v>
      </c>
    </row>
    <row r="1737" spans="1:17" x14ac:dyDescent="0.25">
      <c r="A1737" t="s">
        <v>147</v>
      </c>
      <c r="B1737" s="2">
        <v>45222.775694444441</v>
      </c>
      <c r="C1737" t="s">
        <v>313</v>
      </c>
      <c r="D1737" t="s">
        <v>216</v>
      </c>
      <c r="E1737">
        <v>3</v>
      </c>
      <c r="F1737">
        <v>1782.13</v>
      </c>
      <c r="G1737" t="s">
        <v>221</v>
      </c>
      <c r="H1737">
        <v>5346.39</v>
      </c>
      <c r="I1737">
        <v>2023</v>
      </c>
      <c r="J1737">
        <v>10</v>
      </c>
      <c r="K1737">
        <v>18</v>
      </c>
      <c r="L1737" s="14">
        <v>1782.13</v>
      </c>
      <c r="M1737" s="4" t="str">
        <f t="shared" si="108"/>
        <v>lunes</v>
      </c>
      <c r="N1737" s="4" t="str">
        <f t="shared" si="109"/>
        <v>octubre</v>
      </c>
      <c r="O1737" s="4" t="str">
        <f t="shared" si="110"/>
        <v>SI</v>
      </c>
      <c r="P1737" s="4" t="str">
        <f t="shared" si="111"/>
        <v>SI</v>
      </c>
      <c r="Q1737" s="4" t="str" cm="1">
        <f t="array" ref="Q1737">_xlfn.IFS(AND(H1737&gt;=0,H1737&lt;=3333),"Grupo 1",AND(H1737&gt;3333,H1737&lt;=6666),"Grupo 2",AND(H1737&gt;6666,H1737&lt;=10000),"Grupo 3")</f>
        <v>Grupo 2</v>
      </c>
    </row>
    <row r="1738" spans="1:17" x14ac:dyDescent="0.25">
      <c r="A1738" t="s">
        <v>148</v>
      </c>
      <c r="B1738" s="2">
        <v>45525.048611111109</v>
      </c>
      <c r="C1738" t="s">
        <v>314</v>
      </c>
      <c r="D1738" t="s">
        <v>215</v>
      </c>
      <c r="E1738">
        <v>5</v>
      </c>
      <c r="F1738">
        <v>1137.1400000000001</v>
      </c>
      <c r="G1738" t="s">
        <v>220</v>
      </c>
      <c r="H1738">
        <v>5685.7000000000007</v>
      </c>
      <c r="I1738">
        <v>2024</v>
      </c>
      <c r="J1738">
        <v>8</v>
      </c>
      <c r="K1738">
        <v>1</v>
      </c>
      <c r="L1738" s="14">
        <v>1137.1400000000001</v>
      </c>
      <c r="M1738" s="4" t="str">
        <f t="shared" si="108"/>
        <v>miércoles</v>
      </c>
      <c r="N1738" s="4" t="str">
        <f t="shared" si="109"/>
        <v>agosto</v>
      </c>
      <c r="O1738" s="4" t="str">
        <f t="shared" si="110"/>
        <v>SI</v>
      </c>
      <c r="P1738" s="4" t="str">
        <f t="shared" si="111"/>
        <v>SI</v>
      </c>
      <c r="Q1738" s="4" t="str" cm="1">
        <f t="array" ref="Q1738">_xlfn.IFS(AND(H1738&gt;=0,H1738&lt;=3333),"Grupo 1",AND(H1738&gt;3333,H1738&lt;=6666),"Grupo 2",AND(H1738&gt;6666,H1738&lt;=10000),"Grupo 3")</f>
        <v>Grupo 2</v>
      </c>
    </row>
    <row r="1739" spans="1:17" x14ac:dyDescent="0.25">
      <c r="A1739" t="s">
        <v>149</v>
      </c>
      <c r="B1739" s="2">
        <v>45520.686111111107</v>
      </c>
      <c r="C1739" t="s">
        <v>315</v>
      </c>
      <c r="D1739" t="s">
        <v>213</v>
      </c>
      <c r="E1739">
        <v>4</v>
      </c>
      <c r="F1739">
        <v>966.72</v>
      </c>
      <c r="G1739" t="s">
        <v>221</v>
      </c>
      <c r="H1739">
        <v>3866.88</v>
      </c>
      <c r="I1739">
        <v>2024</v>
      </c>
      <c r="J1739">
        <v>8</v>
      </c>
      <c r="K1739">
        <v>16</v>
      </c>
      <c r="L1739" s="14">
        <v>966.72</v>
      </c>
      <c r="M1739" s="4" t="str">
        <f t="shared" si="108"/>
        <v>viernes</v>
      </c>
      <c r="N1739" s="4" t="str">
        <f t="shared" si="109"/>
        <v>agosto</v>
      </c>
      <c r="O1739" s="4" t="str">
        <f t="shared" si="110"/>
        <v>SI</v>
      </c>
      <c r="P1739" s="4" t="str">
        <f t="shared" si="111"/>
        <v>NO</v>
      </c>
      <c r="Q1739" s="4" t="str" cm="1">
        <f t="array" ref="Q1739">_xlfn.IFS(AND(H1739&gt;=0,H1739&lt;=3333),"Grupo 1",AND(H1739&gt;3333,H1739&lt;=6666),"Grupo 2",AND(H1739&gt;6666,H1739&lt;=10000),"Grupo 3")</f>
        <v>Grupo 2</v>
      </c>
    </row>
    <row r="1740" spans="1:17" x14ac:dyDescent="0.25">
      <c r="A1740" t="s">
        <v>150</v>
      </c>
      <c r="B1740" s="2">
        <v>45484.331944444442</v>
      </c>
      <c r="C1740" t="s">
        <v>316</v>
      </c>
      <c r="D1740" t="s">
        <v>215</v>
      </c>
      <c r="E1740">
        <v>5</v>
      </c>
      <c r="F1740">
        <v>754.88</v>
      </c>
      <c r="G1740" t="s">
        <v>220</v>
      </c>
      <c r="H1740">
        <v>3774.4</v>
      </c>
      <c r="I1740">
        <v>2024</v>
      </c>
      <c r="J1740">
        <v>7</v>
      </c>
      <c r="K1740">
        <v>7</v>
      </c>
      <c r="L1740" s="14">
        <v>754.88</v>
      </c>
      <c r="M1740" s="4" t="str">
        <f t="shared" si="108"/>
        <v>jueves</v>
      </c>
      <c r="N1740" s="4" t="str">
        <f t="shared" si="109"/>
        <v>julio</v>
      </c>
      <c r="O1740" s="4" t="str">
        <f t="shared" si="110"/>
        <v>SI</v>
      </c>
      <c r="P1740" s="4" t="str">
        <f t="shared" si="111"/>
        <v>NO</v>
      </c>
      <c r="Q1740" s="4" t="str" cm="1">
        <f t="array" ref="Q1740">_xlfn.IFS(AND(H1740&gt;=0,H1740&lt;=3333),"Grupo 1",AND(H1740&gt;3333,H1740&lt;=6666),"Grupo 2",AND(H1740&gt;6666,H1740&lt;=10000),"Grupo 3")</f>
        <v>Grupo 2</v>
      </c>
    </row>
    <row r="1741" spans="1:17" x14ac:dyDescent="0.25">
      <c r="A1741" t="s">
        <v>151</v>
      </c>
      <c r="B1741" s="2">
        <v>45842.433333333327</v>
      </c>
      <c r="C1741" t="s">
        <v>317</v>
      </c>
      <c r="D1741" t="s">
        <v>216</v>
      </c>
      <c r="E1741">
        <v>4</v>
      </c>
      <c r="F1741">
        <v>902.5</v>
      </c>
      <c r="G1741" t="s">
        <v>221</v>
      </c>
      <c r="H1741">
        <v>3610</v>
      </c>
      <c r="I1741">
        <v>2025</v>
      </c>
      <c r="J1741">
        <v>7</v>
      </c>
      <c r="K1741">
        <v>10</v>
      </c>
      <c r="L1741" s="14">
        <v>902.5</v>
      </c>
      <c r="M1741" s="4" t="str">
        <f t="shared" si="108"/>
        <v>viernes</v>
      </c>
      <c r="N1741" s="4" t="str">
        <f t="shared" si="109"/>
        <v>julio</v>
      </c>
      <c r="O1741" s="4" t="str">
        <f t="shared" si="110"/>
        <v>SI</v>
      </c>
      <c r="P1741" s="4" t="str">
        <f t="shared" si="111"/>
        <v>NO</v>
      </c>
      <c r="Q1741" s="4" t="str" cm="1">
        <f t="array" ref="Q1741">_xlfn.IFS(AND(H1741&gt;=0,H1741&lt;=3333),"Grupo 1",AND(H1741&gt;3333,H1741&lt;=6666),"Grupo 2",AND(H1741&gt;6666,H1741&lt;=10000),"Grupo 3")</f>
        <v>Grupo 2</v>
      </c>
    </row>
    <row r="1742" spans="1:17" x14ac:dyDescent="0.25">
      <c r="A1742" t="s">
        <v>152</v>
      </c>
      <c r="B1742" s="2">
        <v>45697.842361111107</v>
      </c>
      <c r="C1742" t="s">
        <v>318</v>
      </c>
      <c r="D1742" t="s">
        <v>218</v>
      </c>
      <c r="E1742">
        <v>2</v>
      </c>
      <c r="F1742">
        <v>78.180000000000007</v>
      </c>
      <c r="G1742" t="s">
        <v>221</v>
      </c>
      <c r="H1742">
        <v>156.36000000000001</v>
      </c>
      <c r="I1742">
        <v>2025</v>
      </c>
      <c r="J1742">
        <v>2</v>
      </c>
      <c r="K1742">
        <v>20</v>
      </c>
      <c r="L1742" s="14">
        <v>78.180000000000007</v>
      </c>
      <c r="M1742" s="4" t="str">
        <f t="shared" si="108"/>
        <v>domingo</v>
      </c>
      <c r="N1742" s="4" t="str">
        <f t="shared" si="109"/>
        <v>febrero</v>
      </c>
      <c r="O1742" s="4" t="str">
        <f t="shared" si="110"/>
        <v>NO</v>
      </c>
      <c r="P1742" s="4" t="str">
        <f t="shared" si="111"/>
        <v>NO</v>
      </c>
      <c r="Q1742" s="4" t="str" cm="1">
        <f t="array" ref="Q1742">_xlfn.IFS(AND(H1742&gt;=0,H1742&lt;=3333),"Grupo 1",AND(H1742&gt;3333,H1742&lt;=6666),"Grupo 2",AND(H1742&gt;6666,H1742&lt;=10000),"Grupo 3")</f>
        <v>Grupo 1</v>
      </c>
    </row>
    <row r="1743" spans="1:17" x14ac:dyDescent="0.25">
      <c r="A1743" t="s">
        <v>153</v>
      </c>
      <c r="B1743" s="2">
        <v>45927.180555555547</v>
      </c>
      <c r="C1743" t="s">
        <v>319</v>
      </c>
      <c r="D1743" t="s">
        <v>212</v>
      </c>
      <c r="E1743">
        <v>2</v>
      </c>
      <c r="F1743">
        <v>1615.41</v>
      </c>
      <c r="G1743" t="s">
        <v>220</v>
      </c>
      <c r="H1743">
        <v>3230.82</v>
      </c>
      <c r="I1743">
        <v>2025</v>
      </c>
      <c r="J1743">
        <v>9</v>
      </c>
      <c r="K1743">
        <v>4</v>
      </c>
      <c r="L1743" s="14">
        <v>1615.41</v>
      </c>
      <c r="M1743" s="4" t="str">
        <f t="shared" si="108"/>
        <v>sábado</v>
      </c>
      <c r="N1743" s="4" t="str">
        <f t="shared" si="109"/>
        <v>septiembre</v>
      </c>
      <c r="O1743" s="4" t="str">
        <f t="shared" si="110"/>
        <v>SI</v>
      </c>
      <c r="P1743" s="4" t="str">
        <f t="shared" si="111"/>
        <v>SI</v>
      </c>
      <c r="Q1743" s="4" t="str" cm="1">
        <f t="array" ref="Q1743">_xlfn.IFS(AND(H1743&gt;=0,H1743&lt;=3333),"Grupo 1",AND(H1743&gt;3333,H1743&lt;=6666),"Grupo 2",AND(H1743&gt;6666,H1743&lt;=10000),"Grupo 3")</f>
        <v>Grupo 1</v>
      </c>
    </row>
    <row r="1744" spans="1:17" x14ac:dyDescent="0.25">
      <c r="A1744" t="s">
        <v>154</v>
      </c>
      <c r="B1744" s="2">
        <v>45511.748611111107</v>
      </c>
      <c r="C1744" t="s">
        <v>320</v>
      </c>
      <c r="D1744" t="s">
        <v>212</v>
      </c>
      <c r="E1744">
        <v>5</v>
      </c>
      <c r="F1744">
        <v>149.54</v>
      </c>
      <c r="G1744" t="s">
        <v>220</v>
      </c>
      <c r="H1744">
        <v>747.69999999999993</v>
      </c>
      <c r="I1744">
        <v>2024</v>
      </c>
      <c r="J1744">
        <v>8</v>
      </c>
      <c r="K1744">
        <v>17</v>
      </c>
      <c r="L1744" s="14">
        <v>149.54</v>
      </c>
      <c r="M1744" s="4" t="str">
        <f t="shared" si="108"/>
        <v>miércoles</v>
      </c>
      <c r="N1744" s="4" t="str">
        <f t="shared" si="109"/>
        <v>agosto</v>
      </c>
      <c r="O1744" s="4" t="str">
        <f t="shared" si="110"/>
        <v>NO</v>
      </c>
      <c r="P1744" s="4" t="str">
        <f t="shared" si="111"/>
        <v>NO</v>
      </c>
      <c r="Q1744" s="4" t="str" cm="1">
        <f t="array" ref="Q1744">_xlfn.IFS(AND(H1744&gt;=0,H1744&lt;=3333),"Grupo 1",AND(H1744&gt;3333,H1744&lt;=6666),"Grupo 2",AND(H1744&gt;6666,H1744&lt;=10000),"Grupo 3")</f>
        <v>Grupo 1</v>
      </c>
    </row>
    <row r="1745" spans="1:17" x14ac:dyDescent="0.25">
      <c r="A1745" t="s">
        <v>155</v>
      </c>
      <c r="B1745" s="2">
        <v>45867.710416666669</v>
      </c>
      <c r="C1745" t="s">
        <v>321</v>
      </c>
      <c r="D1745" t="s">
        <v>213</v>
      </c>
      <c r="E1745">
        <v>5</v>
      </c>
      <c r="F1745">
        <v>955.39</v>
      </c>
      <c r="G1745" t="s">
        <v>221</v>
      </c>
      <c r="H1745">
        <v>4776.95</v>
      </c>
      <c r="I1745">
        <v>2025</v>
      </c>
      <c r="J1745">
        <v>7</v>
      </c>
      <c r="K1745">
        <v>17</v>
      </c>
      <c r="L1745" s="14">
        <v>955.39</v>
      </c>
      <c r="M1745" s="4" t="str">
        <f t="shared" si="108"/>
        <v>martes</v>
      </c>
      <c r="N1745" s="4" t="str">
        <f t="shared" si="109"/>
        <v>julio</v>
      </c>
      <c r="O1745" s="4" t="str">
        <f t="shared" si="110"/>
        <v>SI</v>
      </c>
      <c r="P1745" s="4" t="str">
        <f t="shared" si="111"/>
        <v>NO</v>
      </c>
      <c r="Q1745" s="4" t="str" cm="1">
        <f t="array" ref="Q1745">_xlfn.IFS(AND(H1745&gt;=0,H1745&lt;=3333),"Grupo 1",AND(H1745&gt;3333,H1745&lt;=6666),"Grupo 2",AND(H1745&gt;6666,H1745&lt;=10000),"Grupo 3")</f>
        <v>Grupo 2</v>
      </c>
    </row>
    <row r="1746" spans="1:17" x14ac:dyDescent="0.25">
      <c r="A1746" t="s">
        <v>156</v>
      </c>
      <c r="B1746" s="2">
        <v>45339.555555555547</v>
      </c>
      <c r="C1746" t="s">
        <v>322</v>
      </c>
      <c r="D1746" t="s">
        <v>214</v>
      </c>
      <c r="E1746">
        <v>2</v>
      </c>
      <c r="F1746">
        <v>1963.63</v>
      </c>
      <c r="G1746" t="s">
        <v>222</v>
      </c>
      <c r="H1746">
        <v>3927.26</v>
      </c>
      <c r="I1746">
        <v>2024</v>
      </c>
      <c r="J1746">
        <v>2</v>
      </c>
      <c r="K1746">
        <v>13</v>
      </c>
      <c r="L1746" s="14">
        <v>1963.63</v>
      </c>
      <c r="M1746" s="4" t="str">
        <f t="shared" si="108"/>
        <v>sábado</v>
      </c>
      <c r="N1746" s="4" t="str">
        <f t="shared" si="109"/>
        <v>febrero</v>
      </c>
      <c r="O1746" s="4" t="str">
        <f t="shared" si="110"/>
        <v>SI</v>
      </c>
      <c r="P1746" s="4" t="str">
        <f t="shared" si="111"/>
        <v>SI</v>
      </c>
      <c r="Q1746" s="4" t="str" cm="1">
        <f t="array" ref="Q1746">_xlfn.IFS(AND(H1746&gt;=0,H1746&lt;=3333),"Grupo 1",AND(H1746&gt;3333,H1746&lt;=6666),"Grupo 2",AND(H1746&gt;6666,H1746&lt;=10000),"Grupo 3")</f>
        <v>Grupo 2</v>
      </c>
    </row>
    <row r="1747" spans="1:17" x14ac:dyDescent="0.25">
      <c r="A1747" t="s">
        <v>157</v>
      </c>
      <c r="B1747" s="2">
        <v>45538.998611111107</v>
      </c>
      <c r="C1747" t="s">
        <v>323</v>
      </c>
      <c r="D1747" t="s">
        <v>216</v>
      </c>
      <c r="E1747">
        <v>5</v>
      </c>
      <c r="F1747">
        <v>1440.14</v>
      </c>
      <c r="G1747" t="s">
        <v>221</v>
      </c>
      <c r="H1747">
        <v>7200.7000000000007</v>
      </c>
      <c r="I1747">
        <v>2024</v>
      </c>
      <c r="J1747">
        <v>9</v>
      </c>
      <c r="K1747">
        <v>23</v>
      </c>
      <c r="L1747" s="14">
        <v>1440.14</v>
      </c>
      <c r="M1747" s="4" t="str">
        <f t="shared" si="108"/>
        <v>martes</v>
      </c>
      <c r="N1747" s="4" t="str">
        <f t="shared" si="109"/>
        <v>septiembre</v>
      </c>
      <c r="O1747" s="4" t="str">
        <f t="shared" si="110"/>
        <v>SI</v>
      </c>
      <c r="P1747" s="4" t="str">
        <f t="shared" si="111"/>
        <v>SI</v>
      </c>
      <c r="Q1747" s="4" t="str" cm="1">
        <f t="array" ref="Q1747">_xlfn.IFS(AND(H1747&gt;=0,H1747&lt;=3333),"Grupo 1",AND(H1747&gt;3333,H1747&lt;=6666),"Grupo 2",AND(H1747&gt;6666,H1747&lt;=10000),"Grupo 3")</f>
        <v>Grupo 3</v>
      </c>
    </row>
    <row r="1748" spans="1:17" x14ac:dyDescent="0.25">
      <c r="A1748" t="s">
        <v>158</v>
      </c>
      <c r="B1748" s="2">
        <v>45105.837500000001</v>
      </c>
      <c r="C1748" t="s">
        <v>324</v>
      </c>
      <c r="D1748" t="s">
        <v>212</v>
      </c>
      <c r="E1748">
        <v>4</v>
      </c>
      <c r="F1748">
        <v>283.7</v>
      </c>
      <c r="G1748" t="s">
        <v>220</v>
      </c>
      <c r="H1748">
        <v>1134.8</v>
      </c>
      <c r="I1748">
        <v>2023</v>
      </c>
      <c r="J1748">
        <v>6</v>
      </c>
      <c r="K1748">
        <v>20</v>
      </c>
      <c r="L1748" s="14">
        <v>283.7</v>
      </c>
      <c r="M1748" s="4" t="str">
        <f t="shared" si="108"/>
        <v>miércoles</v>
      </c>
      <c r="N1748" s="4" t="str">
        <f t="shared" si="109"/>
        <v>junio</v>
      </c>
      <c r="O1748" s="4" t="str">
        <f t="shared" si="110"/>
        <v>NO</v>
      </c>
      <c r="P1748" s="4" t="str">
        <f t="shared" si="111"/>
        <v>NO</v>
      </c>
      <c r="Q1748" s="4" t="str" cm="1">
        <f t="array" ref="Q1748">_xlfn.IFS(AND(H1748&gt;=0,H1748&lt;=3333),"Grupo 1",AND(H1748&gt;3333,H1748&lt;=6666),"Grupo 2",AND(H1748&gt;6666,H1748&lt;=10000),"Grupo 3")</f>
        <v>Grupo 1</v>
      </c>
    </row>
    <row r="1749" spans="1:17" x14ac:dyDescent="0.25">
      <c r="A1749" t="s">
        <v>159</v>
      </c>
      <c r="B1749" s="2">
        <v>45470.283333333333</v>
      </c>
      <c r="C1749" t="s">
        <v>325</v>
      </c>
      <c r="D1749" t="s">
        <v>215</v>
      </c>
      <c r="E1749">
        <v>3</v>
      </c>
      <c r="F1749">
        <v>687.51</v>
      </c>
      <c r="G1749" t="s">
        <v>220</v>
      </c>
      <c r="H1749">
        <v>2062.5300000000002</v>
      </c>
      <c r="I1749">
        <v>2024</v>
      </c>
      <c r="J1749">
        <v>6</v>
      </c>
      <c r="K1749">
        <v>6</v>
      </c>
      <c r="L1749" s="14">
        <v>687.50999999999988</v>
      </c>
      <c r="M1749" s="4" t="str">
        <f t="shared" si="108"/>
        <v>jueves</v>
      </c>
      <c r="N1749" s="4" t="str">
        <f t="shared" si="109"/>
        <v>junio</v>
      </c>
      <c r="O1749" s="4" t="str">
        <f t="shared" si="110"/>
        <v>NO</v>
      </c>
      <c r="P1749" s="4" t="str">
        <f t="shared" si="111"/>
        <v>NO</v>
      </c>
      <c r="Q1749" s="4" t="str" cm="1">
        <f t="array" ref="Q1749">_xlfn.IFS(AND(H1749&gt;=0,H1749&lt;=3333),"Grupo 1",AND(H1749&gt;3333,H1749&lt;=6666),"Grupo 2",AND(H1749&gt;6666,H1749&lt;=10000),"Grupo 3")</f>
        <v>Grupo 1</v>
      </c>
    </row>
    <row r="1750" spans="1:17" x14ac:dyDescent="0.25">
      <c r="A1750" t="s">
        <v>160</v>
      </c>
      <c r="B1750" s="2">
        <v>45122.511805555558</v>
      </c>
      <c r="C1750" t="s">
        <v>326</v>
      </c>
      <c r="D1750" t="s">
        <v>216</v>
      </c>
      <c r="E1750">
        <v>2</v>
      </c>
      <c r="F1750">
        <v>282</v>
      </c>
      <c r="G1750" t="s">
        <v>221</v>
      </c>
      <c r="H1750">
        <v>564</v>
      </c>
      <c r="I1750">
        <v>2023</v>
      </c>
      <c r="J1750">
        <v>7</v>
      </c>
      <c r="K1750">
        <v>12</v>
      </c>
      <c r="L1750" s="14">
        <v>282</v>
      </c>
      <c r="M1750" s="4" t="str">
        <f t="shared" si="108"/>
        <v>sábado</v>
      </c>
      <c r="N1750" s="4" t="str">
        <f t="shared" si="109"/>
        <v>julio</v>
      </c>
      <c r="O1750" s="4" t="str">
        <f t="shared" si="110"/>
        <v>NO</v>
      </c>
      <c r="P1750" s="4" t="str">
        <f t="shared" si="111"/>
        <v>NO</v>
      </c>
      <c r="Q1750" s="4" t="str" cm="1">
        <f t="array" ref="Q1750">_xlfn.IFS(AND(H1750&gt;=0,H1750&lt;=3333),"Grupo 1",AND(H1750&gt;3333,H1750&lt;=6666),"Grupo 2",AND(H1750&gt;6666,H1750&lt;=10000),"Grupo 3")</f>
        <v>Grupo 1</v>
      </c>
    </row>
    <row r="1751" spans="1:17" x14ac:dyDescent="0.25">
      <c r="A1751" t="s">
        <v>161</v>
      </c>
      <c r="B1751" s="2">
        <v>45878.351388888892</v>
      </c>
      <c r="C1751" t="s">
        <v>327</v>
      </c>
      <c r="D1751" t="s">
        <v>215</v>
      </c>
      <c r="E1751">
        <v>4</v>
      </c>
      <c r="F1751">
        <v>1471.38</v>
      </c>
      <c r="G1751" t="s">
        <v>220</v>
      </c>
      <c r="H1751">
        <v>5885.52</v>
      </c>
      <c r="I1751">
        <v>2025</v>
      </c>
      <c r="J1751">
        <v>8</v>
      </c>
      <c r="K1751">
        <v>8</v>
      </c>
      <c r="L1751" s="14">
        <v>1471.38</v>
      </c>
      <c r="M1751" s="4" t="str">
        <f t="shared" si="108"/>
        <v>sábado</v>
      </c>
      <c r="N1751" s="4" t="str">
        <f t="shared" si="109"/>
        <v>agosto</v>
      </c>
      <c r="O1751" s="4" t="str">
        <f t="shared" si="110"/>
        <v>SI</v>
      </c>
      <c r="P1751" s="4" t="str">
        <f t="shared" si="111"/>
        <v>SI</v>
      </c>
      <c r="Q1751" s="4" t="str" cm="1">
        <f t="array" ref="Q1751">_xlfn.IFS(AND(H1751&gt;=0,H1751&lt;=3333),"Grupo 1",AND(H1751&gt;3333,H1751&lt;=6666),"Grupo 2",AND(H1751&gt;6666,H1751&lt;=10000),"Grupo 3")</f>
        <v>Grupo 2</v>
      </c>
    </row>
    <row r="1752" spans="1:17" x14ac:dyDescent="0.25">
      <c r="A1752" t="s">
        <v>162</v>
      </c>
      <c r="B1752" s="2">
        <v>45894.257638888892</v>
      </c>
      <c r="C1752" t="s">
        <v>328</v>
      </c>
      <c r="D1752" t="s">
        <v>216</v>
      </c>
      <c r="E1752">
        <v>1</v>
      </c>
      <c r="F1752">
        <v>1463.91</v>
      </c>
      <c r="G1752" t="s">
        <v>221</v>
      </c>
      <c r="H1752">
        <v>1463.91</v>
      </c>
      <c r="I1752">
        <v>2025</v>
      </c>
      <c r="J1752">
        <v>8</v>
      </c>
      <c r="K1752">
        <v>6</v>
      </c>
      <c r="L1752" s="14">
        <v>1463.91</v>
      </c>
      <c r="M1752" s="4" t="str">
        <f t="shared" si="108"/>
        <v>lunes</v>
      </c>
      <c r="N1752" s="4" t="str">
        <f t="shared" si="109"/>
        <v>agosto</v>
      </c>
      <c r="O1752" s="4" t="str">
        <f t="shared" si="110"/>
        <v>NO</v>
      </c>
      <c r="P1752" s="4" t="str">
        <f t="shared" si="111"/>
        <v>SI</v>
      </c>
      <c r="Q1752" s="4" t="str" cm="1">
        <f t="array" ref="Q1752">_xlfn.IFS(AND(H1752&gt;=0,H1752&lt;=3333),"Grupo 1",AND(H1752&gt;3333,H1752&lt;=6666),"Grupo 2",AND(H1752&gt;6666,H1752&lt;=10000),"Grupo 3")</f>
        <v>Grupo 1</v>
      </c>
    </row>
    <row r="1753" spans="1:17" x14ac:dyDescent="0.25">
      <c r="A1753" t="s">
        <v>163</v>
      </c>
      <c r="B1753" s="2">
        <v>45321.105555555558</v>
      </c>
      <c r="C1753" t="s">
        <v>329</v>
      </c>
      <c r="D1753" t="s">
        <v>213</v>
      </c>
      <c r="E1753">
        <v>4</v>
      </c>
      <c r="F1753">
        <v>1585.49</v>
      </c>
      <c r="G1753" t="s">
        <v>221</v>
      </c>
      <c r="H1753">
        <v>6341.96</v>
      </c>
      <c r="I1753">
        <v>2024</v>
      </c>
      <c r="J1753">
        <v>1</v>
      </c>
      <c r="K1753">
        <v>2</v>
      </c>
      <c r="L1753" s="14">
        <v>1585.49</v>
      </c>
      <c r="M1753" s="4" t="str">
        <f t="shared" si="108"/>
        <v>martes</v>
      </c>
      <c r="N1753" s="4" t="str">
        <f t="shared" si="109"/>
        <v>enero</v>
      </c>
      <c r="O1753" s="4" t="str">
        <f t="shared" si="110"/>
        <v>SI</v>
      </c>
      <c r="P1753" s="4" t="str">
        <f t="shared" si="111"/>
        <v>SI</v>
      </c>
      <c r="Q1753" s="4" t="str" cm="1">
        <f t="array" ref="Q1753">_xlfn.IFS(AND(H1753&gt;=0,H1753&lt;=3333),"Grupo 1",AND(H1753&gt;3333,H1753&lt;=6666),"Grupo 2",AND(H1753&gt;6666,H1753&lt;=10000),"Grupo 3")</f>
        <v>Grupo 2</v>
      </c>
    </row>
    <row r="1754" spans="1:17" x14ac:dyDescent="0.25">
      <c r="A1754" t="s">
        <v>164</v>
      </c>
      <c r="B1754" s="2">
        <v>45571.035416666673</v>
      </c>
      <c r="C1754" t="s">
        <v>330</v>
      </c>
      <c r="D1754" t="s">
        <v>213</v>
      </c>
      <c r="E1754">
        <v>1</v>
      </c>
      <c r="F1754">
        <v>662.17</v>
      </c>
      <c r="G1754" t="s">
        <v>221</v>
      </c>
      <c r="H1754">
        <v>662.17</v>
      </c>
      <c r="I1754">
        <v>2024</v>
      </c>
      <c r="J1754">
        <v>10</v>
      </c>
      <c r="K1754">
        <v>0</v>
      </c>
      <c r="L1754" s="14">
        <v>662.17</v>
      </c>
      <c r="M1754" s="4" t="str">
        <f t="shared" si="108"/>
        <v>domingo</v>
      </c>
      <c r="N1754" s="4" t="str">
        <f t="shared" si="109"/>
        <v>octubre</v>
      </c>
      <c r="O1754" s="4" t="str">
        <f t="shared" si="110"/>
        <v>NO</v>
      </c>
      <c r="P1754" s="4" t="str">
        <f t="shared" si="111"/>
        <v>NO</v>
      </c>
      <c r="Q1754" s="4" t="str" cm="1">
        <f t="array" ref="Q1754">_xlfn.IFS(AND(H1754&gt;=0,H1754&lt;=3333),"Grupo 1",AND(H1754&gt;3333,H1754&lt;=6666),"Grupo 2",AND(H1754&gt;6666,H1754&lt;=10000),"Grupo 3")</f>
        <v>Grupo 1</v>
      </c>
    </row>
    <row r="1755" spans="1:17" x14ac:dyDescent="0.25">
      <c r="A1755" t="s">
        <v>165</v>
      </c>
      <c r="B1755" s="2">
        <v>45442.757638888892</v>
      </c>
      <c r="C1755" t="s">
        <v>331</v>
      </c>
      <c r="D1755" t="s">
        <v>216</v>
      </c>
      <c r="E1755">
        <v>2</v>
      </c>
      <c r="F1755">
        <v>136.68</v>
      </c>
      <c r="G1755" t="s">
        <v>221</v>
      </c>
      <c r="H1755">
        <v>273.36</v>
      </c>
      <c r="I1755">
        <v>2024</v>
      </c>
      <c r="J1755">
        <v>5</v>
      </c>
      <c r="K1755">
        <v>18</v>
      </c>
      <c r="L1755" s="14">
        <v>136.68</v>
      </c>
      <c r="M1755" s="4" t="str">
        <f t="shared" si="108"/>
        <v>jueves</v>
      </c>
      <c r="N1755" s="4" t="str">
        <f t="shared" si="109"/>
        <v>mayo</v>
      </c>
      <c r="O1755" s="4" t="str">
        <f t="shared" si="110"/>
        <v>NO</v>
      </c>
      <c r="P1755" s="4" t="str">
        <f t="shared" si="111"/>
        <v>NO</v>
      </c>
      <c r="Q1755" s="4" t="str" cm="1">
        <f t="array" ref="Q1755">_xlfn.IFS(AND(H1755&gt;=0,H1755&lt;=3333),"Grupo 1",AND(H1755&gt;3333,H1755&lt;=6666),"Grupo 2",AND(H1755&gt;6666,H1755&lt;=10000),"Grupo 3")</f>
        <v>Grupo 1</v>
      </c>
    </row>
    <row r="1756" spans="1:17" x14ac:dyDescent="0.25">
      <c r="A1756" t="s">
        <v>166</v>
      </c>
      <c r="B1756" s="2">
        <v>45889.054166666669</v>
      </c>
      <c r="C1756" t="s">
        <v>332</v>
      </c>
      <c r="D1756" t="s">
        <v>215</v>
      </c>
      <c r="E1756">
        <v>4</v>
      </c>
      <c r="F1756">
        <v>118.64</v>
      </c>
      <c r="G1756" t="s">
        <v>220</v>
      </c>
      <c r="H1756">
        <v>474.56</v>
      </c>
      <c r="I1756">
        <v>2025</v>
      </c>
      <c r="J1756">
        <v>8</v>
      </c>
      <c r="K1756">
        <v>1</v>
      </c>
      <c r="L1756" s="14">
        <v>118.64</v>
      </c>
      <c r="M1756" s="4" t="str">
        <f t="shared" si="108"/>
        <v>miércoles</v>
      </c>
      <c r="N1756" s="4" t="str">
        <f t="shared" si="109"/>
        <v>agosto</v>
      </c>
      <c r="O1756" s="4" t="str">
        <f t="shared" si="110"/>
        <v>NO</v>
      </c>
      <c r="P1756" s="4" t="str">
        <f t="shared" si="111"/>
        <v>NO</v>
      </c>
      <c r="Q1756" s="4" t="str" cm="1">
        <f t="array" ref="Q1756">_xlfn.IFS(AND(H1756&gt;=0,H1756&lt;=3333),"Grupo 1",AND(H1756&gt;3333,H1756&lt;=6666),"Grupo 2",AND(H1756&gt;6666,H1756&lt;=10000),"Grupo 3")</f>
        <v>Grupo 1</v>
      </c>
    </row>
    <row r="1757" spans="1:17" x14ac:dyDescent="0.25">
      <c r="A1757" t="s">
        <v>167</v>
      </c>
      <c r="B1757" s="2">
        <v>45468.727083333331</v>
      </c>
      <c r="C1757" t="s">
        <v>333</v>
      </c>
      <c r="D1757" t="s">
        <v>217</v>
      </c>
      <c r="E1757">
        <v>3</v>
      </c>
      <c r="F1757">
        <v>933.49</v>
      </c>
      <c r="G1757" t="s">
        <v>220</v>
      </c>
      <c r="H1757">
        <v>2800.47</v>
      </c>
      <c r="I1757">
        <v>2024</v>
      </c>
      <c r="J1757">
        <v>6</v>
      </c>
      <c r="K1757">
        <v>17</v>
      </c>
      <c r="L1757" s="14">
        <v>933.49000000000012</v>
      </c>
      <c r="M1757" s="4" t="str">
        <f t="shared" si="108"/>
        <v>martes</v>
      </c>
      <c r="N1757" s="4" t="str">
        <f t="shared" si="109"/>
        <v>junio</v>
      </c>
      <c r="O1757" s="4" t="str">
        <f t="shared" si="110"/>
        <v>NO</v>
      </c>
      <c r="P1757" s="4" t="str">
        <f t="shared" si="111"/>
        <v>NO</v>
      </c>
      <c r="Q1757" s="4" t="str" cm="1">
        <f t="array" ref="Q1757">_xlfn.IFS(AND(H1757&gt;=0,H1757&lt;=3333),"Grupo 1",AND(H1757&gt;3333,H1757&lt;=6666),"Grupo 2",AND(H1757&gt;6666,H1757&lt;=10000),"Grupo 3")</f>
        <v>Grupo 1</v>
      </c>
    </row>
    <row r="1758" spans="1:17" x14ac:dyDescent="0.25">
      <c r="A1758" t="s">
        <v>168</v>
      </c>
      <c r="B1758" s="2">
        <v>45202.955555555563</v>
      </c>
      <c r="C1758" t="s">
        <v>334</v>
      </c>
      <c r="D1758" t="s">
        <v>219</v>
      </c>
      <c r="E1758">
        <v>2</v>
      </c>
      <c r="F1758">
        <v>1035.0899999999999</v>
      </c>
      <c r="G1758" t="s">
        <v>221</v>
      </c>
      <c r="H1758">
        <v>2070.1799999999998</v>
      </c>
      <c r="I1758">
        <v>2023</v>
      </c>
      <c r="J1758">
        <v>10</v>
      </c>
      <c r="K1758">
        <v>22</v>
      </c>
      <c r="L1758" s="14">
        <v>1035.0899999999999</v>
      </c>
      <c r="M1758" s="4" t="str">
        <f t="shared" si="108"/>
        <v>martes</v>
      </c>
      <c r="N1758" s="4" t="str">
        <f t="shared" si="109"/>
        <v>octubre</v>
      </c>
      <c r="O1758" s="4" t="str">
        <f t="shared" si="110"/>
        <v>NO</v>
      </c>
      <c r="P1758" s="4" t="str">
        <f t="shared" si="111"/>
        <v>SI</v>
      </c>
      <c r="Q1758" s="4" t="str" cm="1">
        <f t="array" ref="Q1758">_xlfn.IFS(AND(H1758&gt;=0,H1758&lt;=3333),"Grupo 1",AND(H1758&gt;3333,H1758&lt;=6666),"Grupo 2",AND(H1758&gt;6666,H1758&lt;=10000),"Grupo 3")</f>
        <v>Grupo 1</v>
      </c>
    </row>
    <row r="1759" spans="1:17" x14ac:dyDescent="0.25">
      <c r="A1759" t="s">
        <v>169</v>
      </c>
      <c r="B1759" s="2">
        <v>45323.202777777777</v>
      </c>
      <c r="C1759" t="s">
        <v>335</v>
      </c>
      <c r="D1759" t="s">
        <v>215</v>
      </c>
      <c r="E1759">
        <v>2</v>
      </c>
      <c r="F1759">
        <v>1325.01</v>
      </c>
      <c r="G1759" t="s">
        <v>220</v>
      </c>
      <c r="H1759">
        <v>2650.02</v>
      </c>
      <c r="I1759">
        <v>2024</v>
      </c>
      <c r="J1759">
        <v>2</v>
      </c>
      <c r="K1759">
        <v>4</v>
      </c>
      <c r="L1759" s="14">
        <v>1325.01</v>
      </c>
      <c r="M1759" s="4" t="str">
        <f t="shared" si="108"/>
        <v>jueves</v>
      </c>
      <c r="N1759" s="4" t="str">
        <f t="shared" si="109"/>
        <v>febrero</v>
      </c>
      <c r="O1759" s="4" t="str">
        <f t="shared" si="110"/>
        <v>NO</v>
      </c>
      <c r="P1759" s="4" t="str">
        <f t="shared" si="111"/>
        <v>SI</v>
      </c>
      <c r="Q1759" s="4" t="str" cm="1">
        <f t="array" ref="Q1759">_xlfn.IFS(AND(H1759&gt;=0,H1759&lt;=3333),"Grupo 1",AND(H1759&gt;3333,H1759&lt;=6666),"Grupo 2",AND(H1759&gt;6666,H1759&lt;=10000),"Grupo 3")</f>
        <v>Grupo 1</v>
      </c>
    </row>
    <row r="1760" spans="1:17" x14ac:dyDescent="0.25">
      <c r="A1760" t="s">
        <v>170</v>
      </c>
      <c r="B1760" s="2">
        <v>45288.395833333343</v>
      </c>
      <c r="C1760" t="s">
        <v>336</v>
      </c>
      <c r="D1760" t="s">
        <v>213</v>
      </c>
      <c r="E1760">
        <v>4</v>
      </c>
      <c r="F1760">
        <v>710.84</v>
      </c>
      <c r="G1760" t="s">
        <v>221</v>
      </c>
      <c r="H1760">
        <v>2843.36</v>
      </c>
      <c r="I1760">
        <v>2023</v>
      </c>
      <c r="J1760">
        <v>12</v>
      </c>
      <c r="K1760">
        <v>9</v>
      </c>
      <c r="L1760" s="14">
        <v>710.84</v>
      </c>
      <c r="M1760" s="4" t="str">
        <f t="shared" si="108"/>
        <v>jueves</v>
      </c>
      <c r="N1760" s="4" t="str">
        <f t="shared" si="109"/>
        <v>diciembre</v>
      </c>
      <c r="O1760" s="4" t="str">
        <f t="shared" si="110"/>
        <v>NO</v>
      </c>
      <c r="P1760" s="4" t="str">
        <f t="shared" si="111"/>
        <v>NO</v>
      </c>
      <c r="Q1760" s="4" t="str" cm="1">
        <f t="array" ref="Q1760">_xlfn.IFS(AND(H1760&gt;=0,H1760&lt;=3333),"Grupo 1",AND(H1760&gt;3333,H1760&lt;=6666),"Grupo 2",AND(H1760&gt;6666,H1760&lt;=10000),"Grupo 3")</f>
        <v>Grupo 1</v>
      </c>
    </row>
    <row r="1761" spans="1:17" x14ac:dyDescent="0.25">
      <c r="A1761" t="s">
        <v>171</v>
      </c>
      <c r="B1761" s="2">
        <v>45900.337500000001</v>
      </c>
      <c r="C1761" t="s">
        <v>337</v>
      </c>
      <c r="D1761" t="s">
        <v>214</v>
      </c>
      <c r="E1761">
        <v>3</v>
      </c>
      <c r="F1761">
        <v>97.27</v>
      </c>
      <c r="G1761" t="s">
        <v>222</v>
      </c>
      <c r="H1761">
        <v>291.81</v>
      </c>
      <c r="I1761">
        <v>2025</v>
      </c>
      <c r="J1761">
        <v>8</v>
      </c>
      <c r="K1761">
        <v>8</v>
      </c>
      <c r="L1761" s="14">
        <v>97.27</v>
      </c>
      <c r="M1761" s="4" t="str">
        <f t="shared" si="108"/>
        <v>domingo</v>
      </c>
      <c r="N1761" s="4" t="str">
        <f t="shared" si="109"/>
        <v>agosto</v>
      </c>
      <c r="O1761" s="4" t="str">
        <f t="shared" si="110"/>
        <v>NO</v>
      </c>
      <c r="P1761" s="4" t="str">
        <f t="shared" si="111"/>
        <v>NO</v>
      </c>
      <c r="Q1761" s="4" t="str" cm="1">
        <f t="array" ref="Q1761">_xlfn.IFS(AND(H1761&gt;=0,H1761&lt;=3333),"Grupo 1",AND(H1761&gt;3333,H1761&lt;=6666),"Grupo 2",AND(H1761&gt;6666,H1761&lt;=10000),"Grupo 3")</f>
        <v>Grupo 1</v>
      </c>
    </row>
    <row r="1762" spans="1:17" x14ac:dyDescent="0.25">
      <c r="A1762" t="s">
        <v>172</v>
      </c>
      <c r="B1762" s="2">
        <v>45576.732638888891</v>
      </c>
      <c r="C1762" t="s">
        <v>338</v>
      </c>
      <c r="D1762" t="s">
        <v>215</v>
      </c>
      <c r="E1762">
        <v>5</v>
      </c>
      <c r="F1762">
        <v>498.36</v>
      </c>
      <c r="G1762" t="s">
        <v>220</v>
      </c>
      <c r="H1762">
        <v>2491.8000000000002</v>
      </c>
      <c r="I1762">
        <v>2024</v>
      </c>
      <c r="J1762">
        <v>10</v>
      </c>
      <c r="K1762">
        <v>17</v>
      </c>
      <c r="L1762" s="14">
        <v>498.36</v>
      </c>
      <c r="M1762" s="4" t="str">
        <f t="shared" si="108"/>
        <v>viernes</v>
      </c>
      <c r="N1762" s="4" t="str">
        <f t="shared" si="109"/>
        <v>octubre</v>
      </c>
      <c r="O1762" s="4" t="str">
        <f t="shared" si="110"/>
        <v>NO</v>
      </c>
      <c r="P1762" s="4" t="str">
        <f t="shared" si="111"/>
        <v>NO</v>
      </c>
      <c r="Q1762" s="4" t="str" cm="1">
        <f t="array" ref="Q1762">_xlfn.IFS(AND(H1762&gt;=0,H1762&lt;=3333),"Grupo 1",AND(H1762&gt;3333,H1762&lt;=6666),"Grupo 2",AND(H1762&gt;6666,H1762&lt;=10000),"Grupo 3")</f>
        <v>Grupo 1</v>
      </c>
    </row>
    <row r="1763" spans="1:17" x14ac:dyDescent="0.25">
      <c r="A1763" t="s">
        <v>173</v>
      </c>
      <c r="B1763" s="2">
        <v>45392.97152777778</v>
      </c>
      <c r="C1763" t="s">
        <v>339</v>
      </c>
      <c r="D1763" t="s">
        <v>214</v>
      </c>
      <c r="E1763">
        <v>5</v>
      </c>
      <c r="F1763">
        <v>980.89</v>
      </c>
      <c r="G1763" t="s">
        <v>222</v>
      </c>
      <c r="H1763">
        <v>4904.45</v>
      </c>
      <c r="I1763">
        <v>2024</v>
      </c>
      <c r="J1763">
        <v>4</v>
      </c>
      <c r="K1763">
        <v>23</v>
      </c>
      <c r="L1763" s="14">
        <v>980.89</v>
      </c>
      <c r="M1763" s="4" t="str">
        <f t="shared" si="108"/>
        <v>miércoles</v>
      </c>
      <c r="N1763" s="4" t="str">
        <f t="shared" si="109"/>
        <v>abril</v>
      </c>
      <c r="O1763" s="4" t="str">
        <f t="shared" si="110"/>
        <v>SI</v>
      </c>
      <c r="P1763" s="4" t="str">
        <f t="shared" si="111"/>
        <v>NO</v>
      </c>
      <c r="Q1763" s="4" t="str" cm="1">
        <f t="array" ref="Q1763">_xlfn.IFS(AND(H1763&gt;=0,H1763&lt;=3333),"Grupo 1",AND(H1763&gt;3333,H1763&lt;=6666),"Grupo 2",AND(H1763&gt;6666,H1763&lt;=10000),"Grupo 3")</f>
        <v>Grupo 2</v>
      </c>
    </row>
    <row r="1764" spans="1:17" x14ac:dyDescent="0.25">
      <c r="A1764" t="s">
        <v>174</v>
      </c>
      <c r="B1764" s="2">
        <v>45584.049305555563</v>
      </c>
      <c r="C1764" t="s">
        <v>340</v>
      </c>
      <c r="D1764" t="s">
        <v>213</v>
      </c>
      <c r="E1764">
        <v>1</v>
      </c>
      <c r="F1764">
        <v>1390.33</v>
      </c>
      <c r="G1764" t="s">
        <v>221</v>
      </c>
      <c r="H1764">
        <v>1390.33</v>
      </c>
      <c r="I1764">
        <v>2024</v>
      </c>
      <c r="J1764">
        <v>10</v>
      </c>
      <c r="K1764">
        <v>1</v>
      </c>
      <c r="L1764" s="14">
        <v>1390.33</v>
      </c>
      <c r="M1764" s="4" t="str">
        <f t="shared" si="108"/>
        <v>sábado</v>
      </c>
      <c r="N1764" s="4" t="str">
        <f t="shared" si="109"/>
        <v>octubre</v>
      </c>
      <c r="O1764" s="4" t="str">
        <f t="shared" si="110"/>
        <v>NO</v>
      </c>
      <c r="P1764" s="4" t="str">
        <f t="shared" si="111"/>
        <v>SI</v>
      </c>
      <c r="Q1764" s="4" t="str" cm="1">
        <f t="array" ref="Q1764">_xlfn.IFS(AND(H1764&gt;=0,H1764&lt;=3333),"Grupo 1",AND(H1764&gt;3333,H1764&lt;=6666),"Grupo 2",AND(H1764&gt;6666,H1764&lt;=10000),"Grupo 3")</f>
        <v>Grupo 1</v>
      </c>
    </row>
    <row r="1765" spans="1:17" x14ac:dyDescent="0.25">
      <c r="A1765" t="s">
        <v>175</v>
      </c>
      <c r="B1765" s="2">
        <v>44941.657638888893</v>
      </c>
      <c r="C1765" t="s">
        <v>341</v>
      </c>
      <c r="D1765" t="s">
        <v>217</v>
      </c>
      <c r="E1765">
        <v>5</v>
      </c>
      <c r="F1765">
        <v>1708.09</v>
      </c>
      <c r="G1765" t="s">
        <v>220</v>
      </c>
      <c r="H1765">
        <v>8540.4499999999989</v>
      </c>
      <c r="I1765">
        <v>2023</v>
      </c>
      <c r="J1765">
        <v>1</v>
      </c>
      <c r="K1765">
        <v>15</v>
      </c>
      <c r="L1765" s="14">
        <v>1708.09</v>
      </c>
      <c r="M1765" s="4" t="str">
        <f t="shared" si="108"/>
        <v>domingo</v>
      </c>
      <c r="N1765" s="4" t="str">
        <f t="shared" si="109"/>
        <v>enero</v>
      </c>
      <c r="O1765" s="4" t="str">
        <f t="shared" si="110"/>
        <v>SI</v>
      </c>
      <c r="P1765" s="4" t="str">
        <f t="shared" si="111"/>
        <v>SI</v>
      </c>
      <c r="Q1765" s="4" t="str" cm="1">
        <f t="array" ref="Q1765">_xlfn.IFS(AND(H1765&gt;=0,H1765&lt;=3333),"Grupo 1",AND(H1765&gt;3333,H1765&lt;=6666),"Grupo 2",AND(H1765&gt;6666,H1765&lt;=10000),"Grupo 3")</f>
        <v>Grupo 3</v>
      </c>
    </row>
    <row r="1766" spans="1:17" x14ac:dyDescent="0.25">
      <c r="A1766" t="s">
        <v>176</v>
      </c>
      <c r="B1766" s="2">
        <v>45238.718055555553</v>
      </c>
      <c r="C1766" t="s">
        <v>342</v>
      </c>
      <c r="D1766" t="s">
        <v>219</v>
      </c>
      <c r="E1766">
        <v>3</v>
      </c>
      <c r="F1766">
        <v>459.4</v>
      </c>
      <c r="G1766" t="s">
        <v>221</v>
      </c>
      <c r="H1766">
        <v>1378.2</v>
      </c>
      <c r="I1766">
        <v>2023</v>
      </c>
      <c r="J1766">
        <v>11</v>
      </c>
      <c r="K1766">
        <v>17</v>
      </c>
      <c r="L1766" s="14">
        <v>459.39999999999992</v>
      </c>
      <c r="M1766" s="4" t="str">
        <f t="shared" si="108"/>
        <v>miércoles</v>
      </c>
      <c r="N1766" s="4" t="str">
        <f t="shared" si="109"/>
        <v>noviembre</v>
      </c>
      <c r="O1766" s="4" t="str">
        <f t="shared" si="110"/>
        <v>NO</v>
      </c>
      <c r="P1766" s="4" t="str">
        <f t="shared" si="111"/>
        <v>NO</v>
      </c>
      <c r="Q1766" s="4" t="str" cm="1">
        <f t="array" ref="Q1766">_xlfn.IFS(AND(H1766&gt;=0,H1766&lt;=3333),"Grupo 1",AND(H1766&gt;3333,H1766&lt;=6666),"Grupo 2",AND(H1766&gt;6666,H1766&lt;=10000),"Grupo 3")</f>
        <v>Grupo 1</v>
      </c>
    </row>
    <row r="1767" spans="1:17" x14ac:dyDescent="0.25">
      <c r="A1767" t="s">
        <v>177</v>
      </c>
      <c r="B1767" s="2">
        <v>44973.59652777778</v>
      </c>
      <c r="C1767" t="s">
        <v>343</v>
      </c>
      <c r="D1767" t="s">
        <v>215</v>
      </c>
      <c r="E1767">
        <v>1</v>
      </c>
      <c r="F1767">
        <v>1578.33</v>
      </c>
      <c r="G1767" t="s">
        <v>220</v>
      </c>
      <c r="H1767">
        <v>1578.33</v>
      </c>
      <c r="I1767">
        <v>2023</v>
      </c>
      <c r="J1767">
        <v>2</v>
      </c>
      <c r="K1767">
        <v>14</v>
      </c>
      <c r="L1767" s="14">
        <v>1578.33</v>
      </c>
      <c r="M1767" s="4" t="str">
        <f t="shared" si="108"/>
        <v>jueves</v>
      </c>
      <c r="N1767" s="4" t="str">
        <f t="shared" si="109"/>
        <v>febrero</v>
      </c>
      <c r="O1767" s="4" t="str">
        <f t="shared" si="110"/>
        <v>NO</v>
      </c>
      <c r="P1767" s="4" t="str">
        <f t="shared" si="111"/>
        <v>SI</v>
      </c>
      <c r="Q1767" s="4" t="str" cm="1">
        <f t="array" ref="Q1767">_xlfn.IFS(AND(H1767&gt;=0,H1767&lt;=3333),"Grupo 1",AND(H1767&gt;3333,H1767&lt;=6666),"Grupo 2",AND(H1767&gt;6666,H1767&lt;=10000),"Grupo 3")</f>
        <v>Grupo 1</v>
      </c>
    </row>
    <row r="1768" spans="1:17" x14ac:dyDescent="0.25">
      <c r="A1768" t="s">
        <v>178</v>
      </c>
      <c r="B1768" s="2">
        <v>45445.690972222219</v>
      </c>
      <c r="C1768" t="s">
        <v>344</v>
      </c>
      <c r="D1768" t="s">
        <v>213</v>
      </c>
      <c r="E1768">
        <v>5</v>
      </c>
      <c r="F1768">
        <v>1602.39</v>
      </c>
      <c r="G1768" t="s">
        <v>221</v>
      </c>
      <c r="H1768">
        <v>8011.9500000000007</v>
      </c>
      <c r="I1768">
        <v>2024</v>
      </c>
      <c r="J1768">
        <v>6</v>
      </c>
      <c r="K1768">
        <v>16</v>
      </c>
      <c r="L1768" s="14">
        <v>1602.39</v>
      </c>
      <c r="M1768" s="4" t="str">
        <f t="shared" si="108"/>
        <v>domingo</v>
      </c>
      <c r="N1768" s="4" t="str">
        <f t="shared" si="109"/>
        <v>junio</v>
      </c>
      <c r="O1768" s="4" t="str">
        <f t="shared" si="110"/>
        <v>SI</v>
      </c>
      <c r="P1768" s="4" t="str">
        <f t="shared" si="111"/>
        <v>SI</v>
      </c>
      <c r="Q1768" s="4" t="str" cm="1">
        <f t="array" ref="Q1768">_xlfn.IFS(AND(H1768&gt;=0,H1768&lt;=3333),"Grupo 1",AND(H1768&gt;3333,H1768&lt;=6666),"Grupo 2",AND(H1768&gt;6666,H1768&lt;=10000),"Grupo 3")</f>
        <v>Grupo 3</v>
      </c>
    </row>
    <row r="1769" spans="1:17" x14ac:dyDescent="0.25">
      <c r="A1769" t="s">
        <v>179</v>
      </c>
      <c r="B1769" s="2">
        <v>45035.472916666673</v>
      </c>
      <c r="C1769" t="s">
        <v>345</v>
      </c>
      <c r="D1769" t="s">
        <v>213</v>
      </c>
      <c r="E1769">
        <v>2</v>
      </c>
      <c r="F1769">
        <v>714.55</v>
      </c>
      <c r="G1769" t="s">
        <v>221</v>
      </c>
      <c r="H1769">
        <v>1429.1</v>
      </c>
      <c r="I1769">
        <v>2023</v>
      </c>
      <c r="J1769">
        <v>4</v>
      </c>
      <c r="K1769">
        <v>11</v>
      </c>
      <c r="L1769" s="14">
        <v>714.55</v>
      </c>
      <c r="M1769" s="4" t="str">
        <f t="shared" si="108"/>
        <v>miércoles</v>
      </c>
      <c r="N1769" s="4" t="str">
        <f t="shared" si="109"/>
        <v>abril</v>
      </c>
      <c r="O1769" s="4" t="str">
        <f t="shared" si="110"/>
        <v>NO</v>
      </c>
      <c r="P1769" s="4" t="str">
        <f t="shared" si="111"/>
        <v>NO</v>
      </c>
      <c r="Q1769" s="4" t="str" cm="1">
        <f t="array" ref="Q1769">_xlfn.IFS(AND(H1769&gt;=0,H1769&lt;=3333),"Grupo 1",AND(H1769&gt;3333,H1769&lt;=6666),"Grupo 2",AND(H1769&gt;6666,H1769&lt;=10000),"Grupo 3")</f>
        <v>Grupo 1</v>
      </c>
    </row>
    <row r="1770" spans="1:17" x14ac:dyDescent="0.25">
      <c r="A1770" t="s">
        <v>180</v>
      </c>
      <c r="B1770" s="2">
        <v>45836.104166666657</v>
      </c>
      <c r="C1770" t="s">
        <v>346</v>
      </c>
      <c r="D1770" t="s">
        <v>214</v>
      </c>
      <c r="E1770">
        <v>2</v>
      </c>
      <c r="F1770">
        <v>140.54</v>
      </c>
      <c r="G1770" t="s">
        <v>222</v>
      </c>
      <c r="H1770">
        <v>281.08</v>
      </c>
      <c r="I1770">
        <v>2025</v>
      </c>
      <c r="J1770">
        <v>6</v>
      </c>
      <c r="K1770">
        <v>2</v>
      </c>
      <c r="L1770" s="14">
        <v>140.54</v>
      </c>
      <c r="M1770" s="4" t="str">
        <f t="shared" si="108"/>
        <v>sábado</v>
      </c>
      <c r="N1770" s="4" t="str">
        <f t="shared" si="109"/>
        <v>junio</v>
      </c>
      <c r="O1770" s="4" t="str">
        <f t="shared" si="110"/>
        <v>NO</v>
      </c>
      <c r="P1770" s="4" t="str">
        <f t="shared" si="111"/>
        <v>NO</v>
      </c>
      <c r="Q1770" s="4" t="str" cm="1">
        <f t="array" ref="Q1770">_xlfn.IFS(AND(H1770&gt;=0,H1770&lt;=3333),"Grupo 1",AND(H1770&gt;3333,H1770&lt;=6666),"Grupo 2",AND(H1770&gt;6666,H1770&lt;=10000),"Grupo 3")</f>
        <v>Grupo 1</v>
      </c>
    </row>
    <row r="1771" spans="1:17" x14ac:dyDescent="0.25">
      <c r="A1771" t="s">
        <v>181</v>
      </c>
      <c r="B1771" s="2">
        <v>45584.553472222222</v>
      </c>
      <c r="C1771" t="s">
        <v>347</v>
      </c>
      <c r="D1771" t="s">
        <v>218</v>
      </c>
      <c r="E1771">
        <v>5</v>
      </c>
      <c r="F1771">
        <v>286.87</v>
      </c>
      <c r="G1771" t="s">
        <v>221</v>
      </c>
      <c r="H1771">
        <v>1434.35</v>
      </c>
      <c r="I1771">
        <v>2024</v>
      </c>
      <c r="J1771">
        <v>10</v>
      </c>
      <c r="K1771">
        <v>13</v>
      </c>
      <c r="L1771" s="14">
        <v>286.87</v>
      </c>
      <c r="M1771" s="4" t="str">
        <f t="shared" si="108"/>
        <v>sábado</v>
      </c>
      <c r="N1771" s="4" t="str">
        <f t="shared" si="109"/>
        <v>octubre</v>
      </c>
      <c r="O1771" s="4" t="str">
        <f t="shared" si="110"/>
        <v>NO</v>
      </c>
      <c r="P1771" s="4" t="str">
        <f t="shared" si="111"/>
        <v>NO</v>
      </c>
      <c r="Q1771" s="4" t="str" cm="1">
        <f t="array" ref="Q1771">_xlfn.IFS(AND(H1771&gt;=0,H1771&lt;=3333),"Grupo 1",AND(H1771&gt;3333,H1771&lt;=6666),"Grupo 2",AND(H1771&gt;6666,H1771&lt;=10000),"Grupo 3")</f>
        <v>Grupo 1</v>
      </c>
    </row>
    <row r="1772" spans="1:17" x14ac:dyDescent="0.25">
      <c r="A1772" t="s">
        <v>182</v>
      </c>
      <c r="B1772" s="2">
        <v>45338.585416666669</v>
      </c>
      <c r="C1772" t="s">
        <v>348</v>
      </c>
      <c r="D1772" t="s">
        <v>216</v>
      </c>
      <c r="E1772">
        <v>5</v>
      </c>
      <c r="F1772">
        <v>1897.97</v>
      </c>
      <c r="G1772" t="s">
        <v>221</v>
      </c>
      <c r="H1772">
        <v>9489.85</v>
      </c>
      <c r="I1772">
        <v>2024</v>
      </c>
      <c r="J1772">
        <v>2</v>
      </c>
      <c r="K1772">
        <v>14</v>
      </c>
      <c r="L1772" s="14">
        <v>1897.97</v>
      </c>
      <c r="M1772" s="4" t="str">
        <f t="shared" si="108"/>
        <v>viernes</v>
      </c>
      <c r="N1772" s="4" t="str">
        <f t="shared" si="109"/>
        <v>febrero</v>
      </c>
      <c r="O1772" s="4" t="str">
        <f t="shared" si="110"/>
        <v>SI</v>
      </c>
      <c r="P1772" s="4" t="str">
        <f t="shared" si="111"/>
        <v>SI</v>
      </c>
      <c r="Q1772" s="4" t="str" cm="1">
        <f t="array" ref="Q1772">_xlfn.IFS(AND(H1772&gt;=0,H1772&lt;=3333),"Grupo 1",AND(H1772&gt;3333,H1772&lt;=6666),"Grupo 2",AND(H1772&gt;6666,H1772&lt;=10000),"Grupo 3")</f>
        <v>Grupo 3</v>
      </c>
    </row>
    <row r="1773" spans="1:17" x14ac:dyDescent="0.25">
      <c r="A1773" t="s">
        <v>183</v>
      </c>
      <c r="B1773" s="2">
        <v>45625.480555555558</v>
      </c>
      <c r="C1773" t="s">
        <v>349</v>
      </c>
      <c r="D1773" t="s">
        <v>213</v>
      </c>
      <c r="E1773">
        <v>2</v>
      </c>
      <c r="F1773">
        <v>587.71</v>
      </c>
      <c r="G1773" t="s">
        <v>221</v>
      </c>
      <c r="H1773">
        <v>1175.42</v>
      </c>
      <c r="I1773">
        <v>2024</v>
      </c>
      <c r="J1773">
        <v>11</v>
      </c>
      <c r="K1773">
        <v>11</v>
      </c>
      <c r="L1773" s="14">
        <v>587.71</v>
      </c>
      <c r="M1773" s="4" t="str">
        <f t="shared" si="108"/>
        <v>viernes</v>
      </c>
      <c r="N1773" s="4" t="str">
        <f t="shared" si="109"/>
        <v>noviembre</v>
      </c>
      <c r="O1773" s="4" t="str">
        <f t="shared" si="110"/>
        <v>NO</v>
      </c>
      <c r="P1773" s="4" t="str">
        <f t="shared" si="111"/>
        <v>NO</v>
      </c>
      <c r="Q1773" s="4" t="str" cm="1">
        <f t="array" ref="Q1773">_xlfn.IFS(AND(H1773&gt;=0,H1773&lt;=3333),"Grupo 1",AND(H1773&gt;3333,H1773&lt;=6666),"Grupo 2",AND(H1773&gt;6666,H1773&lt;=10000),"Grupo 3")</f>
        <v>Grupo 1</v>
      </c>
    </row>
    <row r="1774" spans="1:17" x14ac:dyDescent="0.25">
      <c r="A1774" t="s">
        <v>184</v>
      </c>
      <c r="B1774" s="2">
        <v>45291</v>
      </c>
      <c r="C1774" t="s">
        <v>350</v>
      </c>
      <c r="D1774" t="s">
        <v>216</v>
      </c>
      <c r="E1774">
        <v>4</v>
      </c>
      <c r="F1774">
        <v>895.13</v>
      </c>
      <c r="G1774" t="s">
        <v>221</v>
      </c>
      <c r="H1774">
        <v>3580.52</v>
      </c>
      <c r="I1774">
        <v>2023</v>
      </c>
      <c r="J1774">
        <v>12</v>
      </c>
      <c r="K1774">
        <v>0</v>
      </c>
      <c r="L1774" s="14">
        <v>895.13</v>
      </c>
      <c r="M1774" s="4" t="str">
        <f t="shared" si="108"/>
        <v>domingo</v>
      </c>
      <c r="N1774" s="4" t="str">
        <f t="shared" si="109"/>
        <v>diciembre</v>
      </c>
      <c r="O1774" s="4" t="str">
        <f t="shared" si="110"/>
        <v>SI</v>
      </c>
      <c r="P1774" s="4" t="str">
        <f t="shared" si="111"/>
        <v>NO</v>
      </c>
      <c r="Q1774" s="4" t="str" cm="1">
        <f t="array" ref="Q1774">_xlfn.IFS(AND(H1774&gt;=0,H1774&lt;=3333),"Grupo 1",AND(H1774&gt;3333,H1774&lt;=6666),"Grupo 2",AND(H1774&gt;6666,H1774&lt;=10000),"Grupo 3")</f>
        <v>Grupo 2</v>
      </c>
    </row>
    <row r="1775" spans="1:17" x14ac:dyDescent="0.25">
      <c r="A1775" t="s">
        <v>185</v>
      </c>
      <c r="B1775" s="2">
        <v>45548.488194444442</v>
      </c>
      <c r="C1775" t="s">
        <v>351</v>
      </c>
      <c r="D1775" t="s">
        <v>215</v>
      </c>
      <c r="E1775">
        <v>3</v>
      </c>
      <c r="F1775">
        <v>1457.35</v>
      </c>
      <c r="G1775" t="s">
        <v>220</v>
      </c>
      <c r="H1775">
        <v>4372.0499999999993</v>
      </c>
      <c r="I1775">
        <v>2024</v>
      </c>
      <c r="J1775">
        <v>9</v>
      </c>
      <c r="K1775">
        <v>11</v>
      </c>
      <c r="L1775" s="14">
        <v>1457.35</v>
      </c>
      <c r="M1775" s="4" t="str">
        <f t="shared" si="108"/>
        <v>viernes</v>
      </c>
      <c r="N1775" s="4" t="str">
        <f t="shared" si="109"/>
        <v>septiembre</v>
      </c>
      <c r="O1775" s="4" t="str">
        <f t="shared" si="110"/>
        <v>SI</v>
      </c>
      <c r="P1775" s="4" t="str">
        <f t="shared" si="111"/>
        <v>SI</v>
      </c>
      <c r="Q1775" s="4" t="str" cm="1">
        <f t="array" ref="Q1775">_xlfn.IFS(AND(H1775&gt;=0,H1775&lt;=3333),"Grupo 1",AND(H1775&gt;3333,H1775&lt;=6666),"Grupo 2",AND(H1775&gt;6666,H1775&lt;=10000),"Grupo 3")</f>
        <v>Grupo 2</v>
      </c>
    </row>
    <row r="1776" spans="1:17" x14ac:dyDescent="0.25">
      <c r="A1776" t="s">
        <v>186</v>
      </c>
      <c r="B1776" s="2">
        <v>45540.261805555558</v>
      </c>
      <c r="C1776" t="s">
        <v>352</v>
      </c>
      <c r="D1776" t="s">
        <v>214</v>
      </c>
      <c r="E1776">
        <v>3</v>
      </c>
      <c r="F1776">
        <v>1083.32</v>
      </c>
      <c r="G1776" t="s">
        <v>222</v>
      </c>
      <c r="H1776">
        <v>3249.96</v>
      </c>
      <c r="I1776">
        <v>2024</v>
      </c>
      <c r="J1776">
        <v>9</v>
      </c>
      <c r="K1776">
        <v>6</v>
      </c>
      <c r="L1776" s="14">
        <v>1083.32</v>
      </c>
      <c r="M1776" s="4" t="str">
        <f t="shared" si="108"/>
        <v>jueves</v>
      </c>
      <c r="N1776" s="4" t="str">
        <f t="shared" si="109"/>
        <v>septiembre</v>
      </c>
      <c r="O1776" s="4" t="str">
        <f t="shared" si="110"/>
        <v>SI</v>
      </c>
      <c r="P1776" s="4" t="str">
        <f t="shared" si="111"/>
        <v>SI</v>
      </c>
      <c r="Q1776" s="4" t="str" cm="1">
        <f t="array" ref="Q1776">_xlfn.IFS(AND(H1776&gt;=0,H1776&lt;=3333),"Grupo 1",AND(H1776&gt;3333,H1776&lt;=6666),"Grupo 2",AND(H1776&gt;6666,H1776&lt;=10000),"Grupo 3")</f>
        <v>Grupo 1</v>
      </c>
    </row>
    <row r="1777" spans="1:17" x14ac:dyDescent="0.25">
      <c r="A1777" t="s">
        <v>187</v>
      </c>
      <c r="B1777" s="2">
        <v>45783.684027777781</v>
      </c>
      <c r="C1777" t="s">
        <v>353</v>
      </c>
      <c r="D1777" t="s">
        <v>217</v>
      </c>
      <c r="E1777">
        <v>3</v>
      </c>
      <c r="F1777">
        <v>1542.71</v>
      </c>
      <c r="G1777" t="s">
        <v>220</v>
      </c>
      <c r="H1777">
        <v>4628.13</v>
      </c>
      <c r="I1777">
        <v>2025</v>
      </c>
      <c r="J1777">
        <v>5</v>
      </c>
      <c r="K1777">
        <v>16</v>
      </c>
      <c r="L1777" s="14">
        <v>1542.71</v>
      </c>
      <c r="M1777" s="4" t="str">
        <f t="shared" si="108"/>
        <v>martes</v>
      </c>
      <c r="N1777" s="4" t="str">
        <f t="shared" si="109"/>
        <v>mayo</v>
      </c>
      <c r="O1777" s="4" t="str">
        <f t="shared" si="110"/>
        <v>SI</v>
      </c>
      <c r="P1777" s="4" t="str">
        <f t="shared" si="111"/>
        <v>SI</v>
      </c>
      <c r="Q1777" s="4" t="str" cm="1">
        <f t="array" ref="Q1777">_xlfn.IFS(AND(H1777&gt;=0,H1777&lt;=3333),"Grupo 1",AND(H1777&gt;3333,H1777&lt;=6666),"Grupo 2",AND(H1777&gt;6666,H1777&lt;=10000),"Grupo 3")</f>
        <v>Grupo 2</v>
      </c>
    </row>
    <row r="1778" spans="1:17" x14ac:dyDescent="0.25">
      <c r="A1778" t="s">
        <v>188</v>
      </c>
      <c r="B1778" s="2">
        <v>45692.470138888893</v>
      </c>
      <c r="C1778" t="s">
        <v>354</v>
      </c>
      <c r="D1778" t="s">
        <v>215</v>
      </c>
      <c r="E1778">
        <v>5</v>
      </c>
      <c r="F1778">
        <v>723.8</v>
      </c>
      <c r="G1778" t="s">
        <v>220</v>
      </c>
      <c r="H1778">
        <v>3619</v>
      </c>
      <c r="I1778">
        <v>2025</v>
      </c>
      <c r="J1778">
        <v>2</v>
      </c>
      <c r="K1778">
        <v>11</v>
      </c>
      <c r="L1778" s="14">
        <v>723.8</v>
      </c>
      <c r="M1778" s="4" t="str">
        <f t="shared" si="108"/>
        <v>martes</v>
      </c>
      <c r="N1778" s="4" t="str">
        <f t="shared" si="109"/>
        <v>febrero</v>
      </c>
      <c r="O1778" s="4" t="str">
        <f t="shared" si="110"/>
        <v>SI</v>
      </c>
      <c r="P1778" s="4" t="str">
        <f t="shared" si="111"/>
        <v>NO</v>
      </c>
      <c r="Q1778" s="4" t="str" cm="1">
        <f t="array" ref="Q1778">_xlfn.IFS(AND(H1778&gt;=0,H1778&lt;=3333),"Grupo 1",AND(H1778&gt;3333,H1778&lt;=6666),"Grupo 2",AND(H1778&gt;6666,H1778&lt;=10000),"Grupo 3")</f>
        <v>Grupo 2</v>
      </c>
    </row>
    <row r="1779" spans="1:17" x14ac:dyDescent="0.25">
      <c r="A1779" t="s">
        <v>189</v>
      </c>
      <c r="B1779" s="2">
        <v>45186.410416666673</v>
      </c>
      <c r="C1779" t="s">
        <v>355</v>
      </c>
      <c r="D1779" t="s">
        <v>213</v>
      </c>
      <c r="E1779">
        <v>5</v>
      </c>
      <c r="F1779">
        <v>179.97</v>
      </c>
      <c r="G1779" t="s">
        <v>221</v>
      </c>
      <c r="H1779">
        <v>899.85</v>
      </c>
      <c r="I1779">
        <v>2023</v>
      </c>
      <c r="J1779">
        <v>9</v>
      </c>
      <c r="K1779">
        <v>9</v>
      </c>
      <c r="L1779" s="14">
        <v>179.97</v>
      </c>
      <c r="M1779" s="4" t="str">
        <f t="shared" si="108"/>
        <v>domingo</v>
      </c>
      <c r="N1779" s="4" t="str">
        <f t="shared" si="109"/>
        <v>septiembre</v>
      </c>
      <c r="O1779" s="4" t="str">
        <f t="shared" si="110"/>
        <v>NO</v>
      </c>
      <c r="P1779" s="4" t="str">
        <f t="shared" si="111"/>
        <v>NO</v>
      </c>
      <c r="Q1779" s="4" t="str" cm="1">
        <f t="array" ref="Q1779">_xlfn.IFS(AND(H1779&gt;=0,H1779&lt;=3333),"Grupo 1",AND(H1779&gt;3333,H1779&lt;=6666),"Grupo 2",AND(H1779&gt;6666,H1779&lt;=10000),"Grupo 3")</f>
        <v>Grupo 1</v>
      </c>
    </row>
    <row r="1780" spans="1:17" x14ac:dyDescent="0.25">
      <c r="A1780" t="s">
        <v>190</v>
      </c>
      <c r="B1780" s="2">
        <v>45539.616666666669</v>
      </c>
      <c r="C1780" t="s">
        <v>356</v>
      </c>
      <c r="D1780" t="s">
        <v>217</v>
      </c>
      <c r="E1780">
        <v>1</v>
      </c>
      <c r="F1780">
        <v>1318.43</v>
      </c>
      <c r="G1780" t="s">
        <v>220</v>
      </c>
      <c r="H1780">
        <v>1318.43</v>
      </c>
      <c r="I1780">
        <v>2024</v>
      </c>
      <c r="J1780">
        <v>9</v>
      </c>
      <c r="K1780">
        <v>14</v>
      </c>
      <c r="L1780" s="14">
        <v>1318.43</v>
      </c>
      <c r="M1780" s="4" t="str">
        <f t="shared" si="108"/>
        <v>miércoles</v>
      </c>
      <c r="N1780" s="4" t="str">
        <f t="shared" si="109"/>
        <v>septiembre</v>
      </c>
      <c r="O1780" s="4" t="str">
        <f t="shared" si="110"/>
        <v>NO</v>
      </c>
      <c r="P1780" s="4" t="str">
        <f t="shared" si="111"/>
        <v>SI</v>
      </c>
      <c r="Q1780" s="4" t="str" cm="1">
        <f t="array" ref="Q1780">_xlfn.IFS(AND(H1780&gt;=0,H1780&lt;=3333),"Grupo 1",AND(H1780&gt;3333,H1780&lt;=6666),"Grupo 2",AND(H1780&gt;6666,H1780&lt;=10000),"Grupo 3")</f>
        <v>Grupo 1</v>
      </c>
    </row>
    <row r="1781" spans="1:17" x14ac:dyDescent="0.25">
      <c r="A1781" t="s">
        <v>191</v>
      </c>
      <c r="B1781" s="2">
        <v>45073.392361111109</v>
      </c>
      <c r="C1781" t="s">
        <v>357</v>
      </c>
      <c r="D1781" t="s">
        <v>215</v>
      </c>
      <c r="E1781">
        <v>2</v>
      </c>
      <c r="F1781">
        <v>307.37</v>
      </c>
      <c r="G1781" t="s">
        <v>220</v>
      </c>
      <c r="H1781">
        <v>614.74</v>
      </c>
      <c r="I1781">
        <v>2023</v>
      </c>
      <c r="J1781">
        <v>5</v>
      </c>
      <c r="K1781">
        <v>9</v>
      </c>
      <c r="L1781" s="14">
        <v>307.37</v>
      </c>
      <c r="M1781" s="4" t="str">
        <f t="shared" si="108"/>
        <v>sábado</v>
      </c>
      <c r="N1781" s="4" t="str">
        <f t="shared" si="109"/>
        <v>mayo</v>
      </c>
      <c r="O1781" s="4" t="str">
        <f t="shared" si="110"/>
        <v>NO</v>
      </c>
      <c r="P1781" s="4" t="str">
        <f t="shared" si="111"/>
        <v>NO</v>
      </c>
      <c r="Q1781" s="4" t="str" cm="1">
        <f t="array" ref="Q1781">_xlfn.IFS(AND(H1781&gt;=0,H1781&lt;=3333),"Grupo 1",AND(H1781&gt;3333,H1781&lt;=6666),"Grupo 2",AND(H1781&gt;6666,H1781&lt;=10000),"Grupo 3")</f>
        <v>Grupo 1</v>
      </c>
    </row>
    <row r="1782" spans="1:17" x14ac:dyDescent="0.25">
      <c r="A1782" t="s">
        <v>192</v>
      </c>
      <c r="B1782" s="2">
        <v>45287.277777777781</v>
      </c>
      <c r="C1782" t="s">
        <v>358</v>
      </c>
      <c r="D1782" t="s">
        <v>214</v>
      </c>
      <c r="E1782">
        <v>1</v>
      </c>
      <c r="F1782">
        <v>1364.97</v>
      </c>
      <c r="G1782" t="s">
        <v>222</v>
      </c>
      <c r="H1782">
        <v>1364.97</v>
      </c>
      <c r="I1782">
        <v>2023</v>
      </c>
      <c r="J1782">
        <v>12</v>
      </c>
      <c r="K1782">
        <v>6</v>
      </c>
      <c r="L1782" s="14">
        <v>1364.97</v>
      </c>
      <c r="M1782" s="4" t="str">
        <f t="shared" si="108"/>
        <v>miércoles</v>
      </c>
      <c r="N1782" s="4" t="str">
        <f t="shared" si="109"/>
        <v>diciembre</v>
      </c>
      <c r="O1782" s="4" t="str">
        <f t="shared" si="110"/>
        <v>NO</v>
      </c>
      <c r="P1782" s="4" t="str">
        <f t="shared" si="111"/>
        <v>SI</v>
      </c>
      <c r="Q1782" s="4" t="str" cm="1">
        <f t="array" ref="Q1782">_xlfn.IFS(AND(H1782&gt;=0,H1782&lt;=3333),"Grupo 1",AND(H1782&gt;3333,H1782&lt;=6666),"Grupo 2",AND(H1782&gt;6666,H1782&lt;=10000),"Grupo 3")</f>
        <v>Grupo 1</v>
      </c>
    </row>
    <row r="1783" spans="1:17" x14ac:dyDescent="0.25">
      <c r="A1783" t="s">
        <v>193</v>
      </c>
      <c r="B1783" s="2">
        <v>45398.678472222222</v>
      </c>
      <c r="C1783" t="s">
        <v>359</v>
      </c>
      <c r="D1783" t="s">
        <v>219</v>
      </c>
      <c r="E1783">
        <v>3</v>
      </c>
      <c r="F1783">
        <v>244.23</v>
      </c>
      <c r="G1783" t="s">
        <v>221</v>
      </c>
      <c r="H1783">
        <v>732.68999999999994</v>
      </c>
      <c r="I1783">
        <v>2024</v>
      </c>
      <c r="J1783">
        <v>4</v>
      </c>
      <c r="K1783">
        <v>16</v>
      </c>
      <c r="L1783" s="14">
        <v>244.23</v>
      </c>
      <c r="M1783" s="4" t="str">
        <f t="shared" si="108"/>
        <v>martes</v>
      </c>
      <c r="N1783" s="4" t="str">
        <f t="shared" si="109"/>
        <v>abril</v>
      </c>
      <c r="O1783" s="4" t="str">
        <f t="shared" si="110"/>
        <v>NO</v>
      </c>
      <c r="P1783" s="4" t="str">
        <f t="shared" si="111"/>
        <v>NO</v>
      </c>
      <c r="Q1783" s="4" t="str" cm="1">
        <f t="array" ref="Q1783">_xlfn.IFS(AND(H1783&gt;=0,H1783&lt;=3333),"Grupo 1",AND(H1783&gt;3333,H1783&lt;=6666),"Grupo 2",AND(H1783&gt;6666,H1783&lt;=10000),"Grupo 3")</f>
        <v>Grupo 1</v>
      </c>
    </row>
    <row r="1784" spans="1:17" x14ac:dyDescent="0.25">
      <c r="A1784" t="s">
        <v>194</v>
      </c>
      <c r="B1784" s="2">
        <v>44949.395833333343</v>
      </c>
      <c r="C1784" t="s">
        <v>261</v>
      </c>
      <c r="D1784" t="s">
        <v>216</v>
      </c>
      <c r="E1784">
        <v>3</v>
      </c>
      <c r="F1784">
        <v>245.64</v>
      </c>
      <c r="G1784" t="s">
        <v>221</v>
      </c>
      <c r="H1784">
        <v>736.92</v>
      </c>
      <c r="I1784">
        <v>2023</v>
      </c>
      <c r="J1784">
        <v>1</v>
      </c>
      <c r="K1784">
        <v>9</v>
      </c>
      <c r="L1784" s="14">
        <v>245.64</v>
      </c>
      <c r="M1784" s="4" t="str">
        <f t="shared" si="108"/>
        <v>lunes</v>
      </c>
      <c r="N1784" s="4" t="str">
        <f t="shared" si="109"/>
        <v>enero</v>
      </c>
      <c r="O1784" s="4" t="str">
        <f t="shared" si="110"/>
        <v>NO</v>
      </c>
      <c r="P1784" s="4" t="str">
        <f t="shared" si="111"/>
        <v>NO</v>
      </c>
      <c r="Q1784" s="4" t="str" cm="1">
        <f t="array" ref="Q1784">_xlfn.IFS(AND(H1784&gt;=0,H1784&lt;=3333),"Grupo 1",AND(H1784&gt;3333,H1784&lt;=6666),"Grupo 2",AND(H1784&gt;6666,H1784&lt;=10000),"Grupo 3")</f>
        <v>Grupo 1</v>
      </c>
    </row>
    <row r="1785" spans="1:17" x14ac:dyDescent="0.25">
      <c r="A1785" t="s">
        <v>195</v>
      </c>
      <c r="B1785" s="2">
        <v>45560.538194444453</v>
      </c>
      <c r="C1785" t="s">
        <v>262</v>
      </c>
      <c r="D1785" t="s">
        <v>216</v>
      </c>
      <c r="E1785">
        <v>1</v>
      </c>
      <c r="F1785">
        <v>1501.34</v>
      </c>
      <c r="G1785" t="s">
        <v>221</v>
      </c>
      <c r="H1785">
        <v>1501.34</v>
      </c>
      <c r="I1785">
        <v>2024</v>
      </c>
      <c r="J1785">
        <v>9</v>
      </c>
      <c r="K1785">
        <v>12</v>
      </c>
      <c r="L1785" s="14">
        <v>1501.34</v>
      </c>
      <c r="M1785" s="4" t="str">
        <f t="shared" si="108"/>
        <v>miércoles</v>
      </c>
      <c r="N1785" s="4" t="str">
        <f t="shared" si="109"/>
        <v>septiembre</v>
      </c>
      <c r="O1785" s="4" t="str">
        <f t="shared" si="110"/>
        <v>NO</v>
      </c>
      <c r="P1785" s="4" t="str">
        <f t="shared" si="111"/>
        <v>SI</v>
      </c>
      <c r="Q1785" s="4" t="str" cm="1">
        <f t="array" ref="Q1785">_xlfn.IFS(AND(H1785&gt;=0,H1785&lt;=3333),"Grupo 1",AND(H1785&gt;3333,H1785&lt;=6666),"Grupo 2",AND(H1785&gt;6666,H1785&lt;=10000),"Grupo 3")</f>
        <v>Grupo 1</v>
      </c>
    </row>
    <row r="1786" spans="1:17" x14ac:dyDescent="0.25">
      <c r="A1786" t="s">
        <v>196</v>
      </c>
      <c r="B1786" s="2">
        <v>45636.231249999997</v>
      </c>
      <c r="C1786" t="s">
        <v>263</v>
      </c>
      <c r="D1786" t="s">
        <v>213</v>
      </c>
      <c r="E1786">
        <v>4</v>
      </c>
      <c r="F1786">
        <v>995.18</v>
      </c>
      <c r="G1786" t="s">
        <v>221</v>
      </c>
      <c r="H1786">
        <v>3980.72</v>
      </c>
      <c r="I1786">
        <v>2024</v>
      </c>
      <c r="J1786">
        <v>12</v>
      </c>
      <c r="K1786">
        <v>5</v>
      </c>
      <c r="L1786" s="14">
        <v>995.18</v>
      </c>
      <c r="M1786" s="4" t="str">
        <f t="shared" si="108"/>
        <v>martes</v>
      </c>
      <c r="N1786" s="4" t="str">
        <f t="shared" si="109"/>
        <v>diciembre</v>
      </c>
      <c r="O1786" s="4" t="str">
        <f t="shared" si="110"/>
        <v>SI</v>
      </c>
      <c r="P1786" s="4" t="str">
        <f t="shared" si="111"/>
        <v>SI</v>
      </c>
      <c r="Q1786" s="4" t="str" cm="1">
        <f t="array" ref="Q1786">_xlfn.IFS(AND(H1786&gt;=0,H1786&lt;=3333),"Grupo 1",AND(H1786&gt;3333,H1786&lt;=6666),"Grupo 2",AND(H1786&gt;6666,H1786&lt;=10000),"Grupo 3")</f>
        <v>Grupo 2</v>
      </c>
    </row>
    <row r="1787" spans="1:17" x14ac:dyDescent="0.25">
      <c r="A1787" t="s">
        <v>197</v>
      </c>
      <c r="B1787" s="2">
        <v>45218.252083333333</v>
      </c>
      <c r="C1787" t="s">
        <v>264</v>
      </c>
      <c r="D1787" t="s">
        <v>213</v>
      </c>
      <c r="E1787">
        <v>2</v>
      </c>
      <c r="F1787">
        <v>1834.72</v>
      </c>
      <c r="G1787" t="s">
        <v>221</v>
      </c>
      <c r="H1787">
        <v>3669.44</v>
      </c>
      <c r="I1787">
        <v>2023</v>
      </c>
      <c r="J1787">
        <v>10</v>
      </c>
      <c r="K1787">
        <v>6</v>
      </c>
      <c r="L1787" s="14">
        <v>1834.72</v>
      </c>
      <c r="M1787" s="4" t="str">
        <f t="shared" si="108"/>
        <v>jueves</v>
      </c>
      <c r="N1787" s="4" t="str">
        <f t="shared" si="109"/>
        <v>octubre</v>
      </c>
      <c r="O1787" s="4" t="str">
        <f t="shared" si="110"/>
        <v>SI</v>
      </c>
      <c r="P1787" s="4" t="str">
        <f t="shared" si="111"/>
        <v>SI</v>
      </c>
      <c r="Q1787" s="4" t="str" cm="1">
        <f t="array" ref="Q1787">_xlfn.IFS(AND(H1787&gt;=0,H1787&lt;=3333),"Grupo 1",AND(H1787&gt;3333,H1787&lt;=6666),"Grupo 2",AND(H1787&gt;6666,H1787&lt;=10000),"Grupo 3")</f>
        <v>Grupo 2</v>
      </c>
    </row>
    <row r="1788" spans="1:17" x14ac:dyDescent="0.25">
      <c r="A1788" t="s">
        <v>198</v>
      </c>
      <c r="B1788" s="2">
        <v>45615.827777777777</v>
      </c>
      <c r="C1788" t="s">
        <v>265</v>
      </c>
      <c r="D1788" t="s">
        <v>219</v>
      </c>
      <c r="E1788">
        <v>2</v>
      </c>
      <c r="F1788">
        <v>1942.31</v>
      </c>
      <c r="G1788" t="s">
        <v>221</v>
      </c>
      <c r="H1788">
        <v>3884.62</v>
      </c>
      <c r="I1788">
        <v>2024</v>
      </c>
      <c r="J1788">
        <v>11</v>
      </c>
      <c r="K1788">
        <v>19</v>
      </c>
      <c r="L1788" s="14">
        <v>1942.31</v>
      </c>
      <c r="M1788" s="4" t="str">
        <f t="shared" si="108"/>
        <v>martes</v>
      </c>
      <c r="N1788" s="4" t="str">
        <f t="shared" si="109"/>
        <v>noviembre</v>
      </c>
      <c r="O1788" s="4" t="str">
        <f t="shared" si="110"/>
        <v>SI</v>
      </c>
      <c r="P1788" s="4" t="str">
        <f t="shared" si="111"/>
        <v>SI</v>
      </c>
      <c r="Q1788" s="4" t="str" cm="1">
        <f t="array" ref="Q1788">_xlfn.IFS(AND(H1788&gt;=0,H1788&lt;=3333),"Grupo 1",AND(H1788&gt;3333,H1788&lt;=6666),"Grupo 2",AND(H1788&gt;6666,H1788&lt;=10000),"Grupo 3")</f>
        <v>Grupo 2</v>
      </c>
    </row>
    <row r="1789" spans="1:17" x14ac:dyDescent="0.25">
      <c r="A1789" t="s">
        <v>199</v>
      </c>
      <c r="B1789" s="2">
        <v>45755.705555555563</v>
      </c>
      <c r="C1789" t="s">
        <v>266</v>
      </c>
      <c r="D1789" t="s">
        <v>219</v>
      </c>
      <c r="E1789">
        <v>3</v>
      </c>
      <c r="F1789">
        <v>1025.57</v>
      </c>
      <c r="G1789" t="s">
        <v>221</v>
      </c>
      <c r="H1789">
        <v>3076.71</v>
      </c>
      <c r="I1789">
        <v>2025</v>
      </c>
      <c r="J1789">
        <v>4</v>
      </c>
      <c r="K1789">
        <v>16</v>
      </c>
      <c r="L1789" s="14">
        <v>1025.57</v>
      </c>
      <c r="M1789" s="4" t="str">
        <f t="shared" si="108"/>
        <v>martes</v>
      </c>
      <c r="N1789" s="4" t="str">
        <f t="shared" si="109"/>
        <v>abril</v>
      </c>
      <c r="O1789" s="4" t="str">
        <f t="shared" si="110"/>
        <v>SI</v>
      </c>
      <c r="P1789" s="4" t="str">
        <f t="shared" si="111"/>
        <v>SI</v>
      </c>
      <c r="Q1789" s="4" t="str" cm="1">
        <f t="array" ref="Q1789">_xlfn.IFS(AND(H1789&gt;=0,H1789&lt;=3333),"Grupo 1",AND(H1789&gt;3333,H1789&lt;=6666),"Grupo 2",AND(H1789&gt;6666,H1789&lt;=10000),"Grupo 3")</f>
        <v>Grupo 1</v>
      </c>
    </row>
    <row r="1790" spans="1:17" x14ac:dyDescent="0.25">
      <c r="A1790" t="s">
        <v>200</v>
      </c>
      <c r="B1790" s="2">
        <v>44962.009722222218</v>
      </c>
      <c r="C1790" t="s">
        <v>267</v>
      </c>
      <c r="D1790" t="s">
        <v>215</v>
      </c>
      <c r="E1790">
        <v>4</v>
      </c>
      <c r="F1790">
        <v>555.19000000000005</v>
      </c>
      <c r="G1790" t="s">
        <v>220</v>
      </c>
      <c r="H1790">
        <v>2220.7600000000002</v>
      </c>
      <c r="I1790">
        <v>2023</v>
      </c>
      <c r="J1790">
        <v>2</v>
      </c>
      <c r="K1790">
        <v>0</v>
      </c>
      <c r="L1790" s="14">
        <v>555.19000000000005</v>
      </c>
      <c r="M1790" s="4" t="str">
        <f t="shared" si="108"/>
        <v>domingo</v>
      </c>
      <c r="N1790" s="4" t="str">
        <f t="shared" si="109"/>
        <v>febrero</v>
      </c>
      <c r="O1790" s="4" t="str">
        <f t="shared" si="110"/>
        <v>NO</v>
      </c>
      <c r="P1790" s="4" t="str">
        <f t="shared" si="111"/>
        <v>NO</v>
      </c>
      <c r="Q1790" s="4" t="str" cm="1">
        <f t="array" ref="Q1790">_xlfn.IFS(AND(H1790&gt;=0,H1790&lt;=3333),"Grupo 1",AND(H1790&gt;3333,H1790&lt;=6666),"Grupo 2",AND(H1790&gt;6666,H1790&lt;=10000),"Grupo 3")</f>
        <v>Grupo 1</v>
      </c>
    </row>
    <row r="1791" spans="1:17" x14ac:dyDescent="0.25">
      <c r="A1791" t="s">
        <v>201</v>
      </c>
      <c r="B1791" s="2">
        <v>45194.675000000003</v>
      </c>
      <c r="C1791" t="s">
        <v>268</v>
      </c>
      <c r="D1791" t="s">
        <v>214</v>
      </c>
      <c r="E1791">
        <v>5</v>
      </c>
      <c r="F1791">
        <v>750.82</v>
      </c>
      <c r="G1791" t="s">
        <v>222</v>
      </c>
      <c r="H1791">
        <v>3754.1</v>
      </c>
      <c r="I1791">
        <v>2023</v>
      </c>
      <c r="J1791">
        <v>9</v>
      </c>
      <c r="K1791">
        <v>16</v>
      </c>
      <c r="L1791" s="14">
        <v>750.82</v>
      </c>
      <c r="M1791" s="4" t="str">
        <f t="shared" si="108"/>
        <v>lunes</v>
      </c>
      <c r="N1791" s="4" t="str">
        <f t="shared" si="109"/>
        <v>septiembre</v>
      </c>
      <c r="O1791" s="4" t="str">
        <f t="shared" si="110"/>
        <v>SI</v>
      </c>
      <c r="P1791" s="4" t="str">
        <f t="shared" si="111"/>
        <v>NO</v>
      </c>
      <c r="Q1791" s="4" t="str" cm="1">
        <f t="array" ref="Q1791">_xlfn.IFS(AND(H1791&gt;=0,H1791&lt;=3333),"Grupo 1",AND(H1791&gt;3333,H1791&lt;=6666),"Grupo 2",AND(H1791&gt;6666,H1791&lt;=10000),"Grupo 3")</f>
        <v>Grupo 2</v>
      </c>
    </row>
    <row r="1792" spans="1:17" x14ac:dyDescent="0.25">
      <c r="A1792" t="s">
        <v>202</v>
      </c>
      <c r="B1792" s="2">
        <v>45818.179861111108</v>
      </c>
      <c r="C1792" t="s">
        <v>269</v>
      </c>
      <c r="D1792" t="s">
        <v>215</v>
      </c>
      <c r="E1792">
        <v>2</v>
      </c>
      <c r="F1792">
        <v>1609.9</v>
      </c>
      <c r="G1792" t="s">
        <v>220</v>
      </c>
      <c r="H1792">
        <v>3219.8</v>
      </c>
      <c r="I1792">
        <v>2025</v>
      </c>
      <c r="J1792">
        <v>6</v>
      </c>
      <c r="K1792">
        <v>4</v>
      </c>
      <c r="L1792" s="14">
        <v>1609.9</v>
      </c>
      <c r="M1792" s="4" t="str">
        <f t="shared" si="108"/>
        <v>martes</v>
      </c>
      <c r="N1792" s="4" t="str">
        <f t="shared" si="109"/>
        <v>junio</v>
      </c>
      <c r="O1792" s="4" t="str">
        <f t="shared" si="110"/>
        <v>SI</v>
      </c>
      <c r="P1792" s="4" t="str">
        <f t="shared" si="111"/>
        <v>SI</v>
      </c>
      <c r="Q1792" s="4" t="str" cm="1">
        <f t="array" ref="Q1792">_xlfn.IFS(AND(H1792&gt;=0,H1792&lt;=3333),"Grupo 1",AND(H1792&gt;3333,H1792&lt;=6666),"Grupo 2",AND(H1792&gt;6666,H1792&lt;=10000),"Grupo 3")</f>
        <v>Grupo 1</v>
      </c>
    </row>
    <row r="1793" spans="1:17" x14ac:dyDescent="0.25">
      <c r="A1793" t="s">
        <v>203</v>
      </c>
      <c r="B1793" s="2">
        <v>45755.011111111111</v>
      </c>
      <c r="C1793" t="s">
        <v>270</v>
      </c>
      <c r="D1793" t="s">
        <v>214</v>
      </c>
      <c r="E1793">
        <v>3</v>
      </c>
      <c r="F1793">
        <v>27.89</v>
      </c>
      <c r="G1793" t="s">
        <v>222</v>
      </c>
      <c r="H1793">
        <v>83.67</v>
      </c>
      <c r="I1793">
        <v>2025</v>
      </c>
      <c r="J1793">
        <v>4</v>
      </c>
      <c r="K1793">
        <v>0</v>
      </c>
      <c r="L1793" s="14">
        <v>27.89</v>
      </c>
      <c r="M1793" s="4" t="str">
        <f t="shared" si="108"/>
        <v>martes</v>
      </c>
      <c r="N1793" s="4" t="str">
        <f t="shared" si="109"/>
        <v>abril</v>
      </c>
      <c r="O1793" s="4" t="str">
        <f t="shared" si="110"/>
        <v>NO</v>
      </c>
      <c r="P1793" s="4" t="str">
        <f t="shared" si="111"/>
        <v>NO</v>
      </c>
      <c r="Q1793" s="4" t="str" cm="1">
        <f t="array" ref="Q1793">_xlfn.IFS(AND(H1793&gt;=0,H1793&lt;=3333),"Grupo 1",AND(H1793&gt;3333,H1793&lt;=6666),"Grupo 2",AND(H1793&gt;6666,H1793&lt;=10000),"Grupo 3")</f>
        <v>Grupo 1</v>
      </c>
    </row>
    <row r="1794" spans="1:17" x14ac:dyDescent="0.25">
      <c r="A1794" t="s">
        <v>204</v>
      </c>
      <c r="B1794" s="2">
        <v>45862.584722222222</v>
      </c>
      <c r="C1794" t="s">
        <v>271</v>
      </c>
      <c r="D1794" t="s">
        <v>219</v>
      </c>
      <c r="E1794">
        <v>1</v>
      </c>
      <c r="F1794">
        <v>1700.54</v>
      </c>
      <c r="G1794" t="s">
        <v>221</v>
      </c>
      <c r="H1794">
        <v>1700.54</v>
      </c>
      <c r="I1794">
        <v>2025</v>
      </c>
      <c r="J1794">
        <v>7</v>
      </c>
      <c r="K1794">
        <v>14</v>
      </c>
      <c r="L1794" s="14">
        <v>1700.54</v>
      </c>
      <c r="M1794" s="4" t="str">
        <f t="shared" ref="M1794:M1857" si="112">TEXT(B1794,"dddd")</f>
        <v>jueves</v>
      </c>
      <c r="N1794" s="4" t="str">
        <f t="shared" ref="N1794:N1857" si="113">TEXT(B1794,"mmmm")</f>
        <v>julio</v>
      </c>
      <c r="O1794" s="4" t="str">
        <f t="shared" si="110"/>
        <v>NO</v>
      </c>
      <c r="P1794" s="4" t="str">
        <f t="shared" si="111"/>
        <v>SI</v>
      </c>
      <c r="Q1794" s="4" t="str" cm="1">
        <f t="array" ref="Q1794">_xlfn.IFS(AND(H1794&gt;=0,H1794&lt;=3333),"Grupo 1",AND(H1794&gt;3333,H1794&lt;=6666),"Grupo 2",AND(H1794&gt;6666,H1794&lt;=10000),"Grupo 3")</f>
        <v>Grupo 1</v>
      </c>
    </row>
    <row r="1795" spans="1:17" x14ac:dyDescent="0.25">
      <c r="A1795" t="s">
        <v>205</v>
      </c>
      <c r="B1795" s="2">
        <v>45802.370833333327</v>
      </c>
      <c r="C1795" t="s">
        <v>272</v>
      </c>
      <c r="D1795" t="s">
        <v>219</v>
      </c>
      <c r="E1795">
        <v>3</v>
      </c>
      <c r="F1795">
        <v>473.4</v>
      </c>
      <c r="G1795" t="s">
        <v>221</v>
      </c>
      <c r="H1795">
        <v>1420.2</v>
      </c>
      <c r="I1795">
        <v>2025</v>
      </c>
      <c r="J1795">
        <v>5</v>
      </c>
      <c r="K1795">
        <v>8</v>
      </c>
      <c r="L1795" s="14">
        <v>473.39999999999992</v>
      </c>
      <c r="M1795" s="4" t="str">
        <f t="shared" si="112"/>
        <v>domingo</v>
      </c>
      <c r="N1795" s="4" t="str">
        <f t="shared" si="113"/>
        <v>mayo</v>
      </c>
      <c r="O1795" s="4" t="str">
        <f t="shared" ref="O1795:O1858" si="114">IF(H1795&gt;AVERAGE(H:H),"SI","NO")</f>
        <v>NO</v>
      </c>
      <c r="P1795" s="4" t="str">
        <f t="shared" ref="P1795:P1858" si="115">IF(L1795&gt;AVERAGE(L:L),"SI","NO")</f>
        <v>NO</v>
      </c>
      <c r="Q1795" s="4" t="str" cm="1">
        <f t="array" ref="Q1795">_xlfn.IFS(AND(H1795&gt;=0,H1795&lt;=3333),"Grupo 1",AND(H1795&gt;3333,H1795&lt;=6666),"Grupo 2",AND(H1795&gt;6666,H1795&lt;=10000),"Grupo 3")</f>
        <v>Grupo 1</v>
      </c>
    </row>
    <row r="1796" spans="1:17" x14ac:dyDescent="0.25">
      <c r="A1796" t="s">
        <v>206</v>
      </c>
      <c r="B1796" s="2">
        <v>45178.038888888892</v>
      </c>
      <c r="C1796" t="s">
        <v>273</v>
      </c>
      <c r="D1796" t="s">
        <v>215</v>
      </c>
      <c r="E1796">
        <v>1</v>
      </c>
      <c r="F1796">
        <v>521.32000000000005</v>
      </c>
      <c r="G1796" t="s">
        <v>220</v>
      </c>
      <c r="H1796">
        <v>521.32000000000005</v>
      </c>
      <c r="I1796">
        <v>2023</v>
      </c>
      <c r="J1796">
        <v>9</v>
      </c>
      <c r="K1796">
        <v>0</v>
      </c>
      <c r="L1796" s="14">
        <v>521.32000000000005</v>
      </c>
      <c r="M1796" s="4" t="str">
        <f t="shared" si="112"/>
        <v>sábado</v>
      </c>
      <c r="N1796" s="4" t="str">
        <f t="shared" si="113"/>
        <v>septiembre</v>
      </c>
      <c r="O1796" s="4" t="str">
        <f t="shared" si="114"/>
        <v>NO</v>
      </c>
      <c r="P1796" s="4" t="str">
        <f t="shared" si="115"/>
        <v>NO</v>
      </c>
      <c r="Q1796" s="4" t="str" cm="1">
        <f t="array" ref="Q1796">_xlfn.IFS(AND(H1796&gt;=0,H1796&lt;=3333),"Grupo 1",AND(H1796&gt;3333,H1796&lt;=6666),"Grupo 2",AND(H1796&gt;6666,H1796&lt;=10000),"Grupo 3")</f>
        <v>Grupo 1</v>
      </c>
    </row>
    <row r="1797" spans="1:17" x14ac:dyDescent="0.25">
      <c r="A1797" t="s">
        <v>207</v>
      </c>
      <c r="B1797" s="2">
        <v>45748.34097222222</v>
      </c>
      <c r="C1797" t="s">
        <v>274</v>
      </c>
      <c r="D1797" t="s">
        <v>213</v>
      </c>
      <c r="E1797">
        <v>1</v>
      </c>
      <c r="F1797">
        <v>1067.6400000000001</v>
      </c>
      <c r="G1797" t="s">
        <v>221</v>
      </c>
      <c r="H1797">
        <v>1067.6400000000001</v>
      </c>
      <c r="I1797">
        <v>2025</v>
      </c>
      <c r="J1797">
        <v>4</v>
      </c>
      <c r="K1797">
        <v>8</v>
      </c>
      <c r="L1797" s="14">
        <v>1067.6400000000001</v>
      </c>
      <c r="M1797" s="4" t="str">
        <f t="shared" si="112"/>
        <v>martes</v>
      </c>
      <c r="N1797" s="4" t="str">
        <f t="shared" si="113"/>
        <v>abril</v>
      </c>
      <c r="O1797" s="4" t="str">
        <f t="shared" si="114"/>
        <v>NO</v>
      </c>
      <c r="P1797" s="4" t="str">
        <f t="shared" si="115"/>
        <v>SI</v>
      </c>
      <c r="Q1797" s="4" t="str" cm="1">
        <f t="array" ref="Q1797">_xlfn.IFS(AND(H1797&gt;=0,H1797&lt;=3333),"Grupo 1",AND(H1797&gt;3333,H1797&lt;=6666),"Grupo 2",AND(H1797&gt;6666,H1797&lt;=10000),"Grupo 3")</f>
        <v>Grupo 1</v>
      </c>
    </row>
    <row r="1798" spans="1:17" x14ac:dyDescent="0.25">
      <c r="A1798" t="s">
        <v>208</v>
      </c>
      <c r="B1798" s="2">
        <v>45055.556250000001</v>
      </c>
      <c r="C1798" t="s">
        <v>275</v>
      </c>
      <c r="D1798" t="s">
        <v>218</v>
      </c>
      <c r="E1798">
        <v>1</v>
      </c>
      <c r="F1798">
        <v>1903.64</v>
      </c>
      <c r="G1798" t="s">
        <v>221</v>
      </c>
      <c r="H1798">
        <v>1903.64</v>
      </c>
      <c r="I1798">
        <v>2023</v>
      </c>
      <c r="J1798">
        <v>5</v>
      </c>
      <c r="K1798">
        <v>13</v>
      </c>
      <c r="L1798" s="14">
        <v>1903.64</v>
      </c>
      <c r="M1798" s="4" t="str">
        <f t="shared" si="112"/>
        <v>martes</v>
      </c>
      <c r="N1798" s="4" t="str">
        <f t="shared" si="113"/>
        <v>mayo</v>
      </c>
      <c r="O1798" s="4" t="str">
        <f t="shared" si="114"/>
        <v>NO</v>
      </c>
      <c r="P1798" s="4" t="str">
        <f t="shared" si="115"/>
        <v>SI</v>
      </c>
      <c r="Q1798" s="4" t="str" cm="1">
        <f t="array" ref="Q1798">_xlfn.IFS(AND(H1798&gt;=0,H1798&lt;=3333),"Grupo 1",AND(H1798&gt;3333,H1798&lt;=6666),"Grupo 2",AND(H1798&gt;6666,H1798&lt;=10000),"Grupo 3")</f>
        <v>Grupo 1</v>
      </c>
    </row>
    <row r="1799" spans="1:17" x14ac:dyDescent="0.25">
      <c r="A1799" t="s">
        <v>209</v>
      </c>
      <c r="B1799" s="2">
        <v>44958.773611111108</v>
      </c>
      <c r="C1799" t="s">
        <v>276</v>
      </c>
      <c r="D1799" t="s">
        <v>214</v>
      </c>
      <c r="E1799">
        <v>2</v>
      </c>
      <c r="F1799">
        <v>1460.16</v>
      </c>
      <c r="G1799" t="s">
        <v>222</v>
      </c>
      <c r="H1799">
        <v>2920.32</v>
      </c>
      <c r="I1799">
        <v>2023</v>
      </c>
      <c r="J1799">
        <v>2</v>
      </c>
      <c r="K1799">
        <v>18</v>
      </c>
      <c r="L1799" s="14">
        <v>1460.16</v>
      </c>
      <c r="M1799" s="4" t="str">
        <f t="shared" si="112"/>
        <v>miércoles</v>
      </c>
      <c r="N1799" s="4" t="str">
        <f t="shared" si="113"/>
        <v>febrero</v>
      </c>
      <c r="O1799" s="4" t="str">
        <f t="shared" si="114"/>
        <v>SI</v>
      </c>
      <c r="P1799" s="4" t="str">
        <f t="shared" si="115"/>
        <v>SI</v>
      </c>
      <c r="Q1799" s="4" t="str" cm="1">
        <f t="array" ref="Q1799">_xlfn.IFS(AND(H1799&gt;=0,H1799&lt;=3333),"Grupo 1",AND(H1799&gt;3333,H1799&lt;=6666),"Grupo 2",AND(H1799&gt;6666,H1799&lt;=10000),"Grupo 3")</f>
        <v>Grupo 1</v>
      </c>
    </row>
    <row r="1800" spans="1:17" x14ac:dyDescent="0.25">
      <c r="A1800" t="s">
        <v>210</v>
      </c>
      <c r="B1800" s="2">
        <v>45816.563888888893</v>
      </c>
      <c r="C1800" t="s">
        <v>277</v>
      </c>
      <c r="D1800" t="s">
        <v>212</v>
      </c>
      <c r="E1800">
        <v>4</v>
      </c>
      <c r="F1800">
        <v>847</v>
      </c>
      <c r="G1800" t="s">
        <v>220</v>
      </c>
      <c r="H1800">
        <v>3388</v>
      </c>
      <c r="I1800">
        <v>2025</v>
      </c>
      <c r="J1800">
        <v>6</v>
      </c>
      <c r="K1800">
        <v>13</v>
      </c>
      <c r="L1800" s="14">
        <v>847</v>
      </c>
      <c r="M1800" s="4" t="str">
        <f t="shared" si="112"/>
        <v>domingo</v>
      </c>
      <c r="N1800" s="4" t="str">
        <f t="shared" si="113"/>
        <v>junio</v>
      </c>
      <c r="O1800" s="4" t="str">
        <f t="shared" si="114"/>
        <v>SI</v>
      </c>
      <c r="P1800" s="4" t="str">
        <f t="shared" si="115"/>
        <v>NO</v>
      </c>
      <c r="Q1800" s="4" t="str" cm="1">
        <f t="array" ref="Q1800">_xlfn.IFS(AND(H1800&gt;=0,H1800&lt;=3333),"Grupo 1",AND(H1800&gt;3333,H1800&lt;=6666),"Grupo 2",AND(H1800&gt;6666,H1800&lt;=10000),"Grupo 3")</f>
        <v>Grupo 2</v>
      </c>
    </row>
    <row r="1801" spans="1:17" x14ac:dyDescent="0.25">
      <c r="A1801" t="s">
        <v>211</v>
      </c>
      <c r="B1801" s="2">
        <v>45089.396527777782</v>
      </c>
      <c r="C1801" t="s">
        <v>278</v>
      </c>
      <c r="D1801" t="s">
        <v>218</v>
      </c>
      <c r="E1801">
        <v>2</v>
      </c>
      <c r="F1801">
        <v>1243.3399999999999</v>
      </c>
      <c r="G1801" t="s">
        <v>221</v>
      </c>
      <c r="H1801">
        <v>2486.6799999999998</v>
      </c>
      <c r="I1801">
        <v>2023</v>
      </c>
      <c r="J1801">
        <v>6</v>
      </c>
      <c r="K1801">
        <v>9</v>
      </c>
      <c r="L1801" s="14">
        <v>1243.3399999999999</v>
      </c>
      <c r="M1801" s="4" t="str">
        <f t="shared" si="112"/>
        <v>lunes</v>
      </c>
      <c r="N1801" s="4" t="str">
        <f t="shared" si="113"/>
        <v>junio</v>
      </c>
      <c r="O1801" s="4" t="str">
        <f t="shared" si="114"/>
        <v>NO</v>
      </c>
      <c r="P1801" s="4" t="str">
        <f t="shared" si="115"/>
        <v>SI</v>
      </c>
      <c r="Q1801" s="4" t="str" cm="1">
        <f t="array" ref="Q1801">_xlfn.IFS(AND(H1801&gt;=0,H1801&lt;=3333),"Grupo 1",AND(H1801&gt;3333,H1801&lt;=6666),"Grupo 2",AND(H1801&gt;6666,H1801&lt;=10000),"Grupo 3")</f>
        <v>Grupo 1</v>
      </c>
    </row>
    <row r="1802" spans="1:17" x14ac:dyDescent="0.25">
      <c r="A1802" t="s">
        <v>12</v>
      </c>
      <c r="B1802" s="2">
        <v>45280.478472222218</v>
      </c>
      <c r="C1802" t="s">
        <v>279</v>
      </c>
      <c r="D1802" t="s">
        <v>212</v>
      </c>
      <c r="E1802">
        <v>5</v>
      </c>
      <c r="F1802">
        <v>1497.24</v>
      </c>
      <c r="G1802" t="s">
        <v>220</v>
      </c>
      <c r="H1802">
        <v>7486.2</v>
      </c>
      <c r="I1802">
        <v>2023</v>
      </c>
      <c r="J1802">
        <v>12</v>
      </c>
      <c r="K1802">
        <v>11</v>
      </c>
      <c r="L1802" s="14">
        <v>1497.24</v>
      </c>
      <c r="M1802" s="4" t="str">
        <f t="shared" si="112"/>
        <v>miércoles</v>
      </c>
      <c r="N1802" s="4" t="str">
        <f t="shared" si="113"/>
        <v>diciembre</v>
      </c>
      <c r="O1802" s="4" t="str">
        <f t="shared" si="114"/>
        <v>SI</v>
      </c>
      <c r="P1802" s="4" t="str">
        <f t="shared" si="115"/>
        <v>SI</v>
      </c>
      <c r="Q1802" s="4" t="str" cm="1">
        <f t="array" ref="Q1802">_xlfn.IFS(AND(H1802&gt;=0,H1802&lt;=3333),"Grupo 1",AND(H1802&gt;3333,H1802&lt;=6666),"Grupo 2",AND(H1802&gt;6666,H1802&lt;=10000),"Grupo 3")</f>
        <v>Grupo 3</v>
      </c>
    </row>
    <row r="1803" spans="1:17" x14ac:dyDescent="0.25">
      <c r="A1803" t="s">
        <v>13</v>
      </c>
      <c r="B1803" s="2">
        <v>45008.840277777781</v>
      </c>
      <c r="C1803" t="s">
        <v>280</v>
      </c>
      <c r="D1803" t="s">
        <v>212</v>
      </c>
      <c r="E1803">
        <v>1</v>
      </c>
      <c r="F1803">
        <v>1687.54</v>
      </c>
      <c r="G1803" t="s">
        <v>220</v>
      </c>
      <c r="H1803">
        <v>1687.54</v>
      </c>
      <c r="I1803">
        <v>2023</v>
      </c>
      <c r="J1803">
        <v>3</v>
      </c>
      <c r="K1803">
        <v>20</v>
      </c>
      <c r="L1803" s="14">
        <v>1687.54</v>
      </c>
      <c r="M1803" s="4" t="str">
        <f t="shared" si="112"/>
        <v>jueves</v>
      </c>
      <c r="N1803" s="4" t="str">
        <f t="shared" si="113"/>
        <v>marzo</v>
      </c>
      <c r="O1803" s="4" t="str">
        <f t="shared" si="114"/>
        <v>NO</v>
      </c>
      <c r="P1803" s="4" t="str">
        <f t="shared" si="115"/>
        <v>SI</v>
      </c>
      <c r="Q1803" s="4" t="str" cm="1">
        <f t="array" ref="Q1803">_xlfn.IFS(AND(H1803&gt;=0,H1803&lt;=3333),"Grupo 1",AND(H1803&gt;3333,H1803&lt;=6666),"Grupo 2",AND(H1803&gt;6666,H1803&lt;=10000),"Grupo 3")</f>
        <v>Grupo 1</v>
      </c>
    </row>
    <row r="1804" spans="1:17" x14ac:dyDescent="0.25">
      <c r="A1804" t="s">
        <v>14</v>
      </c>
      <c r="B1804" s="2">
        <v>45355.443749999999</v>
      </c>
      <c r="C1804" t="s">
        <v>281</v>
      </c>
      <c r="D1804" t="s">
        <v>213</v>
      </c>
      <c r="E1804">
        <v>3</v>
      </c>
      <c r="F1804">
        <v>768.8</v>
      </c>
      <c r="G1804" t="s">
        <v>221</v>
      </c>
      <c r="H1804">
        <v>2306.4</v>
      </c>
      <c r="I1804">
        <v>2024</v>
      </c>
      <c r="J1804">
        <v>3</v>
      </c>
      <c r="K1804">
        <v>10</v>
      </c>
      <c r="L1804" s="14">
        <v>768.79999999999984</v>
      </c>
      <c r="M1804" s="4" t="str">
        <f t="shared" si="112"/>
        <v>lunes</v>
      </c>
      <c r="N1804" s="4" t="str">
        <f t="shared" si="113"/>
        <v>marzo</v>
      </c>
      <c r="O1804" s="4" t="str">
        <f t="shared" si="114"/>
        <v>NO</v>
      </c>
      <c r="P1804" s="4" t="str">
        <f t="shared" si="115"/>
        <v>NO</v>
      </c>
      <c r="Q1804" s="4" t="str" cm="1">
        <f t="array" ref="Q1804">_xlfn.IFS(AND(H1804&gt;=0,H1804&lt;=3333),"Grupo 1",AND(H1804&gt;3333,H1804&lt;=6666),"Grupo 2",AND(H1804&gt;6666,H1804&lt;=10000),"Grupo 3")</f>
        <v>Grupo 1</v>
      </c>
    </row>
    <row r="1805" spans="1:17" x14ac:dyDescent="0.25">
      <c r="A1805" t="s">
        <v>15</v>
      </c>
      <c r="B1805" s="2">
        <v>45704.374305555553</v>
      </c>
      <c r="C1805" t="s">
        <v>282</v>
      </c>
      <c r="D1805" t="s">
        <v>214</v>
      </c>
      <c r="E1805">
        <v>1</v>
      </c>
      <c r="F1805">
        <v>1532.67</v>
      </c>
      <c r="G1805" t="s">
        <v>222</v>
      </c>
      <c r="H1805">
        <v>1532.67</v>
      </c>
      <c r="I1805">
        <v>2025</v>
      </c>
      <c r="J1805">
        <v>2</v>
      </c>
      <c r="K1805">
        <v>8</v>
      </c>
      <c r="L1805" s="14">
        <v>1532.67</v>
      </c>
      <c r="M1805" s="4" t="str">
        <f t="shared" si="112"/>
        <v>domingo</v>
      </c>
      <c r="N1805" s="4" t="str">
        <f t="shared" si="113"/>
        <v>febrero</v>
      </c>
      <c r="O1805" s="4" t="str">
        <f t="shared" si="114"/>
        <v>NO</v>
      </c>
      <c r="P1805" s="4" t="str">
        <f t="shared" si="115"/>
        <v>SI</v>
      </c>
      <c r="Q1805" s="4" t="str" cm="1">
        <f t="array" ref="Q1805">_xlfn.IFS(AND(H1805&gt;=0,H1805&lt;=3333),"Grupo 1",AND(H1805&gt;3333,H1805&lt;=6666),"Grupo 2",AND(H1805&gt;6666,H1805&lt;=10000),"Grupo 3")</f>
        <v>Grupo 1</v>
      </c>
    </row>
    <row r="1806" spans="1:17" x14ac:dyDescent="0.25">
      <c r="A1806" t="s">
        <v>16</v>
      </c>
      <c r="B1806" s="2">
        <v>45772.848611111112</v>
      </c>
      <c r="C1806" t="s">
        <v>283</v>
      </c>
      <c r="D1806" t="s">
        <v>214</v>
      </c>
      <c r="E1806">
        <v>3</v>
      </c>
      <c r="F1806">
        <v>1709.47</v>
      </c>
      <c r="G1806" t="s">
        <v>222</v>
      </c>
      <c r="H1806">
        <v>5128.41</v>
      </c>
      <c r="I1806">
        <v>2025</v>
      </c>
      <c r="J1806">
        <v>4</v>
      </c>
      <c r="K1806">
        <v>20</v>
      </c>
      <c r="L1806" s="14">
        <v>1709.47</v>
      </c>
      <c r="M1806" s="4" t="str">
        <f t="shared" si="112"/>
        <v>viernes</v>
      </c>
      <c r="N1806" s="4" t="str">
        <f t="shared" si="113"/>
        <v>abril</v>
      </c>
      <c r="O1806" s="4" t="str">
        <f t="shared" si="114"/>
        <v>SI</v>
      </c>
      <c r="P1806" s="4" t="str">
        <f t="shared" si="115"/>
        <v>SI</v>
      </c>
      <c r="Q1806" s="4" t="str" cm="1">
        <f t="array" ref="Q1806">_xlfn.IFS(AND(H1806&gt;=0,H1806&lt;=3333),"Grupo 1",AND(H1806&gt;3333,H1806&lt;=6666),"Grupo 2",AND(H1806&gt;6666,H1806&lt;=10000),"Grupo 3")</f>
        <v>Grupo 2</v>
      </c>
    </row>
    <row r="1807" spans="1:17" x14ac:dyDescent="0.25">
      <c r="A1807" t="s">
        <v>17</v>
      </c>
      <c r="B1807" s="2">
        <v>45101.225694444453</v>
      </c>
      <c r="C1807" t="s">
        <v>284</v>
      </c>
      <c r="D1807" t="s">
        <v>215</v>
      </c>
      <c r="E1807">
        <v>3</v>
      </c>
      <c r="F1807">
        <v>297.54000000000002</v>
      </c>
      <c r="G1807" t="s">
        <v>220</v>
      </c>
      <c r="H1807">
        <v>892.62000000000012</v>
      </c>
      <c r="I1807">
        <v>2023</v>
      </c>
      <c r="J1807">
        <v>6</v>
      </c>
      <c r="K1807">
        <v>5</v>
      </c>
      <c r="L1807" s="14">
        <v>297.54000000000002</v>
      </c>
      <c r="M1807" s="4" t="str">
        <f t="shared" si="112"/>
        <v>sábado</v>
      </c>
      <c r="N1807" s="4" t="str">
        <f t="shared" si="113"/>
        <v>junio</v>
      </c>
      <c r="O1807" s="4" t="str">
        <f t="shared" si="114"/>
        <v>NO</v>
      </c>
      <c r="P1807" s="4" t="str">
        <f t="shared" si="115"/>
        <v>NO</v>
      </c>
      <c r="Q1807" s="4" t="str" cm="1">
        <f t="array" ref="Q1807">_xlfn.IFS(AND(H1807&gt;=0,H1807&lt;=3333),"Grupo 1",AND(H1807&gt;3333,H1807&lt;=6666),"Grupo 2",AND(H1807&gt;6666,H1807&lt;=10000),"Grupo 3")</f>
        <v>Grupo 1</v>
      </c>
    </row>
    <row r="1808" spans="1:17" x14ac:dyDescent="0.25">
      <c r="A1808" t="s">
        <v>18</v>
      </c>
      <c r="B1808" s="2">
        <v>45694.432638888888</v>
      </c>
      <c r="C1808" t="s">
        <v>285</v>
      </c>
      <c r="D1808" t="s">
        <v>216</v>
      </c>
      <c r="E1808">
        <v>4</v>
      </c>
      <c r="F1808">
        <v>1546.65</v>
      </c>
      <c r="G1808" t="s">
        <v>221</v>
      </c>
      <c r="H1808">
        <v>6186.6</v>
      </c>
      <c r="I1808">
        <v>2025</v>
      </c>
      <c r="J1808">
        <v>2</v>
      </c>
      <c r="K1808">
        <v>10</v>
      </c>
      <c r="L1808" s="14">
        <v>1546.65</v>
      </c>
      <c r="M1808" s="4" t="str">
        <f t="shared" si="112"/>
        <v>jueves</v>
      </c>
      <c r="N1808" s="4" t="str">
        <f t="shared" si="113"/>
        <v>febrero</v>
      </c>
      <c r="O1808" s="4" t="str">
        <f t="shared" si="114"/>
        <v>SI</v>
      </c>
      <c r="P1808" s="4" t="str">
        <f t="shared" si="115"/>
        <v>SI</v>
      </c>
      <c r="Q1808" s="4" t="str" cm="1">
        <f t="array" ref="Q1808">_xlfn.IFS(AND(H1808&gt;=0,H1808&lt;=3333),"Grupo 1",AND(H1808&gt;3333,H1808&lt;=6666),"Grupo 2",AND(H1808&gt;6666,H1808&lt;=10000),"Grupo 3")</f>
        <v>Grupo 2</v>
      </c>
    </row>
    <row r="1809" spans="1:17" x14ac:dyDescent="0.25">
      <c r="A1809" t="s">
        <v>19</v>
      </c>
      <c r="B1809" s="2">
        <v>45798.69027777778</v>
      </c>
      <c r="C1809" t="s">
        <v>286</v>
      </c>
      <c r="D1809" t="s">
        <v>212</v>
      </c>
      <c r="E1809">
        <v>1</v>
      </c>
      <c r="F1809">
        <v>1575.18</v>
      </c>
      <c r="G1809" t="s">
        <v>220</v>
      </c>
      <c r="H1809">
        <v>1575.18</v>
      </c>
      <c r="I1809">
        <v>2025</v>
      </c>
      <c r="J1809">
        <v>5</v>
      </c>
      <c r="K1809">
        <v>16</v>
      </c>
      <c r="L1809" s="14">
        <v>1575.18</v>
      </c>
      <c r="M1809" s="4" t="str">
        <f t="shared" si="112"/>
        <v>miércoles</v>
      </c>
      <c r="N1809" s="4" t="str">
        <f t="shared" si="113"/>
        <v>mayo</v>
      </c>
      <c r="O1809" s="4" t="str">
        <f t="shared" si="114"/>
        <v>NO</v>
      </c>
      <c r="P1809" s="4" t="str">
        <f t="shared" si="115"/>
        <v>SI</v>
      </c>
      <c r="Q1809" s="4" t="str" cm="1">
        <f t="array" ref="Q1809">_xlfn.IFS(AND(H1809&gt;=0,H1809&lt;=3333),"Grupo 1",AND(H1809&gt;3333,H1809&lt;=6666),"Grupo 2",AND(H1809&gt;6666,H1809&lt;=10000),"Grupo 3")</f>
        <v>Grupo 1</v>
      </c>
    </row>
    <row r="1810" spans="1:17" x14ac:dyDescent="0.25">
      <c r="A1810" t="s">
        <v>20</v>
      </c>
      <c r="B1810" s="2">
        <v>45425.797222222223</v>
      </c>
      <c r="C1810" t="s">
        <v>287</v>
      </c>
      <c r="D1810" t="s">
        <v>217</v>
      </c>
      <c r="E1810">
        <v>5</v>
      </c>
      <c r="F1810">
        <v>1815.86</v>
      </c>
      <c r="G1810" t="s">
        <v>220</v>
      </c>
      <c r="H1810">
        <v>9079.2999999999993</v>
      </c>
      <c r="I1810">
        <v>2024</v>
      </c>
      <c r="J1810">
        <v>5</v>
      </c>
      <c r="K1810">
        <v>19</v>
      </c>
      <c r="L1810" s="14">
        <v>1815.86</v>
      </c>
      <c r="M1810" s="4" t="str">
        <f t="shared" si="112"/>
        <v>lunes</v>
      </c>
      <c r="N1810" s="4" t="str">
        <f t="shared" si="113"/>
        <v>mayo</v>
      </c>
      <c r="O1810" s="4" t="str">
        <f t="shared" si="114"/>
        <v>SI</v>
      </c>
      <c r="P1810" s="4" t="str">
        <f t="shared" si="115"/>
        <v>SI</v>
      </c>
      <c r="Q1810" s="4" t="str" cm="1">
        <f t="array" ref="Q1810">_xlfn.IFS(AND(H1810&gt;=0,H1810&lt;=3333),"Grupo 1",AND(H1810&gt;3333,H1810&lt;=6666),"Grupo 2",AND(H1810&gt;6666,H1810&lt;=10000),"Grupo 3")</f>
        <v>Grupo 3</v>
      </c>
    </row>
    <row r="1811" spans="1:17" x14ac:dyDescent="0.25">
      <c r="A1811" t="s">
        <v>21</v>
      </c>
      <c r="B1811" s="2">
        <v>45525.152083333327</v>
      </c>
      <c r="C1811" t="s">
        <v>288</v>
      </c>
      <c r="D1811" t="s">
        <v>212</v>
      </c>
      <c r="E1811">
        <v>1</v>
      </c>
      <c r="F1811">
        <v>564.11</v>
      </c>
      <c r="G1811" t="s">
        <v>220</v>
      </c>
      <c r="H1811">
        <v>564.11</v>
      </c>
      <c r="I1811">
        <v>2024</v>
      </c>
      <c r="J1811">
        <v>8</v>
      </c>
      <c r="K1811">
        <v>3</v>
      </c>
      <c r="L1811" s="14">
        <v>564.11</v>
      </c>
      <c r="M1811" s="4" t="str">
        <f t="shared" si="112"/>
        <v>miércoles</v>
      </c>
      <c r="N1811" s="4" t="str">
        <f t="shared" si="113"/>
        <v>agosto</v>
      </c>
      <c r="O1811" s="4" t="str">
        <f t="shared" si="114"/>
        <v>NO</v>
      </c>
      <c r="P1811" s="4" t="str">
        <f t="shared" si="115"/>
        <v>NO</v>
      </c>
      <c r="Q1811" s="4" t="str" cm="1">
        <f t="array" ref="Q1811">_xlfn.IFS(AND(H1811&gt;=0,H1811&lt;=3333),"Grupo 1",AND(H1811&gt;3333,H1811&lt;=6666),"Grupo 2",AND(H1811&gt;6666,H1811&lt;=10000),"Grupo 3")</f>
        <v>Grupo 1</v>
      </c>
    </row>
    <row r="1812" spans="1:17" x14ac:dyDescent="0.25">
      <c r="A1812" t="s">
        <v>22</v>
      </c>
      <c r="B1812" s="2">
        <v>45580.043749999997</v>
      </c>
      <c r="C1812" t="s">
        <v>289</v>
      </c>
      <c r="D1812" t="s">
        <v>217</v>
      </c>
      <c r="E1812">
        <v>1</v>
      </c>
      <c r="F1812">
        <v>454.9</v>
      </c>
      <c r="G1812" t="s">
        <v>220</v>
      </c>
      <c r="H1812">
        <v>454.9</v>
      </c>
      <c r="I1812">
        <v>2024</v>
      </c>
      <c r="J1812">
        <v>10</v>
      </c>
      <c r="K1812">
        <v>1</v>
      </c>
      <c r="L1812" s="14">
        <v>454.9</v>
      </c>
      <c r="M1812" s="4" t="str">
        <f t="shared" si="112"/>
        <v>martes</v>
      </c>
      <c r="N1812" s="4" t="str">
        <f t="shared" si="113"/>
        <v>octubre</v>
      </c>
      <c r="O1812" s="4" t="str">
        <f t="shared" si="114"/>
        <v>NO</v>
      </c>
      <c r="P1812" s="4" t="str">
        <f t="shared" si="115"/>
        <v>NO</v>
      </c>
      <c r="Q1812" s="4" t="str" cm="1">
        <f t="array" ref="Q1812">_xlfn.IFS(AND(H1812&gt;=0,H1812&lt;=3333),"Grupo 1",AND(H1812&gt;3333,H1812&lt;=6666),"Grupo 2",AND(H1812&gt;6666,H1812&lt;=10000),"Grupo 3")</f>
        <v>Grupo 1</v>
      </c>
    </row>
    <row r="1813" spans="1:17" x14ac:dyDescent="0.25">
      <c r="A1813" t="s">
        <v>23</v>
      </c>
      <c r="B1813" s="2">
        <v>45551.151388888888</v>
      </c>
      <c r="C1813" t="s">
        <v>290</v>
      </c>
      <c r="D1813" t="s">
        <v>218</v>
      </c>
      <c r="E1813">
        <v>3</v>
      </c>
      <c r="F1813">
        <v>1277.51</v>
      </c>
      <c r="G1813" t="s">
        <v>221</v>
      </c>
      <c r="H1813">
        <v>3832.53</v>
      </c>
      <c r="I1813">
        <v>2024</v>
      </c>
      <c r="J1813">
        <v>9</v>
      </c>
      <c r="K1813">
        <v>3</v>
      </c>
      <c r="L1813" s="14">
        <v>1277.51</v>
      </c>
      <c r="M1813" s="4" t="str">
        <f t="shared" si="112"/>
        <v>lunes</v>
      </c>
      <c r="N1813" s="4" t="str">
        <f t="shared" si="113"/>
        <v>septiembre</v>
      </c>
      <c r="O1813" s="4" t="str">
        <f t="shared" si="114"/>
        <v>SI</v>
      </c>
      <c r="P1813" s="4" t="str">
        <f t="shared" si="115"/>
        <v>SI</v>
      </c>
      <c r="Q1813" s="4" t="str" cm="1">
        <f t="array" ref="Q1813">_xlfn.IFS(AND(H1813&gt;=0,H1813&lt;=3333),"Grupo 1",AND(H1813&gt;3333,H1813&lt;=6666),"Grupo 2",AND(H1813&gt;6666,H1813&lt;=10000),"Grupo 3")</f>
        <v>Grupo 2</v>
      </c>
    </row>
    <row r="1814" spans="1:17" x14ac:dyDescent="0.25">
      <c r="A1814" t="s">
        <v>24</v>
      </c>
      <c r="B1814" s="2">
        <v>45230.395833333343</v>
      </c>
      <c r="C1814" t="s">
        <v>291</v>
      </c>
      <c r="D1814" t="s">
        <v>214</v>
      </c>
      <c r="E1814">
        <v>2</v>
      </c>
      <c r="F1814">
        <v>1870.95</v>
      </c>
      <c r="G1814" t="s">
        <v>222</v>
      </c>
      <c r="H1814">
        <v>3741.9</v>
      </c>
      <c r="I1814">
        <v>2023</v>
      </c>
      <c r="J1814">
        <v>10</v>
      </c>
      <c r="K1814">
        <v>9</v>
      </c>
      <c r="L1814" s="14">
        <v>1870.95</v>
      </c>
      <c r="M1814" s="4" t="str">
        <f t="shared" si="112"/>
        <v>martes</v>
      </c>
      <c r="N1814" s="4" t="str">
        <f t="shared" si="113"/>
        <v>octubre</v>
      </c>
      <c r="O1814" s="4" t="str">
        <f t="shared" si="114"/>
        <v>SI</v>
      </c>
      <c r="P1814" s="4" t="str">
        <f t="shared" si="115"/>
        <v>SI</v>
      </c>
      <c r="Q1814" s="4" t="str" cm="1">
        <f t="array" ref="Q1814">_xlfn.IFS(AND(H1814&gt;=0,H1814&lt;=3333),"Grupo 1",AND(H1814&gt;3333,H1814&lt;=6666),"Grupo 2",AND(H1814&gt;6666,H1814&lt;=10000),"Grupo 3")</f>
        <v>Grupo 2</v>
      </c>
    </row>
    <row r="1815" spans="1:17" x14ac:dyDescent="0.25">
      <c r="A1815" t="s">
        <v>25</v>
      </c>
      <c r="B1815" s="2">
        <v>45234.645833333343</v>
      </c>
      <c r="C1815" t="s">
        <v>292</v>
      </c>
      <c r="D1815" t="s">
        <v>212</v>
      </c>
      <c r="E1815">
        <v>4</v>
      </c>
      <c r="F1815">
        <v>1227.23</v>
      </c>
      <c r="G1815" t="s">
        <v>220</v>
      </c>
      <c r="H1815">
        <v>4908.92</v>
      </c>
      <c r="I1815">
        <v>2023</v>
      </c>
      <c r="J1815">
        <v>11</v>
      </c>
      <c r="K1815">
        <v>15</v>
      </c>
      <c r="L1815" s="14">
        <v>1227.23</v>
      </c>
      <c r="M1815" s="4" t="str">
        <f t="shared" si="112"/>
        <v>sábado</v>
      </c>
      <c r="N1815" s="4" t="str">
        <f t="shared" si="113"/>
        <v>noviembre</v>
      </c>
      <c r="O1815" s="4" t="str">
        <f t="shared" si="114"/>
        <v>SI</v>
      </c>
      <c r="P1815" s="4" t="str">
        <f t="shared" si="115"/>
        <v>SI</v>
      </c>
      <c r="Q1815" s="4" t="str" cm="1">
        <f t="array" ref="Q1815">_xlfn.IFS(AND(H1815&gt;=0,H1815&lt;=3333),"Grupo 1",AND(H1815&gt;3333,H1815&lt;=6666),"Grupo 2",AND(H1815&gt;6666,H1815&lt;=10000),"Grupo 3")</f>
        <v>Grupo 2</v>
      </c>
    </row>
    <row r="1816" spans="1:17" x14ac:dyDescent="0.25">
      <c r="A1816" t="s">
        <v>26</v>
      </c>
      <c r="B1816" s="2">
        <v>45464.76666666667</v>
      </c>
      <c r="C1816" t="s">
        <v>293</v>
      </c>
      <c r="D1816" t="s">
        <v>215</v>
      </c>
      <c r="E1816">
        <v>1</v>
      </c>
      <c r="F1816">
        <v>1329.6</v>
      </c>
      <c r="G1816" t="s">
        <v>220</v>
      </c>
      <c r="H1816">
        <v>1329.6</v>
      </c>
      <c r="I1816">
        <v>2024</v>
      </c>
      <c r="J1816">
        <v>6</v>
      </c>
      <c r="K1816">
        <v>18</v>
      </c>
      <c r="L1816" s="14">
        <v>1329.6</v>
      </c>
      <c r="M1816" s="4" t="str">
        <f t="shared" si="112"/>
        <v>viernes</v>
      </c>
      <c r="N1816" s="4" t="str">
        <f t="shared" si="113"/>
        <v>junio</v>
      </c>
      <c r="O1816" s="4" t="str">
        <f t="shared" si="114"/>
        <v>NO</v>
      </c>
      <c r="P1816" s="4" t="str">
        <f t="shared" si="115"/>
        <v>SI</v>
      </c>
      <c r="Q1816" s="4" t="str" cm="1">
        <f t="array" ref="Q1816">_xlfn.IFS(AND(H1816&gt;=0,H1816&lt;=3333),"Grupo 1",AND(H1816&gt;3333,H1816&lt;=6666),"Grupo 2",AND(H1816&gt;6666,H1816&lt;=10000),"Grupo 3")</f>
        <v>Grupo 1</v>
      </c>
    </row>
    <row r="1817" spans="1:17" x14ac:dyDescent="0.25">
      <c r="A1817" t="s">
        <v>27</v>
      </c>
      <c r="B1817" s="2">
        <v>45138.240277777782</v>
      </c>
      <c r="C1817" t="s">
        <v>294</v>
      </c>
      <c r="D1817" t="s">
        <v>212</v>
      </c>
      <c r="E1817">
        <v>3</v>
      </c>
      <c r="F1817">
        <v>1734.12</v>
      </c>
      <c r="G1817" t="s">
        <v>220</v>
      </c>
      <c r="H1817">
        <v>5202.3599999999997</v>
      </c>
      <c r="I1817">
        <v>2023</v>
      </c>
      <c r="J1817">
        <v>7</v>
      </c>
      <c r="K1817">
        <v>5</v>
      </c>
      <c r="L1817" s="14">
        <v>1734.12</v>
      </c>
      <c r="M1817" s="4" t="str">
        <f t="shared" si="112"/>
        <v>lunes</v>
      </c>
      <c r="N1817" s="4" t="str">
        <f t="shared" si="113"/>
        <v>julio</v>
      </c>
      <c r="O1817" s="4" t="str">
        <f t="shared" si="114"/>
        <v>SI</v>
      </c>
      <c r="P1817" s="4" t="str">
        <f t="shared" si="115"/>
        <v>SI</v>
      </c>
      <c r="Q1817" s="4" t="str" cm="1">
        <f t="array" ref="Q1817">_xlfn.IFS(AND(H1817&gt;=0,H1817&lt;=3333),"Grupo 1",AND(H1817&gt;3333,H1817&lt;=6666),"Grupo 2",AND(H1817&gt;6666,H1817&lt;=10000),"Grupo 3")</f>
        <v>Grupo 2</v>
      </c>
    </row>
    <row r="1818" spans="1:17" x14ac:dyDescent="0.25">
      <c r="A1818" t="s">
        <v>28</v>
      </c>
      <c r="B1818" s="2">
        <v>45455.688888888893</v>
      </c>
      <c r="C1818" t="s">
        <v>295</v>
      </c>
      <c r="D1818" t="s">
        <v>212</v>
      </c>
      <c r="E1818">
        <v>1</v>
      </c>
      <c r="F1818">
        <v>1209.6199999999999</v>
      </c>
      <c r="G1818" t="s">
        <v>220</v>
      </c>
      <c r="H1818">
        <v>1209.6199999999999</v>
      </c>
      <c r="I1818">
        <v>2024</v>
      </c>
      <c r="J1818">
        <v>6</v>
      </c>
      <c r="K1818">
        <v>16</v>
      </c>
      <c r="L1818" s="14">
        <v>1209.6199999999999</v>
      </c>
      <c r="M1818" s="4" t="str">
        <f t="shared" si="112"/>
        <v>miércoles</v>
      </c>
      <c r="N1818" s="4" t="str">
        <f t="shared" si="113"/>
        <v>junio</v>
      </c>
      <c r="O1818" s="4" t="str">
        <f t="shared" si="114"/>
        <v>NO</v>
      </c>
      <c r="P1818" s="4" t="str">
        <f t="shared" si="115"/>
        <v>SI</v>
      </c>
      <c r="Q1818" s="4" t="str" cm="1">
        <f t="array" ref="Q1818">_xlfn.IFS(AND(H1818&gt;=0,H1818&lt;=3333),"Grupo 1",AND(H1818&gt;3333,H1818&lt;=6666),"Grupo 2",AND(H1818&gt;6666,H1818&lt;=10000),"Grupo 3")</f>
        <v>Grupo 1</v>
      </c>
    </row>
    <row r="1819" spans="1:17" x14ac:dyDescent="0.25">
      <c r="A1819" t="s">
        <v>29</v>
      </c>
      <c r="B1819" s="2">
        <v>45301.151388888888</v>
      </c>
      <c r="C1819" t="s">
        <v>296</v>
      </c>
      <c r="D1819" t="s">
        <v>218</v>
      </c>
      <c r="E1819">
        <v>3</v>
      </c>
      <c r="F1819">
        <v>922.33</v>
      </c>
      <c r="G1819" t="s">
        <v>221</v>
      </c>
      <c r="H1819">
        <v>2766.99</v>
      </c>
      <c r="I1819">
        <v>2024</v>
      </c>
      <c r="J1819">
        <v>1</v>
      </c>
      <c r="K1819">
        <v>3</v>
      </c>
      <c r="L1819" s="14">
        <v>922.33</v>
      </c>
      <c r="M1819" s="4" t="str">
        <f t="shared" si="112"/>
        <v>miércoles</v>
      </c>
      <c r="N1819" s="4" t="str">
        <f t="shared" si="113"/>
        <v>enero</v>
      </c>
      <c r="O1819" s="4" t="str">
        <f t="shared" si="114"/>
        <v>NO</v>
      </c>
      <c r="P1819" s="4" t="str">
        <f t="shared" si="115"/>
        <v>NO</v>
      </c>
      <c r="Q1819" s="4" t="str" cm="1">
        <f t="array" ref="Q1819">_xlfn.IFS(AND(H1819&gt;=0,H1819&lt;=3333),"Grupo 1",AND(H1819&gt;3333,H1819&lt;=6666),"Grupo 2",AND(H1819&gt;6666,H1819&lt;=10000),"Grupo 3")</f>
        <v>Grupo 1</v>
      </c>
    </row>
    <row r="1820" spans="1:17" x14ac:dyDescent="0.25">
      <c r="A1820" t="s">
        <v>30</v>
      </c>
      <c r="B1820" s="2">
        <v>45677.761111111111</v>
      </c>
      <c r="C1820" t="s">
        <v>297</v>
      </c>
      <c r="D1820" t="s">
        <v>216</v>
      </c>
      <c r="E1820">
        <v>4</v>
      </c>
      <c r="F1820">
        <v>54.42</v>
      </c>
      <c r="G1820" t="s">
        <v>221</v>
      </c>
      <c r="H1820">
        <v>217.68</v>
      </c>
      <c r="I1820">
        <v>2025</v>
      </c>
      <c r="J1820">
        <v>1</v>
      </c>
      <c r="K1820">
        <v>18</v>
      </c>
      <c r="L1820" s="14">
        <v>54.42</v>
      </c>
      <c r="M1820" s="4" t="str">
        <f t="shared" si="112"/>
        <v>lunes</v>
      </c>
      <c r="N1820" s="4" t="str">
        <f t="shared" si="113"/>
        <v>enero</v>
      </c>
      <c r="O1820" s="4" t="str">
        <f t="shared" si="114"/>
        <v>NO</v>
      </c>
      <c r="P1820" s="4" t="str">
        <f t="shared" si="115"/>
        <v>NO</v>
      </c>
      <c r="Q1820" s="4" t="str" cm="1">
        <f t="array" ref="Q1820">_xlfn.IFS(AND(H1820&gt;=0,H1820&lt;=3333),"Grupo 1",AND(H1820&gt;3333,H1820&lt;=6666),"Grupo 2",AND(H1820&gt;6666,H1820&lt;=10000),"Grupo 3")</f>
        <v>Grupo 1</v>
      </c>
    </row>
    <row r="1821" spans="1:17" x14ac:dyDescent="0.25">
      <c r="A1821" t="s">
        <v>31</v>
      </c>
      <c r="B1821" s="2">
        <v>45238.713888888888</v>
      </c>
      <c r="C1821" t="s">
        <v>298</v>
      </c>
      <c r="D1821" t="s">
        <v>218</v>
      </c>
      <c r="E1821">
        <v>2</v>
      </c>
      <c r="F1821">
        <v>1567.18</v>
      </c>
      <c r="G1821" t="s">
        <v>221</v>
      </c>
      <c r="H1821">
        <v>3134.36</v>
      </c>
      <c r="I1821">
        <v>2023</v>
      </c>
      <c r="J1821">
        <v>11</v>
      </c>
      <c r="K1821">
        <v>17</v>
      </c>
      <c r="L1821" s="14">
        <v>1567.18</v>
      </c>
      <c r="M1821" s="4" t="str">
        <f t="shared" si="112"/>
        <v>miércoles</v>
      </c>
      <c r="N1821" s="4" t="str">
        <f t="shared" si="113"/>
        <v>noviembre</v>
      </c>
      <c r="O1821" s="4" t="str">
        <f t="shared" si="114"/>
        <v>SI</v>
      </c>
      <c r="P1821" s="4" t="str">
        <f t="shared" si="115"/>
        <v>SI</v>
      </c>
      <c r="Q1821" s="4" t="str" cm="1">
        <f t="array" ref="Q1821">_xlfn.IFS(AND(H1821&gt;=0,H1821&lt;=3333),"Grupo 1",AND(H1821&gt;3333,H1821&lt;=6666),"Grupo 2",AND(H1821&gt;6666,H1821&lt;=10000),"Grupo 3")</f>
        <v>Grupo 1</v>
      </c>
    </row>
    <row r="1822" spans="1:17" x14ac:dyDescent="0.25">
      <c r="A1822" t="s">
        <v>32</v>
      </c>
      <c r="B1822" s="2">
        <v>45231.386111111111</v>
      </c>
      <c r="C1822" t="s">
        <v>299</v>
      </c>
      <c r="D1822" t="s">
        <v>213</v>
      </c>
      <c r="E1822">
        <v>2</v>
      </c>
      <c r="F1822">
        <v>519.79999999999995</v>
      </c>
      <c r="G1822" t="s">
        <v>221</v>
      </c>
      <c r="H1822">
        <v>1039.5999999999999</v>
      </c>
      <c r="I1822">
        <v>2023</v>
      </c>
      <c r="J1822">
        <v>11</v>
      </c>
      <c r="K1822">
        <v>9</v>
      </c>
      <c r="L1822" s="14">
        <v>519.79999999999995</v>
      </c>
      <c r="M1822" s="4" t="str">
        <f t="shared" si="112"/>
        <v>miércoles</v>
      </c>
      <c r="N1822" s="4" t="str">
        <f t="shared" si="113"/>
        <v>noviembre</v>
      </c>
      <c r="O1822" s="4" t="str">
        <f t="shared" si="114"/>
        <v>NO</v>
      </c>
      <c r="P1822" s="4" t="str">
        <f t="shared" si="115"/>
        <v>NO</v>
      </c>
      <c r="Q1822" s="4" t="str" cm="1">
        <f t="array" ref="Q1822">_xlfn.IFS(AND(H1822&gt;=0,H1822&lt;=3333),"Grupo 1",AND(H1822&gt;3333,H1822&lt;=6666),"Grupo 2",AND(H1822&gt;6666,H1822&lt;=10000),"Grupo 3")</f>
        <v>Grupo 1</v>
      </c>
    </row>
    <row r="1823" spans="1:17" x14ac:dyDescent="0.25">
      <c r="A1823" t="s">
        <v>33</v>
      </c>
      <c r="B1823" s="2">
        <v>45421.563888888893</v>
      </c>
      <c r="C1823" t="s">
        <v>300</v>
      </c>
      <c r="D1823" t="s">
        <v>214</v>
      </c>
      <c r="E1823">
        <v>1</v>
      </c>
      <c r="F1823">
        <v>1267.01</v>
      </c>
      <c r="G1823" t="s">
        <v>222</v>
      </c>
      <c r="H1823">
        <v>1267.01</v>
      </c>
      <c r="I1823">
        <v>2024</v>
      </c>
      <c r="J1823">
        <v>5</v>
      </c>
      <c r="K1823">
        <v>13</v>
      </c>
      <c r="L1823" s="14">
        <v>1267.01</v>
      </c>
      <c r="M1823" s="4" t="str">
        <f t="shared" si="112"/>
        <v>jueves</v>
      </c>
      <c r="N1823" s="4" t="str">
        <f t="shared" si="113"/>
        <v>mayo</v>
      </c>
      <c r="O1823" s="4" t="str">
        <f t="shared" si="114"/>
        <v>NO</v>
      </c>
      <c r="P1823" s="4" t="str">
        <f t="shared" si="115"/>
        <v>SI</v>
      </c>
      <c r="Q1823" s="4" t="str" cm="1">
        <f t="array" ref="Q1823">_xlfn.IFS(AND(H1823&gt;=0,H1823&lt;=3333),"Grupo 1",AND(H1823&gt;3333,H1823&lt;=6666),"Grupo 2",AND(H1823&gt;6666,H1823&lt;=10000),"Grupo 3")</f>
        <v>Grupo 1</v>
      </c>
    </row>
    <row r="1824" spans="1:17" x14ac:dyDescent="0.25">
      <c r="A1824" t="s">
        <v>34</v>
      </c>
      <c r="B1824" s="2">
        <v>45437.592361111107</v>
      </c>
      <c r="C1824" t="s">
        <v>301</v>
      </c>
      <c r="D1824" t="s">
        <v>212</v>
      </c>
      <c r="E1824">
        <v>4</v>
      </c>
      <c r="F1824">
        <v>1027.81</v>
      </c>
      <c r="G1824" t="s">
        <v>220</v>
      </c>
      <c r="H1824">
        <v>4111.24</v>
      </c>
      <c r="I1824">
        <v>2024</v>
      </c>
      <c r="J1824">
        <v>5</v>
      </c>
      <c r="K1824">
        <v>14</v>
      </c>
      <c r="L1824" s="14">
        <v>1027.81</v>
      </c>
      <c r="M1824" s="4" t="str">
        <f t="shared" si="112"/>
        <v>sábado</v>
      </c>
      <c r="N1824" s="4" t="str">
        <f t="shared" si="113"/>
        <v>mayo</v>
      </c>
      <c r="O1824" s="4" t="str">
        <f t="shared" si="114"/>
        <v>SI</v>
      </c>
      <c r="P1824" s="4" t="str">
        <f t="shared" si="115"/>
        <v>SI</v>
      </c>
      <c r="Q1824" s="4" t="str" cm="1">
        <f t="array" ref="Q1824">_xlfn.IFS(AND(H1824&gt;=0,H1824&lt;=3333),"Grupo 1",AND(H1824&gt;3333,H1824&lt;=6666),"Grupo 2",AND(H1824&gt;6666,H1824&lt;=10000),"Grupo 3")</f>
        <v>Grupo 2</v>
      </c>
    </row>
    <row r="1825" spans="1:17" x14ac:dyDescent="0.25">
      <c r="A1825" t="s">
        <v>35</v>
      </c>
      <c r="B1825" s="2">
        <v>45355.487500000003</v>
      </c>
      <c r="C1825" t="s">
        <v>302</v>
      </c>
      <c r="D1825" t="s">
        <v>216</v>
      </c>
      <c r="E1825">
        <v>3</v>
      </c>
      <c r="F1825">
        <v>925.62</v>
      </c>
      <c r="G1825" t="s">
        <v>221</v>
      </c>
      <c r="H1825">
        <v>2776.86</v>
      </c>
      <c r="I1825">
        <v>2024</v>
      </c>
      <c r="J1825">
        <v>3</v>
      </c>
      <c r="K1825">
        <v>11</v>
      </c>
      <c r="L1825" s="14">
        <v>925.62</v>
      </c>
      <c r="M1825" s="4" t="str">
        <f t="shared" si="112"/>
        <v>lunes</v>
      </c>
      <c r="N1825" s="4" t="str">
        <f t="shared" si="113"/>
        <v>marzo</v>
      </c>
      <c r="O1825" s="4" t="str">
        <f t="shared" si="114"/>
        <v>NO</v>
      </c>
      <c r="P1825" s="4" t="str">
        <f t="shared" si="115"/>
        <v>NO</v>
      </c>
      <c r="Q1825" s="4" t="str" cm="1">
        <f t="array" ref="Q1825">_xlfn.IFS(AND(H1825&gt;=0,H1825&lt;=3333),"Grupo 1",AND(H1825&gt;3333,H1825&lt;=6666),"Grupo 2",AND(H1825&gt;6666,H1825&lt;=10000),"Grupo 3")</f>
        <v>Grupo 1</v>
      </c>
    </row>
    <row r="1826" spans="1:17" x14ac:dyDescent="0.25">
      <c r="A1826" t="s">
        <v>36</v>
      </c>
      <c r="B1826" s="2">
        <v>45924.43472222222</v>
      </c>
      <c r="C1826" t="s">
        <v>303</v>
      </c>
      <c r="D1826" t="s">
        <v>212</v>
      </c>
      <c r="E1826">
        <v>3</v>
      </c>
      <c r="F1826">
        <v>213.71</v>
      </c>
      <c r="G1826" t="s">
        <v>220</v>
      </c>
      <c r="H1826">
        <v>641.13</v>
      </c>
      <c r="I1826">
        <v>2025</v>
      </c>
      <c r="J1826">
        <v>9</v>
      </c>
      <c r="K1826">
        <v>10</v>
      </c>
      <c r="L1826" s="14">
        <v>213.71</v>
      </c>
      <c r="M1826" s="4" t="str">
        <f t="shared" si="112"/>
        <v>miércoles</v>
      </c>
      <c r="N1826" s="4" t="str">
        <f t="shared" si="113"/>
        <v>septiembre</v>
      </c>
      <c r="O1826" s="4" t="str">
        <f t="shared" si="114"/>
        <v>NO</v>
      </c>
      <c r="P1826" s="4" t="str">
        <f t="shared" si="115"/>
        <v>NO</v>
      </c>
      <c r="Q1826" s="4" t="str" cm="1">
        <f t="array" ref="Q1826">_xlfn.IFS(AND(H1826&gt;=0,H1826&lt;=3333),"Grupo 1",AND(H1826&gt;3333,H1826&lt;=6666),"Grupo 2",AND(H1826&gt;6666,H1826&lt;=10000),"Grupo 3")</f>
        <v>Grupo 1</v>
      </c>
    </row>
    <row r="1827" spans="1:17" x14ac:dyDescent="0.25">
      <c r="A1827" t="s">
        <v>37</v>
      </c>
      <c r="B1827" s="2">
        <v>45471.931250000001</v>
      </c>
      <c r="C1827" t="s">
        <v>304</v>
      </c>
      <c r="D1827" t="s">
        <v>217</v>
      </c>
      <c r="E1827">
        <v>2</v>
      </c>
      <c r="F1827">
        <v>1146.75</v>
      </c>
      <c r="G1827" t="s">
        <v>220</v>
      </c>
      <c r="H1827">
        <v>2293.5</v>
      </c>
      <c r="I1827">
        <v>2024</v>
      </c>
      <c r="J1827">
        <v>6</v>
      </c>
      <c r="K1827">
        <v>22</v>
      </c>
      <c r="L1827" s="14">
        <v>1146.75</v>
      </c>
      <c r="M1827" s="4" t="str">
        <f t="shared" si="112"/>
        <v>viernes</v>
      </c>
      <c r="N1827" s="4" t="str">
        <f t="shared" si="113"/>
        <v>junio</v>
      </c>
      <c r="O1827" s="4" t="str">
        <f t="shared" si="114"/>
        <v>NO</v>
      </c>
      <c r="P1827" s="4" t="str">
        <f t="shared" si="115"/>
        <v>SI</v>
      </c>
      <c r="Q1827" s="4" t="str" cm="1">
        <f t="array" ref="Q1827">_xlfn.IFS(AND(H1827&gt;=0,H1827&lt;=3333),"Grupo 1",AND(H1827&gt;3333,H1827&lt;=6666),"Grupo 2",AND(H1827&gt;6666,H1827&lt;=10000),"Grupo 3")</f>
        <v>Grupo 1</v>
      </c>
    </row>
    <row r="1828" spans="1:17" x14ac:dyDescent="0.25">
      <c r="A1828" t="s">
        <v>38</v>
      </c>
      <c r="B1828" s="2">
        <v>45003.59097222222</v>
      </c>
      <c r="C1828" t="s">
        <v>305</v>
      </c>
      <c r="D1828" t="s">
        <v>217</v>
      </c>
      <c r="E1828">
        <v>5</v>
      </c>
      <c r="F1828">
        <v>907.28</v>
      </c>
      <c r="G1828" t="s">
        <v>220</v>
      </c>
      <c r="H1828">
        <v>4536.3999999999996</v>
      </c>
      <c r="I1828">
        <v>2023</v>
      </c>
      <c r="J1828">
        <v>3</v>
      </c>
      <c r="K1828">
        <v>14</v>
      </c>
      <c r="L1828" s="14">
        <v>907.28</v>
      </c>
      <c r="M1828" s="4" t="str">
        <f t="shared" si="112"/>
        <v>sábado</v>
      </c>
      <c r="N1828" s="4" t="str">
        <f t="shared" si="113"/>
        <v>marzo</v>
      </c>
      <c r="O1828" s="4" t="str">
        <f t="shared" si="114"/>
        <v>SI</v>
      </c>
      <c r="P1828" s="4" t="str">
        <f t="shared" si="115"/>
        <v>NO</v>
      </c>
      <c r="Q1828" s="4" t="str" cm="1">
        <f t="array" ref="Q1828">_xlfn.IFS(AND(H1828&gt;=0,H1828&lt;=3333),"Grupo 1",AND(H1828&gt;3333,H1828&lt;=6666),"Grupo 2",AND(H1828&gt;6666,H1828&lt;=10000),"Grupo 3")</f>
        <v>Grupo 2</v>
      </c>
    </row>
    <row r="1829" spans="1:17" x14ac:dyDescent="0.25">
      <c r="A1829" t="s">
        <v>39</v>
      </c>
      <c r="B1829" s="2">
        <v>45206.394444444442</v>
      </c>
      <c r="C1829" t="s">
        <v>306</v>
      </c>
      <c r="D1829" t="s">
        <v>216</v>
      </c>
      <c r="E1829">
        <v>2</v>
      </c>
      <c r="F1829">
        <v>1734.44</v>
      </c>
      <c r="G1829" t="s">
        <v>221</v>
      </c>
      <c r="H1829">
        <v>3468.88</v>
      </c>
      <c r="I1829">
        <v>2023</v>
      </c>
      <c r="J1829">
        <v>10</v>
      </c>
      <c r="K1829">
        <v>9</v>
      </c>
      <c r="L1829" s="14">
        <v>1734.44</v>
      </c>
      <c r="M1829" s="4" t="str">
        <f t="shared" si="112"/>
        <v>sábado</v>
      </c>
      <c r="N1829" s="4" t="str">
        <f t="shared" si="113"/>
        <v>octubre</v>
      </c>
      <c r="O1829" s="4" t="str">
        <f t="shared" si="114"/>
        <v>SI</v>
      </c>
      <c r="P1829" s="4" t="str">
        <f t="shared" si="115"/>
        <v>SI</v>
      </c>
      <c r="Q1829" s="4" t="str" cm="1">
        <f t="array" ref="Q1829">_xlfn.IFS(AND(H1829&gt;=0,H1829&lt;=3333),"Grupo 1",AND(H1829&gt;3333,H1829&lt;=6666),"Grupo 2",AND(H1829&gt;6666,H1829&lt;=10000),"Grupo 3")</f>
        <v>Grupo 2</v>
      </c>
    </row>
    <row r="1830" spans="1:17" x14ac:dyDescent="0.25">
      <c r="A1830" t="s">
        <v>40</v>
      </c>
      <c r="B1830" s="2">
        <v>45595.773611111108</v>
      </c>
      <c r="C1830" t="s">
        <v>307</v>
      </c>
      <c r="D1830" t="s">
        <v>213</v>
      </c>
      <c r="E1830">
        <v>1</v>
      </c>
      <c r="F1830">
        <v>424.35</v>
      </c>
      <c r="G1830" t="s">
        <v>221</v>
      </c>
      <c r="H1830">
        <v>424.35</v>
      </c>
      <c r="I1830">
        <v>2024</v>
      </c>
      <c r="J1830">
        <v>10</v>
      </c>
      <c r="K1830">
        <v>18</v>
      </c>
      <c r="L1830" s="14">
        <v>424.35</v>
      </c>
      <c r="M1830" s="4" t="str">
        <f t="shared" si="112"/>
        <v>miércoles</v>
      </c>
      <c r="N1830" s="4" t="str">
        <f t="shared" si="113"/>
        <v>octubre</v>
      </c>
      <c r="O1830" s="4" t="str">
        <f t="shared" si="114"/>
        <v>NO</v>
      </c>
      <c r="P1830" s="4" t="str">
        <f t="shared" si="115"/>
        <v>NO</v>
      </c>
      <c r="Q1830" s="4" t="str" cm="1">
        <f t="array" ref="Q1830">_xlfn.IFS(AND(H1830&gt;=0,H1830&lt;=3333),"Grupo 1",AND(H1830&gt;3333,H1830&lt;=6666),"Grupo 2",AND(H1830&gt;6666,H1830&lt;=10000),"Grupo 3")</f>
        <v>Grupo 1</v>
      </c>
    </row>
    <row r="1831" spans="1:17" x14ac:dyDescent="0.25">
      <c r="A1831" t="s">
        <v>41</v>
      </c>
      <c r="B1831" s="2">
        <v>45888.736805555563</v>
      </c>
      <c r="C1831" t="s">
        <v>308</v>
      </c>
      <c r="D1831" t="s">
        <v>212</v>
      </c>
      <c r="E1831">
        <v>1</v>
      </c>
      <c r="F1831">
        <v>252.57</v>
      </c>
      <c r="G1831" t="s">
        <v>220</v>
      </c>
      <c r="H1831">
        <v>252.57</v>
      </c>
      <c r="I1831">
        <v>2025</v>
      </c>
      <c r="J1831">
        <v>8</v>
      </c>
      <c r="K1831">
        <v>17</v>
      </c>
      <c r="L1831" s="14">
        <v>252.57</v>
      </c>
      <c r="M1831" s="4" t="str">
        <f t="shared" si="112"/>
        <v>martes</v>
      </c>
      <c r="N1831" s="4" t="str">
        <f t="shared" si="113"/>
        <v>agosto</v>
      </c>
      <c r="O1831" s="4" t="str">
        <f t="shared" si="114"/>
        <v>NO</v>
      </c>
      <c r="P1831" s="4" t="str">
        <f t="shared" si="115"/>
        <v>NO</v>
      </c>
      <c r="Q1831" s="4" t="str" cm="1">
        <f t="array" ref="Q1831">_xlfn.IFS(AND(H1831&gt;=0,H1831&lt;=3333),"Grupo 1",AND(H1831&gt;3333,H1831&lt;=6666),"Grupo 2",AND(H1831&gt;6666,H1831&lt;=10000),"Grupo 3")</f>
        <v>Grupo 1</v>
      </c>
    </row>
    <row r="1832" spans="1:17" x14ac:dyDescent="0.25">
      <c r="A1832" t="s">
        <v>42</v>
      </c>
      <c r="B1832" s="2">
        <v>45478.06527777778</v>
      </c>
      <c r="C1832" t="s">
        <v>309</v>
      </c>
      <c r="D1832" t="s">
        <v>218</v>
      </c>
      <c r="E1832">
        <v>3</v>
      </c>
      <c r="F1832">
        <v>21.56</v>
      </c>
      <c r="G1832" t="s">
        <v>221</v>
      </c>
      <c r="H1832">
        <v>64.679999999999993</v>
      </c>
      <c r="I1832">
        <v>2024</v>
      </c>
      <c r="J1832">
        <v>7</v>
      </c>
      <c r="K1832">
        <v>1</v>
      </c>
      <c r="L1832" s="14">
        <v>21.56</v>
      </c>
      <c r="M1832" s="4" t="str">
        <f t="shared" si="112"/>
        <v>viernes</v>
      </c>
      <c r="N1832" s="4" t="str">
        <f t="shared" si="113"/>
        <v>julio</v>
      </c>
      <c r="O1832" s="4" t="str">
        <f t="shared" si="114"/>
        <v>NO</v>
      </c>
      <c r="P1832" s="4" t="str">
        <f t="shared" si="115"/>
        <v>NO</v>
      </c>
      <c r="Q1832" s="4" t="str" cm="1">
        <f t="array" ref="Q1832">_xlfn.IFS(AND(H1832&gt;=0,H1832&lt;=3333),"Grupo 1",AND(H1832&gt;3333,H1832&lt;=6666),"Grupo 2",AND(H1832&gt;6666,H1832&lt;=10000),"Grupo 3")</f>
        <v>Grupo 1</v>
      </c>
    </row>
    <row r="1833" spans="1:17" x14ac:dyDescent="0.25">
      <c r="A1833" t="s">
        <v>43</v>
      </c>
      <c r="B1833" s="2">
        <v>45402.668749999997</v>
      </c>
      <c r="C1833" t="s">
        <v>310</v>
      </c>
      <c r="D1833" t="s">
        <v>214</v>
      </c>
      <c r="E1833">
        <v>1</v>
      </c>
      <c r="F1833">
        <v>446.81</v>
      </c>
      <c r="G1833" t="s">
        <v>222</v>
      </c>
      <c r="H1833">
        <v>446.81</v>
      </c>
      <c r="I1833">
        <v>2024</v>
      </c>
      <c r="J1833">
        <v>4</v>
      </c>
      <c r="K1833">
        <v>16</v>
      </c>
      <c r="L1833" s="14">
        <v>446.81</v>
      </c>
      <c r="M1833" s="4" t="str">
        <f t="shared" si="112"/>
        <v>sábado</v>
      </c>
      <c r="N1833" s="4" t="str">
        <f t="shared" si="113"/>
        <v>abril</v>
      </c>
      <c r="O1833" s="4" t="str">
        <f t="shared" si="114"/>
        <v>NO</v>
      </c>
      <c r="P1833" s="4" t="str">
        <f t="shared" si="115"/>
        <v>NO</v>
      </c>
      <c r="Q1833" s="4" t="str" cm="1">
        <f t="array" ref="Q1833">_xlfn.IFS(AND(H1833&gt;=0,H1833&lt;=3333),"Grupo 1",AND(H1833&gt;3333,H1833&lt;=6666),"Grupo 2",AND(H1833&gt;6666,H1833&lt;=10000),"Grupo 3")</f>
        <v>Grupo 1</v>
      </c>
    </row>
    <row r="1834" spans="1:17" x14ac:dyDescent="0.25">
      <c r="A1834" t="s">
        <v>44</v>
      </c>
      <c r="B1834" s="2">
        <v>45033.806944444441</v>
      </c>
      <c r="C1834" t="s">
        <v>311</v>
      </c>
      <c r="D1834" t="s">
        <v>218</v>
      </c>
      <c r="E1834">
        <v>2</v>
      </c>
      <c r="F1834">
        <v>64.67</v>
      </c>
      <c r="G1834" t="s">
        <v>221</v>
      </c>
      <c r="H1834">
        <v>129.34</v>
      </c>
      <c r="I1834">
        <v>2023</v>
      </c>
      <c r="J1834">
        <v>4</v>
      </c>
      <c r="K1834">
        <v>19</v>
      </c>
      <c r="L1834" s="14">
        <v>64.67</v>
      </c>
      <c r="M1834" s="4" t="str">
        <f t="shared" si="112"/>
        <v>lunes</v>
      </c>
      <c r="N1834" s="4" t="str">
        <f t="shared" si="113"/>
        <v>abril</v>
      </c>
      <c r="O1834" s="4" t="str">
        <f t="shared" si="114"/>
        <v>NO</v>
      </c>
      <c r="P1834" s="4" t="str">
        <f t="shared" si="115"/>
        <v>NO</v>
      </c>
      <c r="Q1834" s="4" t="str" cm="1">
        <f t="array" ref="Q1834">_xlfn.IFS(AND(H1834&gt;=0,H1834&lt;=3333),"Grupo 1",AND(H1834&gt;3333,H1834&lt;=6666),"Grupo 2",AND(H1834&gt;6666,H1834&lt;=10000),"Grupo 3")</f>
        <v>Grupo 1</v>
      </c>
    </row>
    <row r="1835" spans="1:17" x14ac:dyDescent="0.25">
      <c r="A1835" t="s">
        <v>45</v>
      </c>
      <c r="B1835" s="2">
        <v>45432.781944444447</v>
      </c>
      <c r="C1835" t="s">
        <v>312</v>
      </c>
      <c r="D1835" t="s">
        <v>216</v>
      </c>
      <c r="E1835">
        <v>5</v>
      </c>
      <c r="F1835">
        <v>1168.3499999999999</v>
      </c>
      <c r="G1835" t="s">
        <v>221</v>
      </c>
      <c r="H1835">
        <v>5841.75</v>
      </c>
      <c r="I1835">
        <v>2024</v>
      </c>
      <c r="J1835">
        <v>5</v>
      </c>
      <c r="K1835">
        <v>18</v>
      </c>
      <c r="L1835" s="14">
        <v>1168.3499999999999</v>
      </c>
      <c r="M1835" s="4" t="str">
        <f t="shared" si="112"/>
        <v>lunes</v>
      </c>
      <c r="N1835" s="4" t="str">
        <f t="shared" si="113"/>
        <v>mayo</v>
      </c>
      <c r="O1835" s="4" t="str">
        <f t="shared" si="114"/>
        <v>SI</v>
      </c>
      <c r="P1835" s="4" t="str">
        <f t="shared" si="115"/>
        <v>SI</v>
      </c>
      <c r="Q1835" s="4" t="str" cm="1">
        <f t="array" ref="Q1835">_xlfn.IFS(AND(H1835&gt;=0,H1835&lt;=3333),"Grupo 1",AND(H1835&gt;3333,H1835&lt;=6666),"Grupo 2",AND(H1835&gt;6666,H1835&lt;=10000),"Grupo 3")</f>
        <v>Grupo 2</v>
      </c>
    </row>
    <row r="1836" spans="1:17" x14ac:dyDescent="0.25">
      <c r="A1836" t="s">
        <v>46</v>
      </c>
      <c r="B1836" s="2">
        <v>45746.083333333343</v>
      </c>
      <c r="C1836" t="s">
        <v>313</v>
      </c>
      <c r="D1836" t="s">
        <v>214</v>
      </c>
      <c r="E1836">
        <v>2</v>
      </c>
      <c r="F1836">
        <v>349.3</v>
      </c>
      <c r="G1836" t="s">
        <v>222</v>
      </c>
      <c r="H1836">
        <v>698.6</v>
      </c>
      <c r="I1836">
        <v>2025</v>
      </c>
      <c r="J1836">
        <v>3</v>
      </c>
      <c r="K1836">
        <v>2</v>
      </c>
      <c r="L1836" s="14">
        <v>349.3</v>
      </c>
      <c r="M1836" s="4" t="str">
        <f t="shared" si="112"/>
        <v>domingo</v>
      </c>
      <c r="N1836" s="4" t="str">
        <f t="shared" si="113"/>
        <v>marzo</v>
      </c>
      <c r="O1836" s="4" t="str">
        <f t="shared" si="114"/>
        <v>NO</v>
      </c>
      <c r="P1836" s="4" t="str">
        <f t="shared" si="115"/>
        <v>NO</v>
      </c>
      <c r="Q1836" s="4" t="str" cm="1">
        <f t="array" ref="Q1836">_xlfn.IFS(AND(H1836&gt;=0,H1836&lt;=3333),"Grupo 1",AND(H1836&gt;3333,H1836&lt;=6666),"Grupo 2",AND(H1836&gt;6666,H1836&lt;=10000),"Grupo 3")</f>
        <v>Grupo 1</v>
      </c>
    </row>
    <row r="1837" spans="1:17" x14ac:dyDescent="0.25">
      <c r="A1837" t="s">
        <v>47</v>
      </c>
      <c r="B1837" s="2">
        <v>45515.355555555558</v>
      </c>
      <c r="C1837" t="s">
        <v>314</v>
      </c>
      <c r="D1837" t="s">
        <v>216</v>
      </c>
      <c r="E1837">
        <v>3</v>
      </c>
      <c r="F1837">
        <v>1154.06</v>
      </c>
      <c r="G1837" t="s">
        <v>221</v>
      </c>
      <c r="H1837">
        <v>3462.18</v>
      </c>
      <c r="I1837">
        <v>2024</v>
      </c>
      <c r="J1837">
        <v>8</v>
      </c>
      <c r="K1837">
        <v>8</v>
      </c>
      <c r="L1837" s="14">
        <v>1154.06</v>
      </c>
      <c r="M1837" s="4" t="str">
        <f t="shared" si="112"/>
        <v>domingo</v>
      </c>
      <c r="N1837" s="4" t="str">
        <f t="shared" si="113"/>
        <v>agosto</v>
      </c>
      <c r="O1837" s="4" t="str">
        <f t="shared" si="114"/>
        <v>SI</v>
      </c>
      <c r="P1837" s="4" t="str">
        <f t="shared" si="115"/>
        <v>SI</v>
      </c>
      <c r="Q1837" s="4" t="str" cm="1">
        <f t="array" ref="Q1837">_xlfn.IFS(AND(H1837&gt;=0,H1837&lt;=3333),"Grupo 1",AND(H1837&gt;3333,H1837&lt;=6666),"Grupo 2",AND(H1837&gt;6666,H1837&lt;=10000),"Grupo 3")</f>
        <v>Grupo 2</v>
      </c>
    </row>
    <row r="1838" spans="1:17" x14ac:dyDescent="0.25">
      <c r="A1838" t="s">
        <v>48</v>
      </c>
      <c r="B1838" s="2">
        <v>45730.554861111108</v>
      </c>
      <c r="C1838" t="s">
        <v>315</v>
      </c>
      <c r="D1838" t="s">
        <v>215</v>
      </c>
      <c r="E1838">
        <v>4</v>
      </c>
      <c r="F1838">
        <v>1566.37</v>
      </c>
      <c r="G1838" t="s">
        <v>220</v>
      </c>
      <c r="H1838">
        <v>6265.48</v>
      </c>
      <c r="I1838">
        <v>2025</v>
      </c>
      <c r="J1838">
        <v>3</v>
      </c>
      <c r="K1838">
        <v>13</v>
      </c>
      <c r="L1838" s="14">
        <v>1566.37</v>
      </c>
      <c r="M1838" s="4" t="str">
        <f t="shared" si="112"/>
        <v>viernes</v>
      </c>
      <c r="N1838" s="4" t="str">
        <f t="shared" si="113"/>
        <v>marzo</v>
      </c>
      <c r="O1838" s="4" t="str">
        <f t="shared" si="114"/>
        <v>SI</v>
      </c>
      <c r="P1838" s="4" t="str">
        <f t="shared" si="115"/>
        <v>SI</v>
      </c>
      <c r="Q1838" s="4" t="str" cm="1">
        <f t="array" ref="Q1838">_xlfn.IFS(AND(H1838&gt;=0,H1838&lt;=3333),"Grupo 1",AND(H1838&gt;3333,H1838&lt;=6666),"Grupo 2",AND(H1838&gt;6666,H1838&lt;=10000),"Grupo 3")</f>
        <v>Grupo 2</v>
      </c>
    </row>
    <row r="1839" spans="1:17" x14ac:dyDescent="0.25">
      <c r="A1839" t="s">
        <v>49</v>
      </c>
      <c r="B1839" s="2">
        <v>45603.252083333333</v>
      </c>
      <c r="C1839" t="s">
        <v>316</v>
      </c>
      <c r="D1839" t="s">
        <v>212</v>
      </c>
      <c r="E1839">
        <v>2</v>
      </c>
      <c r="F1839">
        <v>674.48</v>
      </c>
      <c r="G1839" t="s">
        <v>220</v>
      </c>
      <c r="H1839">
        <v>1348.96</v>
      </c>
      <c r="I1839">
        <v>2024</v>
      </c>
      <c r="J1839">
        <v>11</v>
      </c>
      <c r="K1839">
        <v>6</v>
      </c>
      <c r="L1839" s="14">
        <v>674.48</v>
      </c>
      <c r="M1839" s="4" t="str">
        <f t="shared" si="112"/>
        <v>jueves</v>
      </c>
      <c r="N1839" s="4" t="str">
        <f t="shared" si="113"/>
        <v>noviembre</v>
      </c>
      <c r="O1839" s="4" t="str">
        <f t="shared" si="114"/>
        <v>NO</v>
      </c>
      <c r="P1839" s="4" t="str">
        <f t="shared" si="115"/>
        <v>NO</v>
      </c>
      <c r="Q1839" s="4" t="str" cm="1">
        <f t="array" ref="Q1839">_xlfn.IFS(AND(H1839&gt;=0,H1839&lt;=3333),"Grupo 1",AND(H1839&gt;3333,H1839&lt;=6666),"Grupo 2",AND(H1839&gt;6666,H1839&lt;=10000),"Grupo 3")</f>
        <v>Grupo 1</v>
      </c>
    </row>
    <row r="1840" spans="1:17" x14ac:dyDescent="0.25">
      <c r="A1840" t="s">
        <v>50</v>
      </c>
      <c r="B1840" s="2">
        <v>45420.054861111108</v>
      </c>
      <c r="C1840" t="s">
        <v>317</v>
      </c>
      <c r="D1840" t="s">
        <v>212</v>
      </c>
      <c r="E1840">
        <v>2</v>
      </c>
      <c r="F1840">
        <v>1543.98</v>
      </c>
      <c r="G1840" t="s">
        <v>220</v>
      </c>
      <c r="H1840">
        <v>3087.96</v>
      </c>
      <c r="I1840">
        <v>2024</v>
      </c>
      <c r="J1840">
        <v>5</v>
      </c>
      <c r="K1840">
        <v>1</v>
      </c>
      <c r="L1840" s="14">
        <v>1543.98</v>
      </c>
      <c r="M1840" s="4" t="str">
        <f t="shared" si="112"/>
        <v>miércoles</v>
      </c>
      <c r="N1840" s="4" t="str">
        <f t="shared" si="113"/>
        <v>mayo</v>
      </c>
      <c r="O1840" s="4" t="str">
        <f t="shared" si="114"/>
        <v>SI</v>
      </c>
      <c r="P1840" s="4" t="str">
        <f t="shared" si="115"/>
        <v>SI</v>
      </c>
      <c r="Q1840" s="4" t="str" cm="1">
        <f t="array" ref="Q1840">_xlfn.IFS(AND(H1840&gt;=0,H1840&lt;=3333),"Grupo 1",AND(H1840&gt;3333,H1840&lt;=6666),"Grupo 2",AND(H1840&gt;6666,H1840&lt;=10000),"Grupo 3")</f>
        <v>Grupo 1</v>
      </c>
    </row>
    <row r="1841" spans="1:17" x14ac:dyDescent="0.25">
      <c r="A1841" t="s">
        <v>51</v>
      </c>
      <c r="B1841" s="2">
        <v>44931.743055555547</v>
      </c>
      <c r="C1841" t="s">
        <v>318</v>
      </c>
      <c r="D1841" t="s">
        <v>217</v>
      </c>
      <c r="E1841">
        <v>5</v>
      </c>
      <c r="F1841">
        <v>917.31</v>
      </c>
      <c r="G1841" t="s">
        <v>220</v>
      </c>
      <c r="H1841">
        <v>4586.5499999999993</v>
      </c>
      <c r="I1841">
        <v>2023</v>
      </c>
      <c r="J1841">
        <v>1</v>
      </c>
      <c r="K1841">
        <v>17</v>
      </c>
      <c r="L1841" s="14">
        <v>917.30999999999983</v>
      </c>
      <c r="M1841" s="4" t="str">
        <f t="shared" si="112"/>
        <v>jueves</v>
      </c>
      <c r="N1841" s="4" t="str">
        <f t="shared" si="113"/>
        <v>enero</v>
      </c>
      <c r="O1841" s="4" t="str">
        <f t="shared" si="114"/>
        <v>SI</v>
      </c>
      <c r="P1841" s="4" t="str">
        <f t="shared" si="115"/>
        <v>NO</v>
      </c>
      <c r="Q1841" s="4" t="str" cm="1">
        <f t="array" ref="Q1841">_xlfn.IFS(AND(H1841&gt;=0,H1841&lt;=3333),"Grupo 1",AND(H1841&gt;3333,H1841&lt;=6666),"Grupo 2",AND(H1841&gt;6666,H1841&lt;=10000),"Grupo 3")</f>
        <v>Grupo 2</v>
      </c>
    </row>
    <row r="1842" spans="1:17" x14ac:dyDescent="0.25">
      <c r="A1842" t="s">
        <v>52</v>
      </c>
      <c r="B1842" s="2">
        <v>45326.684027777781</v>
      </c>
      <c r="C1842" t="s">
        <v>319</v>
      </c>
      <c r="D1842" t="s">
        <v>219</v>
      </c>
      <c r="E1842">
        <v>4</v>
      </c>
      <c r="F1842">
        <v>450.36</v>
      </c>
      <c r="G1842" t="s">
        <v>221</v>
      </c>
      <c r="H1842">
        <v>1801.44</v>
      </c>
      <c r="I1842">
        <v>2024</v>
      </c>
      <c r="J1842">
        <v>2</v>
      </c>
      <c r="K1842">
        <v>16</v>
      </c>
      <c r="L1842" s="14">
        <v>450.36</v>
      </c>
      <c r="M1842" s="4" t="str">
        <f t="shared" si="112"/>
        <v>domingo</v>
      </c>
      <c r="N1842" s="4" t="str">
        <f t="shared" si="113"/>
        <v>febrero</v>
      </c>
      <c r="O1842" s="4" t="str">
        <f t="shared" si="114"/>
        <v>NO</v>
      </c>
      <c r="P1842" s="4" t="str">
        <f t="shared" si="115"/>
        <v>NO</v>
      </c>
      <c r="Q1842" s="4" t="str" cm="1">
        <f t="array" ref="Q1842">_xlfn.IFS(AND(H1842&gt;=0,H1842&lt;=3333),"Grupo 1",AND(H1842&gt;3333,H1842&lt;=6666),"Grupo 2",AND(H1842&gt;6666,H1842&lt;=10000),"Grupo 3")</f>
        <v>Grupo 1</v>
      </c>
    </row>
    <row r="1843" spans="1:17" x14ac:dyDescent="0.25">
      <c r="A1843" t="s">
        <v>53</v>
      </c>
      <c r="B1843" s="2">
        <v>45146.872916666667</v>
      </c>
      <c r="C1843" t="s">
        <v>320</v>
      </c>
      <c r="D1843" t="s">
        <v>215</v>
      </c>
      <c r="E1843">
        <v>2</v>
      </c>
      <c r="F1843">
        <v>755.48</v>
      </c>
      <c r="G1843" t="s">
        <v>220</v>
      </c>
      <c r="H1843">
        <v>1510.96</v>
      </c>
      <c r="I1843">
        <v>2023</v>
      </c>
      <c r="J1843">
        <v>8</v>
      </c>
      <c r="K1843">
        <v>20</v>
      </c>
      <c r="L1843" s="14">
        <v>755.48</v>
      </c>
      <c r="M1843" s="4" t="str">
        <f t="shared" si="112"/>
        <v>martes</v>
      </c>
      <c r="N1843" s="4" t="str">
        <f t="shared" si="113"/>
        <v>agosto</v>
      </c>
      <c r="O1843" s="4" t="str">
        <f t="shared" si="114"/>
        <v>NO</v>
      </c>
      <c r="P1843" s="4" t="str">
        <f t="shared" si="115"/>
        <v>NO</v>
      </c>
      <c r="Q1843" s="4" t="str" cm="1">
        <f t="array" ref="Q1843">_xlfn.IFS(AND(H1843&gt;=0,H1843&lt;=3333),"Grupo 1",AND(H1843&gt;3333,H1843&lt;=6666),"Grupo 2",AND(H1843&gt;6666,H1843&lt;=10000),"Grupo 3")</f>
        <v>Grupo 1</v>
      </c>
    </row>
    <row r="1844" spans="1:17" x14ac:dyDescent="0.25">
      <c r="A1844" t="s">
        <v>54</v>
      </c>
      <c r="B1844" s="2">
        <v>45464.595833333333</v>
      </c>
      <c r="C1844" t="s">
        <v>321</v>
      </c>
      <c r="D1844" t="s">
        <v>213</v>
      </c>
      <c r="E1844">
        <v>3</v>
      </c>
      <c r="F1844">
        <v>1855.55</v>
      </c>
      <c r="G1844" t="s">
        <v>221</v>
      </c>
      <c r="H1844">
        <v>5566.65</v>
      </c>
      <c r="I1844">
        <v>2024</v>
      </c>
      <c r="J1844">
        <v>6</v>
      </c>
      <c r="K1844">
        <v>14</v>
      </c>
      <c r="L1844" s="14">
        <v>1855.55</v>
      </c>
      <c r="M1844" s="4" t="str">
        <f t="shared" si="112"/>
        <v>viernes</v>
      </c>
      <c r="N1844" s="4" t="str">
        <f t="shared" si="113"/>
        <v>junio</v>
      </c>
      <c r="O1844" s="4" t="str">
        <f t="shared" si="114"/>
        <v>SI</v>
      </c>
      <c r="P1844" s="4" t="str">
        <f t="shared" si="115"/>
        <v>SI</v>
      </c>
      <c r="Q1844" s="4" t="str" cm="1">
        <f t="array" ref="Q1844">_xlfn.IFS(AND(H1844&gt;=0,H1844&lt;=3333),"Grupo 1",AND(H1844&gt;3333,H1844&lt;=6666),"Grupo 2",AND(H1844&gt;6666,H1844&lt;=10000),"Grupo 3")</f>
        <v>Grupo 2</v>
      </c>
    </row>
    <row r="1845" spans="1:17" x14ac:dyDescent="0.25">
      <c r="A1845" t="s">
        <v>55</v>
      </c>
      <c r="B1845" s="2">
        <v>45171.9</v>
      </c>
      <c r="C1845" t="s">
        <v>322</v>
      </c>
      <c r="D1845" t="s">
        <v>216</v>
      </c>
      <c r="E1845">
        <v>5</v>
      </c>
      <c r="F1845">
        <v>1011.75</v>
      </c>
      <c r="G1845" t="s">
        <v>221</v>
      </c>
      <c r="H1845">
        <v>5058.75</v>
      </c>
      <c r="I1845">
        <v>2023</v>
      </c>
      <c r="J1845">
        <v>9</v>
      </c>
      <c r="K1845">
        <v>21</v>
      </c>
      <c r="L1845" s="14">
        <v>1011.75</v>
      </c>
      <c r="M1845" s="4" t="str">
        <f t="shared" si="112"/>
        <v>sábado</v>
      </c>
      <c r="N1845" s="4" t="str">
        <f t="shared" si="113"/>
        <v>septiembre</v>
      </c>
      <c r="O1845" s="4" t="str">
        <f t="shared" si="114"/>
        <v>SI</v>
      </c>
      <c r="P1845" s="4" t="str">
        <f t="shared" si="115"/>
        <v>SI</v>
      </c>
      <c r="Q1845" s="4" t="str" cm="1">
        <f t="array" ref="Q1845">_xlfn.IFS(AND(H1845&gt;=0,H1845&lt;=3333),"Grupo 1",AND(H1845&gt;3333,H1845&lt;=6666),"Grupo 2",AND(H1845&gt;6666,H1845&lt;=10000),"Grupo 3")</f>
        <v>Grupo 2</v>
      </c>
    </row>
    <row r="1846" spans="1:17" x14ac:dyDescent="0.25">
      <c r="A1846" t="s">
        <v>56</v>
      </c>
      <c r="B1846" s="2">
        <v>44992.136111111111</v>
      </c>
      <c r="C1846" t="s">
        <v>323</v>
      </c>
      <c r="D1846" t="s">
        <v>213</v>
      </c>
      <c r="E1846">
        <v>5</v>
      </c>
      <c r="F1846">
        <v>1218.3399999999999</v>
      </c>
      <c r="G1846" t="s">
        <v>221</v>
      </c>
      <c r="H1846">
        <v>6091.7</v>
      </c>
      <c r="I1846">
        <v>2023</v>
      </c>
      <c r="J1846">
        <v>3</v>
      </c>
      <c r="K1846">
        <v>3</v>
      </c>
      <c r="L1846" s="14">
        <v>1218.3399999999999</v>
      </c>
      <c r="M1846" s="4" t="str">
        <f t="shared" si="112"/>
        <v>martes</v>
      </c>
      <c r="N1846" s="4" t="str">
        <f t="shared" si="113"/>
        <v>marzo</v>
      </c>
      <c r="O1846" s="4" t="str">
        <f t="shared" si="114"/>
        <v>SI</v>
      </c>
      <c r="P1846" s="4" t="str">
        <f t="shared" si="115"/>
        <v>SI</v>
      </c>
      <c r="Q1846" s="4" t="str" cm="1">
        <f t="array" ref="Q1846">_xlfn.IFS(AND(H1846&gt;=0,H1846&lt;=3333),"Grupo 1",AND(H1846&gt;3333,H1846&lt;=6666),"Grupo 2",AND(H1846&gt;6666,H1846&lt;=10000),"Grupo 3")</f>
        <v>Grupo 2</v>
      </c>
    </row>
    <row r="1847" spans="1:17" x14ac:dyDescent="0.25">
      <c r="A1847" t="s">
        <v>57</v>
      </c>
      <c r="B1847" s="2">
        <v>44927.061111111107</v>
      </c>
      <c r="C1847" t="s">
        <v>324</v>
      </c>
      <c r="D1847" t="s">
        <v>216</v>
      </c>
      <c r="E1847">
        <v>2</v>
      </c>
      <c r="F1847">
        <v>361.59</v>
      </c>
      <c r="G1847" t="s">
        <v>221</v>
      </c>
      <c r="H1847">
        <v>723.18</v>
      </c>
      <c r="I1847">
        <v>2023</v>
      </c>
      <c r="J1847">
        <v>1</v>
      </c>
      <c r="K1847">
        <v>1</v>
      </c>
      <c r="L1847" s="14">
        <v>361.59</v>
      </c>
      <c r="M1847" s="4" t="str">
        <f t="shared" si="112"/>
        <v>domingo</v>
      </c>
      <c r="N1847" s="4" t="str">
        <f t="shared" si="113"/>
        <v>enero</v>
      </c>
      <c r="O1847" s="4" t="str">
        <f t="shared" si="114"/>
        <v>NO</v>
      </c>
      <c r="P1847" s="4" t="str">
        <f t="shared" si="115"/>
        <v>NO</v>
      </c>
      <c r="Q1847" s="4" t="str" cm="1">
        <f t="array" ref="Q1847">_xlfn.IFS(AND(H1847&gt;=0,H1847&lt;=3333),"Grupo 1",AND(H1847&gt;3333,H1847&lt;=6666),"Grupo 2",AND(H1847&gt;6666,H1847&lt;=10000),"Grupo 3")</f>
        <v>Grupo 1</v>
      </c>
    </row>
    <row r="1848" spans="1:17" x14ac:dyDescent="0.25">
      <c r="A1848" t="s">
        <v>58</v>
      </c>
      <c r="B1848" s="2">
        <v>45097.359027777777</v>
      </c>
      <c r="C1848" t="s">
        <v>325</v>
      </c>
      <c r="D1848" t="s">
        <v>213</v>
      </c>
      <c r="E1848">
        <v>5</v>
      </c>
      <c r="F1848">
        <v>958.8</v>
      </c>
      <c r="G1848" t="s">
        <v>221</v>
      </c>
      <c r="H1848">
        <v>4794</v>
      </c>
      <c r="I1848">
        <v>2023</v>
      </c>
      <c r="J1848">
        <v>6</v>
      </c>
      <c r="K1848">
        <v>8</v>
      </c>
      <c r="L1848" s="14">
        <v>958.8</v>
      </c>
      <c r="M1848" s="4" t="str">
        <f t="shared" si="112"/>
        <v>martes</v>
      </c>
      <c r="N1848" s="4" t="str">
        <f t="shared" si="113"/>
        <v>junio</v>
      </c>
      <c r="O1848" s="4" t="str">
        <f t="shared" si="114"/>
        <v>SI</v>
      </c>
      <c r="P1848" s="4" t="str">
        <f t="shared" si="115"/>
        <v>NO</v>
      </c>
      <c r="Q1848" s="4" t="str" cm="1">
        <f t="array" ref="Q1848">_xlfn.IFS(AND(H1848&gt;=0,H1848&lt;=3333),"Grupo 1",AND(H1848&gt;3333,H1848&lt;=6666),"Grupo 2",AND(H1848&gt;6666,H1848&lt;=10000),"Grupo 3")</f>
        <v>Grupo 2</v>
      </c>
    </row>
    <row r="1849" spans="1:17" x14ac:dyDescent="0.25">
      <c r="A1849" t="s">
        <v>59</v>
      </c>
      <c r="B1849" s="2">
        <v>45755.288194444453</v>
      </c>
      <c r="C1849" t="s">
        <v>326</v>
      </c>
      <c r="D1849" t="s">
        <v>214</v>
      </c>
      <c r="E1849">
        <v>5</v>
      </c>
      <c r="F1849">
        <v>1776.87</v>
      </c>
      <c r="G1849" t="s">
        <v>222</v>
      </c>
      <c r="H1849">
        <v>8884.3499999999985</v>
      </c>
      <c r="I1849">
        <v>2025</v>
      </c>
      <c r="J1849">
        <v>4</v>
      </c>
      <c r="K1849">
        <v>6</v>
      </c>
      <c r="L1849" s="14">
        <v>1776.87</v>
      </c>
      <c r="M1849" s="4" t="str">
        <f t="shared" si="112"/>
        <v>martes</v>
      </c>
      <c r="N1849" s="4" t="str">
        <f t="shared" si="113"/>
        <v>abril</v>
      </c>
      <c r="O1849" s="4" t="str">
        <f t="shared" si="114"/>
        <v>SI</v>
      </c>
      <c r="P1849" s="4" t="str">
        <f t="shared" si="115"/>
        <v>SI</v>
      </c>
      <c r="Q1849" s="4" t="str" cm="1">
        <f t="array" ref="Q1849">_xlfn.IFS(AND(H1849&gt;=0,H1849&lt;=3333),"Grupo 1",AND(H1849&gt;3333,H1849&lt;=6666),"Grupo 2",AND(H1849&gt;6666,H1849&lt;=10000),"Grupo 3")</f>
        <v>Grupo 3</v>
      </c>
    </row>
    <row r="1850" spans="1:17" x14ac:dyDescent="0.25">
      <c r="A1850" t="s">
        <v>60</v>
      </c>
      <c r="B1850" s="2">
        <v>45782.866666666669</v>
      </c>
      <c r="C1850" t="s">
        <v>327</v>
      </c>
      <c r="D1850" t="s">
        <v>219</v>
      </c>
      <c r="E1850">
        <v>1</v>
      </c>
      <c r="F1850">
        <v>1467.34</v>
      </c>
      <c r="G1850" t="s">
        <v>221</v>
      </c>
      <c r="H1850">
        <v>1467.34</v>
      </c>
      <c r="I1850">
        <v>2025</v>
      </c>
      <c r="J1850">
        <v>5</v>
      </c>
      <c r="K1850">
        <v>20</v>
      </c>
      <c r="L1850" s="14">
        <v>1467.34</v>
      </c>
      <c r="M1850" s="4" t="str">
        <f t="shared" si="112"/>
        <v>lunes</v>
      </c>
      <c r="N1850" s="4" t="str">
        <f t="shared" si="113"/>
        <v>mayo</v>
      </c>
      <c r="O1850" s="4" t="str">
        <f t="shared" si="114"/>
        <v>NO</v>
      </c>
      <c r="P1850" s="4" t="str">
        <f t="shared" si="115"/>
        <v>SI</v>
      </c>
      <c r="Q1850" s="4" t="str" cm="1">
        <f t="array" ref="Q1850">_xlfn.IFS(AND(H1850&gt;=0,H1850&lt;=3333),"Grupo 1",AND(H1850&gt;3333,H1850&lt;=6666),"Grupo 2",AND(H1850&gt;6666,H1850&lt;=10000),"Grupo 3")</f>
        <v>Grupo 1</v>
      </c>
    </row>
    <row r="1851" spans="1:17" x14ac:dyDescent="0.25">
      <c r="A1851" t="s">
        <v>61</v>
      </c>
      <c r="B1851" s="2">
        <v>45819.341666666667</v>
      </c>
      <c r="C1851" t="s">
        <v>328</v>
      </c>
      <c r="D1851" t="s">
        <v>214</v>
      </c>
      <c r="E1851">
        <v>3</v>
      </c>
      <c r="F1851">
        <v>683.91</v>
      </c>
      <c r="G1851" t="s">
        <v>222</v>
      </c>
      <c r="H1851">
        <v>2051.73</v>
      </c>
      <c r="I1851">
        <v>2025</v>
      </c>
      <c r="J1851">
        <v>6</v>
      </c>
      <c r="K1851">
        <v>8</v>
      </c>
      <c r="L1851" s="14">
        <v>683.91</v>
      </c>
      <c r="M1851" s="4" t="str">
        <f t="shared" si="112"/>
        <v>miércoles</v>
      </c>
      <c r="N1851" s="4" t="str">
        <f t="shared" si="113"/>
        <v>junio</v>
      </c>
      <c r="O1851" s="4" t="str">
        <f t="shared" si="114"/>
        <v>NO</v>
      </c>
      <c r="P1851" s="4" t="str">
        <f t="shared" si="115"/>
        <v>NO</v>
      </c>
      <c r="Q1851" s="4" t="str" cm="1">
        <f t="array" ref="Q1851">_xlfn.IFS(AND(H1851&gt;=0,H1851&lt;=3333),"Grupo 1",AND(H1851&gt;3333,H1851&lt;=6666),"Grupo 2",AND(H1851&gt;6666,H1851&lt;=10000),"Grupo 3")</f>
        <v>Grupo 1</v>
      </c>
    </row>
    <row r="1852" spans="1:17" x14ac:dyDescent="0.25">
      <c r="A1852" t="s">
        <v>62</v>
      </c>
      <c r="B1852" s="2">
        <v>45441.993055555547</v>
      </c>
      <c r="C1852" t="s">
        <v>329</v>
      </c>
      <c r="D1852" t="s">
        <v>214</v>
      </c>
      <c r="E1852">
        <v>1</v>
      </c>
      <c r="F1852">
        <v>1083.8599999999999</v>
      </c>
      <c r="G1852" t="s">
        <v>222</v>
      </c>
      <c r="H1852">
        <v>1083.8599999999999</v>
      </c>
      <c r="I1852">
        <v>2024</v>
      </c>
      <c r="J1852">
        <v>5</v>
      </c>
      <c r="K1852">
        <v>23</v>
      </c>
      <c r="L1852" s="14">
        <v>1083.8599999999999</v>
      </c>
      <c r="M1852" s="4" t="str">
        <f t="shared" si="112"/>
        <v>miércoles</v>
      </c>
      <c r="N1852" s="4" t="str">
        <f t="shared" si="113"/>
        <v>mayo</v>
      </c>
      <c r="O1852" s="4" t="str">
        <f t="shared" si="114"/>
        <v>NO</v>
      </c>
      <c r="P1852" s="4" t="str">
        <f t="shared" si="115"/>
        <v>SI</v>
      </c>
      <c r="Q1852" s="4" t="str" cm="1">
        <f t="array" ref="Q1852">_xlfn.IFS(AND(H1852&gt;=0,H1852&lt;=3333),"Grupo 1",AND(H1852&gt;3333,H1852&lt;=6666),"Grupo 2",AND(H1852&gt;6666,H1852&lt;=10000),"Grupo 3")</f>
        <v>Grupo 1</v>
      </c>
    </row>
    <row r="1853" spans="1:17" x14ac:dyDescent="0.25">
      <c r="A1853" t="s">
        <v>63</v>
      </c>
      <c r="B1853" s="2">
        <v>45180.999305555553</v>
      </c>
      <c r="C1853" t="s">
        <v>330</v>
      </c>
      <c r="D1853" t="s">
        <v>212</v>
      </c>
      <c r="E1853">
        <v>2</v>
      </c>
      <c r="F1853">
        <v>1551.85</v>
      </c>
      <c r="G1853" t="s">
        <v>220</v>
      </c>
      <c r="H1853">
        <v>3103.7</v>
      </c>
      <c r="I1853">
        <v>2023</v>
      </c>
      <c r="J1853">
        <v>9</v>
      </c>
      <c r="K1853">
        <v>23</v>
      </c>
      <c r="L1853" s="14">
        <v>1551.85</v>
      </c>
      <c r="M1853" s="4" t="str">
        <f t="shared" si="112"/>
        <v>lunes</v>
      </c>
      <c r="N1853" s="4" t="str">
        <f t="shared" si="113"/>
        <v>septiembre</v>
      </c>
      <c r="O1853" s="4" t="str">
        <f t="shared" si="114"/>
        <v>SI</v>
      </c>
      <c r="P1853" s="4" t="str">
        <f t="shared" si="115"/>
        <v>SI</v>
      </c>
      <c r="Q1853" s="4" t="str" cm="1">
        <f t="array" ref="Q1853">_xlfn.IFS(AND(H1853&gt;=0,H1853&lt;=3333),"Grupo 1",AND(H1853&gt;3333,H1853&lt;=6666),"Grupo 2",AND(H1853&gt;6666,H1853&lt;=10000),"Grupo 3")</f>
        <v>Grupo 1</v>
      </c>
    </row>
    <row r="1854" spans="1:17" x14ac:dyDescent="0.25">
      <c r="A1854" t="s">
        <v>64</v>
      </c>
      <c r="B1854" s="2">
        <v>45624.619444444441</v>
      </c>
      <c r="C1854" t="s">
        <v>331</v>
      </c>
      <c r="D1854" t="s">
        <v>217</v>
      </c>
      <c r="E1854">
        <v>5</v>
      </c>
      <c r="F1854">
        <v>1368.27</v>
      </c>
      <c r="G1854" t="s">
        <v>220</v>
      </c>
      <c r="H1854">
        <v>6841.35</v>
      </c>
      <c r="I1854">
        <v>2024</v>
      </c>
      <c r="J1854">
        <v>11</v>
      </c>
      <c r="K1854">
        <v>14</v>
      </c>
      <c r="L1854" s="14">
        <v>1368.27</v>
      </c>
      <c r="M1854" s="4" t="str">
        <f t="shared" si="112"/>
        <v>jueves</v>
      </c>
      <c r="N1854" s="4" t="str">
        <f t="shared" si="113"/>
        <v>noviembre</v>
      </c>
      <c r="O1854" s="4" t="str">
        <f t="shared" si="114"/>
        <v>SI</v>
      </c>
      <c r="P1854" s="4" t="str">
        <f t="shared" si="115"/>
        <v>SI</v>
      </c>
      <c r="Q1854" s="4" t="str" cm="1">
        <f t="array" ref="Q1854">_xlfn.IFS(AND(H1854&gt;=0,H1854&lt;=3333),"Grupo 1",AND(H1854&gt;3333,H1854&lt;=6666),"Grupo 2",AND(H1854&gt;6666,H1854&lt;=10000),"Grupo 3")</f>
        <v>Grupo 3</v>
      </c>
    </row>
    <row r="1855" spans="1:17" x14ac:dyDescent="0.25">
      <c r="A1855" t="s">
        <v>65</v>
      </c>
      <c r="B1855" s="2">
        <v>45447.955555555563</v>
      </c>
      <c r="C1855" t="s">
        <v>332</v>
      </c>
      <c r="D1855" t="s">
        <v>217</v>
      </c>
      <c r="E1855">
        <v>4</v>
      </c>
      <c r="F1855">
        <v>1818.88</v>
      </c>
      <c r="G1855" t="s">
        <v>220</v>
      </c>
      <c r="H1855">
        <v>7275.52</v>
      </c>
      <c r="I1855">
        <v>2024</v>
      </c>
      <c r="J1855">
        <v>6</v>
      </c>
      <c r="K1855">
        <v>22</v>
      </c>
      <c r="L1855" s="14">
        <v>1818.88</v>
      </c>
      <c r="M1855" s="4" t="str">
        <f t="shared" si="112"/>
        <v>martes</v>
      </c>
      <c r="N1855" s="4" t="str">
        <f t="shared" si="113"/>
        <v>junio</v>
      </c>
      <c r="O1855" s="4" t="str">
        <f t="shared" si="114"/>
        <v>SI</v>
      </c>
      <c r="P1855" s="4" t="str">
        <f t="shared" si="115"/>
        <v>SI</v>
      </c>
      <c r="Q1855" s="4" t="str" cm="1">
        <f t="array" ref="Q1855">_xlfn.IFS(AND(H1855&gt;=0,H1855&lt;=3333),"Grupo 1",AND(H1855&gt;3333,H1855&lt;=6666),"Grupo 2",AND(H1855&gt;6666,H1855&lt;=10000),"Grupo 3")</f>
        <v>Grupo 3</v>
      </c>
    </row>
    <row r="1856" spans="1:17" x14ac:dyDescent="0.25">
      <c r="A1856" t="s">
        <v>66</v>
      </c>
      <c r="B1856" s="2">
        <v>45051.74722222222</v>
      </c>
      <c r="C1856" t="s">
        <v>333</v>
      </c>
      <c r="D1856" t="s">
        <v>218</v>
      </c>
      <c r="E1856">
        <v>4</v>
      </c>
      <c r="F1856">
        <v>1601.32</v>
      </c>
      <c r="G1856" t="s">
        <v>221</v>
      </c>
      <c r="H1856">
        <v>6405.28</v>
      </c>
      <c r="I1856">
        <v>2023</v>
      </c>
      <c r="J1856">
        <v>5</v>
      </c>
      <c r="K1856">
        <v>17</v>
      </c>
      <c r="L1856" s="14">
        <v>1601.32</v>
      </c>
      <c r="M1856" s="4" t="str">
        <f t="shared" si="112"/>
        <v>viernes</v>
      </c>
      <c r="N1856" s="4" t="str">
        <f t="shared" si="113"/>
        <v>mayo</v>
      </c>
      <c r="O1856" s="4" t="str">
        <f t="shared" si="114"/>
        <v>SI</v>
      </c>
      <c r="P1856" s="4" t="str">
        <f t="shared" si="115"/>
        <v>SI</v>
      </c>
      <c r="Q1856" s="4" t="str" cm="1">
        <f t="array" ref="Q1856">_xlfn.IFS(AND(H1856&gt;=0,H1856&lt;=3333),"Grupo 1",AND(H1856&gt;3333,H1856&lt;=6666),"Grupo 2",AND(H1856&gt;6666,H1856&lt;=10000),"Grupo 3")</f>
        <v>Grupo 2</v>
      </c>
    </row>
    <row r="1857" spans="1:17" x14ac:dyDescent="0.25">
      <c r="A1857" t="s">
        <v>67</v>
      </c>
      <c r="B1857" s="2">
        <v>45019.26666666667</v>
      </c>
      <c r="C1857" t="s">
        <v>334</v>
      </c>
      <c r="D1857" t="s">
        <v>213</v>
      </c>
      <c r="E1857">
        <v>4</v>
      </c>
      <c r="F1857">
        <v>177.79</v>
      </c>
      <c r="G1857" t="s">
        <v>221</v>
      </c>
      <c r="H1857">
        <v>711.16</v>
      </c>
      <c r="I1857">
        <v>2023</v>
      </c>
      <c r="J1857">
        <v>4</v>
      </c>
      <c r="K1857">
        <v>6</v>
      </c>
      <c r="L1857" s="14">
        <v>177.79</v>
      </c>
      <c r="M1857" s="4" t="str">
        <f t="shared" si="112"/>
        <v>lunes</v>
      </c>
      <c r="N1857" s="4" t="str">
        <f t="shared" si="113"/>
        <v>abril</v>
      </c>
      <c r="O1857" s="4" t="str">
        <f t="shared" si="114"/>
        <v>NO</v>
      </c>
      <c r="P1857" s="4" t="str">
        <f t="shared" si="115"/>
        <v>NO</v>
      </c>
      <c r="Q1857" s="4" t="str" cm="1">
        <f t="array" ref="Q1857">_xlfn.IFS(AND(H1857&gt;=0,H1857&lt;=3333),"Grupo 1",AND(H1857&gt;3333,H1857&lt;=6666),"Grupo 2",AND(H1857&gt;6666,H1857&lt;=10000),"Grupo 3")</f>
        <v>Grupo 1</v>
      </c>
    </row>
    <row r="1858" spans="1:17" x14ac:dyDescent="0.25">
      <c r="A1858" t="s">
        <v>68</v>
      </c>
      <c r="B1858" s="2">
        <v>44969.094444444447</v>
      </c>
      <c r="C1858" t="s">
        <v>335</v>
      </c>
      <c r="D1858" t="s">
        <v>213</v>
      </c>
      <c r="E1858">
        <v>1</v>
      </c>
      <c r="F1858">
        <v>83.48</v>
      </c>
      <c r="G1858" t="s">
        <v>221</v>
      </c>
      <c r="H1858">
        <v>83.48</v>
      </c>
      <c r="I1858">
        <v>2023</v>
      </c>
      <c r="J1858">
        <v>2</v>
      </c>
      <c r="K1858">
        <v>2</v>
      </c>
      <c r="L1858" s="14">
        <v>83.48</v>
      </c>
      <c r="M1858" s="4" t="str">
        <f t="shared" ref="M1858:M1921" si="116">TEXT(B1858,"dddd")</f>
        <v>domingo</v>
      </c>
      <c r="N1858" s="4" t="str">
        <f t="shared" ref="N1858:N1921" si="117">TEXT(B1858,"mmmm")</f>
        <v>febrero</v>
      </c>
      <c r="O1858" s="4" t="str">
        <f t="shared" si="114"/>
        <v>NO</v>
      </c>
      <c r="P1858" s="4" t="str">
        <f t="shared" si="115"/>
        <v>NO</v>
      </c>
      <c r="Q1858" s="4" t="str" cm="1">
        <f t="array" ref="Q1858">_xlfn.IFS(AND(H1858&gt;=0,H1858&lt;=3333),"Grupo 1",AND(H1858&gt;3333,H1858&lt;=6666),"Grupo 2",AND(H1858&gt;6666,H1858&lt;=10000),"Grupo 3")</f>
        <v>Grupo 1</v>
      </c>
    </row>
    <row r="1859" spans="1:17" x14ac:dyDescent="0.25">
      <c r="A1859" t="s">
        <v>69</v>
      </c>
      <c r="B1859" s="2">
        <v>45091.519444444442</v>
      </c>
      <c r="C1859" t="s">
        <v>336</v>
      </c>
      <c r="D1859" t="s">
        <v>219</v>
      </c>
      <c r="E1859">
        <v>1</v>
      </c>
      <c r="F1859">
        <v>1372.72</v>
      </c>
      <c r="G1859" t="s">
        <v>221</v>
      </c>
      <c r="H1859">
        <v>1372.72</v>
      </c>
      <c r="I1859">
        <v>2023</v>
      </c>
      <c r="J1859">
        <v>6</v>
      </c>
      <c r="K1859">
        <v>12</v>
      </c>
      <c r="L1859" s="14">
        <v>1372.72</v>
      </c>
      <c r="M1859" s="4" t="str">
        <f t="shared" si="116"/>
        <v>miércoles</v>
      </c>
      <c r="N1859" s="4" t="str">
        <f t="shared" si="117"/>
        <v>junio</v>
      </c>
      <c r="O1859" s="4" t="str">
        <f t="shared" ref="O1859:O1922" si="118">IF(H1859&gt;AVERAGE(H:H),"SI","NO")</f>
        <v>NO</v>
      </c>
      <c r="P1859" s="4" t="str">
        <f t="shared" ref="P1859:P1922" si="119">IF(L1859&gt;AVERAGE(L:L),"SI","NO")</f>
        <v>SI</v>
      </c>
      <c r="Q1859" s="4" t="str" cm="1">
        <f t="array" ref="Q1859">_xlfn.IFS(AND(H1859&gt;=0,H1859&lt;=3333),"Grupo 1",AND(H1859&gt;3333,H1859&lt;=6666),"Grupo 2",AND(H1859&gt;6666,H1859&lt;=10000),"Grupo 3")</f>
        <v>Grupo 1</v>
      </c>
    </row>
    <row r="1860" spans="1:17" x14ac:dyDescent="0.25">
      <c r="A1860" t="s">
        <v>70</v>
      </c>
      <c r="B1860" s="2">
        <v>45494</v>
      </c>
      <c r="C1860" t="s">
        <v>337</v>
      </c>
      <c r="D1860" t="s">
        <v>212</v>
      </c>
      <c r="E1860">
        <v>1</v>
      </c>
      <c r="F1860">
        <v>1618.91</v>
      </c>
      <c r="G1860" t="s">
        <v>220</v>
      </c>
      <c r="H1860">
        <v>1618.91</v>
      </c>
      <c r="I1860">
        <v>2024</v>
      </c>
      <c r="J1860">
        <v>7</v>
      </c>
      <c r="K1860">
        <v>0</v>
      </c>
      <c r="L1860" s="14">
        <v>1618.91</v>
      </c>
      <c r="M1860" s="4" t="str">
        <f t="shared" si="116"/>
        <v>domingo</v>
      </c>
      <c r="N1860" s="4" t="str">
        <f t="shared" si="117"/>
        <v>julio</v>
      </c>
      <c r="O1860" s="4" t="str">
        <f t="shared" si="118"/>
        <v>NO</v>
      </c>
      <c r="P1860" s="4" t="str">
        <f t="shared" si="119"/>
        <v>SI</v>
      </c>
      <c r="Q1860" s="4" t="str" cm="1">
        <f t="array" ref="Q1860">_xlfn.IFS(AND(H1860&gt;=0,H1860&lt;=3333),"Grupo 1",AND(H1860&gt;3333,H1860&lt;=6666),"Grupo 2",AND(H1860&gt;6666,H1860&lt;=10000),"Grupo 3")</f>
        <v>Grupo 1</v>
      </c>
    </row>
    <row r="1861" spans="1:17" x14ac:dyDescent="0.25">
      <c r="A1861" t="s">
        <v>71</v>
      </c>
      <c r="B1861" s="2">
        <v>45364.463194444441</v>
      </c>
      <c r="C1861" t="s">
        <v>338</v>
      </c>
      <c r="D1861" t="s">
        <v>215</v>
      </c>
      <c r="E1861">
        <v>4</v>
      </c>
      <c r="F1861">
        <v>530.65</v>
      </c>
      <c r="G1861" t="s">
        <v>220</v>
      </c>
      <c r="H1861">
        <v>2122.6</v>
      </c>
      <c r="I1861">
        <v>2024</v>
      </c>
      <c r="J1861">
        <v>3</v>
      </c>
      <c r="K1861">
        <v>11</v>
      </c>
      <c r="L1861" s="14">
        <v>530.65</v>
      </c>
      <c r="M1861" s="4" t="str">
        <f t="shared" si="116"/>
        <v>miércoles</v>
      </c>
      <c r="N1861" s="4" t="str">
        <f t="shared" si="117"/>
        <v>marzo</v>
      </c>
      <c r="O1861" s="4" t="str">
        <f t="shared" si="118"/>
        <v>NO</v>
      </c>
      <c r="P1861" s="4" t="str">
        <f t="shared" si="119"/>
        <v>NO</v>
      </c>
      <c r="Q1861" s="4" t="str" cm="1">
        <f t="array" ref="Q1861">_xlfn.IFS(AND(H1861&gt;=0,H1861&lt;=3333),"Grupo 1",AND(H1861&gt;3333,H1861&lt;=6666),"Grupo 2",AND(H1861&gt;6666,H1861&lt;=10000),"Grupo 3")</f>
        <v>Grupo 1</v>
      </c>
    </row>
    <row r="1862" spans="1:17" x14ac:dyDescent="0.25">
      <c r="A1862" t="s">
        <v>72</v>
      </c>
      <c r="B1862" s="2">
        <v>45583.023611111108</v>
      </c>
      <c r="C1862" t="s">
        <v>339</v>
      </c>
      <c r="D1862" t="s">
        <v>216</v>
      </c>
      <c r="E1862">
        <v>5</v>
      </c>
      <c r="F1862">
        <v>418.83</v>
      </c>
      <c r="G1862" t="s">
        <v>221</v>
      </c>
      <c r="H1862">
        <v>2094.15</v>
      </c>
      <c r="I1862">
        <v>2024</v>
      </c>
      <c r="J1862">
        <v>10</v>
      </c>
      <c r="K1862">
        <v>0</v>
      </c>
      <c r="L1862" s="14">
        <v>418.83</v>
      </c>
      <c r="M1862" s="4" t="str">
        <f t="shared" si="116"/>
        <v>viernes</v>
      </c>
      <c r="N1862" s="4" t="str">
        <f t="shared" si="117"/>
        <v>octubre</v>
      </c>
      <c r="O1862" s="4" t="str">
        <f t="shared" si="118"/>
        <v>NO</v>
      </c>
      <c r="P1862" s="4" t="str">
        <f t="shared" si="119"/>
        <v>NO</v>
      </c>
      <c r="Q1862" s="4" t="str" cm="1">
        <f t="array" ref="Q1862">_xlfn.IFS(AND(H1862&gt;=0,H1862&lt;=3333),"Grupo 1",AND(H1862&gt;3333,H1862&lt;=6666),"Grupo 2",AND(H1862&gt;6666,H1862&lt;=10000),"Grupo 3")</f>
        <v>Grupo 1</v>
      </c>
    </row>
    <row r="1863" spans="1:17" x14ac:dyDescent="0.25">
      <c r="A1863" t="s">
        <v>73</v>
      </c>
      <c r="B1863" s="2">
        <v>45779.546527777777</v>
      </c>
      <c r="C1863" t="s">
        <v>340</v>
      </c>
      <c r="D1863" t="s">
        <v>214</v>
      </c>
      <c r="E1863">
        <v>3</v>
      </c>
      <c r="F1863">
        <v>664.98</v>
      </c>
      <c r="G1863" t="s">
        <v>222</v>
      </c>
      <c r="H1863">
        <v>1994.94</v>
      </c>
      <c r="I1863">
        <v>2025</v>
      </c>
      <c r="J1863">
        <v>5</v>
      </c>
      <c r="K1863">
        <v>13</v>
      </c>
      <c r="L1863" s="14">
        <v>664.98</v>
      </c>
      <c r="M1863" s="4" t="str">
        <f t="shared" si="116"/>
        <v>viernes</v>
      </c>
      <c r="N1863" s="4" t="str">
        <f t="shared" si="117"/>
        <v>mayo</v>
      </c>
      <c r="O1863" s="4" t="str">
        <f t="shared" si="118"/>
        <v>NO</v>
      </c>
      <c r="P1863" s="4" t="str">
        <f t="shared" si="119"/>
        <v>NO</v>
      </c>
      <c r="Q1863" s="4" t="str" cm="1">
        <f t="array" ref="Q1863">_xlfn.IFS(AND(H1863&gt;=0,H1863&lt;=3333),"Grupo 1",AND(H1863&gt;3333,H1863&lt;=6666),"Grupo 2",AND(H1863&gt;6666,H1863&lt;=10000),"Grupo 3")</f>
        <v>Grupo 1</v>
      </c>
    </row>
    <row r="1864" spans="1:17" x14ac:dyDescent="0.25">
      <c r="A1864" t="s">
        <v>74</v>
      </c>
      <c r="B1864" s="2">
        <v>45516.480555555558</v>
      </c>
      <c r="C1864" t="s">
        <v>341</v>
      </c>
      <c r="D1864" t="s">
        <v>217</v>
      </c>
      <c r="E1864">
        <v>1</v>
      </c>
      <c r="F1864">
        <v>1322.41</v>
      </c>
      <c r="G1864" t="s">
        <v>220</v>
      </c>
      <c r="H1864">
        <v>1322.41</v>
      </c>
      <c r="I1864">
        <v>2024</v>
      </c>
      <c r="J1864">
        <v>8</v>
      </c>
      <c r="K1864">
        <v>11</v>
      </c>
      <c r="L1864" s="14">
        <v>1322.41</v>
      </c>
      <c r="M1864" s="4" t="str">
        <f t="shared" si="116"/>
        <v>lunes</v>
      </c>
      <c r="N1864" s="4" t="str">
        <f t="shared" si="117"/>
        <v>agosto</v>
      </c>
      <c r="O1864" s="4" t="str">
        <f t="shared" si="118"/>
        <v>NO</v>
      </c>
      <c r="P1864" s="4" t="str">
        <f t="shared" si="119"/>
        <v>SI</v>
      </c>
      <c r="Q1864" s="4" t="str" cm="1">
        <f t="array" ref="Q1864">_xlfn.IFS(AND(H1864&gt;=0,H1864&lt;=3333),"Grupo 1",AND(H1864&gt;3333,H1864&lt;=6666),"Grupo 2",AND(H1864&gt;6666,H1864&lt;=10000),"Grupo 3")</f>
        <v>Grupo 1</v>
      </c>
    </row>
    <row r="1865" spans="1:17" x14ac:dyDescent="0.25">
      <c r="A1865" t="s">
        <v>75</v>
      </c>
      <c r="B1865" s="2">
        <v>45285.25277777778</v>
      </c>
      <c r="C1865" t="s">
        <v>342</v>
      </c>
      <c r="D1865" t="s">
        <v>212</v>
      </c>
      <c r="E1865">
        <v>4</v>
      </c>
      <c r="F1865">
        <v>1467.27</v>
      </c>
      <c r="G1865" t="s">
        <v>220</v>
      </c>
      <c r="H1865">
        <v>5869.08</v>
      </c>
      <c r="I1865">
        <v>2023</v>
      </c>
      <c r="J1865">
        <v>12</v>
      </c>
      <c r="K1865">
        <v>6</v>
      </c>
      <c r="L1865" s="14">
        <v>1467.27</v>
      </c>
      <c r="M1865" s="4" t="str">
        <f t="shared" si="116"/>
        <v>lunes</v>
      </c>
      <c r="N1865" s="4" t="str">
        <f t="shared" si="117"/>
        <v>diciembre</v>
      </c>
      <c r="O1865" s="4" t="str">
        <f t="shared" si="118"/>
        <v>SI</v>
      </c>
      <c r="P1865" s="4" t="str">
        <f t="shared" si="119"/>
        <v>SI</v>
      </c>
      <c r="Q1865" s="4" t="str" cm="1">
        <f t="array" ref="Q1865">_xlfn.IFS(AND(H1865&gt;=0,H1865&lt;=3333),"Grupo 1",AND(H1865&gt;3333,H1865&lt;=6666),"Grupo 2",AND(H1865&gt;6666,H1865&lt;=10000),"Grupo 3")</f>
        <v>Grupo 2</v>
      </c>
    </row>
    <row r="1866" spans="1:17" x14ac:dyDescent="0.25">
      <c r="A1866" t="s">
        <v>76</v>
      </c>
      <c r="B1866" s="2">
        <v>45297.965277777781</v>
      </c>
      <c r="C1866" t="s">
        <v>343</v>
      </c>
      <c r="D1866" t="s">
        <v>215</v>
      </c>
      <c r="E1866">
        <v>4</v>
      </c>
      <c r="F1866">
        <v>1804.12</v>
      </c>
      <c r="G1866" t="s">
        <v>220</v>
      </c>
      <c r="H1866">
        <v>7216.48</v>
      </c>
      <c r="I1866">
        <v>2024</v>
      </c>
      <c r="J1866">
        <v>1</v>
      </c>
      <c r="K1866">
        <v>23</v>
      </c>
      <c r="L1866" s="14">
        <v>1804.12</v>
      </c>
      <c r="M1866" s="4" t="str">
        <f t="shared" si="116"/>
        <v>sábado</v>
      </c>
      <c r="N1866" s="4" t="str">
        <f t="shared" si="117"/>
        <v>enero</v>
      </c>
      <c r="O1866" s="4" t="str">
        <f t="shared" si="118"/>
        <v>SI</v>
      </c>
      <c r="P1866" s="4" t="str">
        <f t="shared" si="119"/>
        <v>SI</v>
      </c>
      <c r="Q1866" s="4" t="str" cm="1">
        <f t="array" ref="Q1866">_xlfn.IFS(AND(H1866&gt;=0,H1866&lt;=3333),"Grupo 1",AND(H1866&gt;3333,H1866&lt;=6666),"Grupo 2",AND(H1866&gt;6666,H1866&lt;=10000),"Grupo 3")</f>
        <v>Grupo 3</v>
      </c>
    </row>
    <row r="1867" spans="1:17" x14ac:dyDescent="0.25">
      <c r="A1867" t="s">
        <v>77</v>
      </c>
      <c r="B1867" s="2">
        <v>45434.519444444442</v>
      </c>
      <c r="C1867" t="s">
        <v>344</v>
      </c>
      <c r="D1867" t="s">
        <v>219</v>
      </c>
      <c r="E1867">
        <v>1</v>
      </c>
      <c r="F1867">
        <v>1172.72</v>
      </c>
      <c r="G1867" t="s">
        <v>221</v>
      </c>
      <c r="H1867">
        <v>1172.72</v>
      </c>
      <c r="I1867">
        <v>2024</v>
      </c>
      <c r="J1867">
        <v>5</v>
      </c>
      <c r="K1867">
        <v>12</v>
      </c>
      <c r="L1867" s="14">
        <v>1172.72</v>
      </c>
      <c r="M1867" s="4" t="str">
        <f t="shared" si="116"/>
        <v>miércoles</v>
      </c>
      <c r="N1867" s="4" t="str">
        <f t="shared" si="117"/>
        <v>mayo</v>
      </c>
      <c r="O1867" s="4" t="str">
        <f t="shared" si="118"/>
        <v>NO</v>
      </c>
      <c r="P1867" s="4" t="str">
        <f t="shared" si="119"/>
        <v>SI</v>
      </c>
      <c r="Q1867" s="4" t="str" cm="1">
        <f t="array" ref="Q1867">_xlfn.IFS(AND(H1867&gt;=0,H1867&lt;=3333),"Grupo 1",AND(H1867&gt;3333,H1867&lt;=6666),"Grupo 2",AND(H1867&gt;6666,H1867&lt;=10000),"Grupo 3")</f>
        <v>Grupo 1</v>
      </c>
    </row>
    <row r="1868" spans="1:17" x14ac:dyDescent="0.25">
      <c r="A1868" t="s">
        <v>78</v>
      </c>
      <c r="B1868" s="2">
        <v>45290.050694444442</v>
      </c>
      <c r="C1868" t="s">
        <v>345</v>
      </c>
      <c r="D1868" t="s">
        <v>218</v>
      </c>
      <c r="E1868">
        <v>1</v>
      </c>
      <c r="F1868">
        <v>725.07</v>
      </c>
      <c r="G1868" t="s">
        <v>221</v>
      </c>
      <c r="H1868">
        <v>725.07</v>
      </c>
      <c r="I1868">
        <v>2023</v>
      </c>
      <c r="J1868">
        <v>12</v>
      </c>
      <c r="K1868">
        <v>1</v>
      </c>
      <c r="L1868" s="14">
        <v>725.07</v>
      </c>
      <c r="M1868" s="4" t="str">
        <f t="shared" si="116"/>
        <v>sábado</v>
      </c>
      <c r="N1868" s="4" t="str">
        <f t="shared" si="117"/>
        <v>diciembre</v>
      </c>
      <c r="O1868" s="4" t="str">
        <f t="shared" si="118"/>
        <v>NO</v>
      </c>
      <c r="P1868" s="4" t="str">
        <f t="shared" si="119"/>
        <v>NO</v>
      </c>
      <c r="Q1868" s="4" t="str" cm="1">
        <f t="array" ref="Q1868">_xlfn.IFS(AND(H1868&gt;=0,H1868&lt;=3333),"Grupo 1",AND(H1868&gt;3333,H1868&lt;=6666),"Grupo 2",AND(H1868&gt;6666,H1868&lt;=10000),"Grupo 3")</f>
        <v>Grupo 1</v>
      </c>
    </row>
    <row r="1869" spans="1:17" x14ac:dyDescent="0.25">
      <c r="A1869" t="s">
        <v>79</v>
      </c>
      <c r="B1869" s="2">
        <v>45684.334027777782</v>
      </c>
      <c r="C1869" t="s">
        <v>346</v>
      </c>
      <c r="D1869" t="s">
        <v>212</v>
      </c>
      <c r="E1869">
        <v>5</v>
      </c>
      <c r="F1869">
        <v>563.69000000000005</v>
      </c>
      <c r="G1869" t="s">
        <v>220</v>
      </c>
      <c r="H1869">
        <v>2818.45</v>
      </c>
      <c r="I1869">
        <v>2025</v>
      </c>
      <c r="J1869">
        <v>1</v>
      </c>
      <c r="K1869">
        <v>8</v>
      </c>
      <c r="L1869" s="14">
        <v>563.69000000000005</v>
      </c>
      <c r="M1869" s="4" t="str">
        <f t="shared" si="116"/>
        <v>lunes</v>
      </c>
      <c r="N1869" s="4" t="str">
        <f t="shared" si="117"/>
        <v>enero</v>
      </c>
      <c r="O1869" s="4" t="str">
        <f t="shared" si="118"/>
        <v>NO</v>
      </c>
      <c r="P1869" s="4" t="str">
        <f t="shared" si="119"/>
        <v>NO</v>
      </c>
      <c r="Q1869" s="4" t="str" cm="1">
        <f t="array" ref="Q1869">_xlfn.IFS(AND(H1869&gt;=0,H1869&lt;=3333),"Grupo 1",AND(H1869&gt;3333,H1869&lt;=6666),"Grupo 2",AND(H1869&gt;6666,H1869&lt;=10000),"Grupo 3")</f>
        <v>Grupo 1</v>
      </c>
    </row>
    <row r="1870" spans="1:17" x14ac:dyDescent="0.25">
      <c r="A1870" t="s">
        <v>80</v>
      </c>
      <c r="B1870" s="2">
        <v>45222.202777777777</v>
      </c>
      <c r="C1870" t="s">
        <v>347</v>
      </c>
      <c r="D1870" t="s">
        <v>219</v>
      </c>
      <c r="E1870">
        <v>5</v>
      </c>
      <c r="F1870">
        <v>1547.41</v>
      </c>
      <c r="G1870" t="s">
        <v>221</v>
      </c>
      <c r="H1870">
        <v>7737.05</v>
      </c>
      <c r="I1870">
        <v>2023</v>
      </c>
      <c r="J1870">
        <v>10</v>
      </c>
      <c r="K1870">
        <v>4</v>
      </c>
      <c r="L1870" s="14">
        <v>1547.41</v>
      </c>
      <c r="M1870" s="4" t="str">
        <f t="shared" si="116"/>
        <v>lunes</v>
      </c>
      <c r="N1870" s="4" t="str">
        <f t="shared" si="117"/>
        <v>octubre</v>
      </c>
      <c r="O1870" s="4" t="str">
        <f t="shared" si="118"/>
        <v>SI</v>
      </c>
      <c r="P1870" s="4" t="str">
        <f t="shared" si="119"/>
        <v>SI</v>
      </c>
      <c r="Q1870" s="4" t="str" cm="1">
        <f t="array" ref="Q1870">_xlfn.IFS(AND(H1870&gt;=0,H1870&lt;=3333),"Grupo 1",AND(H1870&gt;3333,H1870&lt;=6666),"Grupo 2",AND(H1870&gt;6666,H1870&lt;=10000),"Grupo 3")</f>
        <v>Grupo 3</v>
      </c>
    </row>
    <row r="1871" spans="1:17" x14ac:dyDescent="0.25">
      <c r="A1871" t="s">
        <v>81</v>
      </c>
      <c r="B1871" s="2">
        <v>45274.597916666673</v>
      </c>
      <c r="C1871" t="s">
        <v>348</v>
      </c>
      <c r="D1871" t="s">
        <v>216</v>
      </c>
      <c r="E1871">
        <v>2</v>
      </c>
      <c r="F1871">
        <v>1903.65</v>
      </c>
      <c r="G1871" t="s">
        <v>221</v>
      </c>
      <c r="H1871">
        <v>3807.3</v>
      </c>
      <c r="I1871">
        <v>2023</v>
      </c>
      <c r="J1871">
        <v>12</v>
      </c>
      <c r="K1871">
        <v>14</v>
      </c>
      <c r="L1871" s="14">
        <v>1903.65</v>
      </c>
      <c r="M1871" s="4" t="str">
        <f t="shared" si="116"/>
        <v>jueves</v>
      </c>
      <c r="N1871" s="4" t="str">
        <f t="shared" si="117"/>
        <v>diciembre</v>
      </c>
      <c r="O1871" s="4" t="str">
        <f t="shared" si="118"/>
        <v>SI</v>
      </c>
      <c r="P1871" s="4" t="str">
        <f t="shared" si="119"/>
        <v>SI</v>
      </c>
      <c r="Q1871" s="4" t="str" cm="1">
        <f t="array" ref="Q1871">_xlfn.IFS(AND(H1871&gt;=0,H1871&lt;=3333),"Grupo 1",AND(H1871&gt;3333,H1871&lt;=6666),"Grupo 2",AND(H1871&gt;6666,H1871&lt;=10000),"Grupo 3")</f>
        <v>Grupo 2</v>
      </c>
    </row>
    <row r="1872" spans="1:17" x14ac:dyDescent="0.25">
      <c r="A1872" t="s">
        <v>82</v>
      </c>
      <c r="B1872" s="2">
        <v>45358.874305555553</v>
      </c>
      <c r="C1872" t="s">
        <v>349</v>
      </c>
      <c r="D1872" t="s">
        <v>215</v>
      </c>
      <c r="E1872">
        <v>2</v>
      </c>
      <c r="F1872">
        <v>1198.2</v>
      </c>
      <c r="G1872" t="s">
        <v>220</v>
      </c>
      <c r="H1872">
        <v>2396.4</v>
      </c>
      <c r="I1872">
        <v>2024</v>
      </c>
      <c r="J1872">
        <v>3</v>
      </c>
      <c r="K1872">
        <v>20</v>
      </c>
      <c r="L1872" s="14">
        <v>1198.2</v>
      </c>
      <c r="M1872" s="4" t="str">
        <f t="shared" si="116"/>
        <v>jueves</v>
      </c>
      <c r="N1872" s="4" t="str">
        <f t="shared" si="117"/>
        <v>marzo</v>
      </c>
      <c r="O1872" s="4" t="str">
        <f t="shared" si="118"/>
        <v>NO</v>
      </c>
      <c r="P1872" s="4" t="str">
        <f t="shared" si="119"/>
        <v>SI</v>
      </c>
      <c r="Q1872" s="4" t="str" cm="1">
        <f t="array" ref="Q1872">_xlfn.IFS(AND(H1872&gt;=0,H1872&lt;=3333),"Grupo 1",AND(H1872&gt;3333,H1872&lt;=6666),"Grupo 2",AND(H1872&gt;6666,H1872&lt;=10000),"Grupo 3")</f>
        <v>Grupo 1</v>
      </c>
    </row>
    <row r="1873" spans="1:17" x14ac:dyDescent="0.25">
      <c r="A1873" t="s">
        <v>83</v>
      </c>
      <c r="B1873" s="2">
        <v>45850.171527777777</v>
      </c>
      <c r="C1873" t="s">
        <v>350</v>
      </c>
      <c r="D1873" t="s">
        <v>213</v>
      </c>
      <c r="E1873">
        <v>3</v>
      </c>
      <c r="F1873">
        <v>543.72</v>
      </c>
      <c r="G1873" t="s">
        <v>221</v>
      </c>
      <c r="H1873">
        <v>1631.16</v>
      </c>
      <c r="I1873">
        <v>2025</v>
      </c>
      <c r="J1873">
        <v>7</v>
      </c>
      <c r="K1873">
        <v>4</v>
      </c>
      <c r="L1873" s="14">
        <v>543.72</v>
      </c>
      <c r="M1873" s="4" t="str">
        <f t="shared" si="116"/>
        <v>sábado</v>
      </c>
      <c r="N1873" s="4" t="str">
        <f t="shared" si="117"/>
        <v>julio</v>
      </c>
      <c r="O1873" s="4" t="str">
        <f t="shared" si="118"/>
        <v>NO</v>
      </c>
      <c r="P1873" s="4" t="str">
        <f t="shared" si="119"/>
        <v>NO</v>
      </c>
      <c r="Q1873" s="4" t="str" cm="1">
        <f t="array" ref="Q1873">_xlfn.IFS(AND(H1873&gt;=0,H1873&lt;=3333),"Grupo 1",AND(H1873&gt;3333,H1873&lt;=6666),"Grupo 2",AND(H1873&gt;6666,H1873&lt;=10000),"Grupo 3")</f>
        <v>Grupo 1</v>
      </c>
    </row>
    <row r="1874" spans="1:17" x14ac:dyDescent="0.25">
      <c r="A1874" t="s">
        <v>84</v>
      </c>
      <c r="B1874" s="2">
        <v>45041.884027777778</v>
      </c>
      <c r="C1874" t="s">
        <v>351</v>
      </c>
      <c r="D1874" t="s">
        <v>216</v>
      </c>
      <c r="E1874">
        <v>2</v>
      </c>
      <c r="F1874">
        <v>1449.53</v>
      </c>
      <c r="G1874" t="s">
        <v>221</v>
      </c>
      <c r="H1874">
        <v>2899.06</v>
      </c>
      <c r="I1874">
        <v>2023</v>
      </c>
      <c r="J1874">
        <v>4</v>
      </c>
      <c r="K1874">
        <v>21</v>
      </c>
      <c r="L1874" s="14">
        <v>1449.53</v>
      </c>
      <c r="M1874" s="4" t="str">
        <f t="shared" si="116"/>
        <v>martes</v>
      </c>
      <c r="N1874" s="4" t="str">
        <f t="shared" si="117"/>
        <v>abril</v>
      </c>
      <c r="O1874" s="4" t="str">
        <f t="shared" si="118"/>
        <v>SI</v>
      </c>
      <c r="P1874" s="4" t="str">
        <f t="shared" si="119"/>
        <v>SI</v>
      </c>
      <c r="Q1874" s="4" t="str" cm="1">
        <f t="array" ref="Q1874">_xlfn.IFS(AND(H1874&gt;=0,H1874&lt;=3333),"Grupo 1",AND(H1874&gt;3333,H1874&lt;=6666),"Grupo 2",AND(H1874&gt;6666,H1874&lt;=10000),"Grupo 3")</f>
        <v>Grupo 1</v>
      </c>
    </row>
    <row r="1875" spans="1:17" x14ac:dyDescent="0.25">
      <c r="A1875" t="s">
        <v>85</v>
      </c>
      <c r="B1875" s="2">
        <v>45564.772916666669</v>
      </c>
      <c r="C1875" t="s">
        <v>352</v>
      </c>
      <c r="D1875" t="s">
        <v>214</v>
      </c>
      <c r="E1875">
        <v>5</v>
      </c>
      <c r="F1875">
        <v>472.42</v>
      </c>
      <c r="G1875" t="s">
        <v>222</v>
      </c>
      <c r="H1875">
        <v>2362.1</v>
      </c>
      <c r="I1875">
        <v>2024</v>
      </c>
      <c r="J1875">
        <v>9</v>
      </c>
      <c r="K1875">
        <v>18</v>
      </c>
      <c r="L1875" s="14">
        <v>472.42</v>
      </c>
      <c r="M1875" s="4" t="str">
        <f t="shared" si="116"/>
        <v>domingo</v>
      </c>
      <c r="N1875" s="4" t="str">
        <f t="shared" si="117"/>
        <v>septiembre</v>
      </c>
      <c r="O1875" s="4" t="str">
        <f t="shared" si="118"/>
        <v>NO</v>
      </c>
      <c r="P1875" s="4" t="str">
        <f t="shared" si="119"/>
        <v>NO</v>
      </c>
      <c r="Q1875" s="4" t="str" cm="1">
        <f t="array" ref="Q1875">_xlfn.IFS(AND(H1875&gt;=0,H1875&lt;=3333),"Grupo 1",AND(H1875&gt;3333,H1875&lt;=6666),"Grupo 2",AND(H1875&gt;6666,H1875&lt;=10000),"Grupo 3")</f>
        <v>Grupo 1</v>
      </c>
    </row>
    <row r="1876" spans="1:17" x14ac:dyDescent="0.25">
      <c r="A1876" t="s">
        <v>86</v>
      </c>
      <c r="B1876" s="2">
        <v>45118.247916666667</v>
      </c>
      <c r="C1876" t="s">
        <v>353</v>
      </c>
      <c r="D1876" t="s">
        <v>219</v>
      </c>
      <c r="E1876">
        <v>3</v>
      </c>
      <c r="F1876">
        <v>367.9</v>
      </c>
      <c r="G1876" t="s">
        <v>221</v>
      </c>
      <c r="H1876">
        <v>1103.7</v>
      </c>
      <c r="I1876">
        <v>2023</v>
      </c>
      <c r="J1876">
        <v>7</v>
      </c>
      <c r="K1876">
        <v>5</v>
      </c>
      <c r="L1876" s="14">
        <v>367.89999999999992</v>
      </c>
      <c r="M1876" s="4" t="str">
        <f t="shared" si="116"/>
        <v>martes</v>
      </c>
      <c r="N1876" s="4" t="str">
        <f t="shared" si="117"/>
        <v>julio</v>
      </c>
      <c r="O1876" s="4" t="str">
        <f t="shared" si="118"/>
        <v>NO</v>
      </c>
      <c r="P1876" s="4" t="str">
        <f t="shared" si="119"/>
        <v>NO</v>
      </c>
      <c r="Q1876" s="4" t="str" cm="1">
        <f t="array" ref="Q1876">_xlfn.IFS(AND(H1876&gt;=0,H1876&lt;=3333),"Grupo 1",AND(H1876&gt;3333,H1876&lt;=6666),"Grupo 2",AND(H1876&gt;6666,H1876&lt;=10000),"Grupo 3")</f>
        <v>Grupo 1</v>
      </c>
    </row>
    <row r="1877" spans="1:17" x14ac:dyDescent="0.25">
      <c r="A1877" t="s">
        <v>87</v>
      </c>
      <c r="B1877" s="2">
        <v>45717.986111111109</v>
      </c>
      <c r="C1877" t="s">
        <v>354</v>
      </c>
      <c r="D1877" t="s">
        <v>219</v>
      </c>
      <c r="E1877">
        <v>5</v>
      </c>
      <c r="F1877">
        <v>739.51</v>
      </c>
      <c r="G1877" t="s">
        <v>221</v>
      </c>
      <c r="H1877">
        <v>3697.55</v>
      </c>
      <c r="I1877">
        <v>2025</v>
      </c>
      <c r="J1877">
        <v>3</v>
      </c>
      <c r="K1877">
        <v>23</v>
      </c>
      <c r="L1877" s="14">
        <v>739.51</v>
      </c>
      <c r="M1877" s="4" t="str">
        <f t="shared" si="116"/>
        <v>sábado</v>
      </c>
      <c r="N1877" s="4" t="str">
        <f t="shared" si="117"/>
        <v>marzo</v>
      </c>
      <c r="O1877" s="4" t="str">
        <f t="shared" si="118"/>
        <v>SI</v>
      </c>
      <c r="P1877" s="4" t="str">
        <f t="shared" si="119"/>
        <v>NO</v>
      </c>
      <c r="Q1877" s="4" t="str" cm="1">
        <f t="array" ref="Q1877">_xlfn.IFS(AND(H1877&gt;=0,H1877&lt;=3333),"Grupo 1",AND(H1877&gt;3333,H1877&lt;=6666),"Grupo 2",AND(H1877&gt;6666,H1877&lt;=10000),"Grupo 3")</f>
        <v>Grupo 2</v>
      </c>
    </row>
    <row r="1878" spans="1:17" x14ac:dyDescent="0.25">
      <c r="A1878" t="s">
        <v>88</v>
      </c>
      <c r="B1878" s="2">
        <v>45162.795138888891</v>
      </c>
      <c r="C1878" t="s">
        <v>355</v>
      </c>
      <c r="D1878" t="s">
        <v>217</v>
      </c>
      <c r="E1878">
        <v>2</v>
      </c>
      <c r="F1878">
        <v>1089.1300000000001</v>
      </c>
      <c r="G1878" t="s">
        <v>220</v>
      </c>
      <c r="H1878">
        <v>2178.2600000000002</v>
      </c>
      <c r="I1878">
        <v>2023</v>
      </c>
      <c r="J1878">
        <v>8</v>
      </c>
      <c r="K1878">
        <v>19</v>
      </c>
      <c r="L1878" s="14">
        <v>1089.1300000000001</v>
      </c>
      <c r="M1878" s="4" t="str">
        <f t="shared" si="116"/>
        <v>jueves</v>
      </c>
      <c r="N1878" s="4" t="str">
        <f t="shared" si="117"/>
        <v>agosto</v>
      </c>
      <c r="O1878" s="4" t="str">
        <f t="shared" si="118"/>
        <v>NO</v>
      </c>
      <c r="P1878" s="4" t="str">
        <f t="shared" si="119"/>
        <v>SI</v>
      </c>
      <c r="Q1878" s="4" t="str" cm="1">
        <f t="array" ref="Q1878">_xlfn.IFS(AND(H1878&gt;=0,H1878&lt;=3333),"Grupo 1",AND(H1878&gt;3333,H1878&lt;=6666),"Grupo 2",AND(H1878&gt;6666,H1878&lt;=10000),"Grupo 3")</f>
        <v>Grupo 1</v>
      </c>
    </row>
    <row r="1879" spans="1:17" x14ac:dyDescent="0.25">
      <c r="A1879" t="s">
        <v>89</v>
      </c>
      <c r="B1879" s="2">
        <v>45517.353472222218</v>
      </c>
      <c r="C1879" t="s">
        <v>356</v>
      </c>
      <c r="D1879" t="s">
        <v>216</v>
      </c>
      <c r="E1879">
        <v>5</v>
      </c>
      <c r="F1879">
        <v>1632.75</v>
      </c>
      <c r="G1879" t="s">
        <v>221</v>
      </c>
      <c r="H1879">
        <v>8163.75</v>
      </c>
      <c r="I1879">
        <v>2024</v>
      </c>
      <c r="J1879">
        <v>8</v>
      </c>
      <c r="K1879">
        <v>8</v>
      </c>
      <c r="L1879" s="14">
        <v>1632.75</v>
      </c>
      <c r="M1879" s="4" t="str">
        <f t="shared" si="116"/>
        <v>martes</v>
      </c>
      <c r="N1879" s="4" t="str">
        <f t="shared" si="117"/>
        <v>agosto</v>
      </c>
      <c r="O1879" s="4" t="str">
        <f t="shared" si="118"/>
        <v>SI</v>
      </c>
      <c r="P1879" s="4" t="str">
        <f t="shared" si="119"/>
        <v>SI</v>
      </c>
      <c r="Q1879" s="4" t="str" cm="1">
        <f t="array" ref="Q1879">_xlfn.IFS(AND(H1879&gt;=0,H1879&lt;=3333),"Grupo 1",AND(H1879&gt;3333,H1879&lt;=6666),"Grupo 2",AND(H1879&gt;6666,H1879&lt;=10000),"Grupo 3")</f>
        <v>Grupo 3</v>
      </c>
    </row>
    <row r="1880" spans="1:17" x14ac:dyDescent="0.25">
      <c r="A1880" t="s">
        <v>90</v>
      </c>
      <c r="B1880" s="2">
        <v>45245.664583333331</v>
      </c>
      <c r="C1880" t="s">
        <v>357</v>
      </c>
      <c r="D1880" t="s">
        <v>212</v>
      </c>
      <c r="E1880">
        <v>3</v>
      </c>
      <c r="F1880">
        <v>817.35</v>
      </c>
      <c r="G1880" t="s">
        <v>220</v>
      </c>
      <c r="H1880">
        <v>2452.0500000000002</v>
      </c>
      <c r="I1880">
        <v>2023</v>
      </c>
      <c r="J1880">
        <v>11</v>
      </c>
      <c r="K1880">
        <v>15</v>
      </c>
      <c r="L1880" s="14">
        <v>817.35</v>
      </c>
      <c r="M1880" s="4" t="str">
        <f t="shared" si="116"/>
        <v>miércoles</v>
      </c>
      <c r="N1880" s="4" t="str">
        <f t="shared" si="117"/>
        <v>noviembre</v>
      </c>
      <c r="O1880" s="4" t="str">
        <f t="shared" si="118"/>
        <v>NO</v>
      </c>
      <c r="P1880" s="4" t="str">
        <f t="shared" si="119"/>
        <v>NO</v>
      </c>
      <c r="Q1880" s="4" t="str" cm="1">
        <f t="array" ref="Q1880">_xlfn.IFS(AND(H1880&gt;=0,H1880&lt;=3333),"Grupo 1",AND(H1880&gt;3333,H1880&lt;=6666),"Grupo 2",AND(H1880&gt;6666,H1880&lt;=10000),"Grupo 3")</f>
        <v>Grupo 1</v>
      </c>
    </row>
    <row r="1881" spans="1:17" x14ac:dyDescent="0.25">
      <c r="A1881" t="s">
        <v>91</v>
      </c>
      <c r="B1881" s="2">
        <v>45603.368055555547</v>
      </c>
      <c r="C1881" t="s">
        <v>358</v>
      </c>
      <c r="D1881" t="s">
        <v>213</v>
      </c>
      <c r="E1881">
        <v>2</v>
      </c>
      <c r="F1881">
        <v>1186.58</v>
      </c>
      <c r="G1881" t="s">
        <v>221</v>
      </c>
      <c r="H1881">
        <v>2373.16</v>
      </c>
      <c r="I1881">
        <v>2024</v>
      </c>
      <c r="J1881">
        <v>11</v>
      </c>
      <c r="K1881">
        <v>8</v>
      </c>
      <c r="L1881" s="14">
        <v>1186.58</v>
      </c>
      <c r="M1881" s="4" t="str">
        <f t="shared" si="116"/>
        <v>jueves</v>
      </c>
      <c r="N1881" s="4" t="str">
        <f t="shared" si="117"/>
        <v>noviembre</v>
      </c>
      <c r="O1881" s="4" t="str">
        <f t="shared" si="118"/>
        <v>NO</v>
      </c>
      <c r="P1881" s="4" t="str">
        <f t="shared" si="119"/>
        <v>SI</v>
      </c>
      <c r="Q1881" s="4" t="str" cm="1">
        <f t="array" ref="Q1881">_xlfn.IFS(AND(H1881&gt;=0,H1881&lt;=3333),"Grupo 1",AND(H1881&gt;3333,H1881&lt;=6666),"Grupo 2",AND(H1881&gt;6666,H1881&lt;=10000),"Grupo 3")</f>
        <v>Grupo 1</v>
      </c>
    </row>
    <row r="1882" spans="1:17" x14ac:dyDescent="0.25">
      <c r="A1882" t="s">
        <v>92</v>
      </c>
      <c r="B1882" s="2">
        <v>44990.597916666673</v>
      </c>
      <c r="C1882" t="s">
        <v>359</v>
      </c>
      <c r="D1882" t="s">
        <v>215</v>
      </c>
      <c r="E1882">
        <v>2</v>
      </c>
      <c r="F1882">
        <v>1872.8</v>
      </c>
      <c r="G1882" t="s">
        <v>220</v>
      </c>
      <c r="H1882">
        <v>3745.6</v>
      </c>
      <c r="I1882">
        <v>2023</v>
      </c>
      <c r="J1882">
        <v>3</v>
      </c>
      <c r="K1882">
        <v>14</v>
      </c>
      <c r="L1882" s="14">
        <v>1872.8</v>
      </c>
      <c r="M1882" s="4" t="str">
        <f t="shared" si="116"/>
        <v>domingo</v>
      </c>
      <c r="N1882" s="4" t="str">
        <f t="shared" si="117"/>
        <v>marzo</v>
      </c>
      <c r="O1882" s="4" t="str">
        <f t="shared" si="118"/>
        <v>SI</v>
      </c>
      <c r="P1882" s="4" t="str">
        <f t="shared" si="119"/>
        <v>SI</v>
      </c>
      <c r="Q1882" s="4" t="str" cm="1">
        <f t="array" ref="Q1882">_xlfn.IFS(AND(H1882&gt;=0,H1882&lt;=3333),"Grupo 1",AND(H1882&gt;3333,H1882&lt;=6666),"Grupo 2",AND(H1882&gt;6666,H1882&lt;=10000),"Grupo 3")</f>
        <v>Grupo 2</v>
      </c>
    </row>
    <row r="1883" spans="1:17" x14ac:dyDescent="0.25">
      <c r="A1883" t="s">
        <v>93</v>
      </c>
      <c r="B1883" s="2">
        <v>45273.106249999997</v>
      </c>
      <c r="C1883" t="s">
        <v>261</v>
      </c>
      <c r="D1883" t="s">
        <v>214</v>
      </c>
      <c r="E1883">
        <v>3</v>
      </c>
      <c r="F1883">
        <v>680.19</v>
      </c>
      <c r="G1883" t="s">
        <v>222</v>
      </c>
      <c r="H1883">
        <v>2040.57</v>
      </c>
      <c r="I1883">
        <v>2023</v>
      </c>
      <c r="J1883">
        <v>12</v>
      </c>
      <c r="K1883">
        <v>2</v>
      </c>
      <c r="L1883" s="14">
        <v>680.19</v>
      </c>
      <c r="M1883" s="4" t="str">
        <f t="shared" si="116"/>
        <v>miércoles</v>
      </c>
      <c r="N1883" s="4" t="str">
        <f t="shared" si="117"/>
        <v>diciembre</v>
      </c>
      <c r="O1883" s="4" t="str">
        <f t="shared" si="118"/>
        <v>NO</v>
      </c>
      <c r="P1883" s="4" t="str">
        <f t="shared" si="119"/>
        <v>NO</v>
      </c>
      <c r="Q1883" s="4" t="str" cm="1">
        <f t="array" ref="Q1883">_xlfn.IFS(AND(H1883&gt;=0,H1883&lt;=3333),"Grupo 1",AND(H1883&gt;3333,H1883&lt;=6666),"Grupo 2",AND(H1883&gt;6666,H1883&lt;=10000),"Grupo 3")</f>
        <v>Grupo 1</v>
      </c>
    </row>
    <row r="1884" spans="1:17" x14ac:dyDescent="0.25">
      <c r="A1884" t="s">
        <v>94</v>
      </c>
      <c r="B1884" s="2">
        <v>45022.271527777782</v>
      </c>
      <c r="C1884" t="s">
        <v>262</v>
      </c>
      <c r="D1884" t="s">
        <v>216</v>
      </c>
      <c r="E1884">
        <v>4</v>
      </c>
      <c r="F1884">
        <v>262.82</v>
      </c>
      <c r="G1884" t="s">
        <v>221</v>
      </c>
      <c r="H1884">
        <v>1051.28</v>
      </c>
      <c r="I1884">
        <v>2023</v>
      </c>
      <c r="J1884">
        <v>4</v>
      </c>
      <c r="K1884">
        <v>6</v>
      </c>
      <c r="L1884" s="14">
        <v>262.82</v>
      </c>
      <c r="M1884" s="4" t="str">
        <f t="shared" si="116"/>
        <v>jueves</v>
      </c>
      <c r="N1884" s="4" t="str">
        <f t="shared" si="117"/>
        <v>abril</v>
      </c>
      <c r="O1884" s="4" t="str">
        <f t="shared" si="118"/>
        <v>NO</v>
      </c>
      <c r="P1884" s="4" t="str">
        <f t="shared" si="119"/>
        <v>NO</v>
      </c>
      <c r="Q1884" s="4" t="str" cm="1">
        <f t="array" ref="Q1884">_xlfn.IFS(AND(H1884&gt;=0,H1884&lt;=3333),"Grupo 1",AND(H1884&gt;3333,H1884&lt;=6666),"Grupo 2",AND(H1884&gt;6666,H1884&lt;=10000),"Grupo 3")</f>
        <v>Grupo 1</v>
      </c>
    </row>
    <row r="1885" spans="1:17" x14ac:dyDescent="0.25">
      <c r="A1885" t="s">
        <v>95</v>
      </c>
      <c r="B1885" s="2">
        <v>45682.68472222222</v>
      </c>
      <c r="C1885" t="s">
        <v>263</v>
      </c>
      <c r="D1885" t="s">
        <v>215</v>
      </c>
      <c r="E1885">
        <v>4</v>
      </c>
      <c r="F1885">
        <v>1531.75</v>
      </c>
      <c r="G1885" t="s">
        <v>220</v>
      </c>
      <c r="H1885">
        <v>6127</v>
      </c>
      <c r="I1885">
        <v>2025</v>
      </c>
      <c r="J1885">
        <v>1</v>
      </c>
      <c r="K1885">
        <v>16</v>
      </c>
      <c r="L1885" s="14">
        <v>1531.75</v>
      </c>
      <c r="M1885" s="4" t="str">
        <f t="shared" si="116"/>
        <v>sábado</v>
      </c>
      <c r="N1885" s="4" t="str">
        <f t="shared" si="117"/>
        <v>enero</v>
      </c>
      <c r="O1885" s="4" t="str">
        <f t="shared" si="118"/>
        <v>SI</v>
      </c>
      <c r="P1885" s="4" t="str">
        <f t="shared" si="119"/>
        <v>SI</v>
      </c>
      <c r="Q1885" s="4" t="str" cm="1">
        <f t="array" ref="Q1885">_xlfn.IFS(AND(H1885&gt;=0,H1885&lt;=3333),"Grupo 1",AND(H1885&gt;3333,H1885&lt;=6666),"Grupo 2",AND(H1885&gt;6666,H1885&lt;=10000),"Grupo 3")</f>
        <v>Grupo 2</v>
      </c>
    </row>
    <row r="1886" spans="1:17" x14ac:dyDescent="0.25">
      <c r="A1886" t="s">
        <v>96</v>
      </c>
      <c r="B1886" s="2">
        <v>45099.143750000003</v>
      </c>
      <c r="C1886" t="s">
        <v>264</v>
      </c>
      <c r="D1886" t="s">
        <v>215</v>
      </c>
      <c r="E1886">
        <v>1</v>
      </c>
      <c r="F1886">
        <v>503.84</v>
      </c>
      <c r="G1886" t="s">
        <v>220</v>
      </c>
      <c r="H1886">
        <v>503.84</v>
      </c>
      <c r="I1886">
        <v>2023</v>
      </c>
      <c r="J1886">
        <v>6</v>
      </c>
      <c r="K1886">
        <v>3</v>
      </c>
      <c r="L1886" s="14">
        <v>503.84</v>
      </c>
      <c r="M1886" s="4" t="str">
        <f t="shared" si="116"/>
        <v>jueves</v>
      </c>
      <c r="N1886" s="4" t="str">
        <f t="shared" si="117"/>
        <v>junio</v>
      </c>
      <c r="O1886" s="4" t="str">
        <f t="shared" si="118"/>
        <v>NO</v>
      </c>
      <c r="P1886" s="4" t="str">
        <f t="shared" si="119"/>
        <v>NO</v>
      </c>
      <c r="Q1886" s="4" t="str" cm="1">
        <f t="array" ref="Q1886">_xlfn.IFS(AND(H1886&gt;=0,H1886&lt;=3333),"Grupo 1",AND(H1886&gt;3333,H1886&lt;=6666),"Grupo 2",AND(H1886&gt;6666,H1886&lt;=10000),"Grupo 3")</f>
        <v>Grupo 1</v>
      </c>
    </row>
    <row r="1887" spans="1:17" x14ac:dyDescent="0.25">
      <c r="A1887" t="s">
        <v>97</v>
      </c>
      <c r="B1887" s="2">
        <v>45546.810416666667</v>
      </c>
      <c r="C1887" t="s">
        <v>265</v>
      </c>
      <c r="D1887" t="s">
        <v>217</v>
      </c>
      <c r="E1887">
        <v>4</v>
      </c>
      <c r="F1887">
        <v>1908.41</v>
      </c>
      <c r="G1887" t="s">
        <v>220</v>
      </c>
      <c r="H1887">
        <v>7633.64</v>
      </c>
      <c r="I1887">
        <v>2024</v>
      </c>
      <c r="J1887">
        <v>9</v>
      </c>
      <c r="K1887">
        <v>19</v>
      </c>
      <c r="L1887" s="14">
        <v>1908.41</v>
      </c>
      <c r="M1887" s="4" t="str">
        <f t="shared" si="116"/>
        <v>miércoles</v>
      </c>
      <c r="N1887" s="4" t="str">
        <f t="shared" si="117"/>
        <v>septiembre</v>
      </c>
      <c r="O1887" s="4" t="str">
        <f t="shared" si="118"/>
        <v>SI</v>
      </c>
      <c r="P1887" s="4" t="str">
        <f t="shared" si="119"/>
        <v>SI</v>
      </c>
      <c r="Q1887" s="4" t="str" cm="1">
        <f t="array" ref="Q1887">_xlfn.IFS(AND(H1887&gt;=0,H1887&lt;=3333),"Grupo 1",AND(H1887&gt;3333,H1887&lt;=6666),"Grupo 2",AND(H1887&gt;6666,H1887&lt;=10000),"Grupo 3")</f>
        <v>Grupo 3</v>
      </c>
    </row>
    <row r="1888" spans="1:17" x14ac:dyDescent="0.25">
      <c r="A1888" t="s">
        <v>98</v>
      </c>
      <c r="B1888" s="2">
        <v>45451.106249999997</v>
      </c>
      <c r="C1888" t="s">
        <v>266</v>
      </c>
      <c r="D1888" t="s">
        <v>215</v>
      </c>
      <c r="E1888">
        <v>2</v>
      </c>
      <c r="F1888">
        <v>114.6</v>
      </c>
      <c r="G1888" t="s">
        <v>220</v>
      </c>
      <c r="H1888">
        <v>229.2</v>
      </c>
      <c r="I1888">
        <v>2024</v>
      </c>
      <c r="J1888">
        <v>6</v>
      </c>
      <c r="K1888">
        <v>2</v>
      </c>
      <c r="L1888" s="14">
        <v>114.6</v>
      </c>
      <c r="M1888" s="4" t="str">
        <f t="shared" si="116"/>
        <v>sábado</v>
      </c>
      <c r="N1888" s="4" t="str">
        <f t="shared" si="117"/>
        <v>junio</v>
      </c>
      <c r="O1888" s="4" t="str">
        <f t="shared" si="118"/>
        <v>NO</v>
      </c>
      <c r="P1888" s="4" t="str">
        <f t="shared" si="119"/>
        <v>NO</v>
      </c>
      <c r="Q1888" s="4" t="str" cm="1">
        <f t="array" ref="Q1888">_xlfn.IFS(AND(H1888&gt;=0,H1888&lt;=3333),"Grupo 1",AND(H1888&gt;3333,H1888&lt;=6666),"Grupo 2",AND(H1888&gt;6666,H1888&lt;=10000),"Grupo 3")</f>
        <v>Grupo 1</v>
      </c>
    </row>
    <row r="1889" spans="1:17" x14ac:dyDescent="0.25">
      <c r="A1889" t="s">
        <v>99</v>
      </c>
      <c r="B1889" s="2">
        <v>45101.551388888889</v>
      </c>
      <c r="C1889" t="s">
        <v>267</v>
      </c>
      <c r="D1889" t="s">
        <v>215</v>
      </c>
      <c r="E1889">
        <v>2</v>
      </c>
      <c r="F1889">
        <v>595.78</v>
      </c>
      <c r="G1889" t="s">
        <v>220</v>
      </c>
      <c r="H1889">
        <v>1191.56</v>
      </c>
      <c r="I1889">
        <v>2023</v>
      </c>
      <c r="J1889">
        <v>6</v>
      </c>
      <c r="K1889">
        <v>13</v>
      </c>
      <c r="L1889" s="14">
        <v>595.78</v>
      </c>
      <c r="M1889" s="4" t="str">
        <f t="shared" si="116"/>
        <v>sábado</v>
      </c>
      <c r="N1889" s="4" t="str">
        <f t="shared" si="117"/>
        <v>junio</v>
      </c>
      <c r="O1889" s="4" t="str">
        <f t="shared" si="118"/>
        <v>NO</v>
      </c>
      <c r="P1889" s="4" t="str">
        <f t="shared" si="119"/>
        <v>NO</v>
      </c>
      <c r="Q1889" s="4" t="str" cm="1">
        <f t="array" ref="Q1889">_xlfn.IFS(AND(H1889&gt;=0,H1889&lt;=3333),"Grupo 1",AND(H1889&gt;3333,H1889&lt;=6666),"Grupo 2",AND(H1889&gt;6666,H1889&lt;=10000),"Grupo 3")</f>
        <v>Grupo 1</v>
      </c>
    </row>
    <row r="1890" spans="1:17" x14ac:dyDescent="0.25">
      <c r="A1890" t="s">
        <v>100</v>
      </c>
      <c r="B1890" s="2">
        <v>45405.413194444453</v>
      </c>
      <c r="C1890" t="s">
        <v>268</v>
      </c>
      <c r="D1890" t="s">
        <v>217</v>
      </c>
      <c r="E1890">
        <v>2</v>
      </c>
      <c r="F1890">
        <v>75.02</v>
      </c>
      <c r="G1890" t="s">
        <v>220</v>
      </c>
      <c r="H1890">
        <v>150.04</v>
      </c>
      <c r="I1890">
        <v>2024</v>
      </c>
      <c r="J1890">
        <v>4</v>
      </c>
      <c r="K1890">
        <v>9</v>
      </c>
      <c r="L1890" s="14">
        <v>75.02</v>
      </c>
      <c r="M1890" s="4" t="str">
        <f t="shared" si="116"/>
        <v>martes</v>
      </c>
      <c r="N1890" s="4" t="str">
        <f t="shared" si="117"/>
        <v>abril</v>
      </c>
      <c r="O1890" s="4" t="str">
        <f t="shared" si="118"/>
        <v>NO</v>
      </c>
      <c r="P1890" s="4" t="str">
        <f t="shared" si="119"/>
        <v>NO</v>
      </c>
      <c r="Q1890" s="4" t="str" cm="1">
        <f t="array" ref="Q1890">_xlfn.IFS(AND(H1890&gt;=0,H1890&lt;=3333),"Grupo 1",AND(H1890&gt;3333,H1890&lt;=6666),"Grupo 2",AND(H1890&gt;6666,H1890&lt;=10000),"Grupo 3")</f>
        <v>Grupo 1</v>
      </c>
    </row>
    <row r="1891" spans="1:17" x14ac:dyDescent="0.25">
      <c r="A1891" t="s">
        <v>101</v>
      </c>
      <c r="B1891" s="2">
        <v>45465.332638888889</v>
      </c>
      <c r="C1891" t="s">
        <v>269</v>
      </c>
      <c r="D1891" t="s">
        <v>216</v>
      </c>
      <c r="E1891">
        <v>5</v>
      </c>
      <c r="F1891">
        <v>540.91999999999996</v>
      </c>
      <c r="G1891" t="s">
        <v>221</v>
      </c>
      <c r="H1891">
        <v>2704.6</v>
      </c>
      <c r="I1891">
        <v>2024</v>
      </c>
      <c r="J1891">
        <v>6</v>
      </c>
      <c r="K1891">
        <v>7</v>
      </c>
      <c r="L1891" s="14">
        <v>540.91999999999996</v>
      </c>
      <c r="M1891" s="4" t="str">
        <f t="shared" si="116"/>
        <v>sábado</v>
      </c>
      <c r="N1891" s="4" t="str">
        <f t="shared" si="117"/>
        <v>junio</v>
      </c>
      <c r="O1891" s="4" t="str">
        <f t="shared" si="118"/>
        <v>NO</v>
      </c>
      <c r="P1891" s="4" t="str">
        <f t="shared" si="119"/>
        <v>NO</v>
      </c>
      <c r="Q1891" s="4" t="str" cm="1">
        <f t="array" ref="Q1891">_xlfn.IFS(AND(H1891&gt;=0,H1891&lt;=3333),"Grupo 1",AND(H1891&gt;3333,H1891&lt;=6666),"Grupo 2",AND(H1891&gt;6666,H1891&lt;=10000),"Grupo 3")</f>
        <v>Grupo 1</v>
      </c>
    </row>
    <row r="1892" spans="1:17" x14ac:dyDescent="0.25">
      <c r="A1892" t="s">
        <v>102</v>
      </c>
      <c r="B1892" s="2">
        <v>45863.330555555563</v>
      </c>
      <c r="C1892" t="s">
        <v>270</v>
      </c>
      <c r="D1892" t="s">
        <v>212</v>
      </c>
      <c r="E1892">
        <v>2</v>
      </c>
      <c r="F1892">
        <v>356.91</v>
      </c>
      <c r="G1892" t="s">
        <v>220</v>
      </c>
      <c r="H1892">
        <v>713.82</v>
      </c>
      <c r="I1892">
        <v>2025</v>
      </c>
      <c r="J1892">
        <v>7</v>
      </c>
      <c r="K1892">
        <v>7</v>
      </c>
      <c r="L1892" s="14">
        <v>356.91</v>
      </c>
      <c r="M1892" s="4" t="str">
        <f t="shared" si="116"/>
        <v>viernes</v>
      </c>
      <c r="N1892" s="4" t="str">
        <f t="shared" si="117"/>
        <v>julio</v>
      </c>
      <c r="O1892" s="4" t="str">
        <f t="shared" si="118"/>
        <v>NO</v>
      </c>
      <c r="P1892" s="4" t="str">
        <f t="shared" si="119"/>
        <v>NO</v>
      </c>
      <c r="Q1892" s="4" t="str" cm="1">
        <f t="array" ref="Q1892">_xlfn.IFS(AND(H1892&gt;=0,H1892&lt;=3333),"Grupo 1",AND(H1892&gt;3333,H1892&lt;=6666),"Grupo 2",AND(H1892&gt;6666,H1892&lt;=10000),"Grupo 3")</f>
        <v>Grupo 1</v>
      </c>
    </row>
    <row r="1893" spans="1:17" x14ac:dyDescent="0.25">
      <c r="A1893" t="s">
        <v>103</v>
      </c>
      <c r="B1893" s="2">
        <v>45727.712500000001</v>
      </c>
      <c r="C1893" t="s">
        <v>271</v>
      </c>
      <c r="D1893" t="s">
        <v>219</v>
      </c>
      <c r="E1893">
        <v>3</v>
      </c>
      <c r="F1893">
        <v>1135.67</v>
      </c>
      <c r="G1893" t="s">
        <v>221</v>
      </c>
      <c r="H1893">
        <v>3407.01</v>
      </c>
      <c r="I1893">
        <v>2025</v>
      </c>
      <c r="J1893">
        <v>3</v>
      </c>
      <c r="K1893">
        <v>17</v>
      </c>
      <c r="L1893" s="14">
        <v>1135.67</v>
      </c>
      <c r="M1893" s="4" t="str">
        <f t="shared" si="116"/>
        <v>martes</v>
      </c>
      <c r="N1893" s="4" t="str">
        <f t="shared" si="117"/>
        <v>marzo</v>
      </c>
      <c r="O1893" s="4" t="str">
        <f t="shared" si="118"/>
        <v>SI</v>
      </c>
      <c r="P1893" s="4" t="str">
        <f t="shared" si="119"/>
        <v>SI</v>
      </c>
      <c r="Q1893" s="4" t="str" cm="1">
        <f t="array" ref="Q1893">_xlfn.IFS(AND(H1893&gt;=0,H1893&lt;=3333),"Grupo 1",AND(H1893&gt;3333,H1893&lt;=6666),"Grupo 2",AND(H1893&gt;6666,H1893&lt;=10000),"Grupo 3")</f>
        <v>Grupo 2</v>
      </c>
    </row>
    <row r="1894" spans="1:17" x14ac:dyDescent="0.25">
      <c r="A1894" t="s">
        <v>104</v>
      </c>
      <c r="B1894" s="2">
        <v>45676.398611111108</v>
      </c>
      <c r="C1894" t="s">
        <v>272</v>
      </c>
      <c r="D1894" t="s">
        <v>215</v>
      </c>
      <c r="E1894">
        <v>3</v>
      </c>
      <c r="F1894">
        <v>805.69</v>
      </c>
      <c r="G1894" t="s">
        <v>220</v>
      </c>
      <c r="H1894">
        <v>2417.0700000000002</v>
      </c>
      <c r="I1894">
        <v>2025</v>
      </c>
      <c r="J1894">
        <v>1</v>
      </c>
      <c r="K1894">
        <v>9</v>
      </c>
      <c r="L1894" s="14">
        <v>805.69</v>
      </c>
      <c r="M1894" s="4" t="str">
        <f t="shared" si="116"/>
        <v>domingo</v>
      </c>
      <c r="N1894" s="4" t="str">
        <f t="shared" si="117"/>
        <v>enero</v>
      </c>
      <c r="O1894" s="4" t="str">
        <f t="shared" si="118"/>
        <v>NO</v>
      </c>
      <c r="P1894" s="4" t="str">
        <f t="shared" si="119"/>
        <v>NO</v>
      </c>
      <c r="Q1894" s="4" t="str" cm="1">
        <f t="array" ref="Q1894">_xlfn.IFS(AND(H1894&gt;=0,H1894&lt;=3333),"Grupo 1",AND(H1894&gt;3333,H1894&lt;=6666),"Grupo 2",AND(H1894&gt;6666,H1894&lt;=10000),"Grupo 3")</f>
        <v>Grupo 1</v>
      </c>
    </row>
    <row r="1895" spans="1:17" x14ac:dyDescent="0.25">
      <c r="A1895" t="s">
        <v>105</v>
      </c>
      <c r="B1895" s="2">
        <v>45289.026388888888</v>
      </c>
      <c r="C1895" t="s">
        <v>273</v>
      </c>
      <c r="D1895" t="s">
        <v>217</v>
      </c>
      <c r="E1895">
        <v>2</v>
      </c>
      <c r="F1895">
        <v>1259.07</v>
      </c>
      <c r="G1895" t="s">
        <v>220</v>
      </c>
      <c r="H1895">
        <v>2518.14</v>
      </c>
      <c r="I1895">
        <v>2023</v>
      </c>
      <c r="J1895">
        <v>12</v>
      </c>
      <c r="K1895">
        <v>0</v>
      </c>
      <c r="L1895" s="14">
        <v>1259.07</v>
      </c>
      <c r="M1895" s="4" t="str">
        <f t="shared" si="116"/>
        <v>viernes</v>
      </c>
      <c r="N1895" s="4" t="str">
        <f t="shared" si="117"/>
        <v>diciembre</v>
      </c>
      <c r="O1895" s="4" t="str">
        <f t="shared" si="118"/>
        <v>NO</v>
      </c>
      <c r="P1895" s="4" t="str">
        <f t="shared" si="119"/>
        <v>SI</v>
      </c>
      <c r="Q1895" s="4" t="str" cm="1">
        <f t="array" ref="Q1895">_xlfn.IFS(AND(H1895&gt;=0,H1895&lt;=3333),"Grupo 1",AND(H1895&gt;3333,H1895&lt;=6666),"Grupo 2",AND(H1895&gt;6666,H1895&lt;=10000),"Grupo 3")</f>
        <v>Grupo 1</v>
      </c>
    </row>
    <row r="1896" spans="1:17" x14ac:dyDescent="0.25">
      <c r="A1896" t="s">
        <v>106</v>
      </c>
      <c r="B1896" s="2">
        <v>45473.418749999997</v>
      </c>
      <c r="C1896" t="s">
        <v>274</v>
      </c>
      <c r="D1896" t="s">
        <v>218</v>
      </c>
      <c r="E1896">
        <v>3</v>
      </c>
      <c r="F1896">
        <v>600.4</v>
      </c>
      <c r="G1896" t="s">
        <v>221</v>
      </c>
      <c r="H1896">
        <v>1801.2</v>
      </c>
      <c r="I1896">
        <v>2024</v>
      </c>
      <c r="J1896">
        <v>6</v>
      </c>
      <c r="K1896">
        <v>10</v>
      </c>
      <c r="L1896" s="14">
        <v>600.4</v>
      </c>
      <c r="M1896" s="4" t="str">
        <f t="shared" si="116"/>
        <v>domingo</v>
      </c>
      <c r="N1896" s="4" t="str">
        <f t="shared" si="117"/>
        <v>junio</v>
      </c>
      <c r="O1896" s="4" t="str">
        <f t="shared" si="118"/>
        <v>NO</v>
      </c>
      <c r="P1896" s="4" t="str">
        <f t="shared" si="119"/>
        <v>NO</v>
      </c>
      <c r="Q1896" s="4" t="str" cm="1">
        <f t="array" ref="Q1896">_xlfn.IFS(AND(H1896&gt;=0,H1896&lt;=3333),"Grupo 1",AND(H1896&gt;3333,H1896&lt;=6666),"Grupo 2",AND(H1896&gt;6666,H1896&lt;=10000),"Grupo 3")</f>
        <v>Grupo 1</v>
      </c>
    </row>
    <row r="1897" spans="1:17" x14ac:dyDescent="0.25">
      <c r="A1897" t="s">
        <v>107</v>
      </c>
      <c r="B1897" s="2">
        <v>45499.757638888892</v>
      </c>
      <c r="C1897" t="s">
        <v>275</v>
      </c>
      <c r="D1897" t="s">
        <v>214</v>
      </c>
      <c r="E1897">
        <v>2</v>
      </c>
      <c r="F1897">
        <v>479.81</v>
      </c>
      <c r="G1897" t="s">
        <v>222</v>
      </c>
      <c r="H1897">
        <v>959.62</v>
      </c>
      <c r="I1897">
        <v>2024</v>
      </c>
      <c r="J1897">
        <v>7</v>
      </c>
      <c r="K1897">
        <v>18</v>
      </c>
      <c r="L1897" s="14">
        <v>479.81</v>
      </c>
      <c r="M1897" s="4" t="str">
        <f t="shared" si="116"/>
        <v>viernes</v>
      </c>
      <c r="N1897" s="4" t="str">
        <f t="shared" si="117"/>
        <v>julio</v>
      </c>
      <c r="O1897" s="4" t="str">
        <f t="shared" si="118"/>
        <v>NO</v>
      </c>
      <c r="P1897" s="4" t="str">
        <f t="shared" si="119"/>
        <v>NO</v>
      </c>
      <c r="Q1897" s="4" t="str" cm="1">
        <f t="array" ref="Q1897">_xlfn.IFS(AND(H1897&gt;=0,H1897&lt;=3333),"Grupo 1",AND(H1897&gt;3333,H1897&lt;=6666),"Grupo 2",AND(H1897&gt;6666,H1897&lt;=10000),"Grupo 3")</f>
        <v>Grupo 1</v>
      </c>
    </row>
    <row r="1898" spans="1:17" x14ac:dyDescent="0.25">
      <c r="A1898" t="s">
        <v>108</v>
      </c>
      <c r="B1898" s="2">
        <v>45541.331250000003</v>
      </c>
      <c r="C1898" t="s">
        <v>276</v>
      </c>
      <c r="D1898" t="s">
        <v>216</v>
      </c>
      <c r="E1898">
        <v>1</v>
      </c>
      <c r="F1898">
        <v>1888.86</v>
      </c>
      <c r="G1898" t="s">
        <v>221</v>
      </c>
      <c r="H1898">
        <v>1888.86</v>
      </c>
      <c r="I1898">
        <v>2024</v>
      </c>
      <c r="J1898">
        <v>9</v>
      </c>
      <c r="K1898">
        <v>7</v>
      </c>
      <c r="L1898" s="14">
        <v>1888.86</v>
      </c>
      <c r="M1898" s="4" t="str">
        <f t="shared" si="116"/>
        <v>viernes</v>
      </c>
      <c r="N1898" s="4" t="str">
        <f t="shared" si="117"/>
        <v>septiembre</v>
      </c>
      <c r="O1898" s="4" t="str">
        <f t="shared" si="118"/>
        <v>NO</v>
      </c>
      <c r="P1898" s="4" t="str">
        <f t="shared" si="119"/>
        <v>SI</v>
      </c>
      <c r="Q1898" s="4" t="str" cm="1">
        <f t="array" ref="Q1898">_xlfn.IFS(AND(H1898&gt;=0,H1898&lt;=3333),"Grupo 1",AND(H1898&gt;3333,H1898&lt;=6666),"Grupo 2",AND(H1898&gt;6666,H1898&lt;=10000),"Grupo 3")</f>
        <v>Grupo 1</v>
      </c>
    </row>
    <row r="1899" spans="1:17" x14ac:dyDescent="0.25">
      <c r="A1899" t="s">
        <v>109</v>
      </c>
      <c r="B1899" s="2">
        <v>45542.574305555558</v>
      </c>
      <c r="C1899" t="s">
        <v>277</v>
      </c>
      <c r="D1899" t="s">
        <v>217</v>
      </c>
      <c r="E1899">
        <v>4</v>
      </c>
      <c r="F1899">
        <v>1821.05</v>
      </c>
      <c r="G1899" t="s">
        <v>220</v>
      </c>
      <c r="H1899">
        <v>7284.2</v>
      </c>
      <c r="I1899">
        <v>2024</v>
      </c>
      <c r="J1899">
        <v>9</v>
      </c>
      <c r="K1899">
        <v>13</v>
      </c>
      <c r="L1899" s="14">
        <v>1821.05</v>
      </c>
      <c r="M1899" s="4" t="str">
        <f t="shared" si="116"/>
        <v>sábado</v>
      </c>
      <c r="N1899" s="4" t="str">
        <f t="shared" si="117"/>
        <v>septiembre</v>
      </c>
      <c r="O1899" s="4" t="str">
        <f t="shared" si="118"/>
        <v>SI</v>
      </c>
      <c r="P1899" s="4" t="str">
        <f t="shared" si="119"/>
        <v>SI</v>
      </c>
      <c r="Q1899" s="4" t="str" cm="1">
        <f t="array" ref="Q1899">_xlfn.IFS(AND(H1899&gt;=0,H1899&lt;=3333),"Grupo 1",AND(H1899&gt;3333,H1899&lt;=6666),"Grupo 2",AND(H1899&gt;6666,H1899&lt;=10000),"Grupo 3")</f>
        <v>Grupo 3</v>
      </c>
    </row>
    <row r="1900" spans="1:17" x14ac:dyDescent="0.25">
      <c r="A1900" t="s">
        <v>110</v>
      </c>
      <c r="B1900" s="2">
        <v>45846.336805555547</v>
      </c>
      <c r="C1900" t="s">
        <v>278</v>
      </c>
      <c r="D1900" t="s">
        <v>218</v>
      </c>
      <c r="E1900">
        <v>3</v>
      </c>
      <c r="F1900">
        <v>1537.23</v>
      </c>
      <c r="G1900" t="s">
        <v>221</v>
      </c>
      <c r="H1900">
        <v>4611.6900000000014</v>
      </c>
      <c r="I1900">
        <v>2025</v>
      </c>
      <c r="J1900">
        <v>7</v>
      </c>
      <c r="K1900">
        <v>8</v>
      </c>
      <c r="L1900" s="14">
        <v>1537.23</v>
      </c>
      <c r="M1900" s="4" t="str">
        <f t="shared" si="116"/>
        <v>martes</v>
      </c>
      <c r="N1900" s="4" t="str">
        <f t="shared" si="117"/>
        <v>julio</v>
      </c>
      <c r="O1900" s="4" t="str">
        <f t="shared" si="118"/>
        <v>SI</v>
      </c>
      <c r="P1900" s="4" t="str">
        <f t="shared" si="119"/>
        <v>SI</v>
      </c>
      <c r="Q1900" s="4" t="str" cm="1">
        <f t="array" ref="Q1900">_xlfn.IFS(AND(H1900&gt;=0,H1900&lt;=3333),"Grupo 1",AND(H1900&gt;3333,H1900&lt;=6666),"Grupo 2",AND(H1900&gt;6666,H1900&lt;=10000),"Grupo 3")</f>
        <v>Grupo 2</v>
      </c>
    </row>
    <row r="1901" spans="1:17" x14ac:dyDescent="0.25">
      <c r="A1901" t="s">
        <v>111</v>
      </c>
      <c r="B1901" s="2">
        <v>45318.705555555563</v>
      </c>
      <c r="C1901" t="s">
        <v>279</v>
      </c>
      <c r="D1901" t="s">
        <v>214</v>
      </c>
      <c r="E1901">
        <v>3</v>
      </c>
      <c r="F1901">
        <v>311.66000000000003</v>
      </c>
      <c r="G1901" t="s">
        <v>222</v>
      </c>
      <c r="H1901">
        <v>934.98</v>
      </c>
      <c r="I1901">
        <v>2024</v>
      </c>
      <c r="J1901">
        <v>1</v>
      </c>
      <c r="K1901">
        <v>16</v>
      </c>
      <c r="L1901" s="14">
        <v>311.66000000000003</v>
      </c>
      <c r="M1901" s="4" t="str">
        <f t="shared" si="116"/>
        <v>sábado</v>
      </c>
      <c r="N1901" s="4" t="str">
        <f t="shared" si="117"/>
        <v>enero</v>
      </c>
      <c r="O1901" s="4" t="str">
        <f t="shared" si="118"/>
        <v>NO</v>
      </c>
      <c r="P1901" s="4" t="str">
        <f t="shared" si="119"/>
        <v>NO</v>
      </c>
      <c r="Q1901" s="4" t="str" cm="1">
        <f t="array" ref="Q1901">_xlfn.IFS(AND(H1901&gt;=0,H1901&lt;=3333),"Grupo 1",AND(H1901&gt;3333,H1901&lt;=6666),"Grupo 2",AND(H1901&gt;6666,H1901&lt;=10000),"Grupo 3")</f>
        <v>Grupo 1</v>
      </c>
    </row>
    <row r="1902" spans="1:17" x14ac:dyDescent="0.25">
      <c r="A1902" t="s">
        <v>112</v>
      </c>
      <c r="B1902" s="2">
        <v>45595.668055555558</v>
      </c>
      <c r="C1902" t="s">
        <v>280</v>
      </c>
      <c r="D1902" t="s">
        <v>213</v>
      </c>
      <c r="E1902">
        <v>5</v>
      </c>
      <c r="F1902">
        <v>149.09</v>
      </c>
      <c r="G1902" t="s">
        <v>221</v>
      </c>
      <c r="H1902">
        <v>745.45</v>
      </c>
      <c r="I1902">
        <v>2024</v>
      </c>
      <c r="J1902">
        <v>10</v>
      </c>
      <c r="K1902">
        <v>16</v>
      </c>
      <c r="L1902" s="14">
        <v>149.09</v>
      </c>
      <c r="M1902" s="4" t="str">
        <f t="shared" si="116"/>
        <v>miércoles</v>
      </c>
      <c r="N1902" s="4" t="str">
        <f t="shared" si="117"/>
        <v>octubre</v>
      </c>
      <c r="O1902" s="4" t="str">
        <f t="shared" si="118"/>
        <v>NO</v>
      </c>
      <c r="P1902" s="4" t="str">
        <f t="shared" si="119"/>
        <v>NO</v>
      </c>
      <c r="Q1902" s="4" t="str" cm="1">
        <f t="array" ref="Q1902">_xlfn.IFS(AND(H1902&gt;=0,H1902&lt;=3333),"Grupo 1",AND(H1902&gt;3333,H1902&lt;=6666),"Grupo 2",AND(H1902&gt;6666,H1902&lt;=10000),"Grupo 3")</f>
        <v>Grupo 1</v>
      </c>
    </row>
    <row r="1903" spans="1:17" x14ac:dyDescent="0.25">
      <c r="A1903" t="s">
        <v>113</v>
      </c>
      <c r="B1903" s="2">
        <v>44984.418055555558</v>
      </c>
      <c r="C1903" t="s">
        <v>281</v>
      </c>
      <c r="D1903" t="s">
        <v>217</v>
      </c>
      <c r="E1903">
        <v>5</v>
      </c>
      <c r="F1903">
        <v>1885.48</v>
      </c>
      <c r="G1903" t="s">
        <v>220</v>
      </c>
      <c r="H1903">
        <v>9427.4</v>
      </c>
      <c r="I1903">
        <v>2023</v>
      </c>
      <c r="J1903">
        <v>2</v>
      </c>
      <c r="K1903">
        <v>10</v>
      </c>
      <c r="L1903" s="14">
        <v>1885.48</v>
      </c>
      <c r="M1903" s="4" t="str">
        <f t="shared" si="116"/>
        <v>lunes</v>
      </c>
      <c r="N1903" s="4" t="str">
        <f t="shared" si="117"/>
        <v>febrero</v>
      </c>
      <c r="O1903" s="4" t="str">
        <f t="shared" si="118"/>
        <v>SI</v>
      </c>
      <c r="P1903" s="4" t="str">
        <f t="shared" si="119"/>
        <v>SI</v>
      </c>
      <c r="Q1903" s="4" t="str" cm="1">
        <f t="array" ref="Q1903">_xlfn.IFS(AND(H1903&gt;=0,H1903&lt;=3333),"Grupo 1",AND(H1903&gt;3333,H1903&lt;=6666),"Grupo 2",AND(H1903&gt;6666,H1903&lt;=10000),"Grupo 3")</f>
        <v>Grupo 3</v>
      </c>
    </row>
    <row r="1904" spans="1:17" x14ac:dyDescent="0.25">
      <c r="A1904" t="s">
        <v>114</v>
      </c>
      <c r="B1904" s="2">
        <v>45153.455555555563</v>
      </c>
      <c r="C1904" t="s">
        <v>282</v>
      </c>
      <c r="D1904" t="s">
        <v>216</v>
      </c>
      <c r="E1904">
        <v>3</v>
      </c>
      <c r="F1904">
        <v>1591.92</v>
      </c>
      <c r="G1904" t="s">
        <v>221</v>
      </c>
      <c r="H1904">
        <v>4775.76</v>
      </c>
      <c r="I1904">
        <v>2023</v>
      </c>
      <c r="J1904">
        <v>8</v>
      </c>
      <c r="K1904">
        <v>10</v>
      </c>
      <c r="L1904" s="14">
        <v>1591.92</v>
      </c>
      <c r="M1904" s="4" t="str">
        <f t="shared" si="116"/>
        <v>martes</v>
      </c>
      <c r="N1904" s="4" t="str">
        <f t="shared" si="117"/>
        <v>agosto</v>
      </c>
      <c r="O1904" s="4" t="str">
        <f t="shared" si="118"/>
        <v>SI</v>
      </c>
      <c r="P1904" s="4" t="str">
        <f t="shared" si="119"/>
        <v>SI</v>
      </c>
      <c r="Q1904" s="4" t="str" cm="1">
        <f t="array" ref="Q1904">_xlfn.IFS(AND(H1904&gt;=0,H1904&lt;=3333),"Grupo 1",AND(H1904&gt;3333,H1904&lt;=6666),"Grupo 2",AND(H1904&gt;6666,H1904&lt;=10000),"Grupo 3")</f>
        <v>Grupo 2</v>
      </c>
    </row>
    <row r="1905" spans="1:17" x14ac:dyDescent="0.25">
      <c r="A1905" t="s">
        <v>115</v>
      </c>
      <c r="B1905" s="2">
        <v>45919.24722222222</v>
      </c>
      <c r="C1905" t="s">
        <v>283</v>
      </c>
      <c r="D1905" t="s">
        <v>216</v>
      </c>
      <c r="E1905">
        <v>5</v>
      </c>
      <c r="F1905">
        <v>1383.33</v>
      </c>
      <c r="G1905" t="s">
        <v>221</v>
      </c>
      <c r="H1905">
        <v>6916.65</v>
      </c>
      <c r="I1905">
        <v>2025</v>
      </c>
      <c r="J1905">
        <v>9</v>
      </c>
      <c r="K1905">
        <v>5</v>
      </c>
      <c r="L1905" s="14">
        <v>1383.33</v>
      </c>
      <c r="M1905" s="4" t="str">
        <f t="shared" si="116"/>
        <v>viernes</v>
      </c>
      <c r="N1905" s="4" t="str">
        <f t="shared" si="117"/>
        <v>septiembre</v>
      </c>
      <c r="O1905" s="4" t="str">
        <f t="shared" si="118"/>
        <v>SI</v>
      </c>
      <c r="P1905" s="4" t="str">
        <f t="shared" si="119"/>
        <v>SI</v>
      </c>
      <c r="Q1905" s="4" t="str" cm="1">
        <f t="array" ref="Q1905">_xlfn.IFS(AND(H1905&gt;=0,H1905&lt;=3333),"Grupo 1",AND(H1905&gt;3333,H1905&lt;=6666),"Grupo 2",AND(H1905&gt;6666,H1905&lt;=10000),"Grupo 3")</f>
        <v>Grupo 3</v>
      </c>
    </row>
    <row r="1906" spans="1:17" x14ac:dyDescent="0.25">
      <c r="A1906" t="s">
        <v>116</v>
      </c>
      <c r="B1906" s="2">
        <v>45815.543055555558</v>
      </c>
      <c r="C1906" t="s">
        <v>284</v>
      </c>
      <c r="D1906" t="s">
        <v>214</v>
      </c>
      <c r="E1906">
        <v>2</v>
      </c>
      <c r="F1906">
        <v>1051.23</v>
      </c>
      <c r="G1906" t="s">
        <v>222</v>
      </c>
      <c r="H1906">
        <v>2102.46</v>
      </c>
      <c r="I1906">
        <v>2025</v>
      </c>
      <c r="J1906">
        <v>6</v>
      </c>
      <c r="K1906">
        <v>13</v>
      </c>
      <c r="L1906" s="14">
        <v>1051.23</v>
      </c>
      <c r="M1906" s="4" t="str">
        <f t="shared" si="116"/>
        <v>sábado</v>
      </c>
      <c r="N1906" s="4" t="str">
        <f t="shared" si="117"/>
        <v>junio</v>
      </c>
      <c r="O1906" s="4" t="str">
        <f t="shared" si="118"/>
        <v>NO</v>
      </c>
      <c r="P1906" s="4" t="str">
        <f t="shared" si="119"/>
        <v>SI</v>
      </c>
      <c r="Q1906" s="4" t="str" cm="1">
        <f t="array" ref="Q1906">_xlfn.IFS(AND(H1906&gt;=0,H1906&lt;=3333),"Grupo 1",AND(H1906&gt;3333,H1906&lt;=6666),"Grupo 2",AND(H1906&gt;6666,H1906&lt;=10000),"Grupo 3")</f>
        <v>Grupo 1</v>
      </c>
    </row>
    <row r="1907" spans="1:17" x14ac:dyDescent="0.25">
      <c r="A1907" t="s">
        <v>117</v>
      </c>
      <c r="B1907" s="2">
        <v>45255.4</v>
      </c>
      <c r="C1907" t="s">
        <v>285</v>
      </c>
      <c r="D1907" t="s">
        <v>219</v>
      </c>
      <c r="E1907">
        <v>4</v>
      </c>
      <c r="F1907">
        <v>1274.46</v>
      </c>
      <c r="G1907" t="s">
        <v>221</v>
      </c>
      <c r="H1907">
        <v>5097.84</v>
      </c>
      <c r="I1907">
        <v>2023</v>
      </c>
      <c r="J1907">
        <v>11</v>
      </c>
      <c r="K1907">
        <v>9</v>
      </c>
      <c r="L1907" s="14">
        <v>1274.46</v>
      </c>
      <c r="M1907" s="4" t="str">
        <f t="shared" si="116"/>
        <v>sábado</v>
      </c>
      <c r="N1907" s="4" t="str">
        <f t="shared" si="117"/>
        <v>noviembre</v>
      </c>
      <c r="O1907" s="4" t="str">
        <f t="shared" si="118"/>
        <v>SI</v>
      </c>
      <c r="P1907" s="4" t="str">
        <f t="shared" si="119"/>
        <v>SI</v>
      </c>
      <c r="Q1907" s="4" t="str" cm="1">
        <f t="array" ref="Q1907">_xlfn.IFS(AND(H1907&gt;=0,H1907&lt;=3333),"Grupo 1",AND(H1907&gt;3333,H1907&lt;=6666),"Grupo 2",AND(H1907&gt;6666,H1907&lt;=10000),"Grupo 3")</f>
        <v>Grupo 2</v>
      </c>
    </row>
    <row r="1908" spans="1:17" x14ac:dyDescent="0.25">
      <c r="A1908" t="s">
        <v>118</v>
      </c>
      <c r="B1908" s="2">
        <v>45754.797222222223</v>
      </c>
      <c r="C1908" t="s">
        <v>286</v>
      </c>
      <c r="D1908" t="s">
        <v>212</v>
      </c>
      <c r="E1908">
        <v>1</v>
      </c>
      <c r="F1908">
        <v>1251.08</v>
      </c>
      <c r="G1908" t="s">
        <v>220</v>
      </c>
      <c r="H1908">
        <v>1251.08</v>
      </c>
      <c r="I1908">
        <v>2025</v>
      </c>
      <c r="J1908">
        <v>4</v>
      </c>
      <c r="K1908">
        <v>19</v>
      </c>
      <c r="L1908" s="14">
        <v>1251.08</v>
      </c>
      <c r="M1908" s="4" t="str">
        <f t="shared" si="116"/>
        <v>lunes</v>
      </c>
      <c r="N1908" s="4" t="str">
        <f t="shared" si="117"/>
        <v>abril</v>
      </c>
      <c r="O1908" s="4" t="str">
        <f t="shared" si="118"/>
        <v>NO</v>
      </c>
      <c r="P1908" s="4" t="str">
        <f t="shared" si="119"/>
        <v>SI</v>
      </c>
      <c r="Q1908" s="4" t="str" cm="1">
        <f t="array" ref="Q1908">_xlfn.IFS(AND(H1908&gt;=0,H1908&lt;=3333),"Grupo 1",AND(H1908&gt;3333,H1908&lt;=6666),"Grupo 2",AND(H1908&gt;6666,H1908&lt;=10000),"Grupo 3")</f>
        <v>Grupo 1</v>
      </c>
    </row>
    <row r="1909" spans="1:17" x14ac:dyDescent="0.25">
      <c r="A1909" t="s">
        <v>119</v>
      </c>
      <c r="B1909" s="2">
        <v>45764.185416666667</v>
      </c>
      <c r="C1909" t="s">
        <v>287</v>
      </c>
      <c r="D1909" t="s">
        <v>219</v>
      </c>
      <c r="E1909">
        <v>5</v>
      </c>
      <c r="F1909">
        <v>1582.2</v>
      </c>
      <c r="G1909" t="s">
        <v>221</v>
      </c>
      <c r="H1909">
        <v>7911</v>
      </c>
      <c r="I1909">
        <v>2025</v>
      </c>
      <c r="J1909">
        <v>4</v>
      </c>
      <c r="K1909">
        <v>4</v>
      </c>
      <c r="L1909" s="14">
        <v>1582.2</v>
      </c>
      <c r="M1909" s="4" t="str">
        <f t="shared" si="116"/>
        <v>jueves</v>
      </c>
      <c r="N1909" s="4" t="str">
        <f t="shared" si="117"/>
        <v>abril</v>
      </c>
      <c r="O1909" s="4" t="str">
        <f t="shared" si="118"/>
        <v>SI</v>
      </c>
      <c r="P1909" s="4" t="str">
        <f t="shared" si="119"/>
        <v>SI</v>
      </c>
      <c r="Q1909" s="4" t="str" cm="1">
        <f t="array" ref="Q1909">_xlfn.IFS(AND(H1909&gt;=0,H1909&lt;=3333),"Grupo 1",AND(H1909&gt;3333,H1909&lt;=6666),"Grupo 2",AND(H1909&gt;6666,H1909&lt;=10000),"Grupo 3")</f>
        <v>Grupo 3</v>
      </c>
    </row>
    <row r="1910" spans="1:17" x14ac:dyDescent="0.25">
      <c r="A1910" t="s">
        <v>120</v>
      </c>
      <c r="B1910" s="2">
        <v>45240.82916666667</v>
      </c>
      <c r="C1910" t="s">
        <v>288</v>
      </c>
      <c r="D1910" t="s">
        <v>214</v>
      </c>
      <c r="E1910">
        <v>1</v>
      </c>
      <c r="F1910">
        <v>81.92</v>
      </c>
      <c r="G1910" t="s">
        <v>222</v>
      </c>
      <c r="H1910">
        <v>81.92</v>
      </c>
      <c r="I1910">
        <v>2023</v>
      </c>
      <c r="J1910">
        <v>11</v>
      </c>
      <c r="K1910">
        <v>19</v>
      </c>
      <c r="L1910" s="14">
        <v>81.92</v>
      </c>
      <c r="M1910" s="4" t="str">
        <f t="shared" si="116"/>
        <v>viernes</v>
      </c>
      <c r="N1910" s="4" t="str">
        <f t="shared" si="117"/>
        <v>noviembre</v>
      </c>
      <c r="O1910" s="4" t="str">
        <f t="shared" si="118"/>
        <v>NO</v>
      </c>
      <c r="P1910" s="4" t="str">
        <f t="shared" si="119"/>
        <v>NO</v>
      </c>
      <c r="Q1910" s="4" t="str" cm="1">
        <f t="array" ref="Q1910">_xlfn.IFS(AND(H1910&gt;=0,H1910&lt;=3333),"Grupo 1",AND(H1910&gt;3333,H1910&lt;=6666),"Grupo 2",AND(H1910&gt;6666,H1910&lt;=10000),"Grupo 3")</f>
        <v>Grupo 1</v>
      </c>
    </row>
    <row r="1911" spans="1:17" x14ac:dyDescent="0.25">
      <c r="A1911" t="s">
        <v>121</v>
      </c>
      <c r="B1911" s="2">
        <v>45634.470138888893</v>
      </c>
      <c r="C1911" t="s">
        <v>289</v>
      </c>
      <c r="D1911" t="s">
        <v>218</v>
      </c>
      <c r="E1911">
        <v>1</v>
      </c>
      <c r="F1911">
        <v>1153.31</v>
      </c>
      <c r="G1911" t="s">
        <v>221</v>
      </c>
      <c r="H1911">
        <v>1153.31</v>
      </c>
      <c r="I1911">
        <v>2024</v>
      </c>
      <c r="J1911">
        <v>12</v>
      </c>
      <c r="K1911">
        <v>11</v>
      </c>
      <c r="L1911" s="14">
        <v>1153.31</v>
      </c>
      <c r="M1911" s="4" t="str">
        <f t="shared" si="116"/>
        <v>domingo</v>
      </c>
      <c r="N1911" s="4" t="str">
        <f t="shared" si="117"/>
        <v>diciembre</v>
      </c>
      <c r="O1911" s="4" t="str">
        <f t="shared" si="118"/>
        <v>NO</v>
      </c>
      <c r="P1911" s="4" t="str">
        <f t="shared" si="119"/>
        <v>SI</v>
      </c>
      <c r="Q1911" s="4" t="str" cm="1">
        <f t="array" ref="Q1911">_xlfn.IFS(AND(H1911&gt;=0,H1911&lt;=3333),"Grupo 1",AND(H1911&gt;3333,H1911&lt;=6666),"Grupo 2",AND(H1911&gt;6666,H1911&lt;=10000),"Grupo 3")</f>
        <v>Grupo 1</v>
      </c>
    </row>
    <row r="1912" spans="1:17" x14ac:dyDescent="0.25">
      <c r="A1912" t="s">
        <v>122</v>
      </c>
      <c r="B1912" s="2">
        <v>45913.939583333333</v>
      </c>
      <c r="C1912" t="s">
        <v>290</v>
      </c>
      <c r="D1912" t="s">
        <v>218</v>
      </c>
      <c r="E1912">
        <v>3</v>
      </c>
      <c r="F1912">
        <v>1078.08</v>
      </c>
      <c r="G1912" t="s">
        <v>221</v>
      </c>
      <c r="H1912">
        <v>3234.24</v>
      </c>
      <c r="I1912">
        <v>2025</v>
      </c>
      <c r="J1912">
        <v>9</v>
      </c>
      <c r="K1912">
        <v>22</v>
      </c>
      <c r="L1912" s="14">
        <v>1078.08</v>
      </c>
      <c r="M1912" s="4" t="str">
        <f t="shared" si="116"/>
        <v>sábado</v>
      </c>
      <c r="N1912" s="4" t="str">
        <f t="shared" si="117"/>
        <v>septiembre</v>
      </c>
      <c r="O1912" s="4" t="str">
        <f t="shared" si="118"/>
        <v>SI</v>
      </c>
      <c r="P1912" s="4" t="str">
        <f t="shared" si="119"/>
        <v>SI</v>
      </c>
      <c r="Q1912" s="4" t="str" cm="1">
        <f t="array" ref="Q1912">_xlfn.IFS(AND(H1912&gt;=0,H1912&lt;=3333),"Grupo 1",AND(H1912&gt;3333,H1912&lt;=6666),"Grupo 2",AND(H1912&gt;6666,H1912&lt;=10000),"Grupo 3")</f>
        <v>Grupo 1</v>
      </c>
    </row>
    <row r="1913" spans="1:17" x14ac:dyDescent="0.25">
      <c r="A1913" t="s">
        <v>123</v>
      </c>
      <c r="B1913" s="2">
        <v>45526.149305555547</v>
      </c>
      <c r="C1913" t="s">
        <v>291</v>
      </c>
      <c r="D1913" t="s">
        <v>215</v>
      </c>
      <c r="E1913">
        <v>1</v>
      </c>
      <c r="F1913">
        <v>201.91</v>
      </c>
      <c r="G1913" t="s">
        <v>220</v>
      </c>
      <c r="H1913">
        <v>201.91</v>
      </c>
      <c r="I1913">
        <v>2024</v>
      </c>
      <c r="J1913">
        <v>8</v>
      </c>
      <c r="K1913">
        <v>3</v>
      </c>
      <c r="L1913" s="14">
        <v>201.91</v>
      </c>
      <c r="M1913" s="4" t="str">
        <f t="shared" si="116"/>
        <v>jueves</v>
      </c>
      <c r="N1913" s="4" t="str">
        <f t="shared" si="117"/>
        <v>agosto</v>
      </c>
      <c r="O1913" s="4" t="str">
        <f t="shared" si="118"/>
        <v>NO</v>
      </c>
      <c r="P1913" s="4" t="str">
        <f t="shared" si="119"/>
        <v>NO</v>
      </c>
      <c r="Q1913" s="4" t="str" cm="1">
        <f t="array" ref="Q1913">_xlfn.IFS(AND(H1913&gt;=0,H1913&lt;=3333),"Grupo 1",AND(H1913&gt;3333,H1913&lt;=6666),"Grupo 2",AND(H1913&gt;6666,H1913&lt;=10000),"Grupo 3")</f>
        <v>Grupo 1</v>
      </c>
    </row>
    <row r="1914" spans="1:17" x14ac:dyDescent="0.25">
      <c r="A1914" t="s">
        <v>124</v>
      </c>
      <c r="B1914" s="2">
        <v>45487.067361111112</v>
      </c>
      <c r="C1914" t="s">
        <v>292</v>
      </c>
      <c r="D1914" t="s">
        <v>216</v>
      </c>
      <c r="E1914">
        <v>3</v>
      </c>
      <c r="F1914">
        <v>727.36</v>
      </c>
      <c r="G1914" t="s">
        <v>221</v>
      </c>
      <c r="H1914">
        <v>2182.08</v>
      </c>
      <c r="I1914">
        <v>2024</v>
      </c>
      <c r="J1914">
        <v>7</v>
      </c>
      <c r="K1914">
        <v>1</v>
      </c>
      <c r="L1914" s="14">
        <v>727.36</v>
      </c>
      <c r="M1914" s="4" t="str">
        <f t="shared" si="116"/>
        <v>domingo</v>
      </c>
      <c r="N1914" s="4" t="str">
        <f t="shared" si="117"/>
        <v>julio</v>
      </c>
      <c r="O1914" s="4" t="str">
        <f t="shared" si="118"/>
        <v>NO</v>
      </c>
      <c r="P1914" s="4" t="str">
        <f t="shared" si="119"/>
        <v>NO</v>
      </c>
      <c r="Q1914" s="4" t="str" cm="1">
        <f t="array" ref="Q1914">_xlfn.IFS(AND(H1914&gt;=0,H1914&lt;=3333),"Grupo 1",AND(H1914&gt;3333,H1914&lt;=6666),"Grupo 2",AND(H1914&gt;6666,H1914&lt;=10000),"Grupo 3")</f>
        <v>Grupo 1</v>
      </c>
    </row>
    <row r="1915" spans="1:17" x14ac:dyDescent="0.25">
      <c r="A1915" t="s">
        <v>125</v>
      </c>
      <c r="B1915" s="2">
        <v>45281.986805555563</v>
      </c>
      <c r="C1915" t="s">
        <v>293</v>
      </c>
      <c r="D1915" t="s">
        <v>219</v>
      </c>
      <c r="E1915">
        <v>3</v>
      </c>
      <c r="F1915">
        <v>1645.43</v>
      </c>
      <c r="G1915" t="s">
        <v>221</v>
      </c>
      <c r="H1915">
        <v>4936.29</v>
      </c>
      <c r="I1915">
        <v>2023</v>
      </c>
      <c r="J1915">
        <v>12</v>
      </c>
      <c r="K1915">
        <v>23</v>
      </c>
      <c r="L1915" s="14">
        <v>1645.43</v>
      </c>
      <c r="M1915" s="4" t="str">
        <f t="shared" si="116"/>
        <v>jueves</v>
      </c>
      <c r="N1915" s="4" t="str">
        <f t="shared" si="117"/>
        <v>diciembre</v>
      </c>
      <c r="O1915" s="4" t="str">
        <f t="shared" si="118"/>
        <v>SI</v>
      </c>
      <c r="P1915" s="4" t="str">
        <f t="shared" si="119"/>
        <v>SI</v>
      </c>
      <c r="Q1915" s="4" t="str" cm="1">
        <f t="array" ref="Q1915">_xlfn.IFS(AND(H1915&gt;=0,H1915&lt;=3333),"Grupo 1",AND(H1915&gt;3333,H1915&lt;=6666),"Grupo 2",AND(H1915&gt;6666,H1915&lt;=10000),"Grupo 3")</f>
        <v>Grupo 2</v>
      </c>
    </row>
    <row r="1916" spans="1:17" x14ac:dyDescent="0.25">
      <c r="A1916" t="s">
        <v>126</v>
      </c>
      <c r="B1916" s="2">
        <v>45468.378472222219</v>
      </c>
      <c r="C1916" t="s">
        <v>294</v>
      </c>
      <c r="D1916" t="s">
        <v>217</v>
      </c>
      <c r="E1916">
        <v>3</v>
      </c>
      <c r="F1916">
        <v>420.05</v>
      </c>
      <c r="G1916" t="s">
        <v>220</v>
      </c>
      <c r="H1916">
        <v>1260.1500000000001</v>
      </c>
      <c r="I1916">
        <v>2024</v>
      </c>
      <c r="J1916">
        <v>6</v>
      </c>
      <c r="K1916">
        <v>9</v>
      </c>
      <c r="L1916" s="14">
        <v>420.05</v>
      </c>
      <c r="M1916" s="4" t="str">
        <f t="shared" si="116"/>
        <v>martes</v>
      </c>
      <c r="N1916" s="4" t="str">
        <f t="shared" si="117"/>
        <v>junio</v>
      </c>
      <c r="O1916" s="4" t="str">
        <f t="shared" si="118"/>
        <v>NO</v>
      </c>
      <c r="P1916" s="4" t="str">
        <f t="shared" si="119"/>
        <v>NO</v>
      </c>
      <c r="Q1916" s="4" t="str" cm="1">
        <f t="array" ref="Q1916">_xlfn.IFS(AND(H1916&gt;=0,H1916&lt;=3333),"Grupo 1",AND(H1916&gt;3333,H1916&lt;=6666),"Grupo 2",AND(H1916&gt;6666,H1916&lt;=10000),"Grupo 3")</f>
        <v>Grupo 1</v>
      </c>
    </row>
    <row r="1917" spans="1:17" x14ac:dyDescent="0.25">
      <c r="A1917" t="s">
        <v>127</v>
      </c>
      <c r="B1917" s="2">
        <v>45529.436805555553</v>
      </c>
      <c r="C1917" t="s">
        <v>295</v>
      </c>
      <c r="D1917" t="s">
        <v>214</v>
      </c>
      <c r="E1917">
        <v>4</v>
      </c>
      <c r="F1917">
        <v>496.9</v>
      </c>
      <c r="G1917" t="s">
        <v>222</v>
      </c>
      <c r="H1917">
        <v>1987.6</v>
      </c>
      <c r="I1917">
        <v>2024</v>
      </c>
      <c r="J1917">
        <v>8</v>
      </c>
      <c r="K1917">
        <v>10</v>
      </c>
      <c r="L1917" s="14">
        <v>496.9</v>
      </c>
      <c r="M1917" s="4" t="str">
        <f t="shared" si="116"/>
        <v>domingo</v>
      </c>
      <c r="N1917" s="4" t="str">
        <f t="shared" si="117"/>
        <v>agosto</v>
      </c>
      <c r="O1917" s="4" t="str">
        <f t="shared" si="118"/>
        <v>NO</v>
      </c>
      <c r="P1917" s="4" t="str">
        <f t="shared" si="119"/>
        <v>NO</v>
      </c>
      <c r="Q1917" s="4" t="str" cm="1">
        <f t="array" ref="Q1917">_xlfn.IFS(AND(H1917&gt;=0,H1917&lt;=3333),"Grupo 1",AND(H1917&gt;3333,H1917&lt;=6666),"Grupo 2",AND(H1917&gt;6666,H1917&lt;=10000),"Grupo 3")</f>
        <v>Grupo 1</v>
      </c>
    </row>
    <row r="1918" spans="1:17" x14ac:dyDescent="0.25">
      <c r="A1918" t="s">
        <v>128</v>
      </c>
      <c r="B1918" s="2">
        <v>44961.01666666667</v>
      </c>
      <c r="C1918" t="s">
        <v>296</v>
      </c>
      <c r="D1918" t="s">
        <v>213</v>
      </c>
      <c r="E1918">
        <v>2</v>
      </c>
      <c r="F1918">
        <v>721.56</v>
      </c>
      <c r="G1918" t="s">
        <v>221</v>
      </c>
      <c r="H1918">
        <v>1443.12</v>
      </c>
      <c r="I1918">
        <v>2023</v>
      </c>
      <c r="J1918">
        <v>2</v>
      </c>
      <c r="K1918">
        <v>0</v>
      </c>
      <c r="L1918" s="14">
        <v>721.56</v>
      </c>
      <c r="M1918" s="4" t="str">
        <f t="shared" si="116"/>
        <v>sábado</v>
      </c>
      <c r="N1918" s="4" t="str">
        <f t="shared" si="117"/>
        <v>febrero</v>
      </c>
      <c r="O1918" s="4" t="str">
        <f t="shared" si="118"/>
        <v>NO</v>
      </c>
      <c r="P1918" s="4" t="str">
        <f t="shared" si="119"/>
        <v>NO</v>
      </c>
      <c r="Q1918" s="4" t="str" cm="1">
        <f t="array" ref="Q1918">_xlfn.IFS(AND(H1918&gt;=0,H1918&lt;=3333),"Grupo 1",AND(H1918&gt;3333,H1918&lt;=6666),"Grupo 2",AND(H1918&gt;6666,H1918&lt;=10000),"Grupo 3")</f>
        <v>Grupo 1</v>
      </c>
    </row>
    <row r="1919" spans="1:17" x14ac:dyDescent="0.25">
      <c r="A1919" t="s">
        <v>129</v>
      </c>
      <c r="B1919" s="2">
        <v>45041.746527777781</v>
      </c>
      <c r="C1919" t="s">
        <v>297</v>
      </c>
      <c r="D1919" t="s">
        <v>219</v>
      </c>
      <c r="E1919">
        <v>4</v>
      </c>
      <c r="F1919">
        <v>1353.9</v>
      </c>
      <c r="G1919" t="s">
        <v>221</v>
      </c>
      <c r="H1919">
        <v>5415.6</v>
      </c>
      <c r="I1919">
        <v>2023</v>
      </c>
      <c r="J1919">
        <v>4</v>
      </c>
      <c r="K1919">
        <v>17</v>
      </c>
      <c r="L1919" s="14">
        <v>1353.9</v>
      </c>
      <c r="M1919" s="4" t="str">
        <f t="shared" si="116"/>
        <v>martes</v>
      </c>
      <c r="N1919" s="4" t="str">
        <f t="shared" si="117"/>
        <v>abril</v>
      </c>
      <c r="O1919" s="4" t="str">
        <f t="shared" si="118"/>
        <v>SI</v>
      </c>
      <c r="P1919" s="4" t="str">
        <f t="shared" si="119"/>
        <v>SI</v>
      </c>
      <c r="Q1919" s="4" t="str" cm="1">
        <f t="array" ref="Q1919">_xlfn.IFS(AND(H1919&gt;=0,H1919&lt;=3333),"Grupo 1",AND(H1919&gt;3333,H1919&lt;=6666),"Grupo 2",AND(H1919&gt;6666,H1919&lt;=10000),"Grupo 3")</f>
        <v>Grupo 2</v>
      </c>
    </row>
    <row r="1920" spans="1:17" x14ac:dyDescent="0.25">
      <c r="A1920" t="s">
        <v>130</v>
      </c>
      <c r="B1920" s="2">
        <v>45400.756249999999</v>
      </c>
      <c r="C1920" t="s">
        <v>298</v>
      </c>
      <c r="D1920" t="s">
        <v>215</v>
      </c>
      <c r="E1920">
        <v>2</v>
      </c>
      <c r="F1920">
        <v>429.52</v>
      </c>
      <c r="G1920" t="s">
        <v>220</v>
      </c>
      <c r="H1920">
        <v>859.04</v>
      </c>
      <c r="I1920">
        <v>2024</v>
      </c>
      <c r="J1920">
        <v>4</v>
      </c>
      <c r="K1920">
        <v>18</v>
      </c>
      <c r="L1920" s="14">
        <v>429.52</v>
      </c>
      <c r="M1920" s="4" t="str">
        <f t="shared" si="116"/>
        <v>jueves</v>
      </c>
      <c r="N1920" s="4" t="str">
        <f t="shared" si="117"/>
        <v>abril</v>
      </c>
      <c r="O1920" s="4" t="str">
        <f t="shared" si="118"/>
        <v>NO</v>
      </c>
      <c r="P1920" s="4" t="str">
        <f t="shared" si="119"/>
        <v>NO</v>
      </c>
      <c r="Q1920" s="4" t="str" cm="1">
        <f t="array" ref="Q1920">_xlfn.IFS(AND(H1920&gt;=0,H1920&lt;=3333),"Grupo 1",AND(H1920&gt;3333,H1920&lt;=6666),"Grupo 2",AND(H1920&gt;6666,H1920&lt;=10000),"Grupo 3")</f>
        <v>Grupo 1</v>
      </c>
    </row>
    <row r="1921" spans="1:17" x14ac:dyDescent="0.25">
      <c r="A1921" t="s">
        <v>131</v>
      </c>
      <c r="B1921" s="2">
        <v>45465.772916666669</v>
      </c>
      <c r="C1921" t="s">
        <v>299</v>
      </c>
      <c r="D1921" t="s">
        <v>214</v>
      </c>
      <c r="E1921">
        <v>2</v>
      </c>
      <c r="F1921">
        <v>1824.96</v>
      </c>
      <c r="G1921" t="s">
        <v>222</v>
      </c>
      <c r="H1921">
        <v>3649.92</v>
      </c>
      <c r="I1921">
        <v>2024</v>
      </c>
      <c r="J1921">
        <v>6</v>
      </c>
      <c r="K1921">
        <v>18</v>
      </c>
      <c r="L1921" s="14">
        <v>1824.96</v>
      </c>
      <c r="M1921" s="4" t="str">
        <f t="shared" si="116"/>
        <v>sábado</v>
      </c>
      <c r="N1921" s="4" t="str">
        <f t="shared" si="117"/>
        <v>junio</v>
      </c>
      <c r="O1921" s="4" t="str">
        <f t="shared" si="118"/>
        <v>SI</v>
      </c>
      <c r="P1921" s="4" t="str">
        <f t="shared" si="119"/>
        <v>SI</v>
      </c>
      <c r="Q1921" s="4" t="str" cm="1">
        <f t="array" ref="Q1921">_xlfn.IFS(AND(H1921&gt;=0,H1921&lt;=3333),"Grupo 1",AND(H1921&gt;3333,H1921&lt;=6666),"Grupo 2",AND(H1921&gt;6666,H1921&lt;=10000),"Grupo 3")</f>
        <v>Grupo 2</v>
      </c>
    </row>
    <row r="1922" spans="1:17" x14ac:dyDescent="0.25">
      <c r="A1922" t="s">
        <v>132</v>
      </c>
      <c r="B1922" s="2">
        <v>45316.202777777777</v>
      </c>
      <c r="C1922" t="s">
        <v>300</v>
      </c>
      <c r="D1922" t="s">
        <v>218</v>
      </c>
      <c r="E1922">
        <v>5</v>
      </c>
      <c r="F1922">
        <v>1059.81</v>
      </c>
      <c r="G1922" t="s">
        <v>221</v>
      </c>
      <c r="H1922">
        <v>5299.0499999999993</v>
      </c>
      <c r="I1922">
        <v>2024</v>
      </c>
      <c r="J1922">
        <v>1</v>
      </c>
      <c r="K1922">
        <v>4</v>
      </c>
      <c r="L1922" s="14">
        <v>1059.81</v>
      </c>
      <c r="M1922" s="4" t="str">
        <f t="shared" ref="M1922:M1985" si="120">TEXT(B1922,"dddd")</f>
        <v>jueves</v>
      </c>
      <c r="N1922" s="4" t="str">
        <f t="shared" ref="N1922:N1985" si="121">TEXT(B1922,"mmmm")</f>
        <v>enero</v>
      </c>
      <c r="O1922" s="4" t="str">
        <f t="shared" si="118"/>
        <v>SI</v>
      </c>
      <c r="P1922" s="4" t="str">
        <f t="shared" si="119"/>
        <v>SI</v>
      </c>
      <c r="Q1922" s="4" t="str" cm="1">
        <f t="array" ref="Q1922">_xlfn.IFS(AND(H1922&gt;=0,H1922&lt;=3333),"Grupo 1",AND(H1922&gt;3333,H1922&lt;=6666),"Grupo 2",AND(H1922&gt;6666,H1922&lt;=10000),"Grupo 3")</f>
        <v>Grupo 2</v>
      </c>
    </row>
    <row r="1923" spans="1:17" x14ac:dyDescent="0.25">
      <c r="A1923" t="s">
        <v>133</v>
      </c>
      <c r="B1923" s="2">
        <v>45118.634722222218</v>
      </c>
      <c r="C1923" t="s">
        <v>301</v>
      </c>
      <c r="D1923" t="s">
        <v>214</v>
      </c>
      <c r="E1923">
        <v>4</v>
      </c>
      <c r="F1923">
        <v>46.39</v>
      </c>
      <c r="G1923" t="s">
        <v>222</v>
      </c>
      <c r="H1923">
        <v>185.56</v>
      </c>
      <c r="I1923">
        <v>2023</v>
      </c>
      <c r="J1923">
        <v>7</v>
      </c>
      <c r="K1923">
        <v>15</v>
      </c>
      <c r="L1923" s="14">
        <v>46.39</v>
      </c>
      <c r="M1923" s="4" t="str">
        <f t="shared" si="120"/>
        <v>martes</v>
      </c>
      <c r="N1923" s="4" t="str">
        <f t="shared" si="121"/>
        <v>julio</v>
      </c>
      <c r="O1923" s="4" t="str">
        <f t="shared" ref="O1923:O1986" si="122">IF(H1923&gt;AVERAGE(H:H),"SI","NO")</f>
        <v>NO</v>
      </c>
      <c r="P1923" s="4" t="str">
        <f t="shared" ref="P1923:P1986" si="123">IF(L1923&gt;AVERAGE(L:L),"SI","NO")</f>
        <v>NO</v>
      </c>
      <c r="Q1923" s="4" t="str" cm="1">
        <f t="array" ref="Q1923">_xlfn.IFS(AND(H1923&gt;=0,H1923&lt;=3333),"Grupo 1",AND(H1923&gt;3333,H1923&lt;=6666),"Grupo 2",AND(H1923&gt;6666,H1923&lt;=10000),"Grupo 3")</f>
        <v>Grupo 1</v>
      </c>
    </row>
    <row r="1924" spans="1:17" x14ac:dyDescent="0.25">
      <c r="A1924" t="s">
        <v>134</v>
      </c>
      <c r="B1924" s="2">
        <v>45232.75</v>
      </c>
      <c r="C1924" t="s">
        <v>302</v>
      </c>
      <c r="D1924" t="s">
        <v>217</v>
      </c>
      <c r="E1924">
        <v>1</v>
      </c>
      <c r="F1924">
        <v>754.07</v>
      </c>
      <c r="G1924" t="s">
        <v>220</v>
      </c>
      <c r="H1924">
        <v>754.07</v>
      </c>
      <c r="I1924">
        <v>2023</v>
      </c>
      <c r="J1924">
        <v>11</v>
      </c>
      <c r="K1924">
        <v>18</v>
      </c>
      <c r="L1924" s="14">
        <v>754.07</v>
      </c>
      <c r="M1924" s="4" t="str">
        <f t="shared" si="120"/>
        <v>jueves</v>
      </c>
      <c r="N1924" s="4" t="str">
        <f t="shared" si="121"/>
        <v>noviembre</v>
      </c>
      <c r="O1924" s="4" t="str">
        <f t="shared" si="122"/>
        <v>NO</v>
      </c>
      <c r="P1924" s="4" t="str">
        <f t="shared" si="123"/>
        <v>NO</v>
      </c>
      <c r="Q1924" s="4" t="str" cm="1">
        <f t="array" ref="Q1924">_xlfn.IFS(AND(H1924&gt;=0,H1924&lt;=3333),"Grupo 1",AND(H1924&gt;3333,H1924&lt;=6666),"Grupo 2",AND(H1924&gt;6666,H1924&lt;=10000),"Grupo 3")</f>
        <v>Grupo 1</v>
      </c>
    </row>
    <row r="1925" spans="1:17" x14ac:dyDescent="0.25">
      <c r="A1925" t="s">
        <v>135</v>
      </c>
      <c r="B1925" s="2">
        <v>45745.421527777777</v>
      </c>
      <c r="C1925" t="s">
        <v>303</v>
      </c>
      <c r="D1925" t="s">
        <v>219</v>
      </c>
      <c r="E1925">
        <v>1</v>
      </c>
      <c r="F1925">
        <v>1681.02</v>
      </c>
      <c r="G1925" t="s">
        <v>221</v>
      </c>
      <c r="H1925">
        <v>1681.02</v>
      </c>
      <c r="I1925">
        <v>2025</v>
      </c>
      <c r="J1925">
        <v>3</v>
      </c>
      <c r="K1925">
        <v>10</v>
      </c>
      <c r="L1925" s="14">
        <v>1681.02</v>
      </c>
      <c r="M1925" s="4" t="str">
        <f t="shared" si="120"/>
        <v>sábado</v>
      </c>
      <c r="N1925" s="4" t="str">
        <f t="shared" si="121"/>
        <v>marzo</v>
      </c>
      <c r="O1925" s="4" t="str">
        <f t="shared" si="122"/>
        <v>NO</v>
      </c>
      <c r="P1925" s="4" t="str">
        <f t="shared" si="123"/>
        <v>SI</v>
      </c>
      <c r="Q1925" s="4" t="str" cm="1">
        <f t="array" ref="Q1925">_xlfn.IFS(AND(H1925&gt;=0,H1925&lt;=3333),"Grupo 1",AND(H1925&gt;3333,H1925&lt;=6666),"Grupo 2",AND(H1925&gt;6666,H1925&lt;=10000),"Grupo 3")</f>
        <v>Grupo 1</v>
      </c>
    </row>
    <row r="1926" spans="1:17" x14ac:dyDescent="0.25">
      <c r="A1926" t="s">
        <v>136</v>
      </c>
      <c r="B1926" s="2">
        <v>45802.370833333327</v>
      </c>
      <c r="C1926" t="s">
        <v>304</v>
      </c>
      <c r="D1926" t="s">
        <v>212</v>
      </c>
      <c r="E1926">
        <v>2</v>
      </c>
      <c r="F1926">
        <v>1198.72</v>
      </c>
      <c r="G1926" t="s">
        <v>220</v>
      </c>
      <c r="H1926">
        <v>2397.44</v>
      </c>
      <c r="I1926">
        <v>2025</v>
      </c>
      <c r="J1926">
        <v>5</v>
      </c>
      <c r="K1926">
        <v>8</v>
      </c>
      <c r="L1926" s="14">
        <v>1198.72</v>
      </c>
      <c r="M1926" s="4" t="str">
        <f t="shared" si="120"/>
        <v>domingo</v>
      </c>
      <c r="N1926" s="4" t="str">
        <f t="shared" si="121"/>
        <v>mayo</v>
      </c>
      <c r="O1926" s="4" t="str">
        <f t="shared" si="122"/>
        <v>NO</v>
      </c>
      <c r="P1926" s="4" t="str">
        <f t="shared" si="123"/>
        <v>SI</v>
      </c>
      <c r="Q1926" s="4" t="str" cm="1">
        <f t="array" ref="Q1926">_xlfn.IFS(AND(H1926&gt;=0,H1926&lt;=3333),"Grupo 1",AND(H1926&gt;3333,H1926&lt;=6666),"Grupo 2",AND(H1926&gt;6666,H1926&lt;=10000),"Grupo 3")</f>
        <v>Grupo 1</v>
      </c>
    </row>
    <row r="1927" spans="1:17" x14ac:dyDescent="0.25">
      <c r="A1927" t="s">
        <v>137</v>
      </c>
      <c r="B1927" s="2">
        <v>45249.604861111111</v>
      </c>
      <c r="C1927" t="s">
        <v>305</v>
      </c>
      <c r="D1927" t="s">
        <v>219</v>
      </c>
      <c r="E1927">
        <v>2</v>
      </c>
      <c r="F1927">
        <v>1040.2</v>
      </c>
      <c r="G1927" t="s">
        <v>221</v>
      </c>
      <c r="H1927">
        <v>2080.4</v>
      </c>
      <c r="I1927">
        <v>2023</v>
      </c>
      <c r="J1927">
        <v>11</v>
      </c>
      <c r="K1927">
        <v>14</v>
      </c>
      <c r="L1927" s="14">
        <v>1040.2</v>
      </c>
      <c r="M1927" s="4" t="str">
        <f t="shared" si="120"/>
        <v>domingo</v>
      </c>
      <c r="N1927" s="4" t="str">
        <f t="shared" si="121"/>
        <v>noviembre</v>
      </c>
      <c r="O1927" s="4" t="str">
        <f t="shared" si="122"/>
        <v>NO</v>
      </c>
      <c r="P1927" s="4" t="str">
        <f t="shared" si="123"/>
        <v>SI</v>
      </c>
      <c r="Q1927" s="4" t="str" cm="1">
        <f t="array" ref="Q1927">_xlfn.IFS(AND(H1927&gt;=0,H1927&lt;=3333),"Grupo 1",AND(H1927&gt;3333,H1927&lt;=6666),"Grupo 2",AND(H1927&gt;6666,H1927&lt;=10000),"Grupo 3")</f>
        <v>Grupo 1</v>
      </c>
    </row>
    <row r="1928" spans="1:17" x14ac:dyDescent="0.25">
      <c r="A1928" t="s">
        <v>138</v>
      </c>
      <c r="B1928" s="2">
        <v>45854.013194444437</v>
      </c>
      <c r="C1928" t="s">
        <v>306</v>
      </c>
      <c r="D1928" t="s">
        <v>213</v>
      </c>
      <c r="E1928">
        <v>3</v>
      </c>
      <c r="F1928">
        <v>107.53</v>
      </c>
      <c r="G1928" t="s">
        <v>221</v>
      </c>
      <c r="H1928">
        <v>322.58999999999997</v>
      </c>
      <c r="I1928">
        <v>2025</v>
      </c>
      <c r="J1928">
        <v>7</v>
      </c>
      <c r="K1928">
        <v>0</v>
      </c>
      <c r="L1928" s="14">
        <v>107.53</v>
      </c>
      <c r="M1928" s="4" t="str">
        <f t="shared" si="120"/>
        <v>miércoles</v>
      </c>
      <c r="N1928" s="4" t="str">
        <f t="shared" si="121"/>
        <v>julio</v>
      </c>
      <c r="O1928" s="4" t="str">
        <f t="shared" si="122"/>
        <v>NO</v>
      </c>
      <c r="P1928" s="4" t="str">
        <f t="shared" si="123"/>
        <v>NO</v>
      </c>
      <c r="Q1928" s="4" t="str" cm="1">
        <f t="array" ref="Q1928">_xlfn.IFS(AND(H1928&gt;=0,H1928&lt;=3333),"Grupo 1",AND(H1928&gt;3333,H1928&lt;=6666),"Grupo 2",AND(H1928&gt;6666,H1928&lt;=10000),"Grupo 3")</f>
        <v>Grupo 1</v>
      </c>
    </row>
    <row r="1929" spans="1:17" x14ac:dyDescent="0.25">
      <c r="A1929" t="s">
        <v>139</v>
      </c>
      <c r="B1929" s="2">
        <v>45828.018055555563</v>
      </c>
      <c r="C1929" t="s">
        <v>307</v>
      </c>
      <c r="D1929" t="s">
        <v>215</v>
      </c>
      <c r="E1929">
        <v>4</v>
      </c>
      <c r="F1929">
        <v>380.66</v>
      </c>
      <c r="G1929" t="s">
        <v>220</v>
      </c>
      <c r="H1929">
        <v>1522.64</v>
      </c>
      <c r="I1929">
        <v>2025</v>
      </c>
      <c r="J1929">
        <v>6</v>
      </c>
      <c r="K1929">
        <v>0</v>
      </c>
      <c r="L1929" s="14">
        <v>380.66</v>
      </c>
      <c r="M1929" s="4" t="str">
        <f t="shared" si="120"/>
        <v>viernes</v>
      </c>
      <c r="N1929" s="4" t="str">
        <f t="shared" si="121"/>
        <v>junio</v>
      </c>
      <c r="O1929" s="4" t="str">
        <f t="shared" si="122"/>
        <v>NO</v>
      </c>
      <c r="P1929" s="4" t="str">
        <f t="shared" si="123"/>
        <v>NO</v>
      </c>
      <c r="Q1929" s="4" t="str" cm="1">
        <f t="array" ref="Q1929">_xlfn.IFS(AND(H1929&gt;=0,H1929&lt;=3333),"Grupo 1",AND(H1929&gt;3333,H1929&lt;=6666),"Grupo 2",AND(H1929&gt;6666,H1929&lt;=10000),"Grupo 3")</f>
        <v>Grupo 1</v>
      </c>
    </row>
    <row r="1930" spans="1:17" x14ac:dyDescent="0.25">
      <c r="A1930" t="s">
        <v>140</v>
      </c>
      <c r="B1930" s="2">
        <v>45673.40902777778</v>
      </c>
      <c r="C1930" t="s">
        <v>308</v>
      </c>
      <c r="D1930" t="s">
        <v>212</v>
      </c>
      <c r="E1930">
        <v>2</v>
      </c>
      <c r="F1930">
        <v>700.11</v>
      </c>
      <c r="G1930" t="s">
        <v>220</v>
      </c>
      <c r="H1930">
        <v>1400.22</v>
      </c>
      <c r="I1930">
        <v>2025</v>
      </c>
      <c r="J1930">
        <v>1</v>
      </c>
      <c r="K1930">
        <v>9</v>
      </c>
      <c r="L1930" s="14">
        <v>700.11</v>
      </c>
      <c r="M1930" s="4" t="str">
        <f t="shared" si="120"/>
        <v>jueves</v>
      </c>
      <c r="N1930" s="4" t="str">
        <f t="shared" si="121"/>
        <v>enero</v>
      </c>
      <c r="O1930" s="4" t="str">
        <f t="shared" si="122"/>
        <v>NO</v>
      </c>
      <c r="P1930" s="4" t="str">
        <f t="shared" si="123"/>
        <v>NO</v>
      </c>
      <c r="Q1930" s="4" t="str" cm="1">
        <f t="array" ref="Q1930">_xlfn.IFS(AND(H1930&gt;=0,H1930&lt;=3333),"Grupo 1",AND(H1930&gt;3333,H1930&lt;=6666),"Grupo 2",AND(H1930&gt;6666,H1930&lt;=10000),"Grupo 3")</f>
        <v>Grupo 1</v>
      </c>
    </row>
    <row r="1931" spans="1:17" x14ac:dyDescent="0.25">
      <c r="A1931" t="s">
        <v>141</v>
      </c>
      <c r="B1931" s="2">
        <v>44932.951388888891</v>
      </c>
      <c r="C1931" t="s">
        <v>309</v>
      </c>
      <c r="D1931" t="s">
        <v>215</v>
      </c>
      <c r="E1931">
        <v>5</v>
      </c>
      <c r="F1931">
        <v>358.48</v>
      </c>
      <c r="G1931" t="s">
        <v>220</v>
      </c>
      <c r="H1931">
        <v>1792.4</v>
      </c>
      <c r="I1931">
        <v>2023</v>
      </c>
      <c r="J1931">
        <v>1</v>
      </c>
      <c r="K1931">
        <v>22</v>
      </c>
      <c r="L1931" s="14">
        <v>358.48</v>
      </c>
      <c r="M1931" s="4" t="str">
        <f t="shared" si="120"/>
        <v>viernes</v>
      </c>
      <c r="N1931" s="4" t="str">
        <f t="shared" si="121"/>
        <v>enero</v>
      </c>
      <c r="O1931" s="4" t="str">
        <f t="shared" si="122"/>
        <v>NO</v>
      </c>
      <c r="P1931" s="4" t="str">
        <f t="shared" si="123"/>
        <v>NO</v>
      </c>
      <c r="Q1931" s="4" t="str" cm="1">
        <f t="array" ref="Q1931">_xlfn.IFS(AND(H1931&gt;=0,H1931&lt;=3333),"Grupo 1",AND(H1931&gt;3333,H1931&lt;=6666),"Grupo 2",AND(H1931&gt;6666,H1931&lt;=10000),"Grupo 3")</f>
        <v>Grupo 1</v>
      </c>
    </row>
    <row r="1932" spans="1:17" x14ac:dyDescent="0.25">
      <c r="A1932" t="s">
        <v>142</v>
      </c>
      <c r="B1932" s="2">
        <v>45381.871527777781</v>
      </c>
      <c r="C1932" t="s">
        <v>310</v>
      </c>
      <c r="D1932" t="s">
        <v>214</v>
      </c>
      <c r="E1932">
        <v>4</v>
      </c>
      <c r="F1932">
        <v>746.6</v>
      </c>
      <c r="G1932" t="s">
        <v>222</v>
      </c>
      <c r="H1932">
        <v>2986.4</v>
      </c>
      <c r="I1932">
        <v>2024</v>
      </c>
      <c r="J1932">
        <v>3</v>
      </c>
      <c r="K1932">
        <v>20</v>
      </c>
      <c r="L1932" s="14">
        <v>746.6</v>
      </c>
      <c r="M1932" s="4" t="str">
        <f t="shared" si="120"/>
        <v>sábado</v>
      </c>
      <c r="N1932" s="4" t="str">
        <f t="shared" si="121"/>
        <v>marzo</v>
      </c>
      <c r="O1932" s="4" t="str">
        <f t="shared" si="122"/>
        <v>SI</v>
      </c>
      <c r="P1932" s="4" t="str">
        <f t="shared" si="123"/>
        <v>NO</v>
      </c>
      <c r="Q1932" s="4" t="str" cm="1">
        <f t="array" ref="Q1932">_xlfn.IFS(AND(H1932&gt;=0,H1932&lt;=3333),"Grupo 1",AND(H1932&gt;3333,H1932&lt;=6666),"Grupo 2",AND(H1932&gt;6666,H1932&lt;=10000),"Grupo 3")</f>
        <v>Grupo 1</v>
      </c>
    </row>
    <row r="1933" spans="1:17" x14ac:dyDescent="0.25">
      <c r="A1933" t="s">
        <v>143</v>
      </c>
      <c r="B1933" s="2">
        <v>45450.97152777778</v>
      </c>
      <c r="C1933" t="s">
        <v>311</v>
      </c>
      <c r="D1933" t="s">
        <v>217</v>
      </c>
      <c r="E1933">
        <v>1</v>
      </c>
      <c r="F1933">
        <v>751.43</v>
      </c>
      <c r="G1933" t="s">
        <v>220</v>
      </c>
      <c r="H1933">
        <v>751.43</v>
      </c>
      <c r="I1933">
        <v>2024</v>
      </c>
      <c r="J1933">
        <v>6</v>
      </c>
      <c r="K1933">
        <v>23</v>
      </c>
      <c r="L1933" s="14">
        <v>751.43</v>
      </c>
      <c r="M1933" s="4" t="str">
        <f t="shared" si="120"/>
        <v>viernes</v>
      </c>
      <c r="N1933" s="4" t="str">
        <f t="shared" si="121"/>
        <v>junio</v>
      </c>
      <c r="O1933" s="4" t="str">
        <f t="shared" si="122"/>
        <v>NO</v>
      </c>
      <c r="P1933" s="4" t="str">
        <f t="shared" si="123"/>
        <v>NO</v>
      </c>
      <c r="Q1933" s="4" t="str" cm="1">
        <f t="array" ref="Q1933">_xlfn.IFS(AND(H1933&gt;=0,H1933&lt;=3333),"Grupo 1",AND(H1933&gt;3333,H1933&lt;=6666),"Grupo 2",AND(H1933&gt;6666,H1933&lt;=10000),"Grupo 3")</f>
        <v>Grupo 1</v>
      </c>
    </row>
    <row r="1934" spans="1:17" x14ac:dyDescent="0.25">
      <c r="A1934" t="s">
        <v>144</v>
      </c>
      <c r="B1934" s="2">
        <v>45122.813888888893</v>
      </c>
      <c r="C1934" t="s">
        <v>312</v>
      </c>
      <c r="D1934" t="s">
        <v>218</v>
      </c>
      <c r="E1934">
        <v>5</v>
      </c>
      <c r="F1934">
        <v>1109.08</v>
      </c>
      <c r="G1934" t="s">
        <v>221</v>
      </c>
      <c r="H1934">
        <v>5545.4</v>
      </c>
      <c r="I1934">
        <v>2023</v>
      </c>
      <c r="J1934">
        <v>7</v>
      </c>
      <c r="K1934">
        <v>19</v>
      </c>
      <c r="L1934" s="14">
        <v>1109.08</v>
      </c>
      <c r="M1934" s="4" t="str">
        <f t="shared" si="120"/>
        <v>sábado</v>
      </c>
      <c r="N1934" s="4" t="str">
        <f t="shared" si="121"/>
        <v>julio</v>
      </c>
      <c r="O1934" s="4" t="str">
        <f t="shared" si="122"/>
        <v>SI</v>
      </c>
      <c r="P1934" s="4" t="str">
        <f t="shared" si="123"/>
        <v>SI</v>
      </c>
      <c r="Q1934" s="4" t="str" cm="1">
        <f t="array" ref="Q1934">_xlfn.IFS(AND(H1934&gt;=0,H1934&lt;=3333),"Grupo 1",AND(H1934&gt;3333,H1934&lt;=6666),"Grupo 2",AND(H1934&gt;6666,H1934&lt;=10000),"Grupo 3")</f>
        <v>Grupo 2</v>
      </c>
    </row>
    <row r="1935" spans="1:17" x14ac:dyDescent="0.25">
      <c r="A1935" t="s">
        <v>145</v>
      </c>
      <c r="B1935" s="2">
        <v>45329.842361111107</v>
      </c>
      <c r="C1935" t="s">
        <v>313</v>
      </c>
      <c r="D1935" t="s">
        <v>212</v>
      </c>
      <c r="E1935">
        <v>5</v>
      </c>
      <c r="F1935">
        <v>642.74</v>
      </c>
      <c r="G1935" t="s">
        <v>220</v>
      </c>
      <c r="H1935">
        <v>3213.7</v>
      </c>
      <c r="I1935">
        <v>2024</v>
      </c>
      <c r="J1935">
        <v>2</v>
      </c>
      <c r="K1935">
        <v>20</v>
      </c>
      <c r="L1935" s="14">
        <v>642.74</v>
      </c>
      <c r="M1935" s="4" t="str">
        <f t="shared" si="120"/>
        <v>miércoles</v>
      </c>
      <c r="N1935" s="4" t="str">
        <f t="shared" si="121"/>
        <v>febrero</v>
      </c>
      <c r="O1935" s="4" t="str">
        <f t="shared" si="122"/>
        <v>SI</v>
      </c>
      <c r="P1935" s="4" t="str">
        <f t="shared" si="123"/>
        <v>NO</v>
      </c>
      <c r="Q1935" s="4" t="str" cm="1">
        <f t="array" ref="Q1935">_xlfn.IFS(AND(H1935&gt;=0,H1935&lt;=3333),"Grupo 1",AND(H1935&gt;3333,H1935&lt;=6666),"Grupo 2",AND(H1935&gt;6666,H1935&lt;=10000),"Grupo 3")</f>
        <v>Grupo 1</v>
      </c>
    </row>
    <row r="1936" spans="1:17" x14ac:dyDescent="0.25">
      <c r="A1936" t="s">
        <v>146</v>
      </c>
      <c r="B1936" s="2">
        <v>45615.539583333331</v>
      </c>
      <c r="C1936" t="s">
        <v>314</v>
      </c>
      <c r="D1936" t="s">
        <v>219</v>
      </c>
      <c r="E1936">
        <v>5</v>
      </c>
      <c r="F1936">
        <v>245.73</v>
      </c>
      <c r="G1936" t="s">
        <v>221</v>
      </c>
      <c r="H1936">
        <v>1228.6500000000001</v>
      </c>
      <c r="I1936">
        <v>2024</v>
      </c>
      <c r="J1936">
        <v>11</v>
      </c>
      <c r="K1936">
        <v>12</v>
      </c>
      <c r="L1936" s="14">
        <v>245.73</v>
      </c>
      <c r="M1936" s="4" t="str">
        <f t="shared" si="120"/>
        <v>martes</v>
      </c>
      <c r="N1936" s="4" t="str">
        <f t="shared" si="121"/>
        <v>noviembre</v>
      </c>
      <c r="O1936" s="4" t="str">
        <f t="shared" si="122"/>
        <v>NO</v>
      </c>
      <c r="P1936" s="4" t="str">
        <f t="shared" si="123"/>
        <v>NO</v>
      </c>
      <c r="Q1936" s="4" t="str" cm="1">
        <f t="array" ref="Q1936">_xlfn.IFS(AND(H1936&gt;=0,H1936&lt;=3333),"Grupo 1",AND(H1936&gt;3333,H1936&lt;=6666),"Grupo 2",AND(H1936&gt;6666,H1936&lt;=10000),"Grupo 3")</f>
        <v>Grupo 1</v>
      </c>
    </row>
    <row r="1937" spans="1:17" x14ac:dyDescent="0.25">
      <c r="A1937" t="s">
        <v>147</v>
      </c>
      <c r="B1937" s="2">
        <v>45222.775694444441</v>
      </c>
      <c r="C1937" t="s">
        <v>315</v>
      </c>
      <c r="D1937" t="s">
        <v>216</v>
      </c>
      <c r="E1937">
        <v>3</v>
      </c>
      <c r="F1937">
        <v>1782.13</v>
      </c>
      <c r="G1937" t="s">
        <v>221</v>
      </c>
      <c r="H1937">
        <v>5346.39</v>
      </c>
      <c r="I1937">
        <v>2023</v>
      </c>
      <c r="J1937">
        <v>10</v>
      </c>
      <c r="K1937">
        <v>18</v>
      </c>
      <c r="L1937" s="14">
        <v>1782.13</v>
      </c>
      <c r="M1937" s="4" t="str">
        <f t="shared" si="120"/>
        <v>lunes</v>
      </c>
      <c r="N1937" s="4" t="str">
        <f t="shared" si="121"/>
        <v>octubre</v>
      </c>
      <c r="O1937" s="4" t="str">
        <f t="shared" si="122"/>
        <v>SI</v>
      </c>
      <c r="P1937" s="4" t="str">
        <f t="shared" si="123"/>
        <v>SI</v>
      </c>
      <c r="Q1937" s="4" t="str" cm="1">
        <f t="array" ref="Q1937">_xlfn.IFS(AND(H1937&gt;=0,H1937&lt;=3333),"Grupo 1",AND(H1937&gt;3333,H1937&lt;=6666),"Grupo 2",AND(H1937&gt;6666,H1937&lt;=10000),"Grupo 3")</f>
        <v>Grupo 2</v>
      </c>
    </row>
    <row r="1938" spans="1:17" x14ac:dyDescent="0.25">
      <c r="A1938" t="s">
        <v>148</v>
      </c>
      <c r="B1938" s="2">
        <v>45525.048611111109</v>
      </c>
      <c r="C1938" t="s">
        <v>316</v>
      </c>
      <c r="D1938" t="s">
        <v>215</v>
      </c>
      <c r="E1938">
        <v>5</v>
      </c>
      <c r="F1938">
        <v>1137.1400000000001</v>
      </c>
      <c r="G1938" t="s">
        <v>220</v>
      </c>
      <c r="H1938">
        <v>5685.7000000000007</v>
      </c>
      <c r="I1938">
        <v>2024</v>
      </c>
      <c r="J1938">
        <v>8</v>
      </c>
      <c r="K1938">
        <v>1</v>
      </c>
      <c r="L1938" s="14">
        <v>1137.1400000000001</v>
      </c>
      <c r="M1938" s="4" t="str">
        <f t="shared" si="120"/>
        <v>miércoles</v>
      </c>
      <c r="N1938" s="4" t="str">
        <f t="shared" si="121"/>
        <v>agosto</v>
      </c>
      <c r="O1938" s="4" t="str">
        <f t="shared" si="122"/>
        <v>SI</v>
      </c>
      <c r="P1938" s="4" t="str">
        <f t="shared" si="123"/>
        <v>SI</v>
      </c>
      <c r="Q1938" s="4" t="str" cm="1">
        <f t="array" ref="Q1938">_xlfn.IFS(AND(H1938&gt;=0,H1938&lt;=3333),"Grupo 1",AND(H1938&gt;3333,H1938&lt;=6666),"Grupo 2",AND(H1938&gt;6666,H1938&lt;=10000),"Grupo 3")</f>
        <v>Grupo 2</v>
      </c>
    </row>
    <row r="1939" spans="1:17" x14ac:dyDescent="0.25">
      <c r="A1939" t="s">
        <v>149</v>
      </c>
      <c r="B1939" s="2">
        <v>45520.686111111107</v>
      </c>
      <c r="C1939" t="s">
        <v>317</v>
      </c>
      <c r="D1939" t="s">
        <v>213</v>
      </c>
      <c r="E1939">
        <v>4</v>
      </c>
      <c r="F1939">
        <v>966.72</v>
      </c>
      <c r="G1939" t="s">
        <v>221</v>
      </c>
      <c r="H1939">
        <v>3866.88</v>
      </c>
      <c r="I1939">
        <v>2024</v>
      </c>
      <c r="J1939">
        <v>8</v>
      </c>
      <c r="K1939">
        <v>16</v>
      </c>
      <c r="L1939" s="14">
        <v>966.72</v>
      </c>
      <c r="M1939" s="4" t="str">
        <f t="shared" si="120"/>
        <v>viernes</v>
      </c>
      <c r="N1939" s="4" t="str">
        <f t="shared" si="121"/>
        <v>agosto</v>
      </c>
      <c r="O1939" s="4" t="str">
        <f t="shared" si="122"/>
        <v>SI</v>
      </c>
      <c r="P1939" s="4" t="str">
        <f t="shared" si="123"/>
        <v>NO</v>
      </c>
      <c r="Q1939" s="4" t="str" cm="1">
        <f t="array" ref="Q1939">_xlfn.IFS(AND(H1939&gt;=0,H1939&lt;=3333),"Grupo 1",AND(H1939&gt;3333,H1939&lt;=6666),"Grupo 2",AND(H1939&gt;6666,H1939&lt;=10000),"Grupo 3")</f>
        <v>Grupo 2</v>
      </c>
    </row>
    <row r="1940" spans="1:17" x14ac:dyDescent="0.25">
      <c r="A1940" t="s">
        <v>150</v>
      </c>
      <c r="B1940" s="2">
        <v>45484.331944444442</v>
      </c>
      <c r="C1940" t="s">
        <v>318</v>
      </c>
      <c r="D1940" t="s">
        <v>215</v>
      </c>
      <c r="E1940">
        <v>5</v>
      </c>
      <c r="F1940">
        <v>754.88</v>
      </c>
      <c r="G1940" t="s">
        <v>220</v>
      </c>
      <c r="H1940">
        <v>3774.4</v>
      </c>
      <c r="I1940">
        <v>2024</v>
      </c>
      <c r="J1940">
        <v>7</v>
      </c>
      <c r="K1940">
        <v>7</v>
      </c>
      <c r="L1940" s="14">
        <v>754.88</v>
      </c>
      <c r="M1940" s="4" t="str">
        <f t="shared" si="120"/>
        <v>jueves</v>
      </c>
      <c r="N1940" s="4" t="str">
        <f t="shared" si="121"/>
        <v>julio</v>
      </c>
      <c r="O1940" s="4" t="str">
        <f t="shared" si="122"/>
        <v>SI</v>
      </c>
      <c r="P1940" s="4" t="str">
        <f t="shared" si="123"/>
        <v>NO</v>
      </c>
      <c r="Q1940" s="4" t="str" cm="1">
        <f t="array" ref="Q1940">_xlfn.IFS(AND(H1940&gt;=0,H1940&lt;=3333),"Grupo 1",AND(H1940&gt;3333,H1940&lt;=6666),"Grupo 2",AND(H1940&gt;6666,H1940&lt;=10000),"Grupo 3")</f>
        <v>Grupo 2</v>
      </c>
    </row>
    <row r="1941" spans="1:17" x14ac:dyDescent="0.25">
      <c r="A1941" t="s">
        <v>151</v>
      </c>
      <c r="B1941" s="2">
        <v>45842.433333333327</v>
      </c>
      <c r="C1941" t="s">
        <v>319</v>
      </c>
      <c r="D1941" t="s">
        <v>216</v>
      </c>
      <c r="E1941">
        <v>4</v>
      </c>
      <c r="F1941">
        <v>902.5</v>
      </c>
      <c r="G1941" t="s">
        <v>221</v>
      </c>
      <c r="H1941">
        <v>3610</v>
      </c>
      <c r="I1941">
        <v>2025</v>
      </c>
      <c r="J1941">
        <v>7</v>
      </c>
      <c r="K1941">
        <v>10</v>
      </c>
      <c r="L1941" s="14">
        <v>902.5</v>
      </c>
      <c r="M1941" s="4" t="str">
        <f t="shared" si="120"/>
        <v>viernes</v>
      </c>
      <c r="N1941" s="4" t="str">
        <f t="shared" si="121"/>
        <v>julio</v>
      </c>
      <c r="O1941" s="4" t="str">
        <f t="shared" si="122"/>
        <v>SI</v>
      </c>
      <c r="P1941" s="4" t="str">
        <f t="shared" si="123"/>
        <v>NO</v>
      </c>
      <c r="Q1941" s="4" t="str" cm="1">
        <f t="array" ref="Q1941">_xlfn.IFS(AND(H1941&gt;=0,H1941&lt;=3333),"Grupo 1",AND(H1941&gt;3333,H1941&lt;=6666),"Grupo 2",AND(H1941&gt;6666,H1941&lt;=10000),"Grupo 3")</f>
        <v>Grupo 2</v>
      </c>
    </row>
    <row r="1942" spans="1:17" x14ac:dyDescent="0.25">
      <c r="A1942" t="s">
        <v>152</v>
      </c>
      <c r="B1942" s="2">
        <v>45697.842361111107</v>
      </c>
      <c r="C1942" t="s">
        <v>320</v>
      </c>
      <c r="D1942" t="s">
        <v>218</v>
      </c>
      <c r="E1942">
        <v>2</v>
      </c>
      <c r="F1942">
        <v>78.180000000000007</v>
      </c>
      <c r="G1942" t="s">
        <v>221</v>
      </c>
      <c r="H1942">
        <v>156.36000000000001</v>
      </c>
      <c r="I1942">
        <v>2025</v>
      </c>
      <c r="J1942">
        <v>2</v>
      </c>
      <c r="K1942">
        <v>20</v>
      </c>
      <c r="L1942" s="14">
        <v>78.180000000000007</v>
      </c>
      <c r="M1942" s="4" t="str">
        <f t="shared" si="120"/>
        <v>domingo</v>
      </c>
      <c r="N1942" s="4" t="str">
        <f t="shared" si="121"/>
        <v>febrero</v>
      </c>
      <c r="O1942" s="4" t="str">
        <f t="shared" si="122"/>
        <v>NO</v>
      </c>
      <c r="P1942" s="4" t="str">
        <f t="shared" si="123"/>
        <v>NO</v>
      </c>
      <c r="Q1942" s="4" t="str" cm="1">
        <f t="array" ref="Q1942">_xlfn.IFS(AND(H1942&gt;=0,H1942&lt;=3333),"Grupo 1",AND(H1942&gt;3333,H1942&lt;=6666),"Grupo 2",AND(H1942&gt;6666,H1942&lt;=10000),"Grupo 3")</f>
        <v>Grupo 1</v>
      </c>
    </row>
    <row r="1943" spans="1:17" x14ac:dyDescent="0.25">
      <c r="A1943" t="s">
        <v>153</v>
      </c>
      <c r="B1943" s="2">
        <v>45927.180555555547</v>
      </c>
      <c r="C1943" t="s">
        <v>321</v>
      </c>
      <c r="D1943" t="s">
        <v>212</v>
      </c>
      <c r="E1943">
        <v>2</v>
      </c>
      <c r="F1943">
        <v>1615.41</v>
      </c>
      <c r="G1943" t="s">
        <v>220</v>
      </c>
      <c r="H1943">
        <v>3230.82</v>
      </c>
      <c r="I1943">
        <v>2025</v>
      </c>
      <c r="J1943">
        <v>9</v>
      </c>
      <c r="K1943">
        <v>4</v>
      </c>
      <c r="L1943" s="14">
        <v>1615.41</v>
      </c>
      <c r="M1943" s="4" t="str">
        <f t="shared" si="120"/>
        <v>sábado</v>
      </c>
      <c r="N1943" s="4" t="str">
        <f t="shared" si="121"/>
        <v>septiembre</v>
      </c>
      <c r="O1943" s="4" t="str">
        <f t="shared" si="122"/>
        <v>SI</v>
      </c>
      <c r="P1943" s="4" t="str">
        <f t="shared" si="123"/>
        <v>SI</v>
      </c>
      <c r="Q1943" s="4" t="str" cm="1">
        <f t="array" ref="Q1943">_xlfn.IFS(AND(H1943&gt;=0,H1943&lt;=3333),"Grupo 1",AND(H1943&gt;3333,H1943&lt;=6666),"Grupo 2",AND(H1943&gt;6666,H1943&lt;=10000),"Grupo 3")</f>
        <v>Grupo 1</v>
      </c>
    </row>
    <row r="1944" spans="1:17" x14ac:dyDescent="0.25">
      <c r="A1944" t="s">
        <v>154</v>
      </c>
      <c r="B1944" s="2">
        <v>45511.748611111107</v>
      </c>
      <c r="C1944" t="s">
        <v>322</v>
      </c>
      <c r="D1944" t="s">
        <v>212</v>
      </c>
      <c r="E1944">
        <v>5</v>
      </c>
      <c r="F1944">
        <v>149.54</v>
      </c>
      <c r="G1944" t="s">
        <v>220</v>
      </c>
      <c r="H1944">
        <v>747.69999999999993</v>
      </c>
      <c r="I1944">
        <v>2024</v>
      </c>
      <c r="J1944">
        <v>8</v>
      </c>
      <c r="K1944">
        <v>17</v>
      </c>
      <c r="L1944" s="14">
        <v>149.54</v>
      </c>
      <c r="M1944" s="4" t="str">
        <f t="shared" si="120"/>
        <v>miércoles</v>
      </c>
      <c r="N1944" s="4" t="str">
        <f t="shared" si="121"/>
        <v>agosto</v>
      </c>
      <c r="O1944" s="4" t="str">
        <f t="shared" si="122"/>
        <v>NO</v>
      </c>
      <c r="P1944" s="4" t="str">
        <f t="shared" si="123"/>
        <v>NO</v>
      </c>
      <c r="Q1944" s="4" t="str" cm="1">
        <f t="array" ref="Q1944">_xlfn.IFS(AND(H1944&gt;=0,H1944&lt;=3333),"Grupo 1",AND(H1944&gt;3333,H1944&lt;=6666),"Grupo 2",AND(H1944&gt;6666,H1944&lt;=10000),"Grupo 3")</f>
        <v>Grupo 1</v>
      </c>
    </row>
    <row r="1945" spans="1:17" x14ac:dyDescent="0.25">
      <c r="A1945" t="s">
        <v>155</v>
      </c>
      <c r="B1945" s="2">
        <v>45867.710416666669</v>
      </c>
      <c r="C1945" t="s">
        <v>323</v>
      </c>
      <c r="D1945" t="s">
        <v>213</v>
      </c>
      <c r="E1945">
        <v>5</v>
      </c>
      <c r="F1945">
        <v>955.39</v>
      </c>
      <c r="G1945" t="s">
        <v>221</v>
      </c>
      <c r="H1945">
        <v>4776.95</v>
      </c>
      <c r="I1945">
        <v>2025</v>
      </c>
      <c r="J1945">
        <v>7</v>
      </c>
      <c r="K1945">
        <v>17</v>
      </c>
      <c r="L1945" s="14">
        <v>955.39</v>
      </c>
      <c r="M1945" s="4" t="str">
        <f t="shared" si="120"/>
        <v>martes</v>
      </c>
      <c r="N1945" s="4" t="str">
        <f t="shared" si="121"/>
        <v>julio</v>
      </c>
      <c r="O1945" s="4" t="str">
        <f t="shared" si="122"/>
        <v>SI</v>
      </c>
      <c r="P1945" s="4" t="str">
        <f t="shared" si="123"/>
        <v>NO</v>
      </c>
      <c r="Q1945" s="4" t="str" cm="1">
        <f t="array" ref="Q1945">_xlfn.IFS(AND(H1945&gt;=0,H1945&lt;=3333),"Grupo 1",AND(H1945&gt;3333,H1945&lt;=6666),"Grupo 2",AND(H1945&gt;6666,H1945&lt;=10000),"Grupo 3")</f>
        <v>Grupo 2</v>
      </c>
    </row>
    <row r="1946" spans="1:17" x14ac:dyDescent="0.25">
      <c r="A1946" t="s">
        <v>156</v>
      </c>
      <c r="B1946" s="2">
        <v>45339.555555555547</v>
      </c>
      <c r="C1946" t="s">
        <v>324</v>
      </c>
      <c r="D1946" t="s">
        <v>214</v>
      </c>
      <c r="E1946">
        <v>2</v>
      </c>
      <c r="F1946">
        <v>1963.63</v>
      </c>
      <c r="G1946" t="s">
        <v>222</v>
      </c>
      <c r="H1946">
        <v>3927.26</v>
      </c>
      <c r="I1946">
        <v>2024</v>
      </c>
      <c r="J1946">
        <v>2</v>
      </c>
      <c r="K1946">
        <v>13</v>
      </c>
      <c r="L1946" s="14">
        <v>1963.63</v>
      </c>
      <c r="M1946" s="4" t="str">
        <f t="shared" si="120"/>
        <v>sábado</v>
      </c>
      <c r="N1946" s="4" t="str">
        <f t="shared" si="121"/>
        <v>febrero</v>
      </c>
      <c r="O1946" s="4" t="str">
        <f t="shared" si="122"/>
        <v>SI</v>
      </c>
      <c r="P1946" s="4" t="str">
        <f t="shared" si="123"/>
        <v>SI</v>
      </c>
      <c r="Q1946" s="4" t="str" cm="1">
        <f t="array" ref="Q1946">_xlfn.IFS(AND(H1946&gt;=0,H1946&lt;=3333),"Grupo 1",AND(H1946&gt;3333,H1946&lt;=6666),"Grupo 2",AND(H1946&gt;6666,H1946&lt;=10000),"Grupo 3")</f>
        <v>Grupo 2</v>
      </c>
    </row>
    <row r="1947" spans="1:17" x14ac:dyDescent="0.25">
      <c r="A1947" t="s">
        <v>157</v>
      </c>
      <c r="B1947" s="2">
        <v>45538.998611111107</v>
      </c>
      <c r="C1947" t="s">
        <v>325</v>
      </c>
      <c r="D1947" t="s">
        <v>216</v>
      </c>
      <c r="E1947">
        <v>5</v>
      </c>
      <c r="F1947">
        <v>1440.14</v>
      </c>
      <c r="G1947" t="s">
        <v>221</v>
      </c>
      <c r="H1947">
        <v>7200.7000000000007</v>
      </c>
      <c r="I1947">
        <v>2024</v>
      </c>
      <c r="J1947">
        <v>9</v>
      </c>
      <c r="K1947">
        <v>23</v>
      </c>
      <c r="L1947" s="14">
        <v>1440.14</v>
      </c>
      <c r="M1947" s="4" t="str">
        <f t="shared" si="120"/>
        <v>martes</v>
      </c>
      <c r="N1947" s="4" t="str">
        <f t="shared" si="121"/>
        <v>septiembre</v>
      </c>
      <c r="O1947" s="4" t="str">
        <f t="shared" si="122"/>
        <v>SI</v>
      </c>
      <c r="P1947" s="4" t="str">
        <f t="shared" si="123"/>
        <v>SI</v>
      </c>
      <c r="Q1947" s="4" t="str" cm="1">
        <f t="array" ref="Q1947">_xlfn.IFS(AND(H1947&gt;=0,H1947&lt;=3333),"Grupo 1",AND(H1947&gt;3333,H1947&lt;=6666),"Grupo 2",AND(H1947&gt;6666,H1947&lt;=10000),"Grupo 3")</f>
        <v>Grupo 3</v>
      </c>
    </row>
    <row r="1948" spans="1:17" x14ac:dyDescent="0.25">
      <c r="A1948" t="s">
        <v>158</v>
      </c>
      <c r="B1948" s="2">
        <v>45105.837500000001</v>
      </c>
      <c r="C1948" t="s">
        <v>326</v>
      </c>
      <c r="D1948" t="s">
        <v>212</v>
      </c>
      <c r="E1948">
        <v>4</v>
      </c>
      <c r="F1948">
        <v>283.7</v>
      </c>
      <c r="G1948" t="s">
        <v>220</v>
      </c>
      <c r="H1948">
        <v>1134.8</v>
      </c>
      <c r="I1948">
        <v>2023</v>
      </c>
      <c r="J1948">
        <v>6</v>
      </c>
      <c r="K1948">
        <v>20</v>
      </c>
      <c r="L1948" s="14">
        <v>283.7</v>
      </c>
      <c r="M1948" s="4" t="str">
        <f t="shared" si="120"/>
        <v>miércoles</v>
      </c>
      <c r="N1948" s="4" t="str">
        <f t="shared" si="121"/>
        <v>junio</v>
      </c>
      <c r="O1948" s="4" t="str">
        <f t="shared" si="122"/>
        <v>NO</v>
      </c>
      <c r="P1948" s="4" t="str">
        <f t="shared" si="123"/>
        <v>NO</v>
      </c>
      <c r="Q1948" s="4" t="str" cm="1">
        <f t="array" ref="Q1948">_xlfn.IFS(AND(H1948&gt;=0,H1948&lt;=3333),"Grupo 1",AND(H1948&gt;3333,H1948&lt;=6666),"Grupo 2",AND(H1948&gt;6666,H1948&lt;=10000),"Grupo 3")</f>
        <v>Grupo 1</v>
      </c>
    </row>
    <row r="1949" spans="1:17" x14ac:dyDescent="0.25">
      <c r="A1949" t="s">
        <v>159</v>
      </c>
      <c r="B1949" s="2">
        <v>45470.283333333333</v>
      </c>
      <c r="C1949" t="s">
        <v>327</v>
      </c>
      <c r="D1949" t="s">
        <v>215</v>
      </c>
      <c r="E1949">
        <v>3</v>
      </c>
      <c r="F1949">
        <v>687.51</v>
      </c>
      <c r="G1949" t="s">
        <v>220</v>
      </c>
      <c r="H1949">
        <v>2062.5300000000002</v>
      </c>
      <c r="I1949">
        <v>2024</v>
      </c>
      <c r="J1949">
        <v>6</v>
      </c>
      <c r="K1949">
        <v>6</v>
      </c>
      <c r="L1949" s="14">
        <v>687.50999999999988</v>
      </c>
      <c r="M1949" s="4" t="str">
        <f t="shared" si="120"/>
        <v>jueves</v>
      </c>
      <c r="N1949" s="4" t="str">
        <f t="shared" si="121"/>
        <v>junio</v>
      </c>
      <c r="O1949" s="4" t="str">
        <f t="shared" si="122"/>
        <v>NO</v>
      </c>
      <c r="P1949" s="4" t="str">
        <f t="shared" si="123"/>
        <v>NO</v>
      </c>
      <c r="Q1949" s="4" t="str" cm="1">
        <f t="array" ref="Q1949">_xlfn.IFS(AND(H1949&gt;=0,H1949&lt;=3333),"Grupo 1",AND(H1949&gt;3333,H1949&lt;=6666),"Grupo 2",AND(H1949&gt;6666,H1949&lt;=10000),"Grupo 3")</f>
        <v>Grupo 1</v>
      </c>
    </row>
    <row r="1950" spans="1:17" x14ac:dyDescent="0.25">
      <c r="A1950" t="s">
        <v>160</v>
      </c>
      <c r="B1950" s="2">
        <v>45122.511805555558</v>
      </c>
      <c r="C1950" t="s">
        <v>328</v>
      </c>
      <c r="D1950" t="s">
        <v>216</v>
      </c>
      <c r="E1950">
        <v>2</v>
      </c>
      <c r="F1950">
        <v>282</v>
      </c>
      <c r="G1950" t="s">
        <v>221</v>
      </c>
      <c r="H1950">
        <v>564</v>
      </c>
      <c r="I1950">
        <v>2023</v>
      </c>
      <c r="J1950">
        <v>7</v>
      </c>
      <c r="K1950">
        <v>12</v>
      </c>
      <c r="L1950" s="14">
        <v>282</v>
      </c>
      <c r="M1950" s="4" t="str">
        <f t="shared" si="120"/>
        <v>sábado</v>
      </c>
      <c r="N1950" s="4" t="str">
        <f t="shared" si="121"/>
        <v>julio</v>
      </c>
      <c r="O1950" s="4" t="str">
        <f t="shared" si="122"/>
        <v>NO</v>
      </c>
      <c r="P1950" s="4" t="str">
        <f t="shared" si="123"/>
        <v>NO</v>
      </c>
      <c r="Q1950" s="4" t="str" cm="1">
        <f t="array" ref="Q1950">_xlfn.IFS(AND(H1950&gt;=0,H1950&lt;=3333),"Grupo 1",AND(H1950&gt;3333,H1950&lt;=6666),"Grupo 2",AND(H1950&gt;6666,H1950&lt;=10000),"Grupo 3")</f>
        <v>Grupo 1</v>
      </c>
    </row>
    <row r="1951" spans="1:17" x14ac:dyDescent="0.25">
      <c r="A1951" t="s">
        <v>161</v>
      </c>
      <c r="B1951" s="2">
        <v>45878.351388888892</v>
      </c>
      <c r="C1951" t="s">
        <v>329</v>
      </c>
      <c r="D1951" t="s">
        <v>215</v>
      </c>
      <c r="E1951">
        <v>4</v>
      </c>
      <c r="F1951">
        <v>1471.38</v>
      </c>
      <c r="G1951" t="s">
        <v>220</v>
      </c>
      <c r="H1951">
        <v>5885.52</v>
      </c>
      <c r="I1951">
        <v>2025</v>
      </c>
      <c r="J1951">
        <v>8</v>
      </c>
      <c r="K1951">
        <v>8</v>
      </c>
      <c r="L1951" s="14">
        <v>1471.38</v>
      </c>
      <c r="M1951" s="4" t="str">
        <f t="shared" si="120"/>
        <v>sábado</v>
      </c>
      <c r="N1951" s="4" t="str">
        <f t="shared" si="121"/>
        <v>agosto</v>
      </c>
      <c r="O1951" s="4" t="str">
        <f t="shared" si="122"/>
        <v>SI</v>
      </c>
      <c r="P1951" s="4" t="str">
        <f t="shared" si="123"/>
        <v>SI</v>
      </c>
      <c r="Q1951" s="4" t="str" cm="1">
        <f t="array" ref="Q1951">_xlfn.IFS(AND(H1951&gt;=0,H1951&lt;=3333),"Grupo 1",AND(H1951&gt;3333,H1951&lt;=6666),"Grupo 2",AND(H1951&gt;6666,H1951&lt;=10000),"Grupo 3")</f>
        <v>Grupo 2</v>
      </c>
    </row>
    <row r="1952" spans="1:17" x14ac:dyDescent="0.25">
      <c r="A1952" t="s">
        <v>162</v>
      </c>
      <c r="B1952" s="2">
        <v>45894.257638888892</v>
      </c>
      <c r="C1952" t="s">
        <v>330</v>
      </c>
      <c r="D1952" t="s">
        <v>216</v>
      </c>
      <c r="E1952">
        <v>1</v>
      </c>
      <c r="F1952">
        <v>1463.91</v>
      </c>
      <c r="G1952" t="s">
        <v>221</v>
      </c>
      <c r="H1952">
        <v>1463.91</v>
      </c>
      <c r="I1952">
        <v>2025</v>
      </c>
      <c r="J1952">
        <v>8</v>
      </c>
      <c r="K1952">
        <v>6</v>
      </c>
      <c r="L1952" s="14">
        <v>1463.91</v>
      </c>
      <c r="M1952" s="4" t="str">
        <f t="shared" si="120"/>
        <v>lunes</v>
      </c>
      <c r="N1952" s="4" t="str">
        <f t="shared" si="121"/>
        <v>agosto</v>
      </c>
      <c r="O1952" s="4" t="str">
        <f t="shared" si="122"/>
        <v>NO</v>
      </c>
      <c r="P1952" s="4" t="str">
        <f t="shared" si="123"/>
        <v>SI</v>
      </c>
      <c r="Q1952" s="4" t="str" cm="1">
        <f t="array" ref="Q1952">_xlfn.IFS(AND(H1952&gt;=0,H1952&lt;=3333),"Grupo 1",AND(H1952&gt;3333,H1952&lt;=6666),"Grupo 2",AND(H1952&gt;6666,H1952&lt;=10000),"Grupo 3")</f>
        <v>Grupo 1</v>
      </c>
    </row>
    <row r="1953" spans="1:17" x14ac:dyDescent="0.25">
      <c r="A1953" t="s">
        <v>163</v>
      </c>
      <c r="B1953" s="2">
        <v>45321.105555555558</v>
      </c>
      <c r="C1953" t="s">
        <v>331</v>
      </c>
      <c r="D1953" t="s">
        <v>213</v>
      </c>
      <c r="E1953">
        <v>4</v>
      </c>
      <c r="F1953">
        <v>1585.49</v>
      </c>
      <c r="G1953" t="s">
        <v>221</v>
      </c>
      <c r="H1953">
        <v>6341.96</v>
      </c>
      <c r="I1953">
        <v>2024</v>
      </c>
      <c r="J1953">
        <v>1</v>
      </c>
      <c r="K1953">
        <v>2</v>
      </c>
      <c r="L1953" s="14">
        <v>1585.49</v>
      </c>
      <c r="M1953" s="4" t="str">
        <f t="shared" si="120"/>
        <v>martes</v>
      </c>
      <c r="N1953" s="4" t="str">
        <f t="shared" si="121"/>
        <v>enero</v>
      </c>
      <c r="O1953" s="4" t="str">
        <f t="shared" si="122"/>
        <v>SI</v>
      </c>
      <c r="P1953" s="4" t="str">
        <f t="shared" si="123"/>
        <v>SI</v>
      </c>
      <c r="Q1953" s="4" t="str" cm="1">
        <f t="array" ref="Q1953">_xlfn.IFS(AND(H1953&gt;=0,H1953&lt;=3333),"Grupo 1",AND(H1953&gt;3333,H1953&lt;=6666),"Grupo 2",AND(H1953&gt;6666,H1953&lt;=10000),"Grupo 3")</f>
        <v>Grupo 2</v>
      </c>
    </row>
    <row r="1954" spans="1:17" x14ac:dyDescent="0.25">
      <c r="A1954" t="s">
        <v>164</v>
      </c>
      <c r="B1954" s="2">
        <v>45571.035416666673</v>
      </c>
      <c r="C1954" t="s">
        <v>332</v>
      </c>
      <c r="D1954" t="s">
        <v>213</v>
      </c>
      <c r="E1954">
        <v>1</v>
      </c>
      <c r="F1954">
        <v>662.17</v>
      </c>
      <c r="G1954" t="s">
        <v>221</v>
      </c>
      <c r="H1954">
        <v>662.17</v>
      </c>
      <c r="I1954">
        <v>2024</v>
      </c>
      <c r="J1954">
        <v>10</v>
      </c>
      <c r="K1954">
        <v>0</v>
      </c>
      <c r="L1954" s="14">
        <v>662.17</v>
      </c>
      <c r="M1954" s="4" t="str">
        <f t="shared" si="120"/>
        <v>domingo</v>
      </c>
      <c r="N1954" s="4" t="str">
        <f t="shared" si="121"/>
        <v>octubre</v>
      </c>
      <c r="O1954" s="4" t="str">
        <f t="shared" si="122"/>
        <v>NO</v>
      </c>
      <c r="P1954" s="4" t="str">
        <f t="shared" si="123"/>
        <v>NO</v>
      </c>
      <c r="Q1954" s="4" t="str" cm="1">
        <f t="array" ref="Q1954">_xlfn.IFS(AND(H1954&gt;=0,H1954&lt;=3333),"Grupo 1",AND(H1954&gt;3333,H1954&lt;=6666),"Grupo 2",AND(H1954&gt;6666,H1954&lt;=10000),"Grupo 3")</f>
        <v>Grupo 1</v>
      </c>
    </row>
    <row r="1955" spans="1:17" x14ac:dyDescent="0.25">
      <c r="A1955" t="s">
        <v>165</v>
      </c>
      <c r="B1955" s="2">
        <v>45442.757638888892</v>
      </c>
      <c r="C1955" t="s">
        <v>333</v>
      </c>
      <c r="D1955" t="s">
        <v>216</v>
      </c>
      <c r="E1955">
        <v>2</v>
      </c>
      <c r="F1955">
        <v>136.68</v>
      </c>
      <c r="G1955" t="s">
        <v>221</v>
      </c>
      <c r="H1955">
        <v>273.36</v>
      </c>
      <c r="I1955">
        <v>2024</v>
      </c>
      <c r="J1955">
        <v>5</v>
      </c>
      <c r="K1955">
        <v>18</v>
      </c>
      <c r="L1955" s="14">
        <v>136.68</v>
      </c>
      <c r="M1955" s="4" t="str">
        <f t="shared" si="120"/>
        <v>jueves</v>
      </c>
      <c r="N1955" s="4" t="str">
        <f t="shared" si="121"/>
        <v>mayo</v>
      </c>
      <c r="O1955" s="4" t="str">
        <f t="shared" si="122"/>
        <v>NO</v>
      </c>
      <c r="P1955" s="4" t="str">
        <f t="shared" si="123"/>
        <v>NO</v>
      </c>
      <c r="Q1955" s="4" t="str" cm="1">
        <f t="array" ref="Q1955">_xlfn.IFS(AND(H1955&gt;=0,H1955&lt;=3333),"Grupo 1",AND(H1955&gt;3333,H1955&lt;=6666),"Grupo 2",AND(H1955&gt;6666,H1955&lt;=10000),"Grupo 3")</f>
        <v>Grupo 1</v>
      </c>
    </row>
    <row r="1956" spans="1:17" x14ac:dyDescent="0.25">
      <c r="A1956" t="s">
        <v>166</v>
      </c>
      <c r="B1956" s="2">
        <v>45889.054166666669</v>
      </c>
      <c r="C1956" t="s">
        <v>334</v>
      </c>
      <c r="D1956" t="s">
        <v>215</v>
      </c>
      <c r="E1956">
        <v>4</v>
      </c>
      <c r="F1956">
        <v>118.64</v>
      </c>
      <c r="G1956" t="s">
        <v>220</v>
      </c>
      <c r="H1956">
        <v>474.56</v>
      </c>
      <c r="I1956">
        <v>2025</v>
      </c>
      <c r="J1956">
        <v>8</v>
      </c>
      <c r="K1956">
        <v>1</v>
      </c>
      <c r="L1956" s="14">
        <v>118.64</v>
      </c>
      <c r="M1956" s="4" t="str">
        <f t="shared" si="120"/>
        <v>miércoles</v>
      </c>
      <c r="N1956" s="4" t="str">
        <f t="shared" si="121"/>
        <v>agosto</v>
      </c>
      <c r="O1956" s="4" t="str">
        <f t="shared" si="122"/>
        <v>NO</v>
      </c>
      <c r="P1956" s="4" t="str">
        <f t="shared" si="123"/>
        <v>NO</v>
      </c>
      <c r="Q1956" s="4" t="str" cm="1">
        <f t="array" ref="Q1956">_xlfn.IFS(AND(H1956&gt;=0,H1956&lt;=3333),"Grupo 1",AND(H1956&gt;3333,H1956&lt;=6666),"Grupo 2",AND(H1956&gt;6666,H1956&lt;=10000),"Grupo 3")</f>
        <v>Grupo 1</v>
      </c>
    </row>
    <row r="1957" spans="1:17" x14ac:dyDescent="0.25">
      <c r="A1957" t="s">
        <v>167</v>
      </c>
      <c r="B1957" s="2">
        <v>45468.727083333331</v>
      </c>
      <c r="C1957" t="s">
        <v>335</v>
      </c>
      <c r="D1957" t="s">
        <v>217</v>
      </c>
      <c r="E1957">
        <v>3</v>
      </c>
      <c r="F1957">
        <v>933.49</v>
      </c>
      <c r="G1957" t="s">
        <v>220</v>
      </c>
      <c r="H1957">
        <v>2800.47</v>
      </c>
      <c r="I1957">
        <v>2024</v>
      </c>
      <c r="J1957">
        <v>6</v>
      </c>
      <c r="K1957">
        <v>17</v>
      </c>
      <c r="L1957" s="14">
        <v>933.49000000000012</v>
      </c>
      <c r="M1957" s="4" t="str">
        <f t="shared" si="120"/>
        <v>martes</v>
      </c>
      <c r="N1957" s="4" t="str">
        <f t="shared" si="121"/>
        <v>junio</v>
      </c>
      <c r="O1957" s="4" t="str">
        <f t="shared" si="122"/>
        <v>NO</v>
      </c>
      <c r="P1957" s="4" t="str">
        <f t="shared" si="123"/>
        <v>NO</v>
      </c>
      <c r="Q1957" s="4" t="str" cm="1">
        <f t="array" ref="Q1957">_xlfn.IFS(AND(H1957&gt;=0,H1957&lt;=3333),"Grupo 1",AND(H1957&gt;3333,H1957&lt;=6666),"Grupo 2",AND(H1957&gt;6666,H1957&lt;=10000),"Grupo 3")</f>
        <v>Grupo 1</v>
      </c>
    </row>
    <row r="1958" spans="1:17" x14ac:dyDescent="0.25">
      <c r="A1958" t="s">
        <v>168</v>
      </c>
      <c r="B1958" s="2">
        <v>45202.955555555563</v>
      </c>
      <c r="C1958" t="s">
        <v>336</v>
      </c>
      <c r="D1958" t="s">
        <v>219</v>
      </c>
      <c r="E1958">
        <v>2</v>
      </c>
      <c r="F1958">
        <v>1035.0899999999999</v>
      </c>
      <c r="G1958" t="s">
        <v>221</v>
      </c>
      <c r="H1958">
        <v>2070.1799999999998</v>
      </c>
      <c r="I1958">
        <v>2023</v>
      </c>
      <c r="J1958">
        <v>10</v>
      </c>
      <c r="K1958">
        <v>22</v>
      </c>
      <c r="L1958" s="14">
        <v>1035.0899999999999</v>
      </c>
      <c r="M1958" s="4" t="str">
        <f t="shared" si="120"/>
        <v>martes</v>
      </c>
      <c r="N1958" s="4" t="str">
        <f t="shared" si="121"/>
        <v>octubre</v>
      </c>
      <c r="O1958" s="4" t="str">
        <f t="shared" si="122"/>
        <v>NO</v>
      </c>
      <c r="P1958" s="4" t="str">
        <f t="shared" si="123"/>
        <v>SI</v>
      </c>
      <c r="Q1958" s="4" t="str" cm="1">
        <f t="array" ref="Q1958">_xlfn.IFS(AND(H1958&gt;=0,H1958&lt;=3333),"Grupo 1",AND(H1958&gt;3333,H1958&lt;=6666),"Grupo 2",AND(H1958&gt;6666,H1958&lt;=10000),"Grupo 3")</f>
        <v>Grupo 1</v>
      </c>
    </row>
    <row r="1959" spans="1:17" x14ac:dyDescent="0.25">
      <c r="A1959" t="s">
        <v>169</v>
      </c>
      <c r="B1959" s="2">
        <v>45323.202777777777</v>
      </c>
      <c r="C1959" t="s">
        <v>337</v>
      </c>
      <c r="D1959" t="s">
        <v>215</v>
      </c>
      <c r="E1959">
        <v>2</v>
      </c>
      <c r="F1959">
        <v>1325.01</v>
      </c>
      <c r="G1959" t="s">
        <v>220</v>
      </c>
      <c r="H1959">
        <v>2650.02</v>
      </c>
      <c r="I1959">
        <v>2024</v>
      </c>
      <c r="J1959">
        <v>2</v>
      </c>
      <c r="K1959">
        <v>4</v>
      </c>
      <c r="L1959" s="14">
        <v>1325.01</v>
      </c>
      <c r="M1959" s="4" t="str">
        <f t="shared" si="120"/>
        <v>jueves</v>
      </c>
      <c r="N1959" s="4" t="str">
        <f t="shared" si="121"/>
        <v>febrero</v>
      </c>
      <c r="O1959" s="4" t="str">
        <f t="shared" si="122"/>
        <v>NO</v>
      </c>
      <c r="P1959" s="4" t="str">
        <f t="shared" si="123"/>
        <v>SI</v>
      </c>
      <c r="Q1959" s="4" t="str" cm="1">
        <f t="array" ref="Q1959">_xlfn.IFS(AND(H1959&gt;=0,H1959&lt;=3333),"Grupo 1",AND(H1959&gt;3333,H1959&lt;=6666),"Grupo 2",AND(H1959&gt;6666,H1959&lt;=10000),"Grupo 3")</f>
        <v>Grupo 1</v>
      </c>
    </row>
    <row r="1960" spans="1:17" x14ac:dyDescent="0.25">
      <c r="A1960" t="s">
        <v>170</v>
      </c>
      <c r="B1960" s="2">
        <v>45288.395833333343</v>
      </c>
      <c r="C1960" t="s">
        <v>338</v>
      </c>
      <c r="D1960" t="s">
        <v>213</v>
      </c>
      <c r="E1960">
        <v>4</v>
      </c>
      <c r="F1960">
        <v>710.84</v>
      </c>
      <c r="G1960" t="s">
        <v>221</v>
      </c>
      <c r="H1960">
        <v>2843.36</v>
      </c>
      <c r="I1960">
        <v>2023</v>
      </c>
      <c r="J1960">
        <v>12</v>
      </c>
      <c r="K1960">
        <v>9</v>
      </c>
      <c r="L1960" s="14">
        <v>710.84</v>
      </c>
      <c r="M1960" s="4" t="str">
        <f t="shared" si="120"/>
        <v>jueves</v>
      </c>
      <c r="N1960" s="4" t="str">
        <f t="shared" si="121"/>
        <v>diciembre</v>
      </c>
      <c r="O1960" s="4" t="str">
        <f t="shared" si="122"/>
        <v>NO</v>
      </c>
      <c r="P1960" s="4" t="str">
        <f t="shared" si="123"/>
        <v>NO</v>
      </c>
      <c r="Q1960" s="4" t="str" cm="1">
        <f t="array" ref="Q1960">_xlfn.IFS(AND(H1960&gt;=0,H1960&lt;=3333),"Grupo 1",AND(H1960&gt;3333,H1960&lt;=6666),"Grupo 2",AND(H1960&gt;6666,H1960&lt;=10000),"Grupo 3")</f>
        <v>Grupo 1</v>
      </c>
    </row>
    <row r="1961" spans="1:17" x14ac:dyDescent="0.25">
      <c r="A1961" t="s">
        <v>171</v>
      </c>
      <c r="B1961" s="2">
        <v>45900.337500000001</v>
      </c>
      <c r="C1961" t="s">
        <v>339</v>
      </c>
      <c r="D1961" t="s">
        <v>214</v>
      </c>
      <c r="E1961">
        <v>3</v>
      </c>
      <c r="F1961">
        <v>97.27</v>
      </c>
      <c r="G1961" t="s">
        <v>222</v>
      </c>
      <c r="H1961">
        <v>291.81</v>
      </c>
      <c r="I1961">
        <v>2025</v>
      </c>
      <c r="J1961">
        <v>8</v>
      </c>
      <c r="K1961">
        <v>8</v>
      </c>
      <c r="L1961" s="14">
        <v>97.27</v>
      </c>
      <c r="M1961" s="4" t="str">
        <f t="shared" si="120"/>
        <v>domingo</v>
      </c>
      <c r="N1961" s="4" t="str">
        <f t="shared" si="121"/>
        <v>agosto</v>
      </c>
      <c r="O1961" s="4" t="str">
        <f t="shared" si="122"/>
        <v>NO</v>
      </c>
      <c r="P1961" s="4" t="str">
        <f t="shared" si="123"/>
        <v>NO</v>
      </c>
      <c r="Q1961" s="4" t="str" cm="1">
        <f t="array" ref="Q1961">_xlfn.IFS(AND(H1961&gt;=0,H1961&lt;=3333),"Grupo 1",AND(H1961&gt;3333,H1961&lt;=6666),"Grupo 2",AND(H1961&gt;6666,H1961&lt;=10000),"Grupo 3")</f>
        <v>Grupo 1</v>
      </c>
    </row>
    <row r="1962" spans="1:17" x14ac:dyDescent="0.25">
      <c r="A1962" t="s">
        <v>172</v>
      </c>
      <c r="B1962" s="2">
        <v>45576.732638888891</v>
      </c>
      <c r="C1962" t="s">
        <v>340</v>
      </c>
      <c r="D1962" t="s">
        <v>215</v>
      </c>
      <c r="E1962">
        <v>5</v>
      </c>
      <c r="F1962">
        <v>498.36</v>
      </c>
      <c r="G1962" t="s">
        <v>220</v>
      </c>
      <c r="H1962">
        <v>2491.8000000000002</v>
      </c>
      <c r="I1962">
        <v>2024</v>
      </c>
      <c r="J1962">
        <v>10</v>
      </c>
      <c r="K1962">
        <v>17</v>
      </c>
      <c r="L1962" s="14">
        <v>498.36</v>
      </c>
      <c r="M1962" s="4" t="str">
        <f t="shared" si="120"/>
        <v>viernes</v>
      </c>
      <c r="N1962" s="4" t="str">
        <f t="shared" si="121"/>
        <v>octubre</v>
      </c>
      <c r="O1962" s="4" t="str">
        <f t="shared" si="122"/>
        <v>NO</v>
      </c>
      <c r="P1962" s="4" t="str">
        <f t="shared" si="123"/>
        <v>NO</v>
      </c>
      <c r="Q1962" s="4" t="str" cm="1">
        <f t="array" ref="Q1962">_xlfn.IFS(AND(H1962&gt;=0,H1962&lt;=3333),"Grupo 1",AND(H1962&gt;3333,H1962&lt;=6666),"Grupo 2",AND(H1962&gt;6666,H1962&lt;=10000),"Grupo 3")</f>
        <v>Grupo 1</v>
      </c>
    </row>
    <row r="1963" spans="1:17" x14ac:dyDescent="0.25">
      <c r="A1963" t="s">
        <v>173</v>
      </c>
      <c r="B1963" s="2">
        <v>45392.97152777778</v>
      </c>
      <c r="C1963" t="s">
        <v>341</v>
      </c>
      <c r="D1963" t="s">
        <v>214</v>
      </c>
      <c r="E1963">
        <v>5</v>
      </c>
      <c r="F1963">
        <v>980.89</v>
      </c>
      <c r="G1963" t="s">
        <v>222</v>
      </c>
      <c r="H1963">
        <v>4904.45</v>
      </c>
      <c r="I1963">
        <v>2024</v>
      </c>
      <c r="J1963">
        <v>4</v>
      </c>
      <c r="K1963">
        <v>23</v>
      </c>
      <c r="L1963" s="14">
        <v>980.89</v>
      </c>
      <c r="M1963" s="4" t="str">
        <f t="shared" si="120"/>
        <v>miércoles</v>
      </c>
      <c r="N1963" s="4" t="str">
        <f t="shared" si="121"/>
        <v>abril</v>
      </c>
      <c r="O1963" s="4" t="str">
        <f t="shared" si="122"/>
        <v>SI</v>
      </c>
      <c r="P1963" s="4" t="str">
        <f t="shared" si="123"/>
        <v>NO</v>
      </c>
      <c r="Q1963" s="4" t="str" cm="1">
        <f t="array" ref="Q1963">_xlfn.IFS(AND(H1963&gt;=0,H1963&lt;=3333),"Grupo 1",AND(H1963&gt;3333,H1963&lt;=6666),"Grupo 2",AND(H1963&gt;6666,H1963&lt;=10000),"Grupo 3")</f>
        <v>Grupo 2</v>
      </c>
    </row>
    <row r="1964" spans="1:17" x14ac:dyDescent="0.25">
      <c r="A1964" t="s">
        <v>174</v>
      </c>
      <c r="B1964" s="2">
        <v>45584.049305555563</v>
      </c>
      <c r="C1964" t="s">
        <v>342</v>
      </c>
      <c r="D1964" t="s">
        <v>213</v>
      </c>
      <c r="E1964">
        <v>1</v>
      </c>
      <c r="F1964">
        <v>1390.33</v>
      </c>
      <c r="G1964" t="s">
        <v>221</v>
      </c>
      <c r="H1964">
        <v>1390.33</v>
      </c>
      <c r="I1964">
        <v>2024</v>
      </c>
      <c r="J1964">
        <v>10</v>
      </c>
      <c r="K1964">
        <v>1</v>
      </c>
      <c r="L1964" s="14">
        <v>1390.33</v>
      </c>
      <c r="M1964" s="4" t="str">
        <f t="shared" si="120"/>
        <v>sábado</v>
      </c>
      <c r="N1964" s="4" t="str">
        <f t="shared" si="121"/>
        <v>octubre</v>
      </c>
      <c r="O1964" s="4" t="str">
        <f t="shared" si="122"/>
        <v>NO</v>
      </c>
      <c r="P1964" s="4" t="str">
        <f t="shared" si="123"/>
        <v>SI</v>
      </c>
      <c r="Q1964" s="4" t="str" cm="1">
        <f t="array" ref="Q1964">_xlfn.IFS(AND(H1964&gt;=0,H1964&lt;=3333),"Grupo 1",AND(H1964&gt;3333,H1964&lt;=6666),"Grupo 2",AND(H1964&gt;6666,H1964&lt;=10000),"Grupo 3")</f>
        <v>Grupo 1</v>
      </c>
    </row>
    <row r="1965" spans="1:17" x14ac:dyDescent="0.25">
      <c r="A1965" t="s">
        <v>175</v>
      </c>
      <c r="B1965" s="2">
        <v>44941.657638888893</v>
      </c>
      <c r="C1965" t="s">
        <v>343</v>
      </c>
      <c r="D1965" t="s">
        <v>217</v>
      </c>
      <c r="E1965">
        <v>5</v>
      </c>
      <c r="F1965">
        <v>1708.09</v>
      </c>
      <c r="G1965" t="s">
        <v>220</v>
      </c>
      <c r="H1965">
        <v>8540.4499999999989</v>
      </c>
      <c r="I1965">
        <v>2023</v>
      </c>
      <c r="J1965">
        <v>1</v>
      </c>
      <c r="K1965">
        <v>15</v>
      </c>
      <c r="L1965" s="14">
        <v>1708.09</v>
      </c>
      <c r="M1965" s="4" t="str">
        <f t="shared" si="120"/>
        <v>domingo</v>
      </c>
      <c r="N1965" s="4" t="str">
        <f t="shared" si="121"/>
        <v>enero</v>
      </c>
      <c r="O1965" s="4" t="str">
        <f t="shared" si="122"/>
        <v>SI</v>
      </c>
      <c r="P1965" s="4" t="str">
        <f t="shared" si="123"/>
        <v>SI</v>
      </c>
      <c r="Q1965" s="4" t="str" cm="1">
        <f t="array" ref="Q1965">_xlfn.IFS(AND(H1965&gt;=0,H1965&lt;=3333),"Grupo 1",AND(H1965&gt;3333,H1965&lt;=6666),"Grupo 2",AND(H1965&gt;6666,H1965&lt;=10000),"Grupo 3")</f>
        <v>Grupo 3</v>
      </c>
    </row>
    <row r="1966" spans="1:17" x14ac:dyDescent="0.25">
      <c r="A1966" t="s">
        <v>176</v>
      </c>
      <c r="B1966" s="2">
        <v>45238.718055555553</v>
      </c>
      <c r="C1966" t="s">
        <v>344</v>
      </c>
      <c r="D1966" t="s">
        <v>219</v>
      </c>
      <c r="E1966">
        <v>3</v>
      </c>
      <c r="F1966">
        <v>459.4</v>
      </c>
      <c r="G1966" t="s">
        <v>221</v>
      </c>
      <c r="H1966">
        <v>1378.2</v>
      </c>
      <c r="I1966">
        <v>2023</v>
      </c>
      <c r="J1966">
        <v>11</v>
      </c>
      <c r="K1966">
        <v>17</v>
      </c>
      <c r="L1966" s="14">
        <v>459.39999999999992</v>
      </c>
      <c r="M1966" s="4" t="str">
        <f t="shared" si="120"/>
        <v>miércoles</v>
      </c>
      <c r="N1966" s="4" t="str">
        <f t="shared" si="121"/>
        <v>noviembre</v>
      </c>
      <c r="O1966" s="4" t="str">
        <f t="shared" si="122"/>
        <v>NO</v>
      </c>
      <c r="P1966" s="4" t="str">
        <f t="shared" si="123"/>
        <v>NO</v>
      </c>
      <c r="Q1966" s="4" t="str" cm="1">
        <f t="array" ref="Q1966">_xlfn.IFS(AND(H1966&gt;=0,H1966&lt;=3333),"Grupo 1",AND(H1966&gt;3333,H1966&lt;=6666),"Grupo 2",AND(H1966&gt;6666,H1966&lt;=10000),"Grupo 3")</f>
        <v>Grupo 1</v>
      </c>
    </row>
    <row r="1967" spans="1:17" x14ac:dyDescent="0.25">
      <c r="A1967" t="s">
        <v>177</v>
      </c>
      <c r="B1967" s="2">
        <v>44973.59652777778</v>
      </c>
      <c r="C1967" t="s">
        <v>345</v>
      </c>
      <c r="D1967" t="s">
        <v>215</v>
      </c>
      <c r="E1967">
        <v>1</v>
      </c>
      <c r="F1967">
        <v>1578.33</v>
      </c>
      <c r="G1967" t="s">
        <v>220</v>
      </c>
      <c r="H1967">
        <v>1578.33</v>
      </c>
      <c r="I1967">
        <v>2023</v>
      </c>
      <c r="J1967">
        <v>2</v>
      </c>
      <c r="K1967">
        <v>14</v>
      </c>
      <c r="L1967" s="14">
        <v>1578.33</v>
      </c>
      <c r="M1967" s="4" t="str">
        <f t="shared" si="120"/>
        <v>jueves</v>
      </c>
      <c r="N1967" s="4" t="str">
        <f t="shared" si="121"/>
        <v>febrero</v>
      </c>
      <c r="O1967" s="4" t="str">
        <f t="shared" si="122"/>
        <v>NO</v>
      </c>
      <c r="P1967" s="4" t="str">
        <f t="shared" si="123"/>
        <v>SI</v>
      </c>
      <c r="Q1967" s="4" t="str" cm="1">
        <f t="array" ref="Q1967">_xlfn.IFS(AND(H1967&gt;=0,H1967&lt;=3333),"Grupo 1",AND(H1967&gt;3333,H1967&lt;=6666),"Grupo 2",AND(H1967&gt;6666,H1967&lt;=10000),"Grupo 3")</f>
        <v>Grupo 1</v>
      </c>
    </row>
    <row r="1968" spans="1:17" x14ac:dyDescent="0.25">
      <c r="A1968" t="s">
        <v>178</v>
      </c>
      <c r="B1968" s="2">
        <v>45445.690972222219</v>
      </c>
      <c r="C1968" t="s">
        <v>346</v>
      </c>
      <c r="D1968" t="s">
        <v>213</v>
      </c>
      <c r="E1968">
        <v>5</v>
      </c>
      <c r="F1968">
        <v>1602.39</v>
      </c>
      <c r="G1968" t="s">
        <v>221</v>
      </c>
      <c r="H1968">
        <v>8011.9500000000007</v>
      </c>
      <c r="I1968">
        <v>2024</v>
      </c>
      <c r="J1968">
        <v>6</v>
      </c>
      <c r="K1968">
        <v>16</v>
      </c>
      <c r="L1968" s="14">
        <v>1602.39</v>
      </c>
      <c r="M1968" s="4" t="str">
        <f t="shared" si="120"/>
        <v>domingo</v>
      </c>
      <c r="N1968" s="4" t="str">
        <f t="shared" si="121"/>
        <v>junio</v>
      </c>
      <c r="O1968" s="4" t="str">
        <f t="shared" si="122"/>
        <v>SI</v>
      </c>
      <c r="P1968" s="4" t="str">
        <f t="shared" si="123"/>
        <v>SI</v>
      </c>
      <c r="Q1968" s="4" t="str" cm="1">
        <f t="array" ref="Q1968">_xlfn.IFS(AND(H1968&gt;=0,H1968&lt;=3333),"Grupo 1",AND(H1968&gt;3333,H1968&lt;=6666),"Grupo 2",AND(H1968&gt;6666,H1968&lt;=10000),"Grupo 3")</f>
        <v>Grupo 3</v>
      </c>
    </row>
    <row r="1969" spans="1:17" x14ac:dyDescent="0.25">
      <c r="A1969" t="s">
        <v>179</v>
      </c>
      <c r="B1969" s="2">
        <v>45035.472916666673</v>
      </c>
      <c r="C1969" t="s">
        <v>347</v>
      </c>
      <c r="D1969" t="s">
        <v>213</v>
      </c>
      <c r="E1969">
        <v>2</v>
      </c>
      <c r="F1969">
        <v>714.55</v>
      </c>
      <c r="G1969" t="s">
        <v>221</v>
      </c>
      <c r="H1969">
        <v>1429.1</v>
      </c>
      <c r="I1969">
        <v>2023</v>
      </c>
      <c r="J1969">
        <v>4</v>
      </c>
      <c r="K1969">
        <v>11</v>
      </c>
      <c r="L1969" s="14">
        <v>714.55</v>
      </c>
      <c r="M1969" s="4" t="str">
        <f t="shared" si="120"/>
        <v>miércoles</v>
      </c>
      <c r="N1969" s="4" t="str">
        <f t="shared" si="121"/>
        <v>abril</v>
      </c>
      <c r="O1969" s="4" t="str">
        <f t="shared" si="122"/>
        <v>NO</v>
      </c>
      <c r="P1969" s="4" t="str">
        <f t="shared" si="123"/>
        <v>NO</v>
      </c>
      <c r="Q1969" s="4" t="str" cm="1">
        <f t="array" ref="Q1969">_xlfn.IFS(AND(H1969&gt;=0,H1969&lt;=3333),"Grupo 1",AND(H1969&gt;3333,H1969&lt;=6666),"Grupo 2",AND(H1969&gt;6666,H1969&lt;=10000),"Grupo 3")</f>
        <v>Grupo 1</v>
      </c>
    </row>
    <row r="1970" spans="1:17" x14ac:dyDescent="0.25">
      <c r="A1970" t="s">
        <v>180</v>
      </c>
      <c r="B1970" s="2">
        <v>45836.104166666657</v>
      </c>
      <c r="C1970" t="s">
        <v>348</v>
      </c>
      <c r="D1970" t="s">
        <v>214</v>
      </c>
      <c r="E1970">
        <v>2</v>
      </c>
      <c r="F1970">
        <v>140.54</v>
      </c>
      <c r="G1970" t="s">
        <v>222</v>
      </c>
      <c r="H1970">
        <v>281.08</v>
      </c>
      <c r="I1970">
        <v>2025</v>
      </c>
      <c r="J1970">
        <v>6</v>
      </c>
      <c r="K1970">
        <v>2</v>
      </c>
      <c r="L1970" s="14">
        <v>140.54</v>
      </c>
      <c r="M1970" s="4" t="str">
        <f t="shared" si="120"/>
        <v>sábado</v>
      </c>
      <c r="N1970" s="4" t="str">
        <f t="shared" si="121"/>
        <v>junio</v>
      </c>
      <c r="O1970" s="4" t="str">
        <f t="shared" si="122"/>
        <v>NO</v>
      </c>
      <c r="P1970" s="4" t="str">
        <f t="shared" si="123"/>
        <v>NO</v>
      </c>
      <c r="Q1970" s="4" t="str" cm="1">
        <f t="array" ref="Q1970">_xlfn.IFS(AND(H1970&gt;=0,H1970&lt;=3333),"Grupo 1",AND(H1970&gt;3333,H1970&lt;=6666),"Grupo 2",AND(H1970&gt;6666,H1970&lt;=10000),"Grupo 3")</f>
        <v>Grupo 1</v>
      </c>
    </row>
    <row r="1971" spans="1:17" x14ac:dyDescent="0.25">
      <c r="A1971" t="s">
        <v>181</v>
      </c>
      <c r="B1971" s="2">
        <v>45584.553472222222</v>
      </c>
      <c r="C1971" t="s">
        <v>349</v>
      </c>
      <c r="D1971" t="s">
        <v>218</v>
      </c>
      <c r="E1971">
        <v>5</v>
      </c>
      <c r="F1971">
        <v>286.87</v>
      </c>
      <c r="G1971" t="s">
        <v>221</v>
      </c>
      <c r="H1971">
        <v>1434.35</v>
      </c>
      <c r="I1971">
        <v>2024</v>
      </c>
      <c r="J1971">
        <v>10</v>
      </c>
      <c r="K1971">
        <v>13</v>
      </c>
      <c r="L1971" s="14">
        <v>286.87</v>
      </c>
      <c r="M1971" s="4" t="str">
        <f t="shared" si="120"/>
        <v>sábado</v>
      </c>
      <c r="N1971" s="4" t="str">
        <f t="shared" si="121"/>
        <v>octubre</v>
      </c>
      <c r="O1971" s="4" t="str">
        <f t="shared" si="122"/>
        <v>NO</v>
      </c>
      <c r="P1971" s="4" t="str">
        <f t="shared" si="123"/>
        <v>NO</v>
      </c>
      <c r="Q1971" s="4" t="str" cm="1">
        <f t="array" ref="Q1971">_xlfn.IFS(AND(H1971&gt;=0,H1971&lt;=3333),"Grupo 1",AND(H1971&gt;3333,H1971&lt;=6666),"Grupo 2",AND(H1971&gt;6666,H1971&lt;=10000),"Grupo 3")</f>
        <v>Grupo 1</v>
      </c>
    </row>
    <row r="1972" spans="1:17" x14ac:dyDescent="0.25">
      <c r="A1972" t="s">
        <v>182</v>
      </c>
      <c r="B1972" s="2">
        <v>45338.585416666669</v>
      </c>
      <c r="C1972" t="s">
        <v>350</v>
      </c>
      <c r="D1972" t="s">
        <v>216</v>
      </c>
      <c r="E1972">
        <v>5</v>
      </c>
      <c r="F1972">
        <v>1897.97</v>
      </c>
      <c r="G1972" t="s">
        <v>221</v>
      </c>
      <c r="H1972">
        <v>9489.85</v>
      </c>
      <c r="I1972">
        <v>2024</v>
      </c>
      <c r="J1972">
        <v>2</v>
      </c>
      <c r="K1972">
        <v>14</v>
      </c>
      <c r="L1972" s="14">
        <v>1897.97</v>
      </c>
      <c r="M1972" s="4" t="str">
        <f t="shared" si="120"/>
        <v>viernes</v>
      </c>
      <c r="N1972" s="4" t="str">
        <f t="shared" si="121"/>
        <v>febrero</v>
      </c>
      <c r="O1972" s="4" t="str">
        <f t="shared" si="122"/>
        <v>SI</v>
      </c>
      <c r="P1972" s="4" t="str">
        <f t="shared" si="123"/>
        <v>SI</v>
      </c>
      <c r="Q1972" s="4" t="str" cm="1">
        <f t="array" ref="Q1972">_xlfn.IFS(AND(H1972&gt;=0,H1972&lt;=3333),"Grupo 1",AND(H1972&gt;3333,H1972&lt;=6666),"Grupo 2",AND(H1972&gt;6666,H1972&lt;=10000),"Grupo 3")</f>
        <v>Grupo 3</v>
      </c>
    </row>
    <row r="1973" spans="1:17" x14ac:dyDescent="0.25">
      <c r="A1973" t="s">
        <v>183</v>
      </c>
      <c r="B1973" s="2">
        <v>45625.480555555558</v>
      </c>
      <c r="C1973" t="s">
        <v>351</v>
      </c>
      <c r="D1973" t="s">
        <v>213</v>
      </c>
      <c r="E1973">
        <v>2</v>
      </c>
      <c r="F1973">
        <v>587.71</v>
      </c>
      <c r="G1973" t="s">
        <v>221</v>
      </c>
      <c r="H1973">
        <v>1175.42</v>
      </c>
      <c r="I1973">
        <v>2024</v>
      </c>
      <c r="J1973">
        <v>11</v>
      </c>
      <c r="K1973">
        <v>11</v>
      </c>
      <c r="L1973" s="14">
        <v>587.71</v>
      </c>
      <c r="M1973" s="4" t="str">
        <f t="shared" si="120"/>
        <v>viernes</v>
      </c>
      <c r="N1973" s="4" t="str">
        <f t="shared" si="121"/>
        <v>noviembre</v>
      </c>
      <c r="O1973" s="4" t="str">
        <f t="shared" si="122"/>
        <v>NO</v>
      </c>
      <c r="P1973" s="4" t="str">
        <f t="shared" si="123"/>
        <v>NO</v>
      </c>
      <c r="Q1973" s="4" t="str" cm="1">
        <f t="array" ref="Q1973">_xlfn.IFS(AND(H1973&gt;=0,H1973&lt;=3333),"Grupo 1",AND(H1973&gt;3333,H1973&lt;=6666),"Grupo 2",AND(H1973&gt;6666,H1973&lt;=10000),"Grupo 3")</f>
        <v>Grupo 1</v>
      </c>
    </row>
    <row r="1974" spans="1:17" x14ac:dyDescent="0.25">
      <c r="A1974" t="s">
        <v>184</v>
      </c>
      <c r="B1974" s="2">
        <v>45291</v>
      </c>
      <c r="C1974" t="s">
        <v>352</v>
      </c>
      <c r="D1974" t="s">
        <v>216</v>
      </c>
      <c r="E1974">
        <v>4</v>
      </c>
      <c r="F1974">
        <v>895.13</v>
      </c>
      <c r="G1974" t="s">
        <v>221</v>
      </c>
      <c r="H1974">
        <v>3580.52</v>
      </c>
      <c r="I1974">
        <v>2023</v>
      </c>
      <c r="J1974">
        <v>12</v>
      </c>
      <c r="K1974">
        <v>0</v>
      </c>
      <c r="L1974" s="14">
        <v>895.13</v>
      </c>
      <c r="M1974" s="4" t="str">
        <f t="shared" si="120"/>
        <v>domingo</v>
      </c>
      <c r="N1974" s="4" t="str">
        <f t="shared" si="121"/>
        <v>diciembre</v>
      </c>
      <c r="O1974" s="4" t="str">
        <f t="shared" si="122"/>
        <v>SI</v>
      </c>
      <c r="P1974" s="4" t="str">
        <f t="shared" si="123"/>
        <v>NO</v>
      </c>
      <c r="Q1974" s="4" t="str" cm="1">
        <f t="array" ref="Q1974">_xlfn.IFS(AND(H1974&gt;=0,H1974&lt;=3333),"Grupo 1",AND(H1974&gt;3333,H1974&lt;=6666),"Grupo 2",AND(H1974&gt;6666,H1974&lt;=10000),"Grupo 3")</f>
        <v>Grupo 2</v>
      </c>
    </row>
    <row r="1975" spans="1:17" x14ac:dyDescent="0.25">
      <c r="A1975" t="s">
        <v>185</v>
      </c>
      <c r="B1975" s="2">
        <v>45548.488194444442</v>
      </c>
      <c r="C1975" t="s">
        <v>353</v>
      </c>
      <c r="D1975" t="s">
        <v>215</v>
      </c>
      <c r="E1975">
        <v>3</v>
      </c>
      <c r="F1975">
        <v>1457.35</v>
      </c>
      <c r="G1975" t="s">
        <v>220</v>
      </c>
      <c r="H1975">
        <v>4372.0499999999993</v>
      </c>
      <c r="I1975">
        <v>2024</v>
      </c>
      <c r="J1975">
        <v>9</v>
      </c>
      <c r="K1975">
        <v>11</v>
      </c>
      <c r="L1975" s="14">
        <v>1457.35</v>
      </c>
      <c r="M1975" s="4" t="str">
        <f t="shared" si="120"/>
        <v>viernes</v>
      </c>
      <c r="N1975" s="4" t="str">
        <f t="shared" si="121"/>
        <v>septiembre</v>
      </c>
      <c r="O1975" s="4" t="str">
        <f t="shared" si="122"/>
        <v>SI</v>
      </c>
      <c r="P1975" s="4" t="str">
        <f t="shared" si="123"/>
        <v>SI</v>
      </c>
      <c r="Q1975" s="4" t="str" cm="1">
        <f t="array" ref="Q1975">_xlfn.IFS(AND(H1975&gt;=0,H1975&lt;=3333),"Grupo 1",AND(H1975&gt;3333,H1975&lt;=6666),"Grupo 2",AND(H1975&gt;6666,H1975&lt;=10000),"Grupo 3")</f>
        <v>Grupo 2</v>
      </c>
    </row>
    <row r="1976" spans="1:17" x14ac:dyDescent="0.25">
      <c r="A1976" t="s">
        <v>186</v>
      </c>
      <c r="B1976" s="2">
        <v>45540.261805555558</v>
      </c>
      <c r="C1976" t="s">
        <v>354</v>
      </c>
      <c r="D1976" t="s">
        <v>214</v>
      </c>
      <c r="E1976">
        <v>3</v>
      </c>
      <c r="F1976">
        <v>1083.32</v>
      </c>
      <c r="G1976" t="s">
        <v>222</v>
      </c>
      <c r="H1976">
        <v>3249.96</v>
      </c>
      <c r="I1976">
        <v>2024</v>
      </c>
      <c r="J1976">
        <v>9</v>
      </c>
      <c r="K1976">
        <v>6</v>
      </c>
      <c r="L1976" s="14">
        <v>1083.32</v>
      </c>
      <c r="M1976" s="4" t="str">
        <f t="shared" si="120"/>
        <v>jueves</v>
      </c>
      <c r="N1976" s="4" t="str">
        <f t="shared" si="121"/>
        <v>septiembre</v>
      </c>
      <c r="O1976" s="4" t="str">
        <f t="shared" si="122"/>
        <v>SI</v>
      </c>
      <c r="P1976" s="4" t="str">
        <f t="shared" si="123"/>
        <v>SI</v>
      </c>
      <c r="Q1976" s="4" t="str" cm="1">
        <f t="array" ref="Q1976">_xlfn.IFS(AND(H1976&gt;=0,H1976&lt;=3333),"Grupo 1",AND(H1976&gt;3333,H1976&lt;=6666),"Grupo 2",AND(H1976&gt;6666,H1976&lt;=10000),"Grupo 3")</f>
        <v>Grupo 1</v>
      </c>
    </row>
    <row r="1977" spans="1:17" x14ac:dyDescent="0.25">
      <c r="A1977" t="s">
        <v>187</v>
      </c>
      <c r="B1977" s="2">
        <v>45783.684027777781</v>
      </c>
      <c r="C1977" t="s">
        <v>355</v>
      </c>
      <c r="D1977" t="s">
        <v>217</v>
      </c>
      <c r="E1977">
        <v>3</v>
      </c>
      <c r="F1977">
        <v>1542.71</v>
      </c>
      <c r="G1977" t="s">
        <v>220</v>
      </c>
      <c r="H1977">
        <v>4628.13</v>
      </c>
      <c r="I1977">
        <v>2025</v>
      </c>
      <c r="J1977">
        <v>5</v>
      </c>
      <c r="K1977">
        <v>16</v>
      </c>
      <c r="L1977" s="14">
        <v>1542.71</v>
      </c>
      <c r="M1977" s="4" t="str">
        <f t="shared" si="120"/>
        <v>martes</v>
      </c>
      <c r="N1977" s="4" t="str">
        <f t="shared" si="121"/>
        <v>mayo</v>
      </c>
      <c r="O1977" s="4" t="str">
        <f t="shared" si="122"/>
        <v>SI</v>
      </c>
      <c r="P1977" s="4" t="str">
        <f t="shared" si="123"/>
        <v>SI</v>
      </c>
      <c r="Q1977" s="4" t="str" cm="1">
        <f t="array" ref="Q1977">_xlfn.IFS(AND(H1977&gt;=0,H1977&lt;=3333),"Grupo 1",AND(H1977&gt;3333,H1977&lt;=6666),"Grupo 2",AND(H1977&gt;6666,H1977&lt;=10000),"Grupo 3")</f>
        <v>Grupo 2</v>
      </c>
    </row>
    <row r="1978" spans="1:17" x14ac:dyDescent="0.25">
      <c r="A1978" t="s">
        <v>188</v>
      </c>
      <c r="B1978" s="2">
        <v>45692.470138888893</v>
      </c>
      <c r="C1978" t="s">
        <v>356</v>
      </c>
      <c r="D1978" t="s">
        <v>215</v>
      </c>
      <c r="E1978">
        <v>5</v>
      </c>
      <c r="F1978">
        <v>723.8</v>
      </c>
      <c r="G1978" t="s">
        <v>220</v>
      </c>
      <c r="H1978">
        <v>3619</v>
      </c>
      <c r="I1978">
        <v>2025</v>
      </c>
      <c r="J1978">
        <v>2</v>
      </c>
      <c r="K1978">
        <v>11</v>
      </c>
      <c r="L1978" s="14">
        <v>723.8</v>
      </c>
      <c r="M1978" s="4" t="str">
        <f t="shared" si="120"/>
        <v>martes</v>
      </c>
      <c r="N1978" s="4" t="str">
        <f t="shared" si="121"/>
        <v>febrero</v>
      </c>
      <c r="O1978" s="4" t="str">
        <f t="shared" si="122"/>
        <v>SI</v>
      </c>
      <c r="P1978" s="4" t="str">
        <f t="shared" si="123"/>
        <v>NO</v>
      </c>
      <c r="Q1978" s="4" t="str" cm="1">
        <f t="array" ref="Q1978">_xlfn.IFS(AND(H1978&gt;=0,H1978&lt;=3333),"Grupo 1",AND(H1978&gt;3333,H1978&lt;=6666),"Grupo 2",AND(H1978&gt;6666,H1978&lt;=10000),"Grupo 3")</f>
        <v>Grupo 2</v>
      </c>
    </row>
    <row r="1979" spans="1:17" x14ac:dyDescent="0.25">
      <c r="A1979" t="s">
        <v>189</v>
      </c>
      <c r="B1979" s="2">
        <v>45186.410416666673</v>
      </c>
      <c r="C1979" t="s">
        <v>357</v>
      </c>
      <c r="D1979" t="s">
        <v>213</v>
      </c>
      <c r="E1979">
        <v>5</v>
      </c>
      <c r="F1979">
        <v>179.97</v>
      </c>
      <c r="G1979" t="s">
        <v>221</v>
      </c>
      <c r="H1979">
        <v>899.85</v>
      </c>
      <c r="I1979">
        <v>2023</v>
      </c>
      <c r="J1979">
        <v>9</v>
      </c>
      <c r="K1979">
        <v>9</v>
      </c>
      <c r="L1979" s="14">
        <v>179.97</v>
      </c>
      <c r="M1979" s="4" t="str">
        <f t="shared" si="120"/>
        <v>domingo</v>
      </c>
      <c r="N1979" s="4" t="str">
        <f t="shared" si="121"/>
        <v>septiembre</v>
      </c>
      <c r="O1979" s="4" t="str">
        <f t="shared" si="122"/>
        <v>NO</v>
      </c>
      <c r="P1979" s="4" t="str">
        <f t="shared" si="123"/>
        <v>NO</v>
      </c>
      <c r="Q1979" s="4" t="str" cm="1">
        <f t="array" ref="Q1979">_xlfn.IFS(AND(H1979&gt;=0,H1979&lt;=3333),"Grupo 1",AND(H1979&gt;3333,H1979&lt;=6666),"Grupo 2",AND(H1979&gt;6666,H1979&lt;=10000),"Grupo 3")</f>
        <v>Grupo 1</v>
      </c>
    </row>
    <row r="1980" spans="1:17" x14ac:dyDescent="0.25">
      <c r="A1980" t="s">
        <v>190</v>
      </c>
      <c r="B1980" s="2">
        <v>45539.616666666669</v>
      </c>
      <c r="C1980" t="s">
        <v>358</v>
      </c>
      <c r="D1980" t="s">
        <v>217</v>
      </c>
      <c r="E1980">
        <v>1</v>
      </c>
      <c r="F1980">
        <v>1318.43</v>
      </c>
      <c r="G1980" t="s">
        <v>220</v>
      </c>
      <c r="H1980">
        <v>1318.43</v>
      </c>
      <c r="I1980">
        <v>2024</v>
      </c>
      <c r="J1980">
        <v>9</v>
      </c>
      <c r="K1980">
        <v>14</v>
      </c>
      <c r="L1980" s="14">
        <v>1318.43</v>
      </c>
      <c r="M1980" s="4" t="str">
        <f t="shared" si="120"/>
        <v>miércoles</v>
      </c>
      <c r="N1980" s="4" t="str">
        <f t="shared" si="121"/>
        <v>septiembre</v>
      </c>
      <c r="O1980" s="4" t="str">
        <f t="shared" si="122"/>
        <v>NO</v>
      </c>
      <c r="P1980" s="4" t="str">
        <f t="shared" si="123"/>
        <v>SI</v>
      </c>
      <c r="Q1980" s="4" t="str" cm="1">
        <f t="array" ref="Q1980">_xlfn.IFS(AND(H1980&gt;=0,H1980&lt;=3333),"Grupo 1",AND(H1980&gt;3333,H1980&lt;=6666),"Grupo 2",AND(H1980&gt;6666,H1980&lt;=10000),"Grupo 3")</f>
        <v>Grupo 1</v>
      </c>
    </row>
    <row r="1981" spans="1:17" x14ac:dyDescent="0.25">
      <c r="A1981" t="s">
        <v>191</v>
      </c>
      <c r="B1981" s="2">
        <v>45073.392361111109</v>
      </c>
      <c r="C1981" t="s">
        <v>359</v>
      </c>
      <c r="D1981" t="s">
        <v>215</v>
      </c>
      <c r="E1981">
        <v>2</v>
      </c>
      <c r="F1981">
        <v>307.37</v>
      </c>
      <c r="G1981" t="s">
        <v>220</v>
      </c>
      <c r="H1981">
        <v>614.74</v>
      </c>
      <c r="I1981">
        <v>2023</v>
      </c>
      <c r="J1981">
        <v>5</v>
      </c>
      <c r="K1981">
        <v>9</v>
      </c>
      <c r="L1981" s="14">
        <v>307.37</v>
      </c>
      <c r="M1981" s="4" t="str">
        <f t="shared" si="120"/>
        <v>sábado</v>
      </c>
      <c r="N1981" s="4" t="str">
        <f t="shared" si="121"/>
        <v>mayo</v>
      </c>
      <c r="O1981" s="4" t="str">
        <f t="shared" si="122"/>
        <v>NO</v>
      </c>
      <c r="P1981" s="4" t="str">
        <f t="shared" si="123"/>
        <v>NO</v>
      </c>
      <c r="Q1981" s="4" t="str" cm="1">
        <f t="array" ref="Q1981">_xlfn.IFS(AND(H1981&gt;=0,H1981&lt;=3333),"Grupo 1",AND(H1981&gt;3333,H1981&lt;=6666),"Grupo 2",AND(H1981&gt;6666,H1981&lt;=10000),"Grupo 3")</f>
        <v>Grupo 1</v>
      </c>
    </row>
    <row r="1982" spans="1:17" x14ac:dyDescent="0.25">
      <c r="A1982" t="s">
        <v>192</v>
      </c>
      <c r="B1982" s="2">
        <v>45287.277777777781</v>
      </c>
      <c r="C1982" t="s">
        <v>261</v>
      </c>
      <c r="D1982" t="s">
        <v>214</v>
      </c>
      <c r="E1982">
        <v>1</v>
      </c>
      <c r="F1982">
        <v>1364.97</v>
      </c>
      <c r="G1982" t="s">
        <v>222</v>
      </c>
      <c r="H1982">
        <v>1364.97</v>
      </c>
      <c r="I1982">
        <v>2023</v>
      </c>
      <c r="J1982">
        <v>12</v>
      </c>
      <c r="K1982">
        <v>6</v>
      </c>
      <c r="L1982" s="14">
        <v>1364.97</v>
      </c>
      <c r="M1982" s="4" t="str">
        <f t="shared" si="120"/>
        <v>miércoles</v>
      </c>
      <c r="N1982" s="4" t="str">
        <f t="shared" si="121"/>
        <v>diciembre</v>
      </c>
      <c r="O1982" s="4" t="str">
        <f t="shared" si="122"/>
        <v>NO</v>
      </c>
      <c r="P1982" s="4" t="str">
        <f t="shared" si="123"/>
        <v>SI</v>
      </c>
      <c r="Q1982" s="4" t="str" cm="1">
        <f t="array" ref="Q1982">_xlfn.IFS(AND(H1982&gt;=0,H1982&lt;=3333),"Grupo 1",AND(H1982&gt;3333,H1982&lt;=6666),"Grupo 2",AND(H1982&gt;6666,H1982&lt;=10000),"Grupo 3")</f>
        <v>Grupo 1</v>
      </c>
    </row>
    <row r="1983" spans="1:17" x14ac:dyDescent="0.25">
      <c r="A1983" t="s">
        <v>193</v>
      </c>
      <c r="B1983" s="2">
        <v>45398.678472222222</v>
      </c>
      <c r="C1983" t="s">
        <v>262</v>
      </c>
      <c r="D1983" t="s">
        <v>219</v>
      </c>
      <c r="E1983">
        <v>3</v>
      </c>
      <c r="F1983">
        <v>244.23</v>
      </c>
      <c r="G1983" t="s">
        <v>221</v>
      </c>
      <c r="H1983">
        <v>732.68999999999994</v>
      </c>
      <c r="I1983">
        <v>2024</v>
      </c>
      <c r="J1983">
        <v>4</v>
      </c>
      <c r="K1983">
        <v>16</v>
      </c>
      <c r="L1983" s="14">
        <v>244.23</v>
      </c>
      <c r="M1983" s="4" t="str">
        <f t="shared" si="120"/>
        <v>martes</v>
      </c>
      <c r="N1983" s="4" t="str">
        <f t="shared" si="121"/>
        <v>abril</v>
      </c>
      <c r="O1983" s="4" t="str">
        <f t="shared" si="122"/>
        <v>NO</v>
      </c>
      <c r="P1983" s="4" t="str">
        <f t="shared" si="123"/>
        <v>NO</v>
      </c>
      <c r="Q1983" s="4" t="str" cm="1">
        <f t="array" ref="Q1983">_xlfn.IFS(AND(H1983&gt;=0,H1983&lt;=3333),"Grupo 1",AND(H1983&gt;3333,H1983&lt;=6666),"Grupo 2",AND(H1983&gt;6666,H1983&lt;=10000),"Grupo 3")</f>
        <v>Grupo 1</v>
      </c>
    </row>
    <row r="1984" spans="1:17" x14ac:dyDescent="0.25">
      <c r="A1984" t="s">
        <v>194</v>
      </c>
      <c r="B1984" s="2">
        <v>44949.395833333343</v>
      </c>
      <c r="C1984" t="s">
        <v>263</v>
      </c>
      <c r="D1984" t="s">
        <v>216</v>
      </c>
      <c r="E1984">
        <v>3</v>
      </c>
      <c r="F1984">
        <v>245.64</v>
      </c>
      <c r="G1984" t="s">
        <v>221</v>
      </c>
      <c r="H1984">
        <v>736.92</v>
      </c>
      <c r="I1984">
        <v>2023</v>
      </c>
      <c r="J1984">
        <v>1</v>
      </c>
      <c r="K1984">
        <v>9</v>
      </c>
      <c r="L1984" s="14">
        <v>245.64</v>
      </c>
      <c r="M1984" s="4" t="str">
        <f t="shared" si="120"/>
        <v>lunes</v>
      </c>
      <c r="N1984" s="4" t="str">
        <f t="shared" si="121"/>
        <v>enero</v>
      </c>
      <c r="O1984" s="4" t="str">
        <f t="shared" si="122"/>
        <v>NO</v>
      </c>
      <c r="P1984" s="4" t="str">
        <f t="shared" si="123"/>
        <v>NO</v>
      </c>
      <c r="Q1984" s="4" t="str" cm="1">
        <f t="array" ref="Q1984">_xlfn.IFS(AND(H1984&gt;=0,H1984&lt;=3333),"Grupo 1",AND(H1984&gt;3333,H1984&lt;=6666),"Grupo 2",AND(H1984&gt;6666,H1984&lt;=10000),"Grupo 3")</f>
        <v>Grupo 1</v>
      </c>
    </row>
    <row r="1985" spans="1:17" x14ac:dyDescent="0.25">
      <c r="A1985" t="s">
        <v>195</v>
      </c>
      <c r="B1985" s="2">
        <v>45560.538194444453</v>
      </c>
      <c r="C1985" t="s">
        <v>264</v>
      </c>
      <c r="D1985" t="s">
        <v>216</v>
      </c>
      <c r="E1985">
        <v>1</v>
      </c>
      <c r="F1985">
        <v>1501.34</v>
      </c>
      <c r="G1985" t="s">
        <v>221</v>
      </c>
      <c r="H1985">
        <v>1501.34</v>
      </c>
      <c r="I1985">
        <v>2024</v>
      </c>
      <c r="J1985">
        <v>9</v>
      </c>
      <c r="K1985">
        <v>12</v>
      </c>
      <c r="L1985" s="14">
        <v>1501.34</v>
      </c>
      <c r="M1985" s="4" t="str">
        <f t="shared" si="120"/>
        <v>miércoles</v>
      </c>
      <c r="N1985" s="4" t="str">
        <f t="shared" si="121"/>
        <v>septiembre</v>
      </c>
      <c r="O1985" s="4" t="str">
        <f t="shared" si="122"/>
        <v>NO</v>
      </c>
      <c r="P1985" s="4" t="str">
        <f t="shared" si="123"/>
        <v>SI</v>
      </c>
      <c r="Q1985" s="4" t="str" cm="1">
        <f t="array" ref="Q1985">_xlfn.IFS(AND(H1985&gt;=0,H1985&lt;=3333),"Grupo 1",AND(H1985&gt;3333,H1985&lt;=6666),"Grupo 2",AND(H1985&gt;6666,H1985&lt;=10000),"Grupo 3")</f>
        <v>Grupo 1</v>
      </c>
    </row>
    <row r="1986" spans="1:17" x14ac:dyDescent="0.25">
      <c r="A1986" t="s">
        <v>196</v>
      </c>
      <c r="B1986" s="2">
        <v>45636.231249999997</v>
      </c>
      <c r="C1986" t="s">
        <v>265</v>
      </c>
      <c r="D1986" t="s">
        <v>213</v>
      </c>
      <c r="E1986">
        <v>4</v>
      </c>
      <c r="F1986">
        <v>995.18</v>
      </c>
      <c r="G1986" t="s">
        <v>221</v>
      </c>
      <c r="H1986">
        <v>3980.72</v>
      </c>
      <c r="I1986">
        <v>2024</v>
      </c>
      <c r="J1986">
        <v>12</v>
      </c>
      <c r="K1986">
        <v>5</v>
      </c>
      <c r="L1986" s="14">
        <v>995.18</v>
      </c>
      <c r="M1986" s="4" t="str">
        <f t="shared" ref="M1986:M2001" si="124">TEXT(B1986,"dddd")</f>
        <v>martes</v>
      </c>
      <c r="N1986" s="4" t="str">
        <f t="shared" ref="N1986:N2001" si="125">TEXT(B1986,"mmmm")</f>
        <v>diciembre</v>
      </c>
      <c r="O1986" s="4" t="str">
        <f t="shared" si="122"/>
        <v>SI</v>
      </c>
      <c r="P1986" s="4" t="str">
        <f t="shared" si="123"/>
        <v>SI</v>
      </c>
      <c r="Q1986" s="4" t="str" cm="1">
        <f t="array" ref="Q1986">_xlfn.IFS(AND(H1986&gt;=0,H1986&lt;=3333),"Grupo 1",AND(H1986&gt;3333,H1986&lt;=6666),"Grupo 2",AND(H1986&gt;6666,H1986&lt;=10000),"Grupo 3")</f>
        <v>Grupo 2</v>
      </c>
    </row>
    <row r="1987" spans="1:17" x14ac:dyDescent="0.25">
      <c r="A1987" t="s">
        <v>197</v>
      </c>
      <c r="B1987" s="2">
        <v>45218.252083333333</v>
      </c>
      <c r="C1987" t="s">
        <v>266</v>
      </c>
      <c r="D1987" t="s">
        <v>213</v>
      </c>
      <c r="E1987">
        <v>2</v>
      </c>
      <c r="F1987">
        <v>1834.72</v>
      </c>
      <c r="G1987" t="s">
        <v>221</v>
      </c>
      <c r="H1987">
        <v>3669.44</v>
      </c>
      <c r="I1987">
        <v>2023</v>
      </c>
      <c r="J1987">
        <v>10</v>
      </c>
      <c r="K1987">
        <v>6</v>
      </c>
      <c r="L1987" s="14">
        <v>1834.72</v>
      </c>
      <c r="M1987" s="4" t="str">
        <f t="shared" si="124"/>
        <v>jueves</v>
      </c>
      <c r="N1987" s="4" t="str">
        <f t="shared" si="125"/>
        <v>octubre</v>
      </c>
      <c r="O1987" s="4" t="str">
        <f t="shared" ref="O1987:O2001" si="126">IF(H1987&gt;AVERAGE(H:H),"SI","NO")</f>
        <v>SI</v>
      </c>
      <c r="P1987" s="4" t="str">
        <f t="shared" ref="P1987:P2001" si="127">IF(L1987&gt;AVERAGE(L:L),"SI","NO")</f>
        <v>SI</v>
      </c>
      <c r="Q1987" s="4" t="str" cm="1">
        <f t="array" ref="Q1987">_xlfn.IFS(AND(H1987&gt;=0,H1987&lt;=3333),"Grupo 1",AND(H1987&gt;3333,H1987&lt;=6666),"Grupo 2",AND(H1987&gt;6666,H1987&lt;=10000),"Grupo 3")</f>
        <v>Grupo 2</v>
      </c>
    </row>
    <row r="1988" spans="1:17" x14ac:dyDescent="0.25">
      <c r="A1988" t="s">
        <v>198</v>
      </c>
      <c r="B1988" s="2">
        <v>45615.827777777777</v>
      </c>
      <c r="C1988" t="s">
        <v>267</v>
      </c>
      <c r="D1988" t="s">
        <v>219</v>
      </c>
      <c r="E1988">
        <v>2</v>
      </c>
      <c r="F1988">
        <v>1942.31</v>
      </c>
      <c r="G1988" t="s">
        <v>221</v>
      </c>
      <c r="H1988">
        <v>3884.62</v>
      </c>
      <c r="I1988">
        <v>2024</v>
      </c>
      <c r="J1988">
        <v>11</v>
      </c>
      <c r="K1988">
        <v>19</v>
      </c>
      <c r="L1988" s="14">
        <v>1942.31</v>
      </c>
      <c r="M1988" s="4" t="str">
        <f t="shared" si="124"/>
        <v>martes</v>
      </c>
      <c r="N1988" s="4" t="str">
        <f t="shared" si="125"/>
        <v>noviembre</v>
      </c>
      <c r="O1988" s="4" t="str">
        <f t="shared" si="126"/>
        <v>SI</v>
      </c>
      <c r="P1988" s="4" t="str">
        <f t="shared" si="127"/>
        <v>SI</v>
      </c>
      <c r="Q1988" s="4" t="str" cm="1">
        <f t="array" ref="Q1988">_xlfn.IFS(AND(H1988&gt;=0,H1988&lt;=3333),"Grupo 1",AND(H1988&gt;3333,H1988&lt;=6666),"Grupo 2",AND(H1988&gt;6666,H1988&lt;=10000),"Grupo 3")</f>
        <v>Grupo 2</v>
      </c>
    </row>
    <row r="1989" spans="1:17" x14ac:dyDescent="0.25">
      <c r="A1989" t="s">
        <v>199</v>
      </c>
      <c r="B1989" s="2">
        <v>45755.705555555563</v>
      </c>
      <c r="C1989" t="s">
        <v>268</v>
      </c>
      <c r="D1989" t="s">
        <v>219</v>
      </c>
      <c r="E1989">
        <v>3</v>
      </c>
      <c r="F1989">
        <v>1025.57</v>
      </c>
      <c r="G1989" t="s">
        <v>221</v>
      </c>
      <c r="H1989">
        <v>3076.71</v>
      </c>
      <c r="I1989">
        <v>2025</v>
      </c>
      <c r="J1989">
        <v>4</v>
      </c>
      <c r="K1989">
        <v>16</v>
      </c>
      <c r="L1989" s="14">
        <v>1025.57</v>
      </c>
      <c r="M1989" s="4" t="str">
        <f t="shared" si="124"/>
        <v>martes</v>
      </c>
      <c r="N1989" s="4" t="str">
        <f t="shared" si="125"/>
        <v>abril</v>
      </c>
      <c r="O1989" s="4" t="str">
        <f t="shared" si="126"/>
        <v>SI</v>
      </c>
      <c r="P1989" s="4" t="str">
        <f t="shared" si="127"/>
        <v>SI</v>
      </c>
      <c r="Q1989" s="4" t="str" cm="1">
        <f t="array" ref="Q1989">_xlfn.IFS(AND(H1989&gt;=0,H1989&lt;=3333),"Grupo 1",AND(H1989&gt;3333,H1989&lt;=6666),"Grupo 2",AND(H1989&gt;6666,H1989&lt;=10000),"Grupo 3")</f>
        <v>Grupo 1</v>
      </c>
    </row>
    <row r="1990" spans="1:17" x14ac:dyDescent="0.25">
      <c r="A1990" t="s">
        <v>200</v>
      </c>
      <c r="B1990" s="2">
        <v>44962.009722222218</v>
      </c>
      <c r="C1990" t="s">
        <v>269</v>
      </c>
      <c r="D1990" t="s">
        <v>215</v>
      </c>
      <c r="E1990">
        <v>4</v>
      </c>
      <c r="F1990">
        <v>555.19000000000005</v>
      </c>
      <c r="G1990" t="s">
        <v>220</v>
      </c>
      <c r="H1990">
        <v>2220.7600000000002</v>
      </c>
      <c r="I1990">
        <v>2023</v>
      </c>
      <c r="J1990">
        <v>2</v>
      </c>
      <c r="K1990">
        <v>0</v>
      </c>
      <c r="L1990" s="14">
        <v>555.19000000000005</v>
      </c>
      <c r="M1990" s="4" t="str">
        <f t="shared" si="124"/>
        <v>domingo</v>
      </c>
      <c r="N1990" s="4" t="str">
        <f t="shared" si="125"/>
        <v>febrero</v>
      </c>
      <c r="O1990" s="4" t="str">
        <f t="shared" si="126"/>
        <v>NO</v>
      </c>
      <c r="P1990" s="4" t="str">
        <f t="shared" si="127"/>
        <v>NO</v>
      </c>
      <c r="Q1990" s="4" t="str" cm="1">
        <f t="array" ref="Q1990">_xlfn.IFS(AND(H1990&gt;=0,H1990&lt;=3333),"Grupo 1",AND(H1990&gt;3333,H1990&lt;=6666),"Grupo 2",AND(H1990&gt;6666,H1990&lt;=10000),"Grupo 3")</f>
        <v>Grupo 1</v>
      </c>
    </row>
    <row r="1991" spans="1:17" x14ac:dyDescent="0.25">
      <c r="A1991" t="s">
        <v>201</v>
      </c>
      <c r="B1991" s="2">
        <v>45194.675000000003</v>
      </c>
      <c r="C1991" t="s">
        <v>270</v>
      </c>
      <c r="D1991" t="s">
        <v>214</v>
      </c>
      <c r="E1991">
        <v>5</v>
      </c>
      <c r="F1991">
        <v>750.82</v>
      </c>
      <c r="G1991" t="s">
        <v>222</v>
      </c>
      <c r="H1991">
        <v>3754.1</v>
      </c>
      <c r="I1991">
        <v>2023</v>
      </c>
      <c r="J1991">
        <v>9</v>
      </c>
      <c r="K1991">
        <v>16</v>
      </c>
      <c r="L1991" s="14">
        <v>750.82</v>
      </c>
      <c r="M1991" s="4" t="str">
        <f t="shared" si="124"/>
        <v>lunes</v>
      </c>
      <c r="N1991" s="4" t="str">
        <f t="shared" si="125"/>
        <v>septiembre</v>
      </c>
      <c r="O1991" s="4" t="str">
        <f t="shared" si="126"/>
        <v>SI</v>
      </c>
      <c r="P1991" s="4" t="str">
        <f t="shared" si="127"/>
        <v>NO</v>
      </c>
      <c r="Q1991" s="4" t="str" cm="1">
        <f t="array" ref="Q1991">_xlfn.IFS(AND(H1991&gt;=0,H1991&lt;=3333),"Grupo 1",AND(H1991&gt;3333,H1991&lt;=6666),"Grupo 2",AND(H1991&gt;6666,H1991&lt;=10000),"Grupo 3")</f>
        <v>Grupo 2</v>
      </c>
    </row>
    <row r="1992" spans="1:17" x14ac:dyDescent="0.25">
      <c r="A1992" t="s">
        <v>202</v>
      </c>
      <c r="B1992" s="2">
        <v>45818.179861111108</v>
      </c>
      <c r="C1992" t="s">
        <v>271</v>
      </c>
      <c r="D1992" t="s">
        <v>215</v>
      </c>
      <c r="E1992">
        <v>2</v>
      </c>
      <c r="F1992">
        <v>1609.9</v>
      </c>
      <c r="G1992" t="s">
        <v>220</v>
      </c>
      <c r="H1992">
        <v>3219.8</v>
      </c>
      <c r="I1992">
        <v>2025</v>
      </c>
      <c r="J1992">
        <v>6</v>
      </c>
      <c r="K1992">
        <v>4</v>
      </c>
      <c r="L1992" s="14">
        <v>1609.9</v>
      </c>
      <c r="M1992" s="4" t="str">
        <f t="shared" si="124"/>
        <v>martes</v>
      </c>
      <c r="N1992" s="4" t="str">
        <f t="shared" si="125"/>
        <v>junio</v>
      </c>
      <c r="O1992" s="4" t="str">
        <f t="shared" si="126"/>
        <v>SI</v>
      </c>
      <c r="P1992" s="4" t="str">
        <f t="shared" si="127"/>
        <v>SI</v>
      </c>
      <c r="Q1992" s="4" t="str" cm="1">
        <f t="array" ref="Q1992">_xlfn.IFS(AND(H1992&gt;=0,H1992&lt;=3333),"Grupo 1",AND(H1992&gt;3333,H1992&lt;=6666),"Grupo 2",AND(H1992&gt;6666,H1992&lt;=10000),"Grupo 3")</f>
        <v>Grupo 1</v>
      </c>
    </row>
    <row r="1993" spans="1:17" x14ac:dyDescent="0.25">
      <c r="A1993" t="s">
        <v>203</v>
      </c>
      <c r="B1993" s="2">
        <v>45755.011111111111</v>
      </c>
      <c r="C1993" t="s">
        <v>272</v>
      </c>
      <c r="D1993" t="s">
        <v>214</v>
      </c>
      <c r="E1993">
        <v>3</v>
      </c>
      <c r="F1993">
        <v>27.89</v>
      </c>
      <c r="G1993" t="s">
        <v>222</v>
      </c>
      <c r="H1993">
        <v>83.67</v>
      </c>
      <c r="I1993">
        <v>2025</v>
      </c>
      <c r="J1993">
        <v>4</v>
      </c>
      <c r="K1993">
        <v>0</v>
      </c>
      <c r="L1993" s="14">
        <v>27.89</v>
      </c>
      <c r="M1993" s="4" t="str">
        <f t="shared" si="124"/>
        <v>martes</v>
      </c>
      <c r="N1993" s="4" t="str">
        <f t="shared" si="125"/>
        <v>abril</v>
      </c>
      <c r="O1993" s="4" t="str">
        <f t="shared" si="126"/>
        <v>NO</v>
      </c>
      <c r="P1993" s="4" t="str">
        <f t="shared" si="127"/>
        <v>NO</v>
      </c>
      <c r="Q1993" s="4" t="str" cm="1">
        <f t="array" ref="Q1993">_xlfn.IFS(AND(H1993&gt;=0,H1993&lt;=3333),"Grupo 1",AND(H1993&gt;3333,H1993&lt;=6666),"Grupo 2",AND(H1993&gt;6666,H1993&lt;=10000),"Grupo 3")</f>
        <v>Grupo 1</v>
      </c>
    </row>
    <row r="1994" spans="1:17" x14ac:dyDescent="0.25">
      <c r="A1994" t="s">
        <v>204</v>
      </c>
      <c r="B1994" s="2">
        <v>45862.584722222222</v>
      </c>
      <c r="C1994" t="s">
        <v>273</v>
      </c>
      <c r="D1994" t="s">
        <v>219</v>
      </c>
      <c r="E1994">
        <v>1</v>
      </c>
      <c r="F1994">
        <v>1700.54</v>
      </c>
      <c r="G1994" t="s">
        <v>221</v>
      </c>
      <c r="H1994">
        <v>1700.54</v>
      </c>
      <c r="I1994">
        <v>2025</v>
      </c>
      <c r="J1994">
        <v>7</v>
      </c>
      <c r="K1994">
        <v>14</v>
      </c>
      <c r="L1994" s="14">
        <v>1700.54</v>
      </c>
      <c r="M1994" s="4" t="str">
        <f t="shared" si="124"/>
        <v>jueves</v>
      </c>
      <c r="N1994" s="4" t="str">
        <f t="shared" si="125"/>
        <v>julio</v>
      </c>
      <c r="O1994" s="4" t="str">
        <f t="shared" si="126"/>
        <v>NO</v>
      </c>
      <c r="P1994" s="4" t="str">
        <f t="shared" si="127"/>
        <v>SI</v>
      </c>
      <c r="Q1994" s="4" t="str" cm="1">
        <f t="array" ref="Q1994">_xlfn.IFS(AND(H1994&gt;=0,H1994&lt;=3333),"Grupo 1",AND(H1994&gt;3333,H1994&lt;=6666),"Grupo 2",AND(H1994&gt;6666,H1994&lt;=10000),"Grupo 3")</f>
        <v>Grupo 1</v>
      </c>
    </row>
    <row r="1995" spans="1:17" x14ac:dyDescent="0.25">
      <c r="A1995" t="s">
        <v>205</v>
      </c>
      <c r="B1995" s="2">
        <v>45802.370833333327</v>
      </c>
      <c r="C1995" t="s">
        <v>274</v>
      </c>
      <c r="D1995" t="s">
        <v>219</v>
      </c>
      <c r="E1995">
        <v>3</v>
      </c>
      <c r="F1995">
        <v>473.4</v>
      </c>
      <c r="G1995" t="s">
        <v>221</v>
      </c>
      <c r="H1995">
        <v>1420.2</v>
      </c>
      <c r="I1995">
        <v>2025</v>
      </c>
      <c r="J1995">
        <v>5</v>
      </c>
      <c r="K1995">
        <v>8</v>
      </c>
      <c r="L1995" s="14">
        <v>473.39999999999992</v>
      </c>
      <c r="M1995" s="4" t="str">
        <f t="shared" si="124"/>
        <v>domingo</v>
      </c>
      <c r="N1995" s="4" t="str">
        <f t="shared" si="125"/>
        <v>mayo</v>
      </c>
      <c r="O1995" s="4" t="str">
        <f t="shared" si="126"/>
        <v>NO</v>
      </c>
      <c r="P1995" s="4" t="str">
        <f t="shared" si="127"/>
        <v>NO</v>
      </c>
      <c r="Q1995" s="4" t="str" cm="1">
        <f t="array" ref="Q1995">_xlfn.IFS(AND(H1995&gt;=0,H1995&lt;=3333),"Grupo 1",AND(H1995&gt;3333,H1995&lt;=6666),"Grupo 2",AND(H1995&gt;6666,H1995&lt;=10000),"Grupo 3")</f>
        <v>Grupo 1</v>
      </c>
    </row>
    <row r="1996" spans="1:17" x14ac:dyDescent="0.25">
      <c r="A1996" t="s">
        <v>206</v>
      </c>
      <c r="B1996" s="2">
        <v>45178.038888888892</v>
      </c>
      <c r="C1996" t="s">
        <v>275</v>
      </c>
      <c r="D1996" t="s">
        <v>215</v>
      </c>
      <c r="E1996">
        <v>1</v>
      </c>
      <c r="F1996">
        <v>521.32000000000005</v>
      </c>
      <c r="G1996" t="s">
        <v>220</v>
      </c>
      <c r="H1996">
        <v>521.32000000000005</v>
      </c>
      <c r="I1996">
        <v>2023</v>
      </c>
      <c r="J1996">
        <v>9</v>
      </c>
      <c r="K1996">
        <v>0</v>
      </c>
      <c r="L1996" s="14">
        <v>521.32000000000005</v>
      </c>
      <c r="M1996" s="4" t="str">
        <f t="shared" si="124"/>
        <v>sábado</v>
      </c>
      <c r="N1996" s="4" t="str">
        <f t="shared" si="125"/>
        <v>septiembre</v>
      </c>
      <c r="O1996" s="4" t="str">
        <f t="shared" si="126"/>
        <v>NO</v>
      </c>
      <c r="P1996" s="4" t="str">
        <f t="shared" si="127"/>
        <v>NO</v>
      </c>
      <c r="Q1996" s="4" t="str" cm="1">
        <f t="array" ref="Q1996">_xlfn.IFS(AND(H1996&gt;=0,H1996&lt;=3333),"Grupo 1",AND(H1996&gt;3333,H1996&lt;=6666),"Grupo 2",AND(H1996&gt;6666,H1996&lt;=10000),"Grupo 3")</f>
        <v>Grupo 1</v>
      </c>
    </row>
    <row r="1997" spans="1:17" x14ac:dyDescent="0.25">
      <c r="A1997" t="s">
        <v>207</v>
      </c>
      <c r="B1997" s="2">
        <v>45748.34097222222</v>
      </c>
      <c r="C1997" t="s">
        <v>276</v>
      </c>
      <c r="D1997" t="s">
        <v>213</v>
      </c>
      <c r="E1997">
        <v>1</v>
      </c>
      <c r="F1997">
        <v>1067.6400000000001</v>
      </c>
      <c r="G1997" t="s">
        <v>221</v>
      </c>
      <c r="H1997">
        <v>1067.6400000000001</v>
      </c>
      <c r="I1997">
        <v>2025</v>
      </c>
      <c r="J1997">
        <v>4</v>
      </c>
      <c r="K1997">
        <v>8</v>
      </c>
      <c r="L1997" s="14">
        <v>1067.6400000000001</v>
      </c>
      <c r="M1997" s="4" t="str">
        <f t="shared" si="124"/>
        <v>martes</v>
      </c>
      <c r="N1997" s="4" t="str">
        <f t="shared" si="125"/>
        <v>abril</v>
      </c>
      <c r="O1997" s="4" t="str">
        <f t="shared" si="126"/>
        <v>NO</v>
      </c>
      <c r="P1997" s="4" t="str">
        <f t="shared" si="127"/>
        <v>SI</v>
      </c>
      <c r="Q1997" s="4" t="str" cm="1">
        <f t="array" ref="Q1997">_xlfn.IFS(AND(H1997&gt;=0,H1997&lt;=3333),"Grupo 1",AND(H1997&gt;3333,H1997&lt;=6666),"Grupo 2",AND(H1997&gt;6666,H1997&lt;=10000),"Grupo 3")</f>
        <v>Grupo 1</v>
      </c>
    </row>
    <row r="1998" spans="1:17" x14ac:dyDescent="0.25">
      <c r="A1998" t="s">
        <v>208</v>
      </c>
      <c r="B1998" s="2">
        <v>45055.556250000001</v>
      </c>
      <c r="C1998" t="s">
        <v>277</v>
      </c>
      <c r="D1998" t="s">
        <v>218</v>
      </c>
      <c r="E1998">
        <v>1</v>
      </c>
      <c r="F1998">
        <v>1903.64</v>
      </c>
      <c r="G1998" t="s">
        <v>221</v>
      </c>
      <c r="H1998">
        <v>1903.64</v>
      </c>
      <c r="I1998">
        <v>2023</v>
      </c>
      <c r="J1998">
        <v>5</v>
      </c>
      <c r="K1998">
        <v>13</v>
      </c>
      <c r="L1998" s="14">
        <v>1903.64</v>
      </c>
      <c r="M1998" s="4" t="str">
        <f t="shared" si="124"/>
        <v>martes</v>
      </c>
      <c r="N1998" s="4" t="str">
        <f t="shared" si="125"/>
        <v>mayo</v>
      </c>
      <c r="O1998" s="4" t="str">
        <f t="shared" si="126"/>
        <v>NO</v>
      </c>
      <c r="P1998" s="4" t="str">
        <f t="shared" si="127"/>
        <v>SI</v>
      </c>
      <c r="Q1998" s="4" t="str" cm="1">
        <f t="array" ref="Q1998">_xlfn.IFS(AND(H1998&gt;=0,H1998&lt;=3333),"Grupo 1",AND(H1998&gt;3333,H1998&lt;=6666),"Grupo 2",AND(H1998&gt;6666,H1998&lt;=10000),"Grupo 3")</f>
        <v>Grupo 1</v>
      </c>
    </row>
    <row r="1999" spans="1:17" x14ac:dyDescent="0.25">
      <c r="A1999" t="s">
        <v>209</v>
      </c>
      <c r="B1999" s="2">
        <v>44958.773611111108</v>
      </c>
      <c r="C1999" t="s">
        <v>278</v>
      </c>
      <c r="D1999" t="s">
        <v>214</v>
      </c>
      <c r="E1999">
        <v>2</v>
      </c>
      <c r="F1999">
        <v>1460.16</v>
      </c>
      <c r="G1999" t="s">
        <v>222</v>
      </c>
      <c r="H1999">
        <v>2920.32</v>
      </c>
      <c r="I1999">
        <v>2023</v>
      </c>
      <c r="J1999">
        <v>2</v>
      </c>
      <c r="K1999">
        <v>18</v>
      </c>
      <c r="L1999" s="14">
        <v>1460.16</v>
      </c>
      <c r="M1999" s="4" t="str">
        <f t="shared" si="124"/>
        <v>miércoles</v>
      </c>
      <c r="N1999" s="4" t="str">
        <f t="shared" si="125"/>
        <v>febrero</v>
      </c>
      <c r="O1999" s="4" t="str">
        <f t="shared" si="126"/>
        <v>SI</v>
      </c>
      <c r="P1999" s="4" t="str">
        <f t="shared" si="127"/>
        <v>SI</v>
      </c>
      <c r="Q1999" s="4" t="str" cm="1">
        <f t="array" ref="Q1999">_xlfn.IFS(AND(H1999&gt;=0,H1999&lt;=3333),"Grupo 1",AND(H1999&gt;3333,H1999&lt;=6666),"Grupo 2",AND(H1999&gt;6666,H1999&lt;=10000),"Grupo 3")</f>
        <v>Grupo 1</v>
      </c>
    </row>
    <row r="2000" spans="1:17" x14ac:dyDescent="0.25">
      <c r="A2000" t="s">
        <v>210</v>
      </c>
      <c r="B2000" s="2">
        <v>45816.563888888893</v>
      </c>
      <c r="C2000" t="s">
        <v>279</v>
      </c>
      <c r="D2000" t="s">
        <v>212</v>
      </c>
      <c r="E2000">
        <v>4</v>
      </c>
      <c r="F2000">
        <v>847</v>
      </c>
      <c r="G2000" t="s">
        <v>220</v>
      </c>
      <c r="H2000">
        <v>3388</v>
      </c>
      <c r="I2000">
        <v>2025</v>
      </c>
      <c r="J2000">
        <v>6</v>
      </c>
      <c r="K2000">
        <v>13</v>
      </c>
      <c r="L2000" s="14">
        <v>847</v>
      </c>
      <c r="M2000" s="4" t="str">
        <f t="shared" si="124"/>
        <v>domingo</v>
      </c>
      <c r="N2000" s="4" t="str">
        <f t="shared" si="125"/>
        <v>junio</v>
      </c>
      <c r="O2000" s="4" t="str">
        <f t="shared" si="126"/>
        <v>SI</v>
      </c>
      <c r="P2000" s="4" t="str">
        <f t="shared" si="127"/>
        <v>NO</v>
      </c>
      <c r="Q2000" s="4" t="str" cm="1">
        <f t="array" ref="Q2000">_xlfn.IFS(AND(H2000&gt;=0,H2000&lt;=3333),"Grupo 1",AND(H2000&gt;3333,H2000&lt;=6666),"Grupo 2",AND(H2000&gt;6666,H2000&lt;=10000),"Grupo 3")</f>
        <v>Grupo 2</v>
      </c>
    </row>
    <row r="2001" spans="1:17" x14ac:dyDescent="0.25">
      <c r="A2001" t="s">
        <v>211</v>
      </c>
      <c r="B2001" s="2">
        <v>45089.396527777782</v>
      </c>
      <c r="C2001" t="s">
        <v>280</v>
      </c>
      <c r="D2001" t="s">
        <v>218</v>
      </c>
      <c r="E2001">
        <v>2</v>
      </c>
      <c r="F2001">
        <v>1243.3399999999999</v>
      </c>
      <c r="G2001" t="s">
        <v>221</v>
      </c>
      <c r="H2001">
        <v>2486.6799999999998</v>
      </c>
      <c r="I2001">
        <v>2023</v>
      </c>
      <c r="J2001">
        <v>6</v>
      </c>
      <c r="K2001">
        <v>9</v>
      </c>
      <c r="L2001" s="14">
        <v>1243.3399999999999</v>
      </c>
      <c r="M2001" s="4" t="str">
        <f t="shared" si="124"/>
        <v>lunes</v>
      </c>
      <c r="N2001" s="4" t="str">
        <f t="shared" si="125"/>
        <v>junio</v>
      </c>
      <c r="O2001" s="4" t="str">
        <f t="shared" si="126"/>
        <v>NO</v>
      </c>
      <c r="P2001" s="4" t="str">
        <f t="shared" si="127"/>
        <v>SI</v>
      </c>
      <c r="Q2001" s="4" t="str" cm="1">
        <f t="array" ref="Q2001">_xlfn.IFS(AND(H2001&gt;=0,H2001&lt;=3333),"Grupo 1",AND(H2001&gt;3333,H2001&lt;=6666),"Grupo 2",AND(H2001&gt;6666,H2001&lt;=10000),"Grupo 3")</f>
        <v>Grupo 1</v>
      </c>
    </row>
  </sheetData>
  <autoFilter ref="A1:P200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2786-6A9D-4B14-9E3F-66055C5CC9F1}">
  <sheetPr>
    <tabColor theme="6" tint="0.39997558519241921"/>
  </sheetPr>
  <dimension ref="A1:E2001"/>
  <sheetViews>
    <sheetView workbookViewId="0">
      <selection activeCell="G4" sqref="G4"/>
    </sheetView>
  </sheetViews>
  <sheetFormatPr baseColWidth="10" defaultRowHeight="15" x14ac:dyDescent="0.25"/>
  <cols>
    <col min="1" max="1" width="12.85546875" customWidth="1"/>
    <col min="2" max="2" width="14.85546875" style="10" customWidth="1"/>
    <col min="3" max="5" width="14" style="12" customWidth="1"/>
  </cols>
  <sheetData>
    <row r="1" spans="1:5" x14ac:dyDescent="0.25">
      <c r="A1" s="1" t="s">
        <v>0</v>
      </c>
      <c r="B1" s="9" t="s">
        <v>227</v>
      </c>
      <c r="C1" s="11" t="s">
        <v>7</v>
      </c>
      <c r="D1" s="11" t="s">
        <v>9</v>
      </c>
      <c r="E1" s="11" t="s">
        <v>8</v>
      </c>
    </row>
    <row r="2" spans="1:5" x14ac:dyDescent="0.25">
      <c r="A2" t="s">
        <v>12</v>
      </c>
      <c r="B2" s="10">
        <f>VLOOKUP(A2,'Datos generales'!A:B,2,0)</f>
        <v>45280.478472222218</v>
      </c>
      <c r="C2" s="12">
        <f>VLOOKUP(A2,'Datos generales'!A:H,8,0)</f>
        <v>7486.2</v>
      </c>
      <c r="D2" s="12" t="str">
        <f>TEXT(B2,"mmmm")</f>
        <v>diciembre</v>
      </c>
      <c r="E2" s="33">
        <f>YEAR(B2)</f>
        <v>2023</v>
      </c>
    </row>
    <row r="3" spans="1:5" x14ac:dyDescent="0.25">
      <c r="A3" t="s">
        <v>13</v>
      </c>
      <c r="B3" s="10">
        <f>VLOOKUP(A3,'Datos generales'!A:B,2,0)</f>
        <v>45008.840277777781</v>
      </c>
      <c r="C3" s="12">
        <f>VLOOKUP(A3,'Datos generales'!A:H,8,0)</f>
        <v>1687.54</v>
      </c>
      <c r="D3" s="12" t="str">
        <f t="shared" ref="D3:D66" si="0">TEXT(B3,"mmmm")</f>
        <v>marzo</v>
      </c>
      <c r="E3" s="33">
        <f t="shared" ref="E3:E66" si="1">YEAR(B3)</f>
        <v>2023</v>
      </c>
    </row>
    <row r="4" spans="1:5" x14ac:dyDescent="0.25">
      <c r="A4" t="s">
        <v>14</v>
      </c>
      <c r="B4" s="10">
        <f>VLOOKUP(A4,'Datos generales'!A:B,2,0)</f>
        <v>45355.443749999999</v>
      </c>
      <c r="C4" s="12">
        <f>VLOOKUP(A4,'Datos generales'!A:H,8,0)</f>
        <v>2306.4</v>
      </c>
      <c r="D4" s="12" t="str">
        <f t="shared" si="0"/>
        <v>marzo</v>
      </c>
      <c r="E4" s="33">
        <f t="shared" si="1"/>
        <v>2024</v>
      </c>
    </row>
    <row r="5" spans="1:5" x14ac:dyDescent="0.25">
      <c r="A5" t="s">
        <v>15</v>
      </c>
      <c r="B5" s="10">
        <f>VLOOKUP(A5,'Datos generales'!A:B,2,0)</f>
        <v>45704.374305555553</v>
      </c>
      <c r="C5" s="12">
        <f>VLOOKUP(A5,'Datos generales'!A:H,8,0)</f>
        <v>1532.67</v>
      </c>
      <c r="D5" s="12" t="str">
        <f t="shared" si="0"/>
        <v>febrero</v>
      </c>
      <c r="E5" s="33">
        <f t="shared" si="1"/>
        <v>2025</v>
      </c>
    </row>
    <row r="6" spans="1:5" x14ac:dyDescent="0.25">
      <c r="A6" t="s">
        <v>16</v>
      </c>
      <c r="B6" s="10">
        <f>VLOOKUP(A6,'Datos generales'!A:B,2,0)</f>
        <v>45772.848611111112</v>
      </c>
      <c r="C6" s="12">
        <f>VLOOKUP(A6,'Datos generales'!A:H,8,0)</f>
        <v>5128.41</v>
      </c>
      <c r="D6" s="12" t="str">
        <f t="shared" si="0"/>
        <v>abril</v>
      </c>
      <c r="E6" s="33">
        <f t="shared" si="1"/>
        <v>2025</v>
      </c>
    </row>
    <row r="7" spans="1:5" x14ac:dyDescent="0.25">
      <c r="A7" t="s">
        <v>17</v>
      </c>
      <c r="B7" s="10">
        <f>VLOOKUP(A7,'Datos generales'!A:B,2,0)</f>
        <v>45101.225694444453</v>
      </c>
      <c r="C7" s="12">
        <f>VLOOKUP(A7,'Datos generales'!A:H,8,0)</f>
        <v>892.62000000000012</v>
      </c>
      <c r="D7" s="12" t="str">
        <f t="shared" si="0"/>
        <v>junio</v>
      </c>
      <c r="E7" s="33">
        <f t="shared" si="1"/>
        <v>2023</v>
      </c>
    </row>
    <row r="8" spans="1:5" x14ac:dyDescent="0.25">
      <c r="A8" t="s">
        <v>18</v>
      </c>
      <c r="B8" s="10">
        <f>VLOOKUP(A8,'Datos generales'!A:B,2,0)</f>
        <v>45694.432638888888</v>
      </c>
      <c r="C8" s="12">
        <f>VLOOKUP(A8,'Datos generales'!A:H,8,0)</f>
        <v>6186.6</v>
      </c>
      <c r="D8" s="12" t="str">
        <f t="shared" si="0"/>
        <v>febrero</v>
      </c>
      <c r="E8" s="33">
        <f t="shared" si="1"/>
        <v>2025</v>
      </c>
    </row>
    <row r="9" spans="1:5" x14ac:dyDescent="0.25">
      <c r="A9" t="s">
        <v>19</v>
      </c>
      <c r="B9" s="10">
        <f>VLOOKUP(A9,'Datos generales'!A:B,2,0)</f>
        <v>45798.69027777778</v>
      </c>
      <c r="C9" s="12">
        <f>VLOOKUP(A9,'Datos generales'!A:H,8,0)</f>
        <v>1575.18</v>
      </c>
      <c r="D9" s="12" t="str">
        <f t="shared" si="0"/>
        <v>mayo</v>
      </c>
      <c r="E9" s="33">
        <f t="shared" si="1"/>
        <v>2025</v>
      </c>
    </row>
    <row r="10" spans="1:5" x14ac:dyDescent="0.25">
      <c r="A10" t="s">
        <v>20</v>
      </c>
      <c r="B10" s="10">
        <f>VLOOKUP(A10,'Datos generales'!A:B,2,0)</f>
        <v>45425.797222222223</v>
      </c>
      <c r="C10" s="12">
        <f>VLOOKUP(A10,'Datos generales'!A:H,8,0)</f>
        <v>9079.2999999999993</v>
      </c>
      <c r="D10" s="12" t="str">
        <f t="shared" si="0"/>
        <v>mayo</v>
      </c>
      <c r="E10" s="33">
        <f t="shared" si="1"/>
        <v>2024</v>
      </c>
    </row>
    <row r="11" spans="1:5" x14ac:dyDescent="0.25">
      <c r="A11" t="s">
        <v>21</v>
      </c>
      <c r="B11" s="10">
        <f>VLOOKUP(A11,'Datos generales'!A:B,2,0)</f>
        <v>45525.152083333327</v>
      </c>
      <c r="C11" s="12">
        <f>VLOOKUP(A11,'Datos generales'!A:H,8,0)</f>
        <v>564.11</v>
      </c>
      <c r="D11" s="12" t="str">
        <f t="shared" si="0"/>
        <v>agosto</v>
      </c>
      <c r="E11" s="33">
        <f t="shared" si="1"/>
        <v>2024</v>
      </c>
    </row>
    <row r="12" spans="1:5" x14ac:dyDescent="0.25">
      <c r="A12" t="s">
        <v>22</v>
      </c>
      <c r="B12" s="10">
        <f>VLOOKUP(A12,'Datos generales'!A:B,2,0)</f>
        <v>45580.043749999997</v>
      </c>
      <c r="C12" s="12">
        <f>VLOOKUP(A12,'Datos generales'!A:H,8,0)</f>
        <v>454.9</v>
      </c>
      <c r="D12" s="12" t="str">
        <f t="shared" si="0"/>
        <v>octubre</v>
      </c>
      <c r="E12" s="33">
        <f t="shared" si="1"/>
        <v>2024</v>
      </c>
    </row>
    <row r="13" spans="1:5" x14ac:dyDescent="0.25">
      <c r="A13" t="s">
        <v>23</v>
      </c>
      <c r="B13" s="10">
        <f>VLOOKUP(A13,'Datos generales'!A:B,2,0)</f>
        <v>45551.151388888888</v>
      </c>
      <c r="C13" s="12">
        <f>VLOOKUP(A13,'Datos generales'!A:H,8,0)</f>
        <v>3832.53</v>
      </c>
      <c r="D13" s="12" t="str">
        <f t="shared" si="0"/>
        <v>septiembre</v>
      </c>
      <c r="E13" s="33">
        <f t="shared" si="1"/>
        <v>2024</v>
      </c>
    </row>
    <row r="14" spans="1:5" x14ac:dyDescent="0.25">
      <c r="A14" t="s">
        <v>24</v>
      </c>
      <c r="B14" s="10">
        <f>VLOOKUP(A14,'Datos generales'!A:B,2,0)</f>
        <v>45230.395833333343</v>
      </c>
      <c r="C14" s="12">
        <f>VLOOKUP(A14,'Datos generales'!A:H,8,0)</f>
        <v>3741.9</v>
      </c>
      <c r="D14" s="12" t="str">
        <f t="shared" si="0"/>
        <v>octubre</v>
      </c>
      <c r="E14" s="33">
        <f t="shared" si="1"/>
        <v>2023</v>
      </c>
    </row>
    <row r="15" spans="1:5" x14ac:dyDescent="0.25">
      <c r="A15" t="s">
        <v>25</v>
      </c>
      <c r="B15" s="10">
        <f>VLOOKUP(A15,'Datos generales'!A:B,2,0)</f>
        <v>45234.645833333343</v>
      </c>
      <c r="C15" s="12">
        <f>VLOOKUP(A15,'Datos generales'!A:H,8,0)</f>
        <v>4908.92</v>
      </c>
      <c r="D15" s="12" t="str">
        <f t="shared" si="0"/>
        <v>noviembre</v>
      </c>
      <c r="E15" s="33">
        <f t="shared" si="1"/>
        <v>2023</v>
      </c>
    </row>
    <row r="16" spans="1:5" x14ac:dyDescent="0.25">
      <c r="A16" t="s">
        <v>26</v>
      </c>
      <c r="B16" s="10">
        <f>VLOOKUP(A16,'Datos generales'!A:B,2,0)</f>
        <v>45464.76666666667</v>
      </c>
      <c r="C16" s="12">
        <f>VLOOKUP(A16,'Datos generales'!A:H,8,0)</f>
        <v>1329.6</v>
      </c>
      <c r="D16" s="12" t="str">
        <f t="shared" si="0"/>
        <v>junio</v>
      </c>
      <c r="E16" s="33">
        <f t="shared" si="1"/>
        <v>2024</v>
      </c>
    </row>
    <row r="17" spans="1:5" x14ac:dyDescent="0.25">
      <c r="A17" t="s">
        <v>27</v>
      </c>
      <c r="B17" s="10">
        <f>VLOOKUP(A17,'Datos generales'!A:B,2,0)</f>
        <v>45138.240277777782</v>
      </c>
      <c r="C17" s="12">
        <f>VLOOKUP(A17,'Datos generales'!A:H,8,0)</f>
        <v>5202.3599999999997</v>
      </c>
      <c r="D17" s="12" t="str">
        <f t="shared" si="0"/>
        <v>julio</v>
      </c>
      <c r="E17" s="33">
        <f t="shared" si="1"/>
        <v>2023</v>
      </c>
    </row>
    <row r="18" spans="1:5" x14ac:dyDescent="0.25">
      <c r="A18" t="s">
        <v>28</v>
      </c>
      <c r="B18" s="10">
        <f>VLOOKUP(A18,'Datos generales'!A:B,2,0)</f>
        <v>45455.688888888893</v>
      </c>
      <c r="C18" s="12">
        <f>VLOOKUP(A18,'Datos generales'!A:H,8,0)</f>
        <v>1209.6199999999999</v>
      </c>
      <c r="D18" s="12" t="str">
        <f t="shared" si="0"/>
        <v>junio</v>
      </c>
      <c r="E18" s="33">
        <f t="shared" si="1"/>
        <v>2024</v>
      </c>
    </row>
    <row r="19" spans="1:5" x14ac:dyDescent="0.25">
      <c r="A19" t="s">
        <v>29</v>
      </c>
      <c r="B19" s="10">
        <f>VLOOKUP(A19,'Datos generales'!A:B,2,0)</f>
        <v>45301.151388888888</v>
      </c>
      <c r="C19" s="12">
        <f>VLOOKUP(A19,'Datos generales'!A:H,8,0)</f>
        <v>2766.99</v>
      </c>
      <c r="D19" s="12" t="str">
        <f t="shared" si="0"/>
        <v>enero</v>
      </c>
      <c r="E19" s="33">
        <f t="shared" si="1"/>
        <v>2024</v>
      </c>
    </row>
    <row r="20" spans="1:5" x14ac:dyDescent="0.25">
      <c r="A20" t="s">
        <v>30</v>
      </c>
      <c r="B20" s="10">
        <f>VLOOKUP(A20,'Datos generales'!A:B,2,0)</f>
        <v>45677.761111111111</v>
      </c>
      <c r="C20" s="12">
        <f>VLOOKUP(A20,'Datos generales'!A:H,8,0)</f>
        <v>217.68</v>
      </c>
      <c r="D20" s="12" t="str">
        <f t="shared" si="0"/>
        <v>enero</v>
      </c>
      <c r="E20" s="33">
        <f t="shared" si="1"/>
        <v>2025</v>
      </c>
    </row>
    <row r="21" spans="1:5" x14ac:dyDescent="0.25">
      <c r="A21" t="s">
        <v>31</v>
      </c>
      <c r="B21" s="10">
        <f>VLOOKUP(A21,'Datos generales'!A:B,2,0)</f>
        <v>45238.713888888888</v>
      </c>
      <c r="C21" s="12">
        <f>VLOOKUP(A21,'Datos generales'!A:H,8,0)</f>
        <v>3134.36</v>
      </c>
      <c r="D21" s="12" t="str">
        <f t="shared" si="0"/>
        <v>noviembre</v>
      </c>
      <c r="E21" s="33">
        <f t="shared" si="1"/>
        <v>2023</v>
      </c>
    </row>
    <row r="22" spans="1:5" x14ac:dyDescent="0.25">
      <c r="A22" t="s">
        <v>32</v>
      </c>
      <c r="B22" s="10">
        <f>VLOOKUP(A22,'Datos generales'!A:B,2,0)</f>
        <v>45231.386111111111</v>
      </c>
      <c r="C22" s="12">
        <f>VLOOKUP(A22,'Datos generales'!A:H,8,0)</f>
        <v>1039.5999999999999</v>
      </c>
      <c r="D22" s="12" t="str">
        <f t="shared" si="0"/>
        <v>noviembre</v>
      </c>
      <c r="E22" s="33">
        <f t="shared" si="1"/>
        <v>2023</v>
      </c>
    </row>
    <row r="23" spans="1:5" x14ac:dyDescent="0.25">
      <c r="A23" t="s">
        <v>33</v>
      </c>
      <c r="B23" s="10">
        <f>VLOOKUP(A23,'Datos generales'!A:B,2,0)</f>
        <v>45421.563888888893</v>
      </c>
      <c r="C23" s="12">
        <f>VLOOKUP(A23,'Datos generales'!A:H,8,0)</f>
        <v>1267.01</v>
      </c>
      <c r="D23" s="12" t="str">
        <f t="shared" si="0"/>
        <v>mayo</v>
      </c>
      <c r="E23" s="33">
        <f t="shared" si="1"/>
        <v>2024</v>
      </c>
    </row>
    <row r="24" spans="1:5" x14ac:dyDescent="0.25">
      <c r="A24" t="s">
        <v>34</v>
      </c>
      <c r="B24" s="10">
        <f>VLOOKUP(A24,'Datos generales'!A:B,2,0)</f>
        <v>45437.592361111107</v>
      </c>
      <c r="C24" s="12">
        <f>VLOOKUP(A24,'Datos generales'!A:H,8,0)</f>
        <v>4111.24</v>
      </c>
      <c r="D24" s="12" t="str">
        <f t="shared" si="0"/>
        <v>mayo</v>
      </c>
      <c r="E24" s="33">
        <f t="shared" si="1"/>
        <v>2024</v>
      </c>
    </row>
    <row r="25" spans="1:5" x14ac:dyDescent="0.25">
      <c r="A25" t="s">
        <v>35</v>
      </c>
      <c r="B25" s="10">
        <f>VLOOKUP(A25,'Datos generales'!A:B,2,0)</f>
        <v>45355.487500000003</v>
      </c>
      <c r="C25" s="12">
        <f>VLOOKUP(A25,'Datos generales'!A:H,8,0)</f>
        <v>2776.86</v>
      </c>
      <c r="D25" s="12" t="str">
        <f t="shared" si="0"/>
        <v>marzo</v>
      </c>
      <c r="E25" s="33">
        <f t="shared" si="1"/>
        <v>2024</v>
      </c>
    </row>
    <row r="26" spans="1:5" x14ac:dyDescent="0.25">
      <c r="A26" t="s">
        <v>36</v>
      </c>
      <c r="B26" s="10">
        <f>VLOOKUP(A26,'Datos generales'!A:B,2,0)</f>
        <v>45924.43472222222</v>
      </c>
      <c r="C26" s="12">
        <f>VLOOKUP(A26,'Datos generales'!A:H,8,0)</f>
        <v>641.13</v>
      </c>
      <c r="D26" s="12" t="str">
        <f t="shared" si="0"/>
        <v>septiembre</v>
      </c>
      <c r="E26" s="33">
        <f t="shared" si="1"/>
        <v>2025</v>
      </c>
    </row>
    <row r="27" spans="1:5" x14ac:dyDescent="0.25">
      <c r="A27" t="s">
        <v>37</v>
      </c>
      <c r="B27" s="10">
        <f>VLOOKUP(A27,'Datos generales'!A:B,2,0)</f>
        <v>45471.931250000001</v>
      </c>
      <c r="C27" s="12">
        <f>VLOOKUP(A27,'Datos generales'!A:H,8,0)</f>
        <v>2293.5</v>
      </c>
      <c r="D27" s="12" t="str">
        <f t="shared" si="0"/>
        <v>junio</v>
      </c>
      <c r="E27" s="33">
        <f t="shared" si="1"/>
        <v>2024</v>
      </c>
    </row>
    <row r="28" spans="1:5" x14ac:dyDescent="0.25">
      <c r="A28" t="s">
        <v>38</v>
      </c>
      <c r="B28" s="10">
        <f>VLOOKUP(A28,'Datos generales'!A:B,2,0)</f>
        <v>45003.59097222222</v>
      </c>
      <c r="C28" s="12">
        <f>VLOOKUP(A28,'Datos generales'!A:H,8,0)</f>
        <v>4536.3999999999996</v>
      </c>
      <c r="D28" s="12" t="str">
        <f t="shared" si="0"/>
        <v>marzo</v>
      </c>
      <c r="E28" s="33">
        <f t="shared" si="1"/>
        <v>2023</v>
      </c>
    </row>
    <row r="29" spans="1:5" x14ac:dyDescent="0.25">
      <c r="A29" t="s">
        <v>39</v>
      </c>
      <c r="B29" s="10">
        <f>VLOOKUP(A29,'Datos generales'!A:B,2,0)</f>
        <v>45206.394444444442</v>
      </c>
      <c r="C29" s="12">
        <f>VLOOKUP(A29,'Datos generales'!A:H,8,0)</f>
        <v>3468.88</v>
      </c>
      <c r="D29" s="12" t="str">
        <f t="shared" si="0"/>
        <v>octubre</v>
      </c>
      <c r="E29" s="33">
        <f t="shared" si="1"/>
        <v>2023</v>
      </c>
    </row>
    <row r="30" spans="1:5" x14ac:dyDescent="0.25">
      <c r="A30" t="s">
        <v>40</v>
      </c>
      <c r="B30" s="10">
        <f>VLOOKUP(A30,'Datos generales'!A:B,2,0)</f>
        <v>45595.773611111108</v>
      </c>
      <c r="C30" s="12">
        <f>VLOOKUP(A30,'Datos generales'!A:H,8,0)</f>
        <v>424.35</v>
      </c>
      <c r="D30" s="12" t="str">
        <f t="shared" si="0"/>
        <v>octubre</v>
      </c>
      <c r="E30" s="33">
        <f t="shared" si="1"/>
        <v>2024</v>
      </c>
    </row>
    <row r="31" spans="1:5" x14ac:dyDescent="0.25">
      <c r="A31" t="s">
        <v>41</v>
      </c>
      <c r="B31" s="10">
        <f>VLOOKUP(A31,'Datos generales'!A:B,2,0)</f>
        <v>45888.736805555563</v>
      </c>
      <c r="C31" s="12">
        <f>VLOOKUP(A31,'Datos generales'!A:H,8,0)</f>
        <v>252.57</v>
      </c>
      <c r="D31" s="12" t="str">
        <f t="shared" si="0"/>
        <v>agosto</v>
      </c>
      <c r="E31" s="33">
        <f t="shared" si="1"/>
        <v>2025</v>
      </c>
    </row>
    <row r="32" spans="1:5" x14ac:dyDescent="0.25">
      <c r="A32" t="s">
        <v>42</v>
      </c>
      <c r="B32" s="10">
        <f>VLOOKUP(A32,'Datos generales'!A:B,2,0)</f>
        <v>45478.06527777778</v>
      </c>
      <c r="C32" s="12">
        <f>VLOOKUP(A32,'Datos generales'!A:H,8,0)</f>
        <v>64.679999999999993</v>
      </c>
      <c r="D32" s="12" t="str">
        <f t="shared" si="0"/>
        <v>julio</v>
      </c>
      <c r="E32" s="33">
        <f t="shared" si="1"/>
        <v>2024</v>
      </c>
    </row>
    <row r="33" spans="1:5" x14ac:dyDescent="0.25">
      <c r="A33" t="s">
        <v>43</v>
      </c>
      <c r="B33" s="10">
        <f>VLOOKUP(A33,'Datos generales'!A:B,2,0)</f>
        <v>45402.668749999997</v>
      </c>
      <c r="C33" s="12">
        <f>VLOOKUP(A33,'Datos generales'!A:H,8,0)</f>
        <v>446.81</v>
      </c>
      <c r="D33" s="12" t="str">
        <f t="shared" si="0"/>
        <v>abril</v>
      </c>
      <c r="E33" s="33">
        <f t="shared" si="1"/>
        <v>2024</v>
      </c>
    </row>
    <row r="34" spans="1:5" x14ac:dyDescent="0.25">
      <c r="A34" t="s">
        <v>44</v>
      </c>
      <c r="B34" s="10">
        <f>VLOOKUP(A34,'Datos generales'!A:B,2,0)</f>
        <v>45033.806944444441</v>
      </c>
      <c r="C34" s="12">
        <f>VLOOKUP(A34,'Datos generales'!A:H,8,0)</f>
        <v>129.34</v>
      </c>
      <c r="D34" s="12" t="str">
        <f t="shared" si="0"/>
        <v>abril</v>
      </c>
      <c r="E34" s="33">
        <f t="shared" si="1"/>
        <v>2023</v>
      </c>
    </row>
    <row r="35" spans="1:5" x14ac:dyDescent="0.25">
      <c r="A35" t="s">
        <v>45</v>
      </c>
      <c r="B35" s="10">
        <f>VLOOKUP(A35,'Datos generales'!A:B,2,0)</f>
        <v>45432.781944444447</v>
      </c>
      <c r="C35" s="12">
        <f>VLOOKUP(A35,'Datos generales'!A:H,8,0)</f>
        <v>5841.75</v>
      </c>
      <c r="D35" s="12" t="str">
        <f t="shared" si="0"/>
        <v>mayo</v>
      </c>
      <c r="E35" s="33">
        <f t="shared" si="1"/>
        <v>2024</v>
      </c>
    </row>
    <row r="36" spans="1:5" x14ac:dyDescent="0.25">
      <c r="A36" t="s">
        <v>46</v>
      </c>
      <c r="B36" s="10">
        <f>VLOOKUP(A36,'Datos generales'!A:B,2,0)</f>
        <v>45746.083333333343</v>
      </c>
      <c r="C36" s="12">
        <f>VLOOKUP(A36,'Datos generales'!A:H,8,0)</f>
        <v>698.6</v>
      </c>
      <c r="D36" s="12" t="str">
        <f t="shared" si="0"/>
        <v>marzo</v>
      </c>
      <c r="E36" s="33">
        <f t="shared" si="1"/>
        <v>2025</v>
      </c>
    </row>
    <row r="37" spans="1:5" x14ac:dyDescent="0.25">
      <c r="A37" t="s">
        <v>47</v>
      </c>
      <c r="B37" s="10">
        <f>VLOOKUP(A37,'Datos generales'!A:B,2,0)</f>
        <v>45515.355555555558</v>
      </c>
      <c r="C37" s="12">
        <f>VLOOKUP(A37,'Datos generales'!A:H,8,0)</f>
        <v>3462.18</v>
      </c>
      <c r="D37" s="12" t="str">
        <f t="shared" si="0"/>
        <v>agosto</v>
      </c>
      <c r="E37" s="33">
        <f t="shared" si="1"/>
        <v>2024</v>
      </c>
    </row>
    <row r="38" spans="1:5" x14ac:dyDescent="0.25">
      <c r="A38" t="s">
        <v>48</v>
      </c>
      <c r="B38" s="10">
        <f>VLOOKUP(A38,'Datos generales'!A:B,2,0)</f>
        <v>45730.554861111108</v>
      </c>
      <c r="C38" s="12">
        <f>VLOOKUP(A38,'Datos generales'!A:H,8,0)</f>
        <v>6265.48</v>
      </c>
      <c r="D38" s="12" t="str">
        <f t="shared" si="0"/>
        <v>marzo</v>
      </c>
      <c r="E38" s="33">
        <f t="shared" si="1"/>
        <v>2025</v>
      </c>
    </row>
    <row r="39" spans="1:5" x14ac:dyDescent="0.25">
      <c r="A39" t="s">
        <v>49</v>
      </c>
      <c r="B39" s="10">
        <f>VLOOKUP(A39,'Datos generales'!A:B,2,0)</f>
        <v>45603.252083333333</v>
      </c>
      <c r="C39" s="12">
        <f>VLOOKUP(A39,'Datos generales'!A:H,8,0)</f>
        <v>1348.96</v>
      </c>
      <c r="D39" s="12" t="str">
        <f t="shared" si="0"/>
        <v>noviembre</v>
      </c>
      <c r="E39" s="33">
        <f t="shared" si="1"/>
        <v>2024</v>
      </c>
    </row>
    <row r="40" spans="1:5" x14ac:dyDescent="0.25">
      <c r="A40" t="s">
        <v>50</v>
      </c>
      <c r="B40" s="10">
        <f>VLOOKUP(A40,'Datos generales'!A:B,2,0)</f>
        <v>45420.054861111108</v>
      </c>
      <c r="C40" s="12">
        <f>VLOOKUP(A40,'Datos generales'!A:H,8,0)</f>
        <v>3087.96</v>
      </c>
      <c r="D40" s="12" t="str">
        <f t="shared" si="0"/>
        <v>mayo</v>
      </c>
      <c r="E40" s="33">
        <f t="shared" si="1"/>
        <v>2024</v>
      </c>
    </row>
    <row r="41" spans="1:5" x14ac:dyDescent="0.25">
      <c r="A41" t="s">
        <v>51</v>
      </c>
      <c r="B41" s="10">
        <f>VLOOKUP(A41,'Datos generales'!A:B,2,0)</f>
        <v>44931.743055555547</v>
      </c>
      <c r="C41" s="12">
        <f>VLOOKUP(A41,'Datos generales'!A:H,8,0)</f>
        <v>4586.5499999999993</v>
      </c>
      <c r="D41" s="12" t="str">
        <f t="shared" si="0"/>
        <v>enero</v>
      </c>
      <c r="E41" s="33">
        <f t="shared" si="1"/>
        <v>2023</v>
      </c>
    </row>
    <row r="42" spans="1:5" x14ac:dyDescent="0.25">
      <c r="A42" t="s">
        <v>52</v>
      </c>
      <c r="B42" s="10">
        <f>VLOOKUP(A42,'Datos generales'!A:B,2,0)</f>
        <v>45326.684027777781</v>
      </c>
      <c r="C42" s="12">
        <f>VLOOKUP(A42,'Datos generales'!A:H,8,0)</f>
        <v>1801.44</v>
      </c>
      <c r="D42" s="12" t="str">
        <f t="shared" si="0"/>
        <v>febrero</v>
      </c>
      <c r="E42" s="33">
        <f t="shared" si="1"/>
        <v>2024</v>
      </c>
    </row>
    <row r="43" spans="1:5" x14ac:dyDescent="0.25">
      <c r="A43" t="s">
        <v>53</v>
      </c>
      <c r="B43" s="10">
        <f>VLOOKUP(A43,'Datos generales'!A:B,2,0)</f>
        <v>45146.872916666667</v>
      </c>
      <c r="C43" s="12">
        <f>VLOOKUP(A43,'Datos generales'!A:H,8,0)</f>
        <v>1510.96</v>
      </c>
      <c r="D43" s="12" t="str">
        <f t="shared" si="0"/>
        <v>agosto</v>
      </c>
      <c r="E43" s="33">
        <f t="shared" si="1"/>
        <v>2023</v>
      </c>
    </row>
    <row r="44" spans="1:5" x14ac:dyDescent="0.25">
      <c r="A44" t="s">
        <v>54</v>
      </c>
      <c r="B44" s="10">
        <f>VLOOKUP(A44,'Datos generales'!A:B,2,0)</f>
        <v>45464.595833333333</v>
      </c>
      <c r="C44" s="12">
        <f>VLOOKUP(A44,'Datos generales'!A:H,8,0)</f>
        <v>5566.65</v>
      </c>
      <c r="D44" s="12" t="str">
        <f t="shared" si="0"/>
        <v>junio</v>
      </c>
      <c r="E44" s="33">
        <f t="shared" si="1"/>
        <v>2024</v>
      </c>
    </row>
    <row r="45" spans="1:5" x14ac:dyDescent="0.25">
      <c r="A45" t="s">
        <v>55</v>
      </c>
      <c r="B45" s="10">
        <f>VLOOKUP(A45,'Datos generales'!A:B,2,0)</f>
        <v>45171.9</v>
      </c>
      <c r="C45" s="12">
        <f>VLOOKUP(A45,'Datos generales'!A:H,8,0)</f>
        <v>5058.75</v>
      </c>
      <c r="D45" s="12" t="str">
        <f t="shared" si="0"/>
        <v>septiembre</v>
      </c>
      <c r="E45" s="33">
        <f t="shared" si="1"/>
        <v>2023</v>
      </c>
    </row>
    <row r="46" spans="1:5" x14ac:dyDescent="0.25">
      <c r="A46" t="s">
        <v>56</v>
      </c>
      <c r="B46" s="10">
        <f>VLOOKUP(A46,'Datos generales'!A:B,2,0)</f>
        <v>44992.136111111111</v>
      </c>
      <c r="C46" s="12">
        <f>VLOOKUP(A46,'Datos generales'!A:H,8,0)</f>
        <v>6091.7</v>
      </c>
      <c r="D46" s="12" t="str">
        <f t="shared" si="0"/>
        <v>marzo</v>
      </c>
      <c r="E46" s="33">
        <f t="shared" si="1"/>
        <v>2023</v>
      </c>
    </row>
    <row r="47" spans="1:5" x14ac:dyDescent="0.25">
      <c r="A47" t="s">
        <v>57</v>
      </c>
      <c r="B47" s="10">
        <f>VLOOKUP(A47,'Datos generales'!A:B,2,0)</f>
        <v>44927.061111111107</v>
      </c>
      <c r="C47" s="12">
        <f>VLOOKUP(A47,'Datos generales'!A:H,8,0)</f>
        <v>723.18</v>
      </c>
      <c r="D47" s="12" t="str">
        <f t="shared" si="0"/>
        <v>enero</v>
      </c>
      <c r="E47" s="33">
        <f t="shared" si="1"/>
        <v>2023</v>
      </c>
    </row>
    <row r="48" spans="1:5" x14ac:dyDescent="0.25">
      <c r="A48" t="s">
        <v>58</v>
      </c>
      <c r="B48" s="10">
        <f>VLOOKUP(A48,'Datos generales'!A:B,2,0)</f>
        <v>45097.359027777777</v>
      </c>
      <c r="C48" s="12">
        <f>VLOOKUP(A48,'Datos generales'!A:H,8,0)</f>
        <v>4794</v>
      </c>
      <c r="D48" s="12" t="str">
        <f t="shared" si="0"/>
        <v>junio</v>
      </c>
      <c r="E48" s="33">
        <f t="shared" si="1"/>
        <v>2023</v>
      </c>
    </row>
    <row r="49" spans="1:5" x14ac:dyDescent="0.25">
      <c r="A49" t="s">
        <v>59</v>
      </c>
      <c r="B49" s="10">
        <f>VLOOKUP(A49,'Datos generales'!A:B,2,0)</f>
        <v>45755.288194444453</v>
      </c>
      <c r="C49" s="12">
        <f>VLOOKUP(A49,'Datos generales'!A:H,8,0)</f>
        <v>8884.3499999999985</v>
      </c>
      <c r="D49" s="12" t="str">
        <f t="shared" si="0"/>
        <v>abril</v>
      </c>
      <c r="E49" s="33">
        <f t="shared" si="1"/>
        <v>2025</v>
      </c>
    </row>
    <row r="50" spans="1:5" x14ac:dyDescent="0.25">
      <c r="A50" t="s">
        <v>60</v>
      </c>
      <c r="B50" s="10">
        <f>VLOOKUP(A50,'Datos generales'!A:B,2,0)</f>
        <v>45782.866666666669</v>
      </c>
      <c r="C50" s="12">
        <f>VLOOKUP(A50,'Datos generales'!A:H,8,0)</f>
        <v>1467.34</v>
      </c>
      <c r="D50" s="12" t="str">
        <f t="shared" si="0"/>
        <v>mayo</v>
      </c>
      <c r="E50" s="33">
        <f t="shared" si="1"/>
        <v>2025</v>
      </c>
    </row>
    <row r="51" spans="1:5" x14ac:dyDescent="0.25">
      <c r="A51" t="s">
        <v>61</v>
      </c>
      <c r="B51" s="10">
        <f>VLOOKUP(A51,'Datos generales'!A:B,2,0)</f>
        <v>45819.341666666667</v>
      </c>
      <c r="C51" s="12">
        <f>VLOOKUP(A51,'Datos generales'!A:H,8,0)</f>
        <v>2051.73</v>
      </c>
      <c r="D51" s="12" t="str">
        <f t="shared" si="0"/>
        <v>junio</v>
      </c>
      <c r="E51" s="33">
        <f t="shared" si="1"/>
        <v>2025</v>
      </c>
    </row>
    <row r="52" spans="1:5" x14ac:dyDescent="0.25">
      <c r="A52" t="s">
        <v>62</v>
      </c>
      <c r="B52" s="10">
        <f>VLOOKUP(A52,'Datos generales'!A:B,2,0)</f>
        <v>45441.993055555547</v>
      </c>
      <c r="C52" s="12">
        <f>VLOOKUP(A52,'Datos generales'!A:H,8,0)</f>
        <v>1083.8599999999999</v>
      </c>
      <c r="D52" s="12" t="str">
        <f t="shared" si="0"/>
        <v>mayo</v>
      </c>
      <c r="E52" s="33">
        <f t="shared" si="1"/>
        <v>2024</v>
      </c>
    </row>
    <row r="53" spans="1:5" x14ac:dyDescent="0.25">
      <c r="A53" t="s">
        <v>63</v>
      </c>
      <c r="B53" s="10">
        <f>VLOOKUP(A53,'Datos generales'!A:B,2,0)</f>
        <v>45180.999305555553</v>
      </c>
      <c r="C53" s="12">
        <f>VLOOKUP(A53,'Datos generales'!A:H,8,0)</f>
        <v>3103.7</v>
      </c>
      <c r="D53" s="12" t="str">
        <f t="shared" si="0"/>
        <v>septiembre</v>
      </c>
      <c r="E53" s="33">
        <f t="shared" si="1"/>
        <v>2023</v>
      </c>
    </row>
    <row r="54" spans="1:5" x14ac:dyDescent="0.25">
      <c r="A54" t="s">
        <v>64</v>
      </c>
      <c r="B54" s="10">
        <f>VLOOKUP(A54,'Datos generales'!A:B,2,0)</f>
        <v>45624.619444444441</v>
      </c>
      <c r="C54" s="12">
        <f>VLOOKUP(A54,'Datos generales'!A:H,8,0)</f>
        <v>6841.35</v>
      </c>
      <c r="D54" s="12" t="str">
        <f t="shared" si="0"/>
        <v>noviembre</v>
      </c>
      <c r="E54" s="33">
        <f t="shared" si="1"/>
        <v>2024</v>
      </c>
    </row>
    <row r="55" spans="1:5" x14ac:dyDescent="0.25">
      <c r="A55" t="s">
        <v>65</v>
      </c>
      <c r="B55" s="10">
        <f>VLOOKUP(A55,'Datos generales'!A:B,2,0)</f>
        <v>45447.955555555563</v>
      </c>
      <c r="C55" s="12">
        <f>VLOOKUP(A55,'Datos generales'!A:H,8,0)</f>
        <v>7275.52</v>
      </c>
      <c r="D55" s="12" t="str">
        <f t="shared" si="0"/>
        <v>junio</v>
      </c>
      <c r="E55" s="33">
        <f t="shared" si="1"/>
        <v>2024</v>
      </c>
    </row>
    <row r="56" spans="1:5" x14ac:dyDescent="0.25">
      <c r="A56" t="s">
        <v>66</v>
      </c>
      <c r="B56" s="10">
        <f>VLOOKUP(A56,'Datos generales'!A:B,2,0)</f>
        <v>45051.74722222222</v>
      </c>
      <c r="C56" s="12">
        <f>VLOOKUP(A56,'Datos generales'!A:H,8,0)</f>
        <v>6405.28</v>
      </c>
      <c r="D56" s="12" t="str">
        <f t="shared" si="0"/>
        <v>mayo</v>
      </c>
      <c r="E56" s="33">
        <f t="shared" si="1"/>
        <v>2023</v>
      </c>
    </row>
    <row r="57" spans="1:5" x14ac:dyDescent="0.25">
      <c r="A57" t="s">
        <v>67</v>
      </c>
      <c r="B57" s="10">
        <f>VLOOKUP(A57,'Datos generales'!A:B,2,0)</f>
        <v>45019.26666666667</v>
      </c>
      <c r="C57" s="12">
        <f>VLOOKUP(A57,'Datos generales'!A:H,8,0)</f>
        <v>711.16</v>
      </c>
      <c r="D57" s="12" t="str">
        <f t="shared" si="0"/>
        <v>abril</v>
      </c>
      <c r="E57" s="33">
        <f t="shared" si="1"/>
        <v>2023</v>
      </c>
    </row>
    <row r="58" spans="1:5" x14ac:dyDescent="0.25">
      <c r="A58" t="s">
        <v>68</v>
      </c>
      <c r="B58" s="10">
        <f>VLOOKUP(A58,'Datos generales'!A:B,2,0)</f>
        <v>44969.094444444447</v>
      </c>
      <c r="C58" s="12">
        <f>VLOOKUP(A58,'Datos generales'!A:H,8,0)</f>
        <v>83.48</v>
      </c>
      <c r="D58" s="12" t="str">
        <f t="shared" si="0"/>
        <v>febrero</v>
      </c>
      <c r="E58" s="33">
        <f t="shared" si="1"/>
        <v>2023</v>
      </c>
    </row>
    <row r="59" spans="1:5" x14ac:dyDescent="0.25">
      <c r="A59" t="s">
        <v>69</v>
      </c>
      <c r="B59" s="10">
        <f>VLOOKUP(A59,'Datos generales'!A:B,2,0)</f>
        <v>45091.519444444442</v>
      </c>
      <c r="C59" s="12">
        <f>VLOOKUP(A59,'Datos generales'!A:H,8,0)</f>
        <v>1372.72</v>
      </c>
      <c r="D59" s="12" t="str">
        <f t="shared" si="0"/>
        <v>junio</v>
      </c>
      <c r="E59" s="33">
        <f t="shared" si="1"/>
        <v>2023</v>
      </c>
    </row>
    <row r="60" spans="1:5" x14ac:dyDescent="0.25">
      <c r="A60" t="s">
        <v>70</v>
      </c>
      <c r="B60" s="10">
        <f>VLOOKUP(A60,'Datos generales'!A:B,2,0)</f>
        <v>45494</v>
      </c>
      <c r="C60" s="12">
        <f>VLOOKUP(A60,'Datos generales'!A:H,8,0)</f>
        <v>1618.91</v>
      </c>
      <c r="D60" s="12" t="str">
        <f t="shared" si="0"/>
        <v>julio</v>
      </c>
      <c r="E60" s="33">
        <f t="shared" si="1"/>
        <v>2024</v>
      </c>
    </row>
    <row r="61" spans="1:5" x14ac:dyDescent="0.25">
      <c r="A61" t="s">
        <v>71</v>
      </c>
      <c r="B61" s="10">
        <f>VLOOKUP(A61,'Datos generales'!A:B,2,0)</f>
        <v>45364.463194444441</v>
      </c>
      <c r="C61" s="12">
        <f>VLOOKUP(A61,'Datos generales'!A:H,8,0)</f>
        <v>2122.6</v>
      </c>
      <c r="D61" s="12" t="str">
        <f t="shared" si="0"/>
        <v>marzo</v>
      </c>
      <c r="E61" s="33">
        <f t="shared" si="1"/>
        <v>2024</v>
      </c>
    </row>
    <row r="62" spans="1:5" x14ac:dyDescent="0.25">
      <c r="A62" t="s">
        <v>72</v>
      </c>
      <c r="B62" s="10">
        <f>VLOOKUP(A62,'Datos generales'!A:B,2,0)</f>
        <v>45583.023611111108</v>
      </c>
      <c r="C62" s="12">
        <f>VLOOKUP(A62,'Datos generales'!A:H,8,0)</f>
        <v>2094.15</v>
      </c>
      <c r="D62" s="12" t="str">
        <f t="shared" si="0"/>
        <v>octubre</v>
      </c>
      <c r="E62" s="33">
        <f t="shared" si="1"/>
        <v>2024</v>
      </c>
    </row>
    <row r="63" spans="1:5" x14ac:dyDescent="0.25">
      <c r="A63" t="s">
        <v>73</v>
      </c>
      <c r="B63" s="10">
        <f>VLOOKUP(A63,'Datos generales'!A:B,2,0)</f>
        <v>45779.546527777777</v>
      </c>
      <c r="C63" s="12">
        <f>VLOOKUP(A63,'Datos generales'!A:H,8,0)</f>
        <v>1994.94</v>
      </c>
      <c r="D63" s="12" t="str">
        <f t="shared" si="0"/>
        <v>mayo</v>
      </c>
      <c r="E63" s="33">
        <f t="shared" si="1"/>
        <v>2025</v>
      </c>
    </row>
    <row r="64" spans="1:5" x14ac:dyDescent="0.25">
      <c r="A64" t="s">
        <v>74</v>
      </c>
      <c r="B64" s="10">
        <f>VLOOKUP(A64,'Datos generales'!A:B,2,0)</f>
        <v>45516.480555555558</v>
      </c>
      <c r="C64" s="12">
        <f>VLOOKUP(A64,'Datos generales'!A:H,8,0)</f>
        <v>1322.41</v>
      </c>
      <c r="D64" s="12" t="str">
        <f t="shared" si="0"/>
        <v>agosto</v>
      </c>
      <c r="E64" s="33">
        <f t="shared" si="1"/>
        <v>2024</v>
      </c>
    </row>
    <row r="65" spans="1:5" x14ac:dyDescent="0.25">
      <c r="A65" t="s">
        <v>75</v>
      </c>
      <c r="B65" s="10">
        <f>VLOOKUP(A65,'Datos generales'!A:B,2,0)</f>
        <v>45285.25277777778</v>
      </c>
      <c r="C65" s="12">
        <f>VLOOKUP(A65,'Datos generales'!A:H,8,0)</f>
        <v>5869.08</v>
      </c>
      <c r="D65" s="12" t="str">
        <f t="shared" si="0"/>
        <v>diciembre</v>
      </c>
      <c r="E65" s="33">
        <f t="shared" si="1"/>
        <v>2023</v>
      </c>
    </row>
    <row r="66" spans="1:5" x14ac:dyDescent="0.25">
      <c r="A66" t="s">
        <v>76</v>
      </c>
      <c r="B66" s="10">
        <f>VLOOKUP(A66,'Datos generales'!A:B,2,0)</f>
        <v>45297.965277777781</v>
      </c>
      <c r="C66" s="12">
        <f>VLOOKUP(A66,'Datos generales'!A:H,8,0)</f>
        <v>7216.48</v>
      </c>
      <c r="D66" s="12" t="str">
        <f t="shared" si="0"/>
        <v>enero</v>
      </c>
      <c r="E66" s="33">
        <f t="shared" si="1"/>
        <v>2024</v>
      </c>
    </row>
    <row r="67" spans="1:5" x14ac:dyDescent="0.25">
      <c r="A67" t="s">
        <v>77</v>
      </c>
      <c r="B67" s="10">
        <f>VLOOKUP(A67,'Datos generales'!A:B,2,0)</f>
        <v>45434.519444444442</v>
      </c>
      <c r="C67" s="12">
        <f>VLOOKUP(A67,'Datos generales'!A:H,8,0)</f>
        <v>1172.72</v>
      </c>
      <c r="D67" s="12" t="str">
        <f t="shared" ref="D67:D130" si="2">TEXT(B67,"mmmm")</f>
        <v>mayo</v>
      </c>
      <c r="E67" s="33">
        <f t="shared" ref="E67:E130" si="3">YEAR(B67)</f>
        <v>2024</v>
      </c>
    </row>
    <row r="68" spans="1:5" x14ac:dyDescent="0.25">
      <c r="A68" t="s">
        <v>78</v>
      </c>
      <c r="B68" s="10">
        <f>VLOOKUP(A68,'Datos generales'!A:B,2,0)</f>
        <v>45290.050694444442</v>
      </c>
      <c r="C68" s="12">
        <f>VLOOKUP(A68,'Datos generales'!A:H,8,0)</f>
        <v>725.07</v>
      </c>
      <c r="D68" s="12" t="str">
        <f t="shared" si="2"/>
        <v>diciembre</v>
      </c>
      <c r="E68" s="33">
        <f t="shared" si="3"/>
        <v>2023</v>
      </c>
    </row>
    <row r="69" spans="1:5" x14ac:dyDescent="0.25">
      <c r="A69" t="s">
        <v>79</v>
      </c>
      <c r="B69" s="10">
        <f>VLOOKUP(A69,'Datos generales'!A:B,2,0)</f>
        <v>45684.334027777782</v>
      </c>
      <c r="C69" s="12">
        <f>VLOOKUP(A69,'Datos generales'!A:H,8,0)</f>
        <v>2818.45</v>
      </c>
      <c r="D69" s="12" t="str">
        <f t="shared" si="2"/>
        <v>enero</v>
      </c>
      <c r="E69" s="33">
        <f t="shared" si="3"/>
        <v>2025</v>
      </c>
    </row>
    <row r="70" spans="1:5" x14ac:dyDescent="0.25">
      <c r="A70" t="s">
        <v>80</v>
      </c>
      <c r="B70" s="10">
        <f>VLOOKUP(A70,'Datos generales'!A:B,2,0)</f>
        <v>45222.202777777777</v>
      </c>
      <c r="C70" s="12">
        <f>VLOOKUP(A70,'Datos generales'!A:H,8,0)</f>
        <v>7737.05</v>
      </c>
      <c r="D70" s="12" t="str">
        <f t="shared" si="2"/>
        <v>octubre</v>
      </c>
      <c r="E70" s="33">
        <f t="shared" si="3"/>
        <v>2023</v>
      </c>
    </row>
    <row r="71" spans="1:5" x14ac:dyDescent="0.25">
      <c r="A71" t="s">
        <v>81</v>
      </c>
      <c r="B71" s="10">
        <f>VLOOKUP(A71,'Datos generales'!A:B,2,0)</f>
        <v>45274.597916666673</v>
      </c>
      <c r="C71" s="12">
        <f>VLOOKUP(A71,'Datos generales'!A:H,8,0)</f>
        <v>3807.3</v>
      </c>
      <c r="D71" s="12" t="str">
        <f t="shared" si="2"/>
        <v>diciembre</v>
      </c>
      <c r="E71" s="33">
        <f t="shared" si="3"/>
        <v>2023</v>
      </c>
    </row>
    <row r="72" spans="1:5" x14ac:dyDescent="0.25">
      <c r="A72" t="s">
        <v>82</v>
      </c>
      <c r="B72" s="10">
        <f>VLOOKUP(A72,'Datos generales'!A:B,2,0)</f>
        <v>45358.874305555553</v>
      </c>
      <c r="C72" s="12">
        <f>VLOOKUP(A72,'Datos generales'!A:H,8,0)</f>
        <v>2396.4</v>
      </c>
      <c r="D72" s="12" t="str">
        <f t="shared" si="2"/>
        <v>marzo</v>
      </c>
      <c r="E72" s="33">
        <f t="shared" si="3"/>
        <v>2024</v>
      </c>
    </row>
    <row r="73" spans="1:5" x14ac:dyDescent="0.25">
      <c r="A73" t="s">
        <v>83</v>
      </c>
      <c r="B73" s="10">
        <f>VLOOKUP(A73,'Datos generales'!A:B,2,0)</f>
        <v>45850.171527777777</v>
      </c>
      <c r="C73" s="12">
        <f>VLOOKUP(A73,'Datos generales'!A:H,8,0)</f>
        <v>1631.16</v>
      </c>
      <c r="D73" s="12" t="str">
        <f t="shared" si="2"/>
        <v>julio</v>
      </c>
      <c r="E73" s="33">
        <f t="shared" si="3"/>
        <v>2025</v>
      </c>
    </row>
    <row r="74" spans="1:5" x14ac:dyDescent="0.25">
      <c r="A74" t="s">
        <v>84</v>
      </c>
      <c r="B74" s="10">
        <f>VLOOKUP(A74,'Datos generales'!A:B,2,0)</f>
        <v>45041.884027777778</v>
      </c>
      <c r="C74" s="12">
        <f>VLOOKUP(A74,'Datos generales'!A:H,8,0)</f>
        <v>2899.06</v>
      </c>
      <c r="D74" s="12" t="str">
        <f t="shared" si="2"/>
        <v>abril</v>
      </c>
      <c r="E74" s="33">
        <f t="shared" si="3"/>
        <v>2023</v>
      </c>
    </row>
    <row r="75" spans="1:5" x14ac:dyDescent="0.25">
      <c r="A75" t="s">
        <v>85</v>
      </c>
      <c r="B75" s="10">
        <f>VLOOKUP(A75,'Datos generales'!A:B,2,0)</f>
        <v>45564.772916666669</v>
      </c>
      <c r="C75" s="12">
        <f>VLOOKUP(A75,'Datos generales'!A:H,8,0)</f>
        <v>2362.1</v>
      </c>
      <c r="D75" s="12" t="str">
        <f t="shared" si="2"/>
        <v>septiembre</v>
      </c>
      <c r="E75" s="33">
        <f t="shared" si="3"/>
        <v>2024</v>
      </c>
    </row>
    <row r="76" spans="1:5" x14ac:dyDescent="0.25">
      <c r="A76" t="s">
        <v>86</v>
      </c>
      <c r="B76" s="10">
        <f>VLOOKUP(A76,'Datos generales'!A:B,2,0)</f>
        <v>45118.247916666667</v>
      </c>
      <c r="C76" s="12">
        <f>VLOOKUP(A76,'Datos generales'!A:H,8,0)</f>
        <v>1103.7</v>
      </c>
      <c r="D76" s="12" t="str">
        <f t="shared" si="2"/>
        <v>julio</v>
      </c>
      <c r="E76" s="33">
        <f t="shared" si="3"/>
        <v>2023</v>
      </c>
    </row>
    <row r="77" spans="1:5" x14ac:dyDescent="0.25">
      <c r="A77" t="s">
        <v>87</v>
      </c>
      <c r="B77" s="10">
        <f>VLOOKUP(A77,'Datos generales'!A:B,2,0)</f>
        <v>45717.986111111109</v>
      </c>
      <c r="C77" s="12">
        <f>VLOOKUP(A77,'Datos generales'!A:H,8,0)</f>
        <v>3697.55</v>
      </c>
      <c r="D77" s="12" t="str">
        <f t="shared" si="2"/>
        <v>marzo</v>
      </c>
      <c r="E77" s="33">
        <f t="shared" si="3"/>
        <v>2025</v>
      </c>
    </row>
    <row r="78" spans="1:5" x14ac:dyDescent="0.25">
      <c r="A78" t="s">
        <v>88</v>
      </c>
      <c r="B78" s="10">
        <f>VLOOKUP(A78,'Datos generales'!A:B,2,0)</f>
        <v>45162.795138888891</v>
      </c>
      <c r="C78" s="12">
        <f>VLOOKUP(A78,'Datos generales'!A:H,8,0)</f>
        <v>2178.2600000000002</v>
      </c>
      <c r="D78" s="12" t="str">
        <f t="shared" si="2"/>
        <v>agosto</v>
      </c>
      <c r="E78" s="33">
        <f t="shared" si="3"/>
        <v>2023</v>
      </c>
    </row>
    <row r="79" spans="1:5" x14ac:dyDescent="0.25">
      <c r="A79" t="s">
        <v>89</v>
      </c>
      <c r="B79" s="10">
        <f>VLOOKUP(A79,'Datos generales'!A:B,2,0)</f>
        <v>45517.353472222218</v>
      </c>
      <c r="C79" s="12">
        <f>VLOOKUP(A79,'Datos generales'!A:H,8,0)</f>
        <v>8163.75</v>
      </c>
      <c r="D79" s="12" t="str">
        <f t="shared" si="2"/>
        <v>agosto</v>
      </c>
      <c r="E79" s="33">
        <f t="shared" si="3"/>
        <v>2024</v>
      </c>
    </row>
    <row r="80" spans="1:5" x14ac:dyDescent="0.25">
      <c r="A80" t="s">
        <v>90</v>
      </c>
      <c r="B80" s="10">
        <f>VLOOKUP(A80,'Datos generales'!A:B,2,0)</f>
        <v>45245.664583333331</v>
      </c>
      <c r="C80" s="12">
        <f>VLOOKUP(A80,'Datos generales'!A:H,8,0)</f>
        <v>2452.0500000000002</v>
      </c>
      <c r="D80" s="12" t="str">
        <f t="shared" si="2"/>
        <v>noviembre</v>
      </c>
      <c r="E80" s="33">
        <f t="shared" si="3"/>
        <v>2023</v>
      </c>
    </row>
    <row r="81" spans="1:5" x14ac:dyDescent="0.25">
      <c r="A81" t="s">
        <v>91</v>
      </c>
      <c r="B81" s="10">
        <f>VLOOKUP(A81,'Datos generales'!A:B,2,0)</f>
        <v>45603.368055555547</v>
      </c>
      <c r="C81" s="12">
        <f>VLOOKUP(A81,'Datos generales'!A:H,8,0)</f>
        <v>2373.16</v>
      </c>
      <c r="D81" s="12" t="str">
        <f t="shared" si="2"/>
        <v>noviembre</v>
      </c>
      <c r="E81" s="33">
        <f t="shared" si="3"/>
        <v>2024</v>
      </c>
    </row>
    <row r="82" spans="1:5" x14ac:dyDescent="0.25">
      <c r="A82" t="s">
        <v>92</v>
      </c>
      <c r="B82" s="10">
        <f>VLOOKUP(A82,'Datos generales'!A:B,2,0)</f>
        <v>44990.597916666673</v>
      </c>
      <c r="C82" s="12">
        <f>VLOOKUP(A82,'Datos generales'!A:H,8,0)</f>
        <v>3745.6</v>
      </c>
      <c r="D82" s="12" t="str">
        <f t="shared" si="2"/>
        <v>marzo</v>
      </c>
      <c r="E82" s="33">
        <f t="shared" si="3"/>
        <v>2023</v>
      </c>
    </row>
    <row r="83" spans="1:5" x14ac:dyDescent="0.25">
      <c r="A83" t="s">
        <v>93</v>
      </c>
      <c r="B83" s="10">
        <f>VLOOKUP(A83,'Datos generales'!A:B,2,0)</f>
        <v>45273.106249999997</v>
      </c>
      <c r="C83" s="12">
        <f>VLOOKUP(A83,'Datos generales'!A:H,8,0)</f>
        <v>2040.57</v>
      </c>
      <c r="D83" s="12" t="str">
        <f t="shared" si="2"/>
        <v>diciembre</v>
      </c>
      <c r="E83" s="33">
        <f t="shared" si="3"/>
        <v>2023</v>
      </c>
    </row>
    <row r="84" spans="1:5" x14ac:dyDescent="0.25">
      <c r="A84" t="s">
        <v>94</v>
      </c>
      <c r="B84" s="10">
        <f>VLOOKUP(A84,'Datos generales'!A:B,2,0)</f>
        <v>45022.271527777782</v>
      </c>
      <c r="C84" s="12">
        <f>VLOOKUP(A84,'Datos generales'!A:H,8,0)</f>
        <v>1051.28</v>
      </c>
      <c r="D84" s="12" t="str">
        <f t="shared" si="2"/>
        <v>abril</v>
      </c>
      <c r="E84" s="33">
        <f t="shared" si="3"/>
        <v>2023</v>
      </c>
    </row>
    <row r="85" spans="1:5" x14ac:dyDescent="0.25">
      <c r="A85" t="s">
        <v>95</v>
      </c>
      <c r="B85" s="10">
        <f>VLOOKUP(A85,'Datos generales'!A:B,2,0)</f>
        <v>45682.68472222222</v>
      </c>
      <c r="C85" s="12">
        <f>VLOOKUP(A85,'Datos generales'!A:H,8,0)</f>
        <v>6127</v>
      </c>
      <c r="D85" s="12" t="str">
        <f t="shared" si="2"/>
        <v>enero</v>
      </c>
      <c r="E85" s="33">
        <f t="shared" si="3"/>
        <v>2025</v>
      </c>
    </row>
    <row r="86" spans="1:5" x14ac:dyDescent="0.25">
      <c r="A86" t="s">
        <v>96</v>
      </c>
      <c r="B86" s="10">
        <f>VLOOKUP(A86,'Datos generales'!A:B,2,0)</f>
        <v>45099.143750000003</v>
      </c>
      <c r="C86" s="12">
        <f>VLOOKUP(A86,'Datos generales'!A:H,8,0)</f>
        <v>503.84</v>
      </c>
      <c r="D86" s="12" t="str">
        <f t="shared" si="2"/>
        <v>junio</v>
      </c>
      <c r="E86" s="33">
        <f t="shared" si="3"/>
        <v>2023</v>
      </c>
    </row>
    <row r="87" spans="1:5" x14ac:dyDescent="0.25">
      <c r="A87" t="s">
        <v>97</v>
      </c>
      <c r="B87" s="10">
        <f>VLOOKUP(A87,'Datos generales'!A:B,2,0)</f>
        <v>45546.810416666667</v>
      </c>
      <c r="C87" s="12">
        <f>VLOOKUP(A87,'Datos generales'!A:H,8,0)</f>
        <v>7633.64</v>
      </c>
      <c r="D87" s="12" t="str">
        <f t="shared" si="2"/>
        <v>septiembre</v>
      </c>
      <c r="E87" s="33">
        <f t="shared" si="3"/>
        <v>2024</v>
      </c>
    </row>
    <row r="88" spans="1:5" x14ac:dyDescent="0.25">
      <c r="A88" t="s">
        <v>98</v>
      </c>
      <c r="B88" s="10">
        <f>VLOOKUP(A88,'Datos generales'!A:B,2,0)</f>
        <v>45451.106249999997</v>
      </c>
      <c r="C88" s="12">
        <f>VLOOKUP(A88,'Datos generales'!A:H,8,0)</f>
        <v>229.2</v>
      </c>
      <c r="D88" s="12" t="str">
        <f t="shared" si="2"/>
        <v>junio</v>
      </c>
      <c r="E88" s="33">
        <f t="shared" si="3"/>
        <v>2024</v>
      </c>
    </row>
    <row r="89" spans="1:5" x14ac:dyDescent="0.25">
      <c r="A89" t="s">
        <v>99</v>
      </c>
      <c r="B89" s="10">
        <f>VLOOKUP(A89,'Datos generales'!A:B,2,0)</f>
        <v>45101.551388888889</v>
      </c>
      <c r="C89" s="12">
        <f>VLOOKUP(A89,'Datos generales'!A:H,8,0)</f>
        <v>1191.56</v>
      </c>
      <c r="D89" s="12" t="str">
        <f t="shared" si="2"/>
        <v>junio</v>
      </c>
      <c r="E89" s="33">
        <f t="shared" si="3"/>
        <v>2023</v>
      </c>
    </row>
    <row r="90" spans="1:5" x14ac:dyDescent="0.25">
      <c r="A90" t="s">
        <v>100</v>
      </c>
      <c r="B90" s="10">
        <f>VLOOKUP(A90,'Datos generales'!A:B,2,0)</f>
        <v>45405.413194444453</v>
      </c>
      <c r="C90" s="12">
        <f>VLOOKUP(A90,'Datos generales'!A:H,8,0)</f>
        <v>150.04</v>
      </c>
      <c r="D90" s="12" t="str">
        <f t="shared" si="2"/>
        <v>abril</v>
      </c>
      <c r="E90" s="33">
        <f t="shared" si="3"/>
        <v>2024</v>
      </c>
    </row>
    <row r="91" spans="1:5" x14ac:dyDescent="0.25">
      <c r="A91" t="s">
        <v>101</v>
      </c>
      <c r="B91" s="10">
        <f>VLOOKUP(A91,'Datos generales'!A:B,2,0)</f>
        <v>45465.332638888889</v>
      </c>
      <c r="C91" s="12">
        <f>VLOOKUP(A91,'Datos generales'!A:H,8,0)</f>
        <v>2704.6</v>
      </c>
      <c r="D91" s="12" t="str">
        <f t="shared" si="2"/>
        <v>junio</v>
      </c>
      <c r="E91" s="33">
        <f t="shared" si="3"/>
        <v>2024</v>
      </c>
    </row>
    <row r="92" spans="1:5" x14ac:dyDescent="0.25">
      <c r="A92" t="s">
        <v>102</v>
      </c>
      <c r="B92" s="10">
        <f>VLOOKUP(A92,'Datos generales'!A:B,2,0)</f>
        <v>45863.330555555563</v>
      </c>
      <c r="C92" s="12">
        <f>VLOOKUP(A92,'Datos generales'!A:H,8,0)</f>
        <v>713.82</v>
      </c>
      <c r="D92" s="12" t="str">
        <f t="shared" si="2"/>
        <v>julio</v>
      </c>
      <c r="E92" s="33">
        <f t="shared" si="3"/>
        <v>2025</v>
      </c>
    </row>
    <row r="93" spans="1:5" x14ac:dyDescent="0.25">
      <c r="A93" t="s">
        <v>103</v>
      </c>
      <c r="B93" s="10">
        <f>VLOOKUP(A93,'Datos generales'!A:B,2,0)</f>
        <v>45727.712500000001</v>
      </c>
      <c r="C93" s="12">
        <f>VLOOKUP(A93,'Datos generales'!A:H,8,0)</f>
        <v>3407.01</v>
      </c>
      <c r="D93" s="12" t="str">
        <f t="shared" si="2"/>
        <v>marzo</v>
      </c>
      <c r="E93" s="33">
        <f t="shared" si="3"/>
        <v>2025</v>
      </c>
    </row>
    <row r="94" spans="1:5" x14ac:dyDescent="0.25">
      <c r="A94" t="s">
        <v>104</v>
      </c>
      <c r="B94" s="10">
        <f>VLOOKUP(A94,'Datos generales'!A:B,2,0)</f>
        <v>45676.398611111108</v>
      </c>
      <c r="C94" s="12">
        <f>VLOOKUP(A94,'Datos generales'!A:H,8,0)</f>
        <v>2417.0700000000002</v>
      </c>
      <c r="D94" s="12" t="str">
        <f t="shared" si="2"/>
        <v>enero</v>
      </c>
      <c r="E94" s="33">
        <f t="shared" si="3"/>
        <v>2025</v>
      </c>
    </row>
    <row r="95" spans="1:5" x14ac:dyDescent="0.25">
      <c r="A95" t="s">
        <v>105</v>
      </c>
      <c r="B95" s="10">
        <f>VLOOKUP(A95,'Datos generales'!A:B,2,0)</f>
        <v>45289.026388888888</v>
      </c>
      <c r="C95" s="12">
        <f>VLOOKUP(A95,'Datos generales'!A:H,8,0)</f>
        <v>2518.14</v>
      </c>
      <c r="D95" s="12" t="str">
        <f t="shared" si="2"/>
        <v>diciembre</v>
      </c>
      <c r="E95" s="33">
        <f t="shared" si="3"/>
        <v>2023</v>
      </c>
    </row>
    <row r="96" spans="1:5" x14ac:dyDescent="0.25">
      <c r="A96" t="s">
        <v>106</v>
      </c>
      <c r="B96" s="10">
        <f>VLOOKUP(A96,'Datos generales'!A:B,2,0)</f>
        <v>45473.418749999997</v>
      </c>
      <c r="C96" s="12">
        <f>VLOOKUP(A96,'Datos generales'!A:H,8,0)</f>
        <v>1801.2</v>
      </c>
      <c r="D96" s="12" t="str">
        <f t="shared" si="2"/>
        <v>junio</v>
      </c>
      <c r="E96" s="33">
        <f t="shared" si="3"/>
        <v>2024</v>
      </c>
    </row>
    <row r="97" spans="1:5" x14ac:dyDescent="0.25">
      <c r="A97" t="s">
        <v>107</v>
      </c>
      <c r="B97" s="10">
        <f>VLOOKUP(A97,'Datos generales'!A:B,2,0)</f>
        <v>45499.757638888892</v>
      </c>
      <c r="C97" s="12">
        <f>VLOOKUP(A97,'Datos generales'!A:H,8,0)</f>
        <v>959.62</v>
      </c>
      <c r="D97" s="12" t="str">
        <f t="shared" si="2"/>
        <v>julio</v>
      </c>
      <c r="E97" s="33">
        <f t="shared" si="3"/>
        <v>2024</v>
      </c>
    </row>
    <row r="98" spans="1:5" x14ac:dyDescent="0.25">
      <c r="A98" t="s">
        <v>108</v>
      </c>
      <c r="B98" s="10">
        <f>VLOOKUP(A98,'Datos generales'!A:B,2,0)</f>
        <v>45541.331250000003</v>
      </c>
      <c r="C98" s="12">
        <f>VLOOKUP(A98,'Datos generales'!A:H,8,0)</f>
        <v>1888.86</v>
      </c>
      <c r="D98" s="12" t="str">
        <f t="shared" si="2"/>
        <v>septiembre</v>
      </c>
      <c r="E98" s="33">
        <f t="shared" si="3"/>
        <v>2024</v>
      </c>
    </row>
    <row r="99" spans="1:5" x14ac:dyDescent="0.25">
      <c r="A99" t="s">
        <v>109</v>
      </c>
      <c r="B99" s="10">
        <f>VLOOKUP(A99,'Datos generales'!A:B,2,0)</f>
        <v>45542.574305555558</v>
      </c>
      <c r="C99" s="12">
        <f>VLOOKUP(A99,'Datos generales'!A:H,8,0)</f>
        <v>7284.2</v>
      </c>
      <c r="D99" s="12" t="str">
        <f t="shared" si="2"/>
        <v>septiembre</v>
      </c>
      <c r="E99" s="33">
        <f t="shared" si="3"/>
        <v>2024</v>
      </c>
    </row>
    <row r="100" spans="1:5" x14ac:dyDescent="0.25">
      <c r="A100" t="s">
        <v>110</v>
      </c>
      <c r="B100" s="10">
        <f>VLOOKUP(A100,'Datos generales'!A:B,2,0)</f>
        <v>45846.336805555547</v>
      </c>
      <c r="C100" s="12">
        <f>VLOOKUP(A100,'Datos generales'!A:H,8,0)</f>
        <v>4611.6900000000014</v>
      </c>
      <c r="D100" s="12" t="str">
        <f t="shared" si="2"/>
        <v>julio</v>
      </c>
      <c r="E100" s="33">
        <f t="shared" si="3"/>
        <v>2025</v>
      </c>
    </row>
    <row r="101" spans="1:5" x14ac:dyDescent="0.25">
      <c r="A101" t="s">
        <v>111</v>
      </c>
      <c r="B101" s="10">
        <f>VLOOKUP(A101,'Datos generales'!A:B,2,0)</f>
        <v>45318.705555555563</v>
      </c>
      <c r="C101" s="12">
        <f>VLOOKUP(A101,'Datos generales'!A:H,8,0)</f>
        <v>934.98</v>
      </c>
      <c r="D101" s="12" t="str">
        <f t="shared" si="2"/>
        <v>enero</v>
      </c>
      <c r="E101" s="33">
        <f t="shared" si="3"/>
        <v>2024</v>
      </c>
    </row>
    <row r="102" spans="1:5" x14ac:dyDescent="0.25">
      <c r="A102" t="s">
        <v>112</v>
      </c>
      <c r="B102" s="10">
        <f>VLOOKUP(A102,'Datos generales'!A:B,2,0)</f>
        <v>45595.668055555558</v>
      </c>
      <c r="C102" s="12">
        <f>VLOOKUP(A102,'Datos generales'!A:H,8,0)</f>
        <v>745.45</v>
      </c>
      <c r="D102" s="12" t="str">
        <f t="shared" si="2"/>
        <v>octubre</v>
      </c>
      <c r="E102" s="33">
        <f t="shared" si="3"/>
        <v>2024</v>
      </c>
    </row>
    <row r="103" spans="1:5" x14ac:dyDescent="0.25">
      <c r="A103" t="s">
        <v>113</v>
      </c>
      <c r="B103" s="10">
        <f>VLOOKUP(A103,'Datos generales'!A:B,2,0)</f>
        <v>44984.418055555558</v>
      </c>
      <c r="C103" s="12">
        <f>VLOOKUP(A103,'Datos generales'!A:H,8,0)</f>
        <v>9427.4</v>
      </c>
      <c r="D103" s="12" t="str">
        <f t="shared" si="2"/>
        <v>febrero</v>
      </c>
      <c r="E103" s="33">
        <f t="shared" si="3"/>
        <v>2023</v>
      </c>
    </row>
    <row r="104" spans="1:5" x14ac:dyDescent="0.25">
      <c r="A104" t="s">
        <v>114</v>
      </c>
      <c r="B104" s="10">
        <f>VLOOKUP(A104,'Datos generales'!A:B,2,0)</f>
        <v>45153.455555555563</v>
      </c>
      <c r="C104" s="12">
        <f>VLOOKUP(A104,'Datos generales'!A:H,8,0)</f>
        <v>4775.76</v>
      </c>
      <c r="D104" s="12" t="str">
        <f t="shared" si="2"/>
        <v>agosto</v>
      </c>
      <c r="E104" s="33">
        <f t="shared" si="3"/>
        <v>2023</v>
      </c>
    </row>
    <row r="105" spans="1:5" x14ac:dyDescent="0.25">
      <c r="A105" t="s">
        <v>115</v>
      </c>
      <c r="B105" s="10">
        <f>VLOOKUP(A105,'Datos generales'!A:B,2,0)</f>
        <v>45919.24722222222</v>
      </c>
      <c r="C105" s="12">
        <f>VLOOKUP(A105,'Datos generales'!A:H,8,0)</f>
        <v>6916.65</v>
      </c>
      <c r="D105" s="12" t="str">
        <f t="shared" si="2"/>
        <v>septiembre</v>
      </c>
      <c r="E105" s="33">
        <f t="shared" si="3"/>
        <v>2025</v>
      </c>
    </row>
    <row r="106" spans="1:5" x14ac:dyDescent="0.25">
      <c r="A106" t="s">
        <v>116</v>
      </c>
      <c r="B106" s="10">
        <f>VLOOKUP(A106,'Datos generales'!A:B,2,0)</f>
        <v>45815.543055555558</v>
      </c>
      <c r="C106" s="12">
        <f>VLOOKUP(A106,'Datos generales'!A:H,8,0)</f>
        <v>2102.46</v>
      </c>
      <c r="D106" s="12" t="str">
        <f t="shared" si="2"/>
        <v>junio</v>
      </c>
      <c r="E106" s="33">
        <f t="shared" si="3"/>
        <v>2025</v>
      </c>
    </row>
    <row r="107" spans="1:5" x14ac:dyDescent="0.25">
      <c r="A107" t="s">
        <v>117</v>
      </c>
      <c r="B107" s="10">
        <f>VLOOKUP(A107,'Datos generales'!A:B,2,0)</f>
        <v>45255.4</v>
      </c>
      <c r="C107" s="12">
        <f>VLOOKUP(A107,'Datos generales'!A:H,8,0)</f>
        <v>5097.84</v>
      </c>
      <c r="D107" s="12" t="str">
        <f t="shared" si="2"/>
        <v>noviembre</v>
      </c>
      <c r="E107" s="33">
        <f t="shared" si="3"/>
        <v>2023</v>
      </c>
    </row>
    <row r="108" spans="1:5" x14ac:dyDescent="0.25">
      <c r="A108" t="s">
        <v>118</v>
      </c>
      <c r="B108" s="10">
        <f>VLOOKUP(A108,'Datos generales'!A:B,2,0)</f>
        <v>45754.797222222223</v>
      </c>
      <c r="C108" s="12">
        <f>VLOOKUP(A108,'Datos generales'!A:H,8,0)</f>
        <v>1251.08</v>
      </c>
      <c r="D108" s="12" t="str">
        <f t="shared" si="2"/>
        <v>abril</v>
      </c>
      <c r="E108" s="33">
        <f t="shared" si="3"/>
        <v>2025</v>
      </c>
    </row>
    <row r="109" spans="1:5" x14ac:dyDescent="0.25">
      <c r="A109" t="s">
        <v>119</v>
      </c>
      <c r="B109" s="10">
        <f>VLOOKUP(A109,'Datos generales'!A:B,2,0)</f>
        <v>45764.185416666667</v>
      </c>
      <c r="C109" s="12">
        <f>VLOOKUP(A109,'Datos generales'!A:H,8,0)</f>
        <v>7911</v>
      </c>
      <c r="D109" s="12" t="str">
        <f t="shared" si="2"/>
        <v>abril</v>
      </c>
      <c r="E109" s="33">
        <f t="shared" si="3"/>
        <v>2025</v>
      </c>
    </row>
    <row r="110" spans="1:5" x14ac:dyDescent="0.25">
      <c r="A110" t="s">
        <v>120</v>
      </c>
      <c r="B110" s="10">
        <f>VLOOKUP(A110,'Datos generales'!A:B,2,0)</f>
        <v>45240.82916666667</v>
      </c>
      <c r="C110" s="12">
        <f>VLOOKUP(A110,'Datos generales'!A:H,8,0)</f>
        <v>81.92</v>
      </c>
      <c r="D110" s="12" t="str">
        <f t="shared" si="2"/>
        <v>noviembre</v>
      </c>
      <c r="E110" s="33">
        <f t="shared" si="3"/>
        <v>2023</v>
      </c>
    </row>
    <row r="111" spans="1:5" x14ac:dyDescent="0.25">
      <c r="A111" t="s">
        <v>121</v>
      </c>
      <c r="B111" s="10">
        <f>VLOOKUP(A111,'Datos generales'!A:B,2,0)</f>
        <v>45634.470138888893</v>
      </c>
      <c r="C111" s="12">
        <f>VLOOKUP(A111,'Datos generales'!A:H,8,0)</f>
        <v>1153.31</v>
      </c>
      <c r="D111" s="12" t="str">
        <f t="shared" si="2"/>
        <v>diciembre</v>
      </c>
      <c r="E111" s="33">
        <f t="shared" si="3"/>
        <v>2024</v>
      </c>
    </row>
    <row r="112" spans="1:5" x14ac:dyDescent="0.25">
      <c r="A112" t="s">
        <v>122</v>
      </c>
      <c r="B112" s="10">
        <f>VLOOKUP(A112,'Datos generales'!A:B,2,0)</f>
        <v>45913.939583333333</v>
      </c>
      <c r="C112" s="12">
        <f>VLOOKUP(A112,'Datos generales'!A:H,8,0)</f>
        <v>3234.24</v>
      </c>
      <c r="D112" s="12" t="str">
        <f t="shared" si="2"/>
        <v>septiembre</v>
      </c>
      <c r="E112" s="33">
        <f t="shared" si="3"/>
        <v>2025</v>
      </c>
    </row>
    <row r="113" spans="1:5" x14ac:dyDescent="0.25">
      <c r="A113" t="s">
        <v>123</v>
      </c>
      <c r="B113" s="10">
        <f>VLOOKUP(A113,'Datos generales'!A:B,2,0)</f>
        <v>45526.149305555547</v>
      </c>
      <c r="C113" s="12">
        <f>VLOOKUP(A113,'Datos generales'!A:H,8,0)</f>
        <v>201.91</v>
      </c>
      <c r="D113" s="12" t="str">
        <f t="shared" si="2"/>
        <v>agosto</v>
      </c>
      <c r="E113" s="33">
        <f t="shared" si="3"/>
        <v>2024</v>
      </c>
    </row>
    <row r="114" spans="1:5" x14ac:dyDescent="0.25">
      <c r="A114" t="s">
        <v>124</v>
      </c>
      <c r="B114" s="10">
        <f>VLOOKUP(A114,'Datos generales'!A:B,2,0)</f>
        <v>45487.067361111112</v>
      </c>
      <c r="C114" s="12">
        <f>VLOOKUP(A114,'Datos generales'!A:H,8,0)</f>
        <v>2182.08</v>
      </c>
      <c r="D114" s="12" t="str">
        <f t="shared" si="2"/>
        <v>julio</v>
      </c>
      <c r="E114" s="33">
        <f t="shared" si="3"/>
        <v>2024</v>
      </c>
    </row>
    <row r="115" spans="1:5" x14ac:dyDescent="0.25">
      <c r="A115" t="s">
        <v>125</v>
      </c>
      <c r="B115" s="10">
        <f>VLOOKUP(A115,'Datos generales'!A:B,2,0)</f>
        <v>45281.986805555563</v>
      </c>
      <c r="C115" s="12">
        <f>VLOOKUP(A115,'Datos generales'!A:H,8,0)</f>
        <v>4936.29</v>
      </c>
      <c r="D115" s="12" t="str">
        <f t="shared" si="2"/>
        <v>diciembre</v>
      </c>
      <c r="E115" s="33">
        <f t="shared" si="3"/>
        <v>2023</v>
      </c>
    </row>
    <row r="116" spans="1:5" x14ac:dyDescent="0.25">
      <c r="A116" t="s">
        <v>126</v>
      </c>
      <c r="B116" s="10">
        <f>VLOOKUP(A116,'Datos generales'!A:B,2,0)</f>
        <v>45468.378472222219</v>
      </c>
      <c r="C116" s="12">
        <f>VLOOKUP(A116,'Datos generales'!A:H,8,0)</f>
        <v>1260.1500000000001</v>
      </c>
      <c r="D116" s="12" t="str">
        <f t="shared" si="2"/>
        <v>junio</v>
      </c>
      <c r="E116" s="33">
        <f t="shared" si="3"/>
        <v>2024</v>
      </c>
    </row>
    <row r="117" spans="1:5" x14ac:dyDescent="0.25">
      <c r="A117" t="s">
        <v>127</v>
      </c>
      <c r="B117" s="10">
        <f>VLOOKUP(A117,'Datos generales'!A:B,2,0)</f>
        <v>45529.436805555553</v>
      </c>
      <c r="C117" s="12">
        <f>VLOOKUP(A117,'Datos generales'!A:H,8,0)</f>
        <v>1987.6</v>
      </c>
      <c r="D117" s="12" t="str">
        <f t="shared" si="2"/>
        <v>agosto</v>
      </c>
      <c r="E117" s="33">
        <f t="shared" si="3"/>
        <v>2024</v>
      </c>
    </row>
    <row r="118" spans="1:5" x14ac:dyDescent="0.25">
      <c r="A118" t="s">
        <v>128</v>
      </c>
      <c r="B118" s="10">
        <f>VLOOKUP(A118,'Datos generales'!A:B,2,0)</f>
        <v>44961.01666666667</v>
      </c>
      <c r="C118" s="12">
        <f>VLOOKUP(A118,'Datos generales'!A:H,8,0)</f>
        <v>1443.12</v>
      </c>
      <c r="D118" s="12" t="str">
        <f t="shared" si="2"/>
        <v>febrero</v>
      </c>
      <c r="E118" s="33">
        <f t="shared" si="3"/>
        <v>2023</v>
      </c>
    </row>
    <row r="119" spans="1:5" x14ac:dyDescent="0.25">
      <c r="A119" t="s">
        <v>129</v>
      </c>
      <c r="B119" s="10">
        <f>VLOOKUP(A119,'Datos generales'!A:B,2,0)</f>
        <v>45041.746527777781</v>
      </c>
      <c r="C119" s="12">
        <f>VLOOKUP(A119,'Datos generales'!A:H,8,0)</f>
        <v>5415.6</v>
      </c>
      <c r="D119" s="12" t="str">
        <f t="shared" si="2"/>
        <v>abril</v>
      </c>
      <c r="E119" s="33">
        <f t="shared" si="3"/>
        <v>2023</v>
      </c>
    </row>
    <row r="120" spans="1:5" x14ac:dyDescent="0.25">
      <c r="A120" t="s">
        <v>130</v>
      </c>
      <c r="B120" s="10">
        <f>VLOOKUP(A120,'Datos generales'!A:B,2,0)</f>
        <v>45400.756249999999</v>
      </c>
      <c r="C120" s="12">
        <f>VLOOKUP(A120,'Datos generales'!A:H,8,0)</f>
        <v>859.04</v>
      </c>
      <c r="D120" s="12" t="str">
        <f t="shared" si="2"/>
        <v>abril</v>
      </c>
      <c r="E120" s="33">
        <f t="shared" si="3"/>
        <v>2024</v>
      </c>
    </row>
    <row r="121" spans="1:5" x14ac:dyDescent="0.25">
      <c r="A121" t="s">
        <v>131</v>
      </c>
      <c r="B121" s="10">
        <f>VLOOKUP(A121,'Datos generales'!A:B,2,0)</f>
        <v>45465.772916666669</v>
      </c>
      <c r="C121" s="12">
        <f>VLOOKUP(A121,'Datos generales'!A:H,8,0)</f>
        <v>3649.92</v>
      </c>
      <c r="D121" s="12" t="str">
        <f t="shared" si="2"/>
        <v>junio</v>
      </c>
      <c r="E121" s="33">
        <f t="shared" si="3"/>
        <v>2024</v>
      </c>
    </row>
    <row r="122" spans="1:5" x14ac:dyDescent="0.25">
      <c r="A122" t="s">
        <v>132</v>
      </c>
      <c r="B122" s="10">
        <f>VLOOKUP(A122,'Datos generales'!A:B,2,0)</f>
        <v>45316.202777777777</v>
      </c>
      <c r="C122" s="12">
        <f>VLOOKUP(A122,'Datos generales'!A:H,8,0)</f>
        <v>5299.0499999999993</v>
      </c>
      <c r="D122" s="12" t="str">
        <f t="shared" si="2"/>
        <v>enero</v>
      </c>
      <c r="E122" s="33">
        <f t="shared" si="3"/>
        <v>2024</v>
      </c>
    </row>
    <row r="123" spans="1:5" x14ac:dyDescent="0.25">
      <c r="A123" t="s">
        <v>133</v>
      </c>
      <c r="B123" s="10">
        <f>VLOOKUP(A123,'Datos generales'!A:B,2,0)</f>
        <v>45118.634722222218</v>
      </c>
      <c r="C123" s="12">
        <f>VLOOKUP(A123,'Datos generales'!A:H,8,0)</f>
        <v>185.56</v>
      </c>
      <c r="D123" s="12" t="str">
        <f t="shared" si="2"/>
        <v>julio</v>
      </c>
      <c r="E123" s="33">
        <f t="shared" si="3"/>
        <v>2023</v>
      </c>
    </row>
    <row r="124" spans="1:5" x14ac:dyDescent="0.25">
      <c r="A124" t="s">
        <v>134</v>
      </c>
      <c r="B124" s="10">
        <f>VLOOKUP(A124,'Datos generales'!A:B,2,0)</f>
        <v>45232.75</v>
      </c>
      <c r="C124" s="12">
        <f>VLOOKUP(A124,'Datos generales'!A:H,8,0)</f>
        <v>754.07</v>
      </c>
      <c r="D124" s="12" t="str">
        <f t="shared" si="2"/>
        <v>noviembre</v>
      </c>
      <c r="E124" s="33">
        <f t="shared" si="3"/>
        <v>2023</v>
      </c>
    </row>
    <row r="125" spans="1:5" x14ac:dyDescent="0.25">
      <c r="A125" t="s">
        <v>135</v>
      </c>
      <c r="B125" s="10">
        <f>VLOOKUP(A125,'Datos generales'!A:B,2,0)</f>
        <v>45745.421527777777</v>
      </c>
      <c r="C125" s="12">
        <f>VLOOKUP(A125,'Datos generales'!A:H,8,0)</f>
        <v>1681.02</v>
      </c>
      <c r="D125" s="12" t="str">
        <f t="shared" si="2"/>
        <v>marzo</v>
      </c>
      <c r="E125" s="33">
        <f t="shared" si="3"/>
        <v>2025</v>
      </c>
    </row>
    <row r="126" spans="1:5" x14ac:dyDescent="0.25">
      <c r="A126" t="s">
        <v>136</v>
      </c>
      <c r="B126" s="10">
        <f>VLOOKUP(A126,'Datos generales'!A:B,2,0)</f>
        <v>45802.370833333327</v>
      </c>
      <c r="C126" s="12">
        <f>VLOOKUP(A126,'Datos generales'!A:H,8,0)</f>
        <v>2397.44</v>
      </c>
      <c r="D126" s="12" t="str">
        <f t="shared" si="2"/>
        <v>mayo</v>
      </c>
      <c r="E126" s="33">
        <f t="shared" si="3"/>
        <v>2025</v>
      </c>
    </row>
    <row r="127" spans="1:5" x14ac:dyDescent="0.25">
      <c r="A127" t="s">
        <v>137</v>
      </c>
      <c r="B127" s="10">
        <f>VLOOKUP(A127,'Datos generales'!A:B,2,0)</f>
        <v>45249.604861111111</v>
      </c>
      <c r="C127" s="12">
        <f>VLOOKUP(A127,'Datos generales'!A:H,8,0)</f>
        <v>2080.4</v>
      </c>
      <c r="D127" s="12" t="str">
        <f t="shared" si="2"/>
        <v>noviembre</v>
      </c>
      <c r="E127" s="33">
        <f t="shared" si="3"/>
        <v>2023</v>
      </c>
    </row>
    <row r="128" spans="1:5" x14ac:dyDescent="0.25">
      <c r="A128" t="s">
        <v>138</v>
      </c>
      <c r="B128" s="10">
        <f>VLOOKUP(A128,'Datos generales'!A:B,2,0)</f>
        <v>45854.013194444437</v>
      </c>
      <c r="C128" s="12">
        <f>VLOOKUP(A128,'Datos generales'!A:H,8,0)</f>
        <v>322.58999999999997</v>
      </c>
      <c r="D128" s="12" t="str">
        <f t="shared" si="2"/>
        <v>julio</v>
      </c>
      <c r="E128" s="33">
        <f t="shared" si="3"/>
        <v>2025</v>
      </c>
    </row>
    <row r="129" spans="1:5" x14ac:dyDescent="0.25">
      <c r="A129" t="s">
        <v>139</v>
      </c>
      <c r="B129" s="10">
        <f>VLOOKUP(A129,'Datos generales'!A:B,2,0)</f>
        <v>45828.018055555563</v>
      </c>
      <c r="C129" s="12">
        <f>VLOOKUP(A129,'Datos generales'!A:H,8,0)</f>
        <v>1522.64</v>
      </c>
      <c r="D129" s="12" t="str">
        <f t="shared" si="2"/>
        <v>junio</v>
      </c>
      <c r="E129" s="33">
        <f t="shared" si="3"/>
        <v>2025</v>
      </c>
    </row>
    <row r="130" spans="1:5" x14ac:dyDescent="0.25">
      <c r="A130" t="s">
        <v>140</v>
      </c>
      <c r="B130" s="10">
        <f>VLOOKUP(A130,'Datos generales'!A:B,2,0)</f>
        <v>45673.40902777778</v>
      </c>
      <c r="C130" s="12">
        <f>VLOOKUP(A130,'Datos generales'!A:H,8,0)</f>
        <v>1400.22</v>
      </c>
      <c r="D130" s="12" t="str">
        <f t="shared" si="2"/>
        <v>enero</v>
      </c>
      <c r="E130" s="33">
        <f t="shared" si="3"/>
        <v>2025</v>
      </c>
    </row>
    <row r="131" spans="1:5" x14ac:dyDescent="0.25">
      <c r="A131" t="s">
        <v>141</v>
      </c>
      <c r="B131" s="10">
        <f>VLOOKUP(A131,'Datos generales'!A:B,2,0)</f>
        <v>44932.951388888891</v>
      </c>
      <c r="C131" s="12">
        <f>VLOOKUP(A131,'Datos generales'!A:H,8,0)</f>
        <v>1792.4</v>
      </c>
      <c r="D131" s="12" t="str">
        <f t="shared" ref="D131:D194" si="4">TEXT(B131,"mmmm")</f>
        <v>enero</v>
      </c>
      <c r="E131" s="33">
        <f t="shared" ref="E131:E194" si="5">YEAR(B131)</f>
        <v>2023</v>
      </c>
    </row>
    <row r="132" spans="1:5" x14ac:dyDescent="0.25">
      <c r="A132" t="s">
        <v>142</v>
      </c>
      <c r="B132" s="10">
        <f>VLOOKUP(A132,'Datos generales'!A:B,2,0)</f>
        <v>45381.871527777781</v>
      </c>
      <c r="C132" s="12">
        <f>VLOOKUP(A132,'Datos generales'!A:H,8,0)</f>
        <v>2986.4</v>
      </c>
      <c r="D132" s="12" t="str">
        <f t="shared" si="4"/>
        <v>marzo</v>
      </c>
      <c r="E132" s="33">
        <f t="shared" si="5"/>
        <v>2024</v>
      </c>
    </row>
    <row r="133" spans="1:5" x14ac:dyDescent="0.25">
      <c r="A133" t="s">
        <v>143</v>
      </c>
      <c r="B133" s="10">
        <f>VLOOKUP(A133,'Datos generales'!A:B,2,0)</f>
        <v>45450.97152777778</v>
      </c>
      <c r="C133" s="12">
        <f>VLOOKUP(A133,'Datos generales'!A:H,8,0)</f>
        <v>751.43</v>
      </c>
      <c r="D133" s="12" t="str">
        <f t="shared" si="4"/>
        <v>junio</v>
      </c>
      <c r="E133" s="33">
        <f t="shared" si="5"/>
        <v>2024</v>
      </c>
    </row>
    <row r="134" spans="1:5" x14ac:dyDescent="0.25">
      <c r="A134" t="s">
        <v>144</v>
      </c>
      <c r="B134" s="10">
        <f>VLOOKUP(A134,'Datos generales'!A:B,2,0)</f>
        <v>45122.813888888893</v>
      </c>
      <c r="C134" s="12">
        <f>VLOOKUP(A134,'Datos generales'!A:H,8,0)</f>
        <v>5545.4</v>
      </c>
      <c r="D134" s="12" t="str">
        <f t="shared" si="4"/>
        <v>julio</v>
      </c>
      <c r="E134" s="33">
        <f t="shared" si="5"/>
        <v>2023</v>
      </c>
    </row>
    <row r="135" spans="1:5" x14ac:dyDescent="0.25">
      <c r="A135" t="s">
        <v>145</v>
      </c>
      <c r="B135" s="10">
        <f>VLOOKUP(A135,'Datos generales'!A:B,2,0)</f>
        <v>45329.842361111107</v>
      </c>
      <c r="C135" s="12">
        <f>VLOOKUP(A135,'Datos generales'!A:H,8,0)</f>
        <v>3213.7</v>
      </c>
      <c r="D135" s="12" t="str">
        <f t="shared" si="4"/>
        <v>febrero</v>
      </c>
      <c r="E135" s="33">
        <f t="shared" si="5"/>
        <v>2024</v>
      </c>
    </row>
    <row r="136" spans="1:5" x14ac:dyDescent="0.25">
      <c r="A136" t="s">
        <v>146</v>
      </c>
      <c r="B136" s="10">
        <f>VLOOKUP(A136,'Datos generales'!A:B,2,0)</f>
        <v>45615.539583333331</v>
      </c>
      <c r="C136" s="12">
        <f>VLOOKUP(A136,'Datos generales'!A:H,8,0)</f>
        <v>1228.6500000000001</v>
      </c>
      <c r="D136" s="12" t="str">
        <f t="shared" si="4"/>
        <v>noviembre</v>
      </c>
      <c r="E136" s="33">
        <f t="shared" si="5"/>
        <v>2024</v>
      </c>
    </row>
    <row r="137" spans="1:5" x14ac:dyDescent="0.25">
      <c r="A137" t="s">
        <v>147</v>
      </c>
      <c r="B137" s="10">
        <f>VLOOKUP(A137,'Datos generales'!A:B,2,0)</f>
        <v>45222.775694444441</v>
      </c>
      <c r="C137" s="12">
        <f>VLOOKUP(A137,'Datos generales'!A:H,8,0)</f>
        <v>5346.39</v>
      </c>
      <c r="D137" s="12" t="str">
        <f t="shared" si="4"/>
        <v>octubre</v>
      </c>
      <c r="E137" s="33">
        <f t="shared" si="5"/>
        <v>2023</v>
      </c>
    </row>
    <row r="138" spans="1:5" x14ac:dyDescent="0.25">
      <c r="A138" t="s">
        <v>148</v>
      </c>
      <c r="B138" s="10">
        <f>VLOOKUP(A138,'Datos generales'!A:B,2,0)</f>
        <v>45525.048611111109</v>
      </c>
      <c r="C138" s="12">
        <f>VLOOKUP(A138,'Datos generales'!A:H,8,0)</f>
        <v>5685.7000000000007</v>
      </c>
      <c r="D138" s="12" t="str">
        <f t="shared" si="4"/>
        <v>agosto</v>
      </c>
      <c r="E138" s="33">
        <f t="shared" si="5"/>
        <v>2024</v>
      </c>
    </row>
    <row r="139" spans="1:5" x14ac:dyDescent="0.25">
      <c r="A139" t="s">
        <v>149</v>
      </c>
      <c r="B139" s="10">
        <f>VLOOKUP(A139,'Datos generales'!A:B,2,0)</f>
        <v>45520.686111111107</v>
      </c>
      <c r="C139" s="12">
        <f>VLOOKUP(A139,'Datos generales'!A:H,8,0)</f>
        <v>3866.88</v>
      </c>
      <c r="D139" s="12" t="str">
        <f t="shared" si="4"/>
        <v>agosto</v>
      </c>
      <c r="E139" s="33">
        <f t="shared" si="5"/>
        <v>2024</v>
      </c>
    </row>
    <row r="140" spans="1:5" x14ac:dyDescent="0.25">
      <c r="A140" t="s">
        <v>150</v>
      </c>
      <c r="B140" s="10">
        <f>VLOOKUP(A140,'Datos generales'!A:B,2,0)</f>
        <v>45484.331944444442</v>
      </c>
      <c r="C140" s="12">
        <f>VLOOKUP(A140,'Datos generales'!A:H,8,0)</f>
        <v>3774.4</v>
      </c>
      <c r="D140" s="12" t="str">
        <f t="shared" si="4"/>
        <v>julio</v>
      </c>
      <c r="E140" s="33">
        <f t="shared" si="5"/>
        <v>2024</v>
      </c>
    </row>
    <row r="141" spans="1:5" x14ac:dyDescent="0.25">
      <c r="A141" t="s">
        <v>151</v>
      </c>
      <c r="B141" s="10">
        <f>VLOOKUP(A141,'Datos generales'!A:B,2,0)</f>
        <v>45842.433333333327</v>
      </c>
      <c r="C141" s="12">
        <f>VLOOKUP(A141,'Datos generales'!A:H,8,0)</f>
        <v>3610</v>
      </c>
      <c r="D141" s="12" t="str">
        <f t="shared" si="4"/>
        <v>julio</v>
      </c>
      <c r="E141" s="33">
        <f t="shared" si="5"/>
        <v>2025</v>
      </c>
    </row>
    <row r="142" spans="1:5" x14ac:dyDescent="0.25">
      <c r="A142" t="s">
        <v>152</v>
      </c>
      <c r="B142" s="10">
        <f>VLOOKUP(A142,'Datos generales'!A:B,2,0)</f>
        <v>45697.842361111107</v>
      </c>
      <c r="C142" s="12">
        <f>VLOOKUP(A142,'Datos generales'!A:H,8,0)</f>
        <v>156.36000000000001</v>
      </c>
      <c r="D142" s="12" t="str">
        <f t="shared" si="4"/>
        <v>febrero</v>
      </c>
      <c r="E142" s="33">
        <f t="shared" si="5"/>
        <v>2025</v>
      </c>
    </row>
    <row r="143" spans="1:5" x14ac:dyDescent="0.25">
      <c r="A143" t="s">
        <v>153</v>
      </c>
      <c r="B143" s="10">
        <f>VLOOKUP(A143,'Datos generales'!A:B,2,0)</f>
        <v>45927.180555555547</v>
      </c>
      <c r="C143" s="12">
        <f>VLOOKUP(A143,'Datos generales'!A:H,8,0)</f>
        <v>3230.82</v>
      </c>
      <c r="D143" s="12" t="str">
        <f t="shared" si="4"/>
        <v>septiembre</v>
      </c>
      <c r="E143" s="33">
        <f t="shared" si="5"/>
        <v>2025</v>
      </c>
    </row>
    <row r="144" spans="1:5" x14ac:dyDescent="0.25">
      <c r="A144" t="s">
        <v>154</v>
      </c>
      <c r="B144" s="10">
        <f>VLOOKUP(A144,'Datos generales'!A:B,2,0)</f>
        <v>45511.748611111107</v>
      </c>
      <c r="C144" s="12">
        <f>VLOOKUP(A144,'Datos generales'!A:H,8,0)</f>
        <v>747.69999999999993</v>
      </c>
      <c r="D144" s="12" t="str">
        <f t="shared" si="4"/>
        <v>agosto</v>
      </c>
      <c r="E144" s="33">
        <f t="shared" si="5"/>
        <v>2024</v>
      </c>
    </row>
    <row r="145" spans="1:5" x14ac:dyDescent="0.25">
      <c r="A145" t="s">
        <v>155</v>
      </c>
      <c r="B145" s="10">
        <f>VLOOKUP(A145,'Datos generales'!A:B,2,0)</f>
        <v>45867.710416666669</v>
      </c>
      <c r="C145" s="12">
        <f>VLOOKUP(A145,'Datos generales'!A:H,8,0)</f>
        <v>4776.95</v>
      </c>
      <c r="D145" s="12" t="str">
        <f t="shared" si="4"/>
        <v>julio</v>
      </c>
      <c r="E145" s="33">
        <f t="shared" si="5"/>
        <v>2025</v>
      </c>
    </row>
    <row r="146" spans="1:5" x14ac:dyDescent="0.25">
      <c r="A146" t="s">
        <v>156</v>
      </c>
      <c r="B146" s="10">
        <f>VLOOKUP(A146,'Datos generales'!A:B,2,0)</f>
        <v>45339.555555555547</v>
      </c>
      <c r="C146" s="12">
        <f>VLOOKUP(A146,'Datos generales'!A:H,8,0)</f>
        <v>3927.26</v>
      </c>
      <c r="D146" s="12" t="str">
        <f t="shared" si="4"/>
        <v>febrero</v>
      </c>
      <c r="E146" s="33">
        <f t="shared" si="5"/>
        <v>2024</v>
      </c>
    </row>
    <row r="147" spans="1:5" x14ac:dyDescent="0.25">
      <c r="A147" t="s">
        <v>157</v>
      </c>
      <c r="B147" s="10">
        <f>VLOOKUP(A147,'Datos generales'!A:B,2,0)</f>
        <v>45538.998611111107</v>
      </c>
      <c r="C147" s="12">
        <f>VLOOKUP(A147,'Datos generales'!A:H,8,0)</f>
        <v>7200.7000000000007</v>
      </c>
      <c r="D147" s="12" t="str">
        <f t="shared" si="4"/>
        <v>septiembre</v>
      </c>
      <c r="E147" s="33">
        <f t="shared" si="5"/>
        <v>2024</v>
      </c>
    </row>
    <row r="148" spans="1:5" x14ac:dyDescent="0.25">
      <c r="A148" t="s">
        <v>158</v>
      </c>
      <c r="B148" s="10">
        <f>VLOOKUP(A148,'Datos generales'!A:B,2,0)</f>
        <v>45105.837500000001</v>
      </c>
      <c r="C148" s="12">
        <f>VLOOKUP(A148,'Datos generales'!A:H,8,0)</f>
        <v>1134.8</v>
      </c>
      <c r="D148" s="12" t="str">
        <f t="shared" si="4"/>
        <v>junio</v>
      </c>
      <c r="E148" s="33">
        <f t="shared" si="5"/>
        <v>2023</v>
      </c>
    </row>
    <row r="149" spans="1:5" x14ac:dyDescent="0.25">
      <c r="A149" t="s">
        <v>159</v>
      </c>
      <c r="B149" s="10">
        <f>VLOOKUP(A149,'Datos generales'!A:B,2,0)</f>
        <v>45470.283333333333</v>
      </c>
      <c r="C149" s="12">
        <f>VLOOKUP(A149,'Datos generales'!A:H,8,0)</f>
        <v>2062.5300000000002</v>
      </c>
      <c r="D149" s="12" t="str">
        <f t="shared" si="4"/>
        <v>junio</v>
      </c>
      <c r="E149" s="33">
        <f t="shared" si="5"/>
        <v>2024</v>
      </c>
    </row>
    <row r="150" spans="1:5" x14ac:dyDescent="0.25">
      <c r="A150" t="s">
        <v>160</v>
      </c>
      <c r="B150" s="10">
        <f>VLOOKUP(A150,'Datos generales'!A:B,2,0)</f>
        <v>45122.511805555558</v>
      </c>
      <c r="C150" s="12">
        <f>VLOOKUP(A150,'Datos generales'!A:H,8,0)</f>
        <v>564</v>
      </c>
      <c r="D150" s="12" t="str">
        <f t="shared" si="4"/>
        <v>julio</v>
      </c>
      <c r="E150" s="33">
        <f t="shared" si="5"/>
        <v>2023</v>
      </c>
    </row>
    <row r="151" spans="1:5" x14ac:dyDescent="0.25">
      <c r="A151" t="s">
        <v>161</v>
      </c>
      <c r="B151" s="10">
        <f>VLOOKUP(A151,'Datos generales'!A:B,2,0)</f>
        <v>45878.351388888892</v>
      </c>
      <c r="C151" s="12">
        <f>VLOOKUP(A151,'Datos generales'!A:H,8,0)</f>
        <v>5885.52</v>
      </c>
      <c r="D151" s="12" t="str">
        <f t="shared" si="4"/>
        <v>agosto</v>
      </c>
      <c r="E151" s="33">
        <f t="shared" si="5"/>
        <v>2025</v>
      </c>
    </row>
    <row r="152" spans="1:5" x14ac:dyDescent="0.25">
      <c r="A152" t="s">
        <v>162</v>
      </c>
      <c r="B152" s="10">
        <f>VLOOKUP(A152,'Datos generales'!A:B,2,0)</f>
        <v>45894.257638888892</v>
      </c>
      <c r="C152" s="12">
        <f>VLOOKUP(A152,'Datos generales'!A:H,8,0)</f>
        <v>1463.91</v>
      </c>
      <c r="D152" s="12" t="str">
        <f t="shared" si="4"/>
        <v>agosto</v>
      </c>
      <c r="E152" s="33">
        <f t="shared" si="5"/>
        <v>2025</v>
      </c>
    </row>
    <row r="153" spans="1:5" x14ac:dyDescent="0.25">
      <c r="A153" t="s">
        <v>163</v>
      </c>
      <c r="B153" s="10">
        <f>VLOOKUP(A153,'Datos generales'!A:B,2,0)</f>
        <v>45321.105555555558</v>
      </c>
      <c r="C153" s="12">
        <f>VLOOKUP(A153,'Datos generales'!A:H,8,0)</f>
        <v>6341.96</v>
      </c>
      <c r="D153" s="12" t="str">
        <f t="shared" si="4"/>
        <v>enero</v>
      </c>
      <c r="E153" s="33">
        <f t="shared" si="5"/>
        <v>2024</v>
      </c>
    </row>
    <row r="154" spans="1:5" x14ac:dyDescent="0.25">
      <c r="A154" t="s">
        <v>164</v>
      </c>
      <c r="B154" s="10">
        <f>VLOOKUP(A154,'Datos generales'!A:B,2,0)</f>
        <v>45571.035416666673</v>
      </c>
      <c r="C154" s="12">
        <f>VLOOKUP(A154,'Datos generales'!A:H,8,0)</f>
        <v>662.17</v>
      </c>
      <c r="D154" s="12" t="str">
        <f t="shared" si="4"/>
        <v>octubre</v>
      </c>
      <c r="E154" s="33">
        <f t="shared" si="5"/>
        <v>2024</v>
      </c>
    </row>
    <row r="155" spans="1:5" x14ac:dyDescent="0.25">
      <c r="A155" t="s">
        <v>165</v>
      </c>
      <c r="B155" s="10">
        <f>VLOOKUP(A155,'Datos generales'!A:B,2,0)</f>
        <v>45442.757638888892</v>
      </c>
      <c r="C155" s="12">
        <f>VLOOKUP(A155,'Datos generales'!A:H,8,0)</f>
        <v>273.36</v>
      </c>
      <c r="D155" s="12" t="str">
        <f t="shared" si="4"/>
        <v>mayo</v>
      </c>
      <c r="E155" s="33">
        <f t="shared" si="5"/>
        <v>2024</v>
      </c>
    </row>
    <row r="156" spans="1:5" x14ac:dyDescent="0.25">
      <c r="A156" t="s">
        <v>166</v>
      </c>
      <c r="B156" s="10">
        <f>VLOOKUP(A156,'Datos generales'!A:B,2,0)</f>
        <v>45889.054166666669</v>
      </c>
      <c r="C156" s="12">
        <f>VLOOKUP(A156,'Datos generales'!A:H,8,0)</f>
        <v>474.56</v>
      </c>
      <c r="D156" s="12" t="str">
        <f t="shared" si="4"/>
        <v>agosto</v>
      </c>
      <c r="E156" s="33">
        <f t="shared" si="5"/>
        <v>2025</v>
      </c>
    </row>
    <row r="157" spans="1:5" x14ac:dyDescent="0.25">
      <c r="A157" t="s">
        <v>167</v>
      </c>
      <c r="B157" s="10">
        <f>VLOOKUP(A157,'Datos generales'!A:B,2,0)</f>
        <v>45468.727083333331</v>
      </c>
      <c r="C157" s="12">
        <f>VLOOKUP(A157,'Datos generales'!A:H,8,0)</f>
        <v>2800.47</v>
      </c>
      <c r="D157" s="12" t="str">
        <f t="shared" si="4"/>
        <v>junio</v>
      </c>
      <c r="E157" s="33">
        <f t="shared" si="5"/>
        <v>2024</v>
      </c>
    </row>
    <row r="158" spans="1:5" x14ac:dyDescent="0.25">
      <c r="A158" t="s">
        <v>168</v>
      </c>
      <c r="B158" s="10">
        <f>VLOOKUP(A158,'Datos generales'!A:B,2,0)</f>
        <v>45202.955555555563</v>
      </c>
      <c r="C158" s="12">
        <f>VLOOKUP(A158,'Datos generales'!A:H,8,0)</f>
        <v>2070.1799999999998</v>
      </c>
      <c r="D158" s="12" t="str">
        <f t="shared" si="4"/>
        <v>octubre</v>
      </c>
      <c r="E158" s="33">
        <f t="shared" si="5"/>
        <v>2023</v>
      </c>
    </row>
    <row r="159" spans="1:5" x14ac:dyDescent="0.25">
      <c r="A159" t="s">
        <v>169</v>
      </c>
      <c r="B159" s="10">
        <f>VLOOKUP(A159,'Datos generales'!A:B,2,0)</f>
        <v>45323.202777777777</v>
      </c>
      <c r="C159" s="12">
        <f>VLOOKUP(A159,'Datos generales'!A:H,8,0)</f>
        <v>2650.02</v>
      </c>
      <c r="D159" s="12" t="str">
        <f t="shared" si="4"/>
        <v>febrero</v>
      </c>
      <c r="E159" s="33">
        <f t="shared" si="5"/>
        <v>2024</v>
      </c>
    </row>
    <row r="160" spans="1:5" x14ac:dyDescent="0.25">
      <c r="A160" t="s">
        <v>170</v>
      </c>
      <c r="B160" s="10">
        <f>VLOOKUP(A160,'Datos generales'!A:B,2,0)</f>
        <v>45288.395833333343</v>
      </c>
      <c r="C160" s="12">
        <f>VLOOKUP(A160,'Datos generales'!A:H,8,0)</f>
        <v>2843.36</v>
      </c>
      <c r="D160" s="12" t="str">
        <f t="shared" si="4"/>
        <v>diciembre</v>
      </c>
      <c r="E160" s="33">
        <f t="shared" si="5"/>
        <v>2023</v>
      </c>
    </row>
    <row r="161" spans="1:5" x14ac:dyDescent="0.25">
      <c r="A161" t="s">
        <v>171</v>
      </c>
      <c r="B161" s="10">
        <f>VLOOKUP(A161,'Datos generales'!A:B,2,0)</f>
        <v>45900.337500000001</v>
      </c>
      <c r="C161" s="12">
        <f>VLOOKUP(A161,'Datos generales'!A:H,8,0)</f>
        <v>291.81</v>
      </c>
      <c r="D161" s="12" t="str">
        <f t="shared" si="4"/>
        <v>agosto</v>
      </c>
      <c r="E161" s="33">
        <f t="shared" si="5"/>
        <v>2025</v>
      </c>
    </row>
    <row r="162" spans="1:5" x14ac:dyDescent="0.25">
      <c r="A162" t="s">
        <v>172</v>
      </c>
      <c r="B162" s="10">
        <f>VLOOKUP(A162,'Datos generales'!A:B,2,0)</f>
        <v>45576.732638888891</v>
      </c>
      <c r="C162" s="12">
        <f>VLOOKUP(A162,'Datos generales'!A:H,8,0)</f>
        <v>2491.8000000000002</v>
      </c>
      <c r="D162" s="12" t="str">
        <f t="shared" si="4"/>
        <v>octubre</v>
      </c>
      <c r="E162" s="33">
        <f t="shared" si="5"/>
        <v>2024</v>
      </c>
    </row>
    <row r="163" spans="1:5" x14ac:dyDescent="0.25">
      <c r="A163" t="s">
        <v>173</v>
      </c>
      <c r="B163" s="10">
        <f>VLOOKUP(A163,'Datos generales'!A:B,2,0)</f>
        <v>45392.97152777778</v>
      </c>
      <c r="C163" s="12">
        <f>VLOOKUP(A163,'Datos generales'!A:H,8,0)</f>
        <v>4904.45</v>
      </c>
      <c r="D163" s="12" t="str">
        <f t="shared" si="4"/>
        <v>abril</v>
      </c>
      <c r="E163" s="33">
        <f t="shared" si="5"/>
        <v>2024</v>
      </c>
    </row>
    <row r="164" spans="1:5" x14ac:dyDescent="0.25">
      <c r="A164" t="s">
        <v>174</v>
      </c>
      <c r="B164" s="10">
        <f>VLOOKUP(A164,'Datos generales'!A:B,2,0)</f>
        <v>45584.049305555563</v>
      </c>
      <c r="C164" s="12">
        <f>VLOOKUP(A164,'Datos generales'!A:H,8,0)</f>
        <v>1390.33</v>
      </c>
      <c r="D164" s="12" t="str">
        <f t="shared" si="4"/>
        <v>octubre</v>
      </c>
      <c r="E164" s="33">
        <f t="shared" si="5"/>
        <v>2024</v>
      </c>
    </row>
    <row r="165" spans="1:5" x14ac:dyDescent="0.25">
      <c r="A165" t="s">
        <v>175</v>
      </c>
      <c r="B165" s="10">
        <f>VLOOKUP(A165,'Datos generales'!A:B,2,0)</f>
        <v>44941.657638888893</v>
      </c>
      <c r="C165" s="12">
        <f>VLOOKUP(A165,'Datos generales'!A:H,8,0)</f>
        <v>8540.4499999999989</v>
      </c>
      <c r="D165" s="12" t="str">
        <f t="shared" si="4"/>
        <v>enero</v>
      </c>
      <c r="E165" s="33">
        <f t="shared" si="5"/>
        <v>2023</v>
      </c>
    </row>
    <row r="166" spans="1:5" x14ac:dyDescent="0.25">
      <c r="A166" t="s">
        <v>176</v>
      </c>
      <c r="B166" s="10">
        <f>VLOOKUP(A166,'Datos generales'!A:B,2,0)</f>
        <v>45238.718055555553</v>
      </c>
      <c r="C166" s="12">
        <f>VLOOKUP(A166,'Datos generales'!A:H,8,0)</f>
        <v>1378.2</v>
      </c>
      <c r="D166" s="12" t="str">
        <f t="shared" si="4"/>
        <v>noviembre</v>
      </c>
      <c r="E166" s="33">
        <f t="shared" si="5"/>
        <v>2023</v>
      </c>
    </row>
    <row r="167" spans="1:5" x14ac:dyDescent="0.25">
      <c r="A167" t="s">
        <v>177</v>
      </c>
      <c r="B167" s="10">
        <f>VLOOKUP(A167,'Datos generales'!A:B,2,0)</f>
        <v>44973.59652777778</v>
      </c>
      <c r="C167" s="12">
        <f>VLOOKUP(A167,'Datos generales'!A:H,8,0)</f>
        <v>1578.33</v>
      </c>
      <c r="D167" s="12" t="str">
        <f t="shared" si="4"/>
        <v>febrero</v>
      </c>
      <c r="E167" s="33">
        <f t="shared" si="5"/>
        <v>2023</v>
      </c>
    </row>
    <row r="168" spans="1:5" x14ac:dyDescent="0.25">
      <c r="A168" t="s">
        <v>178</v>
      </c>
      <c r="B168" s="10">
        <f>VLOOKUP(A168,'Datos generales'!A:B,2,0)</f>
        <v>45445.690972222219</v>
      </c>
      <c r="C168" s="12">
        <f>VLOOKUP(A168,'Datos generales'!A:H,8,0)</f>
        <v>8011.9500000000007</v>
      </c>
      <c r="D168" s="12" t="str">
        <f t="shared" si="4"/>
        <v>junio</v>
      </c>
      <c r="E168" s="33">
        <f t="shared" si="5"/>
        <v>2024</v>
      </c>
    </row>
    <row r="169" spans="1:5" x14ac:dyDescent="0.25">
      <c r="A169" t="s">
        <v>179</v>
      </c>
      <c r="B169" s="10">
        <f>VLOOKUP(A169,'Datos generales'!A:B,2,0)</f>
        <v>45035.472916666673</v>
      </c>
      <c r="C169" s="12">
        <f>VLOOKUP(A169,'Datos generales'!A:H,8,0)</f>
        <v>1429.1</v>
      </c>
      <c r="D169" s="12" t="str">
        <f t="shared" si="4"/>
        <v>abril</v>
      </c>
      <c r="E169" s="33">
        <f t="shared" si="5"/>
        <v>2023</v>
      </c>
    </row>
    <row r="170" spans="1:5" x14ac:dyDescent="0.25">
      <c r="A170" t="s">
        <v>180</v>
      </c>
      <c r="B170" s="10">
        <f>VLOOKUP(A170,'Datos generales'!A:B,2,0)</f>
        <v>45836.104166666657</v>
      </c>
      <c r="C170" s="12">
        <f>VLOOKUP(A170,'Datos generales'!A:H,8,0)</f>
        <v>281.08</v>
      </c>
      <c r="D170" s="12" t="str">
        <f t="shared" si="4"/>
        <v>junio</v>
      </c>
      <c r="E170" s="33">
        <f t="shared" si="5"/>
        <v>2025</v>
      </c>
    </row>
    <row r="171" spans="1:5" x14ac:dyDescent="0.25">
      <c r="A171" t="s">
        <v>181</v>
      </c>
      <c r="B171" s="10">
        <f>VLOOKUP(A171,'Datos generales'!A:B,2,0)</f>
        <v>45584.553472222222</v>
      </c>
      <c r="C171" s="12">
        <f>VLOOKUP(A171,'Datos generales'!A:H,8,0)</f>
        <v>1434.35</v>
      </c>
      <c r="D171" s="12" t="str">
        <f t="shared" si="4"/>
        <v>octubre</v>
      </c>
      <c r="E171" s="33">
        <f t="shared" si="5"/>
        <v>2024</v>
      </c>
    </row>
    <row r="172" spans="1:5" x14ac:dyDescent="0.25">
      <c r="A172" t="s">
        <v>182</v>
      </c>
      <c r="B172" s="10">
        <f>VLOOKUP(A172,'Datos generales'!A:B,2,0)</f>
        <v>45338.585416666669</v>
      </c>
      <c r="C172" s="12">
        <f>VLOOKUP(A172,'Datos generales'!A:H,8,0)</f>
        <v>9489.85</v>
      </c>
      <c r="D172" s="12" t="str">
        <f t="shared" si="4"/>
        <v>febrero</v>
      </c>
      <c r="E172" s="33">
        <f t="shared" si="5"/>
        <v>2024</v>
      </c>
    </row>
    <row r="173" spans="1:5" x14ac:dyDescent="0.25">
      <c r="A173" t="s">
        <v>183</v>
      </c>
      <c r="B173" s="10">
        <f>VLOOKUP(A173,'Datos generales'!A:B,2,0)</f>
        <v>45625.480555555558</v>
      </c>
      <c r="C173" s="12">
        <f>VLOOKUP(A173,'Datos generales'!A:H,8,0)</f>
        <v>1175.42</v>
      </c>
      <c r="D173" s="12" t="str">
        <f t="shared" si="4"/>
        <v>noviembre</v>
      </c>
      <c r="E173" s="33">
        <f t="shared" si="5"/>
        <v>2024</v>
      </c>
    </row>
    <row r="174" spans="1:5" x14ac:dyDescent="0.25">
      <c r="A174" t="s">
        <v>184</v>
      </c>
      <c r="B174" s="10">
        <f>VLOOKUP(A174,'Datos generales'!A:B,2,0)</f>
        <v>45291</v>
      </c>
      <c r="C174" s="12">
        <f>VLOOKUP(A174,'Datos generales'!A:H,8,0)</f>
        <v>3580.52</v>
      </c>
      <c r="D174" s="12" t="str">
        <f t="shared" si="4"/>
        <v>diciembre</v>
      </c>
      <c r="E174" s="33">
        <f t="shared" si="5"/>
        <v>2023</v>
      </c>
    </row>
    <row r="175" spans="1:5" x14ac:dyDescent="0.25">
      <c r="A175" t="s">
        <v>185</v>
      </c>
      <c r="B175" s="10">
        <f>VLOOKUP(A175,'Datos generales'!A:B,2,0)</f>
        <v>45548.488194444442</v>
      </c>
      <c r="C175" s="12">
        <f>VLOOKUP(A175,'Datos generales'!A:H,8,0)</f>
        <v>4372.0499999999993</v>
      </c>
      <c r="D175" s="12" t="str">
        <f t="shared" si="4"/>
        <v>septiembre</v>
      </c>
      <c r="E175" s="33">
        <f t="shared" si="5"/>
        <v>2024</v>
      </c>
    </row>
    <row r="176" spans="1:5" x14ac:dyDescent="0.25">
      <c r="A176" t="s">
        <v>186</v>
      </c>
      <c r="B176" s="10">
        <f>VLOOKUP(A176,'Datos generales'!A:B,2,0)</f>
        <v>45540.261805555558</v>
      </c>
      <c r="C176" s="12">
        <f>VLOOKUP(A176,'Datos generales'!A:H,8,0)</f>
        <v>3249.96</v>
      </c>
      <c r="D176" s="12" t="str">
        <f t="shared" si="4"/>
        <v>septiembre</v>
      </c>
      <c r="E176" s="33">
        <f t="shared" si="5"/>
        <v>2024</v>
      </c>
    </row>
    <row r="177" spans="1:5" x14ac:dyDescent="0.25">
      <c r="A177" t="s">
        <v>187</v>
      </c>
      <c r="B177" s="10">
        <f>VLOOKUP(A177,'Datos generales'!A:B,2,0)</f>
        <v>45783.684027777781</v>
      </c>
      <c r="C177" s="12">
        <f>VLOOKUP(A177,'Datos generales'!A:H,8,0)</f>
        <v>4628.13</v>
      </c>
      <c r="D177" s="12" t="str">
        <f t="shared" si="4"/>
        <v>mayo</v>
      </c>
      <c r="E177" s="33">
        <f t="shared" si="5"/>
        <v>2025</v>
      </c>
    </row>
    <row r="178" spans="1:5" x14ac:dyDescent="0.25">
      <c r="A178" t="s">
        <v>188</v>
      </c>
      <c r="B178" s="10">
        <f>VLOOKUP(A178,'Datos generales'!A:B,2,0)</f>
        <v>45692.470138888893</v>
      </c>
      <c r="C178" s="12">
        <f>VLOOKUP(A178,'Datos generales'!A:H,8,0)</f>
        <v>3619</v>
      </c>
      <c r="D178" s="12" t="str">
        <f t="shared" si="4"/>
        <v>febrero</v>
      </c>
      <c r="E178" s="33">
        <f t="shared" si="5"/>
        <v>2025</v>
      </c>
    </row>
    <row r="179" spans="1:5" x14ac:dyDescent="0.25">
      <c r="A179" t="s">
        <v>189</v>
      </c>
      <c r="B179" s="10">
        <f>VLOOKUP(A179,'Datos generales'!A:B,2,0)</f>
        <v>45186.410416666673</v>
      </c>
      <c r="C179" s="12">
        <f>VLOOKUP(A179,'Datos generales'!A:H,8,0)</f>
        <v>899.85</v>
      </c>
      <c r="D179" s="12" t="str">
        <f t="shared" si="4"/>
        <v>septiembre</v>
      </c>
      <c r="E179" s="33">
        <f t="shared" si="5"/>
        <v>2023</v>
      </c>
    </row>
    <row r="180" spans="1:5" x14ac:dyDescent="0.25">
      <c r="A180" t="s">
        <v>190</v>
      </c>
      <c r="B180" s="10">
        <f>VLOOKUP(A180,'Datos generales'!A:B,2,0)</f>
        <v>45539.616666666669</v>
      </c>
      <c r="C180" s="12">
        <f>VLOOKUP(A180,'Datos generales'!A:H,8,0)</f>
        <v>1318.43</v>
      </c>
      <c r="D180" s="12" t="str">
        <f t="shared" si="4"/>
        <v>septiembre</v>
      </c>
      <c r="E180" s="33">
        <f t="shared" si="5"/>
        <v>2024</v>
      </c>
    </row>
    <row r="181" spans="1:5" x14ac:dyDescent="0.25">
      <c r="A181" t="s">
        <v>191</v>
      </c>
      <c r="B181" s="10">
        <f>VLOOKUP(A181,'Datos generales'!A:B,2,0)</f>
        <v>45073.392361111109</v>
      </c>
      <c r="C181" s="12">
        <f>VLOOKUP(A181,'Datos generales'!A:H,8,0)</f>
        <v>614.74</v>
      </c>
      <c r="D181" s="12" t="str">
        <f t="shared" si="4"/>
        <v>mayo</v>
      </c>
      <c r="E181" s="33">
        <f t="shared" si="5"/>
        <v>2023</v>
      </c>
    </row>
    <row r="182" spans="1:5" x14ac:dyDescent="0.25">
      <c r="A182" t="s">
        <v>192</v>
      </c>
      <c r="B182" s="10">
        <f>VLOOKUP(A182,'Datos generales'!A:B,2,0)</f>
        <v>45287.277777777781</v>
      </c>
      <c r="C182" s="12">
        <f>VLOOKUP(A182,'Datos generales'!A:H,8,0)</f>
        <v>1364.97</v>
      </c>
      <c r="D182" s="12" t="str">
        <f t="shared" si="4"/>
        <v>diciembre</v>
      </c>
      <c r="E182" s="33">
        <f t="shared" si="5"/>
        <v>2023</v>
      </c>
    </row>
    <row r="183" spans="1:5" x14ac:dyDescent="0.25">
      <c r="A183" t="s">
        <v>193</v>
      </c>
      <c r="B183" s="10">
        <f>VLOOKUP(A183,'Datos generales'!A:B,2,0)</f>
        <v>45398.678472222222</v>
      </c>
      <c r="C183" s="12">
        <f>VLOOKUP(A183,'Datos generales'!A:H,8,0)</f>
        <v>732.68999999999994</v>
      </c>
      <c r="D183" s="12" t="str">
        <f t="shared" si="4"/>
        <v>abril</v>
      </c>
      <c r="E183" s="33">
        <f t="shared" si="5"/>
        <v>2024</v>
      </c>
    </row>
    <row r="184" spans="1:5" x14ac:dyDescent="0.25">
      <c r="A184" t="s">
        <v>194</v>
      </c>
      <c r="B184" s="10">
        <f>VLOOKUP(A184,'Datos generales'!A:B,2,0)</f>
        <v>44949.395833333343</v>
      </c>
      <c r="C184" s="12">
        <f>VLOOKUP(A184,'Datos generales'!A:H,8,0)</f>
        <v>736.92</v>
      </c>
      <c r="D184" s="12" t="str">
        <f t="shared" si="4"/>
        <v>enero</v>
      </c>
      <c r="E184" s="33">
        <f t="shared" si="5"/>
        <v>2023</v>
      </c>
    </row>
    <row r="185" spans="1:5" x14ac:dyDescent="0.25">
      <c r="A185" t="s">
        <v>195</v>
      </c>
      <c r="B185" s="10">
        <f>VLOOKUP(A185,'Datos generales'!A:B,2,0)</f>
        <v>45560.538194444453</v>
      </c>
      <c r="C185" s="12">
        <f>VLOOKUP(A185,'Datos generales'!A:H,8,0)</f>
        <v>1501.34</v>
      </c>
      <c r="D185" s="12" t="str">
        <f t="shared" si="4"/>
        <v>septiembre</v>
      </c>
      <c r="E185" s="33">
        <f t="shared" si="5"/>
        <v>2024</v>
      </c>
    </row>
    <row r="186" spans="1:5" x14ac:dyDescent="0.25">
      <c r="A186" t="s">
        <v>196</v>
      </c>
      <c r="B186" s="10">
        <f>VLOOKUP(A186,'Datos generales'!A:B,2,0)</f>
        <v>45636.231249999997</v>
      </c>
      <c r="C186" s="12">
        <f>VLOOKUP(A186,'Datos generales'!A:H,8,0)</f>
        <v>3980.72</v>
      </c>
      <c r="D186" s="12" t="str">
        <f t="shared" si="4"/>
        <v>diciembre</v>
      </c>
      <c r="E186" s="33">
        <f t="shared" si="5"/>
        <v>2024</v>
      </c>
    </row>
    <row r="187" spans="1:5" x14ac:dyDescent="0.25">
      <c r="A187" t="s">
        <v>197</v>
      </c>
      <c r="B187" s="10">
        <f>VLOOKUP(A187,'Datos generales'!A:B,2,0)</f>
        <v>45218.252083333333</v>
      </c>
      <c r="C187" s="12">
        <f>VLOOKUP(A187,'Datos generales'!A:H,8,0)</f>
        <v>3669.44</v>
      </c>
      <c r="D187" s="12" t="str">
        <f t="shared" si="4"/>
        <v>octubre</v>
      </c>
      <c r="E187" s="33">
        <f t="shared" si="5"/>
        <v>2023</v>
      </c>
    </row>
    <row r="188" spans="1:5" x14ac:dyDescent="0.25">
      <c r="A188" t="s">
        <v>198</v>
      </c>
      <c r="B188" s="10">
        <f>VLOOKUP(A188,'Datos generales'!A:B,2,0)</f>
        <v>45615.827777777777</v>
      </c>
      <c r="C188" s="12">
        <f>VLOOKUP(A188,'Datos generales'!A:H,8,0)</f>
        <v>3884.62</v>
      </c>
      <c r="D188" s="12" t="str">
        <f t="shared" si="4"/>
        <v>noviembre</v>
      </c>
      <c r="E188" s="33">
        <f t="shared" si="5"/>
        <v>2024</v>
      </c>
    </row>
    <row r="189" spans="1:5" x14ac:dyDescent="0.25">
      <c r="A189" t="s">
        <v>199</v>
      </c>
      <c r="B189" s="10">
        <f>VLOOKUP(A189,'Datos generales'!A:B,2,0)</f>
        <v>45755.705555555563</v>
      </c>
      <c r="C189" s="12">
        <f>VLOOKUP(A189,'Datos generales'!A:H,8,0)</f>
        <v>3076.71</v>
      </c>
      <c r="D189" s="12" t="str">
        <f t="shared" si="4"/>
        <v>abril</v>
      </c>
      <c r="E189" s="33">
        <f t="shared" si="5"/>
        <v>2025</v>
      </c>
    </row>
    <row r="190" spans="1:5" x14ac:dyDescent="0.25">
      <c r="A190" t="s">
        <v>200</v>
      </c>
      <c r="B190" s="10">
        <f>VLOOKUP(A190,'Datos generales'!A:B,2,0)</f>
        <v>44962.009722222218</v>
      </c>
      <c r="C190" s="12">
        <f>VLOOKUP(A190,'Datos generales'!A:H,8,0)</f>
        <v>2220.7600000000002</v>
      </c>
      <c r="D190" s="12" t="str">
        <f t="shared" si="4"/>
        <v>febrero</v>
      </c>
      <c r="E190" s="33">
        <f t="shared" si="5"/>
        <v>2023</v>
      </c>
    </row>
    <row r="191" spans="1:5" x14ac:dyDescent="0.25">
      <c r="A191" t="s">
        <v>201</v>
      </c>
      <c r="B191" s="10">
        <f>VLOOKUP(A191,'Datos generales'!A:B,2,0)</f>
        <v>45194.675000000003</v>
      </c>
      <c r="C191" s="12">
        <f>VLOOKUP(A191,'Datos generales'!A:H,8,0)</f>
        <v>3754.1</v>
      </c>
      <c r="D191" s="12" t="str">
        <f t="shared" si="4"/>
        <v>septiembre</v>
      </c>
      <c r="E191" s="33">
        <f t="shared" si="5"/>
        <v>2023</v>
      </c>
    </row>
    <row r="192" spans="1:5" x14ac:dyDescent="0.25">
      <c r="A192" t="s">
        <v>202</v>
      </c>
      <c r="B192" s="10">
        <f>VLOOKUP(A192,'Datos generales'!A:B,2,0)</f>
        <v>45818.179861111108</v>
      </c>
      <c r="C192" s="12">
        <f>VLOOKUP(A192,'Datos generales'!A:H,8,0)</f>
        <v>3219.8</v>
      </c>
      <c r="D192" s="12" t="str">
        <f t="shared" si="4"/>
        <v>junio</v>
      </c>
      <c r="E192" s="33">
        <f t="shared" si="5"/>
        <v>2025</v>
      </c>
    </row>
    <row r="193" spans="1:5" x14ac:dyDescent="0.25">
      <c r="A193" t="s">
        <v>203</v>
      </c>
      <c r="B193" s="10">
        <f>VLOOKUP(A193,'Datos generales'!A:B,2,0)</f>
        <v>45755.011111111111</v>
      </c>
      <c r="C193" s="12">
        <f>VLOOKUP(A193,'Datos generales'!A:H,8,0)</f>
        <v>83.67</v>
      </c>
      <c r="D193" s="12" t="str">
        <f t="shared" si="4"/>
        <v>abril</v>
      </c>
      <c r="E193" s="33">
        <f t="shared" si="5"/>
        <v>2025</v>
      </c>
    </row>
    <row r="194" spans="1:5" x14ac:dyDescent="0.25">
      <c r="A194" t="s">
        <v>204</v>
      </c>
      <c r="B194" s="10">
        <f>VLOOKUP(A194,'Datos generales'!A:B,2,0)</f>
        <v>45862.584722222222</v>
      </c>
      <c r="C194" s="12">
        <f>VLOOKUP(A194,'Datos generales'!A:H,8,0)</f>
        <v>1700.54</v>
      </c>
      <c r="D194" s="12" t="str">
        <f t="shared" si="4"/>
        <v>julio</v>
      </c>
      <c r="E194" s="33">
        <f t="shared" si="5"/>
        <v>2025</v>
      </c>
    </row>
    <row r="195" spans="1:5" x14ac:dyDescent="0.25">
      <c r="A195" t="s">
        <v>205</v>
      </c>
      <c r="B195" s="10">
        <f>VLOOKUP(A195,'Datos generales'!A:B,2,0)</f>
        <v>45802.370833333327</v>
      </c>
      <c r="C195" s="12">
        <f>VLOOKUP(A195,'Datos generales'!A:H,8,0)</f>
        <v>1420.2</v>
      </c>
      <c r="D195" s="12" t="str">
        <f t="shared" ref="D195:D258" si="6">TEXT(B195,"mmmm")</f>
        <v>mayo</v>
      </c>
      <c r="E195" s="33">
        <f t="shared" ref="E195:E258" si="7">YEAR(B195)</f>
        <v>2025</v>
      </c>
    </row>
    <row r="196" spans="1:5" x14ac:dyDescent="0.25">
      <c r="A196" t="s">
        <v>206</v>
      </c>
      <c r="B196" s="10">
        <f>VLOOKUP(A196,'Datos generales'!A:B,2,0)</f>
        <v>45178.038888888892</v>
      </c>
      <c r="C196" s="12">
        <f>VLOOKUP(A196,'Datos generales'!A:H,8,0)</f>
        <v>521.32000000000005</v>
      </c>
      <c r="D196" s="12" t="str">
        <f t="shared" si="6"/>
        <v>septiembre</v>
      </c>
      <c r="E196" s="33">
        <f t="shared" si="7"/>
        <v>2023</v>
      </c>
    </row>
    <row r="197" spans="1:5" x14ac:dyDescent="0.25">
      <c r="A197" t="s">
        <v>207</v>
      </c>
      <c r="B197" s="10">
        <f>VLOOKUP(A197,'Datos generales'!A:B,2,0)</f>
        <v>45748.34097222222</v>
      </c>
      <c r="C197" s="12">
        <f>VLOOKUP(A197,'Datos generales'!A:H,8,0)</f>
        <v>1067.6400000000001</v>
      </c>
      <c r="D197" s="12" t="str">
        <f t="shared" si="6"/>
        <v>abril</v>
      </c>
      <c r="E197" s="33">
        <f t="shared" si="7"/>
        <v>2025</v>
      </c>
    </row>
    <row r="198" spans="1:5" x14ac:dyDescent="0.25">
      <c r="A198" t="s">
        <v>208</v>
      </c>
      <c r="B198" s="10">
        <f>VLOOKUP(A198,'Datos generales'!A:B,2,0)</f>
        <v>45055.556250000001</v>
      </c>
      <c r="C198" s="12">
        <f>VLOOKUP(A198,'Datos generales'!A:H,8,0)</f>
        <v>1903.64</v>
      </c>
      <c r="D198" s="12" t="str">
        <f t="shared" si="6"/>
        <v>mayo</v>
      </c>
      <c r="E198" s="33">
        <f t="shared" si="7"/>
        <v>2023</v>
      </c>
    </row>
    <row r="199" spans="1:5" x14ac:dyDescent="0.25">
      <c r="A199" t="s">
        <v>209</v>
      </c>
      <c r="B199" s="10">
        <f>VLOOKUP(A199,'Datos generales'!A:B,2,0)</f>
        <v>44958.773611111108</v>
      </c>
      <c r="C199" s="12">
        <f>VLOOKUP(A199,'Datos generales'!A:H,8,0)</f>
        <v>2920.32</v>
      </c>
      <c r="D199" s="12" t="str">
        <f t="shared" si="6"/>
        <v>febrero</v>
      </c>
      <c r="E199" s="33">
        <f t="shared" si="7"/>
        <v>2023</v>
      </c>
    </row>
    <row r="200" spans="1:5" x14ac:dyDescent="0.25">
      <c r="A200" t="s">
        <v>210</v>
      </c>
      <c r="B200" s="10">
        <f>VLOOKUP(A200,'Datos generales'!A:B,2,0)</f>
        <v>45816.563888888893</v>
      </c>
      <c r="C200" s="12">
        <f>VLOOKUP(A200,'Datos generales'!A:H,8,0)</f>
        <v>3388</v>
      </c>
      <c r="D200" s="12" t="str">
        <f t="shared" si="6"/>
        <v>junio</v>
      </c>
      <c r="E200" s="33">
        <f t="shared" si="7"/>
        <v>2025</v>
      </c>
    </row>
    <row r="201" spans="1:5" x14ac:dyDescent="0.25">
      <c r="A201" t="s">
        <v>211</v>
      </c>
      <c r="B201" s="10">
        <f>VLOOKUP(A201,'Datos generales'!A:B,2,0)</f>
        <v>45089.396527777782</v>
      </c>
      <c r="C201" s="12">
        <f>VLOOKUP(A201,'Datos generales'!A:H,8,0)</f>
        <v>2486.6799999999998</v>
      </c>
      <c r="D201" s="12" t="str">
        <f t="shared" si="6"/>
        <v>junio</v>
      </c>
      <c r="E201" s="33">
        <f t="shared" si="7"/>
        <v>2023</v>
      </c>
    </row>
    <row r="202" spans="1:5" x14ac:dyDescent="0.25">
      <c r="A202" t="s">
        <v>12</v>
      </c>
      <c r="B202" s="10">
        <f>VLOOKUP(A202,'Datos generales'!A:B,2,0)</f>
        <v>45280.478472222218</v>
      </c>
      <c r="C202" s="12">
        <f>VLOOKUP(A202,'Datos generales'!A:H,8,0)</f>
        <v>7486.2</v>
      </c>
      <c r="D202" s="12" t="str">
        <f t="shared" si="6"/>
        <v>diciembre</v>
      </c>
      <c r="E202" s="33">
        <f t="shared" si="7"/>
        <v>2023</v>
      </c>
    </row>
    <row r="203" spans="1:5" x14ac:dyDescent="0.25">
      <c r="A203" t="s">
        <v>13</v>
      </c>
      <c r="B203" s="10">
        <f>VLOOKUP(A203,'Datos generales'!A:B,2,0)</f>
        <v>45008.840277777781</v>
      </c>
      <c r="C203" s="12">
        <f>VLOOKUP(A203,'Datos generales'!A:H,8,0)</f>
        <v>1687.54</v>
      </c>
      <c r="D203" s="12" t="str">
        <f t="shared" si="6"/>
        <v>marzo</v>
      </c>
      <c r="E203" s="33">
        <f t="shared" si="7"/>
        <v>2023</v>
      </c>
    </row>
    <row r="204" spans="1:5" x14ac:dyDescent="0.25">
      <c r="A204" t="s">
        <v>14</v>
      </c>
      <c r="B204" s="10">
        <f>VLOOKUP(A204,'Datos generales'!A:B,2,0)</f>
        <v>45355.443749999999</v>
      </c>
      <c r="C204" s="12">
        <f>VLOOKUP(A204,'Datos generales'!A:H,8,0)</f>
        <v>2306.4</v>
      </c>
      <c r="D204" s="12" t="str">
        <f t="shared" si="6"/>
        <v>marzo</v>
      </c>
      <c r="E204" s="33">
        <f t="shared" si="7"/>
        <v>2024</v>
      </c>
    </row>
    <row r="205" spans="1:5" x14ac:dyDescent="0.25">
      <c r="A205" t="s">
        <v>15</v>
      </c>
      <c r="B205" s="10">
        <f>VLOOKUP(A205,'Datos generales'!A:B,2,0)</f>
        <v>45704.374305555553</v>
      </c>
      <c r="C205" s="12">
        <f>VLOOKUP(A205,'Datos generales'!A:H,8,0)</f>
        <v>1532.67</v>
      </c>
      <c r="D205" s="12" t="str">
        <f t="shared" si="6"/>
        <v>febrero</v>
      </c>
      <c r="E205" s="33">
        <f t="shared" si="7"/>
        <v>2025</v>
      </c>
    </row>
    <row r="206" spans="1:5" x14ac:dyDescent="0.25">
      <c r="A206" t="s">
        <v>16</v>
      </c>
      <c r="B206" s="10">
        <f>VLOOKUP(A206,'Datos generales'!A:B,2,0)</f>
        <v>45772.848611111112</v>
      </c>
      <c r="C206" s="12">
        <f>VLOOKUP(A206,'Datos generales'!A:H,8,0)</f>
        <v>5128.41</v>
      </c>
      <c r="D206" s="12" t="str">
        <f t="shared" si="6"/>
        <v>abril</v>
      </c>
      <c r="E206" s="33">
        <f t="shared" si="7"/>
        <v>2025</v>
      </c>
    </row>
    <row r="207" spans="1:5" x14ac:dyDescent="0.25">
      <c r="A207" t="s">
        <v>17</v>
      </c>
      <c r="B207" s="10">
        <f>VLOOKUP(A207,'Datos generales'!A:B,2,0)</f>
        <v>45101.225694444453</v>
      </c>
      <c r="C207" s="12">
        <f>VLOOKUP(A207,'Datos generales'!A:H,8,0)</f>
        <v>892.62000000000012</v>
      </c>
      <c r="D207" s="12" t="str">
        <f t="shared" si="6"/>
        <v>junio</v>
      </c>
      <c r="E207" s="33">
        <f t="shared" si="7"/>
        <v>2023</v>
      </c>
    </row>
    <row r="208" spans="1:5" x14ac:dyDescent="0.25">
      <c r="A208" t="s">
        <v>18</v>
      </c>
      <c r="B208" s="10">
        <f>VLOOKUP(A208,'Datos generales'!A:B,2,0)</f>
        <v>45694.432638888888</v>
      </c>
      <c r="C208" s="12">
        <f>VLOOKUP(A208,'Datos generales'!A:H,8,0)</f>
        <v>6186.6</v>
      </c>
      <c r="D208" s="12" t="str">
        <f t="shared" si="6"/>
        <v>febrero</v>
      </c>
      <c r="E208" s="33">
        <f t="shared" si="7"/>
        <v>2025</v>
      </c>
    </row>
    <row r="209" spans="1:5" x14ac:dyDescent="0.25">
      <c r="A209" t="s">
        <v>19</v>
      </c>
      <c r="B209" s="10">
        <f>VLOOKUP(A209,'Datos generales'!A:B,2,0)</f>
        <v>45798.69027777778</v>
      </c>
      <c r="C209" s="12">
        <f>VLOOKUP(A209,'Datos generales'!A:H,8,0)</f>
        <v>1575.18</v>
      </c>
      <c r="D209" s="12" t="str">
        <f t="shared" si="6"/>
        <v>mayo</v>
      </c>
      <c r="E209" s="33">
        <f t="shared" si="7"/>
        <v>2025</v>
      </c>
    </row>
    <row r="210" spans="1:5" x14ac:dyDescent="0.25">
      <c r="A210" t="s">
        <v>20</v>
      </c>
      <c r="B210" s="10">
        <f>VLOOKUP(A210,'Datos generales'!A:B,2,0)</f>
        <v>45425.797222222223</v>
      </c>
      <c r="C210" s="12">
        <f>VLOOKUP(A210,'Datos generales'!A:H,8,0)</f>
        <v>9079.2999999999993</v>
      </c>
      <c r="D210" s="12" t="str">
        <f t="shared" si="6"/>
        <v>mayo</v>
      </c>
      <c r="E210" s="33">
        <f t="shared" si="7"/>
        <v>2024</v>
      </c>
    </row>
    <row r="211" spans="1:5" x14ac:dyDescent="0.25">
      <c r="A211" t="s">
        <v>21</v>
      </c>
      <c r="B211" s="10">
        <f>VLOOKUP(A211,'Datos generales'!A:B,2,0)</f>
        <v>45525.152083333327</v>
      </c>
      <c r="C211" s="12">
        <f>VLOOKUP(A211,'Datos generales'!A:H,8,0)</f>
        <v>564.11</v>
      </c>
      <c r="D211" s="12" t="str">
        <f t="shared" si="6"/>
        <v>agosto</v>
      </c>
      <c r="E211" s="33">
        <f t="shared" si="7"/>
        <v>2024</v>
      </c>
    </row>
    <row r="212" spans="1:5" x14ac:dyDescent="0.25">
      <c r="A212" t="s">
        <v>22</v>
      </c>
      <c r="B212" s="10">
        <f>VLOOKUP(A212,'Datos generales'!A:B,2,0)</f>
        <v>45580.043749999997</v>
      </c>
      <c r="C212" s="12">
        <f>VLOOKUP(A212,'Datos generales'!A:H,8,0)</f>
        <v>454.9</v>
      </c>
      <c r="D212" s="12" t="str">
        <f t="shared" si="6"/>
        <v>octubre</v>
      </c>
      <c r="E212" s="33">
        <f t="shared" si="7"/>
        <v>2024</v>
      </c>
    </row>
    <row r="213" spans="1:5" x14ac:dyDescent="0.25">
      <c r="A213" t="s">
        <v>23</v>
      </c>
      <c r="B213" s="10">
        <f>VLOOKUP(A213,'Datos generales'!A:B,2,0)</f>
        <v>45551.151388888888</v>
      </c>
      <c r="C213" s="12">
        <f>VLOOKUP(A213,'Datos generales'!A:H,8,0)</f>
        <v>3832.53</v>
      </c>
      <c r="D213" s="12" t="str">
        <f t="shared" si="6"/>
        <v>septiembre</v>
      </c>
      <c r="E213" s="33">
        <f t="shared" si="7"/>
        <v>2024</v>
      </c>
    </row>
    <row r="214" spans="1:5" x14ac:dyDescent="0.25">
      <c r="A214" t="s">
        <v>24</v>
      </c>
      <c r="B214" s="10">
        <f>VLOOKUP(A214,'Datos generales'!A:B,2,0)</f>
        <v>45230.395833333343</v>
      </c>
      <c r="C214" s="12">
        <f>VLOOKUP(A214,'Datos generales'!A:H,8,0)</f>
        <v>3741.9</v>
      </c>
      <c r="D214" s="12" t="str">
        <f t="shared" si="6"/>
        <v>octubre</v>
      </c>
      <c r="E214" s="33">
        <f t="shared" si="7"/>
        <v>2023</v>
      </c>
    </row>
    <row r="215" spans="1:5" x14ac:dyDescent="0.25">
      <c r="A215" t="s">
        <v>25</v>
      </c>
      <c r="B215" s="10">
        <f>VLOOKUP(A215,'Datos generales'!A:B,2,0)</f>
        <v>45234.645833333343</v>
      </c>
      <c r="C215" s="12">
        <f>VLOOKUP(A215,'Datos generales'!A:H,8,0)</f>
        <v>4908.92</v>
      </c>
      <c r="D215" s="12" t="str">
        <f t="shared" si="6"/>
        <v>noviembre</v>
      </c>
      <c r="E215" s="33">
        <f t="shared" si="7"/>
        <v>2023</v>
      </c>
    </row>
    <row r="216" spans="1:5" x14ac:dyDescent="0.25">
      <c r="A216" t="s">
        <v>26</v>
      </c>
      <c r="B216" s="10">
        <f>VLOOKUP(A216,'Datos generales'!A:B,2,0)</f>
        <v>45464.76666666667</v>
      </c>
      <c r="C216" s="12">
        <f>VLOOKUP(A216,'Datos generales'!A:H,8,0)</f>
        <v>1329.6</v>
      </c>
      <c r="D216" s="12" t="str">
        <f t="shared" si="6"/>
        <v>junio</v>
      </c>
      <c r="E216" s="33">
        <f t="shared" si="7"/>
        <v>2024</v>
      </c>
    </row>
    <row r="217" spans="1:5" x14ac:dyDescent="0.25">
      <c r="A217" t="s">
        <v>27</v>
      </c>
      <c r="B217" s="10">
        <f>VLOOKUP(A217,'Datos generales'!A:B,2,0)</f>
        <v>45138.240277777782</v>
      </c>
      <c r="C217" s="12">
        <f>VLOOKUP(A217,'Datos generales'!A:H,8,0)</f>
        <v>5202.3599999999997</v>
      </c>
      <c r="D217" s="12" t="str">
        <f t="shared" si="6"/>
        <v>julio</v>
      </c>
      <c r="E217" s="33">
        <f t="shared" si="7"/>
        <v>2023</v>
      </c>
    </row>
    <row r="218" spans="1:5" x14ac:dyDescent="0.25">
      <c r="A218" t="s">
        <v>28</v>
      </c>
      <c r="B218" s="10">
        <f>VLOOKUP(A218,'Datos generales'!A:B,2,0)</f>
        <v>45455.688888888893</v>
      </c>
      <c r="C218" s="12">
        <f>VLOOKUP(A218,'Datos generales'!A:H,8,0)</f>
        <v>1209.6199999999999</v>
      </c>
      <c r="D218" s="12" t="str">
        <f t="shared" si="6"/>
        <v>junio</v>
      </c>
      <c r="E218" s="33">
        <f t="shared" si="7"/>
        <v>2024</v>
      </c>
    </row>
    <row r="219" spans="1:5" x14ac:dyDescent="0.25">
      <c r="A219" t="s">
        <v>29</v>
      </c>
      <c r="B219" s="10">
        <f>VLOOKUP(A219,'Datos generales'!A:B,2,0)</f>
        <v>45301.151388888888</v>
      </c>
      <c r="C219" s="12">
        <f>VLOOKUP(A219,'Datos generales'!A:H,8,0)</f>
        <v>2766.99</v>
      </c>
      <c r="D219" s="12" t="str">
        <f t="shared" si="6"/>
        <v>enero</v>
      </c>
      <c r="E219" s="33">
        <f t="shared" si="7"/>
        <v>2024</v>
      </c>
    </row>
    <row r="220" spans="1:5" x14ac:dyDescent="0.25">
      <c r="A220" t="s">
        <v>30</v>
      </c>
      <c r="B220" s="10">
        <f>VLOOKUP(A220,'Datos generales'!A:B,2,0)</f>
        <v>45677.761111111111</v>
      </c>
      <c r="C220" s="12">
        <f>VLOOKUP(A220,'Datos generales'!A:H,8,0)</f>
        <v>217.68</v>
      </c>
      <c r="D220" s="12" t="str">
        <f t="shared" si="6"/>
        <v>enero</v>
      </c>
      <c r="E220" s="33">
        <f t="shared" si="7"/>
        <v>2025</v>
      </c>
    </row>
    <row r="221" spans="1:5" x14ac:dyDescent="0.25">
      <c r="A221" t="s">
        <v>31</v>
      </c>
      <c r="B221" s="10">
        <f>VLOOKUP(A221,'Datos generales'!A:B,2,0)</f>
        <v>45238.713888888888</v>
      </c>
      <c r="C221" s="12">
        <f>VLOOKUP(A221,'Datos generales'!A:H,8,0)</f>
        <v>3134.36</v>
      </c>
      <c r="D221" s="12" t="str">
        <f t="shared" si="6"/>
        <v>noviembre</v>
      </c>
      <c r="E221" s="33">
        <f t="shared" si="7"/>
        <v>2023</v>
      </c>
    </row>
    <row r="222" spans="1:5" x14ac:dyDescent="0.25">
      <c r="A222" t="s">
        <v>32</v>
      </c>
      <c r="B222" s="10">
        <f>VLOOKUP(A222,'Datos generales'!A:B,2,0)</f>
        <v>45231.386111111111</v>
      </c>
      <c r="C222" s="12">
        <f>VLOOKUP(A222,'Datos generales'!A:H,8,0)</f>
        <v>1039.5999999999999</v>
      </c>
      <c r="D222" s="12" t="str">
        <f t="shared" si="6"/>
        <v>noviembre</v>
      </c>
      <c r="E222" s="33">
        <f t="shared" si="7"/>
        <v>2023</v>
      </c>
    </row>
    <row r="223" spans="1:5" x14ac:dyDescent="0.25">
      <c r="A223" t="s">
        <v>33</v>
      </c>
      <c r="B223" s="10">
        <f>VLOOKUP(A223,'Datos generales'!A:B,2,0)</f>
        <v>45421.563888888893</v>
      </c>
      <c r="C223" s="12">
        <f>VLOOKUP(A223,'Datos generales'!A:H,8,0)</f>
        <v>1267.01</v>
      </c>
      <c r="D223" s="12" t="str">
        <f t="shared" si="6"/>
        <v>mayo</v>
      </c>
      <c r="E223" s="33">
        <f t="shared" si="7"/>
        <v>2024</v>
      </c>
    </row>
    <row r="224" spans="1:5" x14ac:dyDescent="0.25">
      <c r="A224" t="s">
        <v>34</v>
      </c>
      <c r="B224" s="10">
        <f>VLOOKUP(A224,'Datos generales'!A:B,2,0)</f>
        <v>45437.592361111107</v>
      </c>
      <c r="C224" s="12">
        <f>VLOOKUP(A224,'Datos generales'!A:H,8,0)</f>
        <v>4111.24</v>
      </c>
      <c r="D224" s="12" t="str">
        <f t="shared" si="6"/>
        <v>mayo</v>
      </c>
      <c r="E224" s="33">
        <f t="shared" si="7"/>
        <v>2024</v>
      </c>
    </row>
    <row r="225" spans="1:5" x14ac:dyDescent="0.25">
      <c r="A225" t="s">
        <v>35</v>
      </c>
      <c r="B225" s="10">
        <f>VLOOKUP(A225,'Datos generales'!A:B,2,0)</f>
        <v>45355.487500000003</v>
      </c>
      <c r="C225" s="12">
        <f>VLOOKUP(A225,'Datos generales'!A:H,8,0)</f>
        <v>2776.86</v>
      </c>
      <c r="D225" s="12" t="str">
        <f t="shared" si="6"/>
        <v>marzo</v>
      </c>
      <c r="E225" s="33">
        <f t="shared" si="7"/>
        <v>2024</v>
      </c>
    </row>
    <row r="226" spans="1:5" x14ac:dyDescent="0.25">
      <c r="A226" t="s">
        <v>36</v>
      </c>
      <c r="B226" s="10">
        <f>VLOOKUP(A226,'Datos generales'!A:B,2,0)</f>
        <v>45924.43472222222</v>
      </c>
      <c r="C226" s="12">
        <f>VLOOKUP(A226,'Datos generales'!A:H,8,0)</f>
        <v>641.13</v>
      </c>
      <c r="D226" s="12" t="str">
        <f t="shared" si="6"/>
        <v>septiembre</v>
      </c>
      <c r="E226" s="33">
        <f t="shared" si="7"/>
        <v>2025</v>
      </c>
    </row>
    <row r="227" spans="1:5" x14ac:dyDescent="0.25">
      <c r="A227" t="s">
        <v>37</v>
      </c>
      <c r="B227" s="10">
        <f>VLOOKUP(A227,'Datos generales'!A:B,2,0)</f>
        <v>45471.931250000001</v>
      </c>
      <c r="C227" s="12">
        <f>VLOOKUP(A227,'Datos generales'!A:H,8,0)</f>
        <v>2293.5</v>
      </c>
      <c r="D227" s="12" t="str">
        <f t="shared" si="6"/>
        <v>junio</v>
      </c>
      <c r="E227" s="33">
        <f t="shared" si="7"/>
        <v>2024</v>
      </c>
    </row>
    <row r="228" spans="1:5" x14ac:dyDescent="0.25">
      <c r="A228" t="s">
        <v>38</v>
      </c>
      <c r="B228" s="10">
        <f>VLOOKUP(A228,'Datos generales'!A:B,2,0)</f>
        <v>45003.59097222222</v>
      </c>
      <c r="C228" s="12">
        <f>VLOOKUP(A228,'Datos generales'!A:H,8,0)</f>
        <v>4536.3999999999996</v>
      </c>
      <c r="D228" s="12" t="str">
        <f t="shared" si="6"/>
        <v>marzo</v>
      </c>
      <c r="E228" s="33">
        <f t="shared" si="7"/>
        <v>2023</v>
      </c>
    </row>
    <row r="229" spans="1:5" x14ac:dyDescent="0.25">
      <c r="A229" t="s">
        <v>39</v>
      </c>
      <c r="B229" s="10">
        <f>VLOOKUP(A229,'Datos generales'!A:B,2,0)</f>
        <v>45206.394444444442</v>
      </c>
      <c r="C229" s="12">
        <f>VLOOKUP(A229,'Datos generales'!A:H,8,0)</f>
        <v>3468.88</v>
      </c>
      <c r="D229" s="12" t="str">
        <f t="shared" si="6"/>
        <v>octubre</v>
      </c>
      <c r="E229" s="33">
        <f t="shared" si="7"/>
        <v>2023</v>
      </c>
    </row>
    <row r="230" spans="1:5" x14ac:dyDescent="0.25">
      <c r="A230" t="s">
        <v>40</v>
      </c>
      <c r="B230" s="10">
        <f>VLOOKUP(A230,'Datos generales'!A:B,2,0)</f>
        <v>45595.773611111108</v>
      </c>
      <c r="C230" s="12">
        <f>VLOOKUP(A230,'Datos generales'!A:H,8,0)</f>
        <v>424.35</v>
      </c>
      <c r="D230" s="12" t="str">
        <f t="shared" si="6"/>
        <v>octubre</v>
      </c>
      <c r="E230" s="33">
        <f t="shared" si="7"/>
        <v>2024</v>
      </c>
    </row>
    <row r="231" spans="1:5" x14ac:dyDescent="0.25">
      <c r="A231" t="s">
        <v>41</v>
      </c>
      <c r="B231" s="10">
        <f>VLOOKUP(A231,'Datos generales'!A:B,2,0)</f>
        <v>45888.736805555563</v>
      </c>
      <c r="C231" s="12">
        <f>VLOOKUP(A231,'Datos generales'!A:H,8,0)</f>
        <v>252.57</v>
      </c>
      <c r="D231" s="12" t="str">
        <f t="shared" si="6"/>
        <v>agosto</v>
      </c>
      <c r="E231" s="33">
        <f t="shared" si="7"/>
        <v>2025</v>
      </c>
    </row>
    <row r="232" spans="1:5" x14ac:dyDescent="0.25">
      <c r="A232" t="s">
        <v>42</v>
      </c>
      <c r="B232" s="10">
        <f>VLOOKUP(A232,'Datos generales'!A:B,2,0)</f>
        <v>45478.06527777778</v>
      </c>
      <c r="C232" s="12">
        <f>VLOOKUP(A232,'Datos generales'!A:H,8,0)</f>
        <v>64.679999999999993</v>
      </c>
      <c r="D232" s="12" t="str">
        <f t="shared" si="6"/>
        <v>julio</v>
      </c>
      <c r="E232" s="33">
        <f t="shared" si="7"/>
        <v>2024</v>
      </c>
    </row>
    <row r="233" spans="1:5" x14ac:dyDescent="0.25">
      <c r="A233" t="s">
        <v>43</v>
      </c>
      <c r="B233" s="10">
        <f>VLOOKUP(A233,'Datos generales'!A:B,2,0)</f>
        <v>45402.668749999997</v>
      </c>
      <c r="C233" s="12">
        <f>VLOOKUP(A233,'Datos generales'!A:H,8,0)</f>
        <v>446.81</v>
      </c>
      <c r="D233" s="12" t="str">
        <f t="shared" si="6"/>
        <v>abril</v>
      </c>
      <c r="E233" s="33">
        <f t="shared" si="7"/>
        <v>2024</v>
      </c>
    </row>
    <row r="234" spans="1:5" x14ac:dyDescent="0.25">
      <c r="A234" t="s">
        <v>44</v>
      </c>
      <c r="B234" s="10">
        <f>VLOOKUP(A234,'Datos generales'!A:B,2,0)</f>
        <v>45033.806944444441</v>
      </c>
      <c r="C234" s="12">
        <f>VLOOKUP(A234,'Datos generales'!A:H,8,0)</f>
        <v>129.34</v>
      </c>
      <c r="D234" s="12" t="str">
        <f t="shared" si="6"/>
        <v>abril</v>
      </c>
      <c r="E234" s="33">
        <f t="shared" si="7"/>
        <v>2023</v>
      </c>
    </row>
    <row r="235" spans="1:5" x14ac:dyDescent="0.25">
      <c r="A235" t="s">
        <v>45</v>
      </c>
      <c r="B235" s="10">
        <f>VLOOKUP(A235,'Datos generales'!A:B,2,0)</f>
        <v>45432.781944444447</v>
      </c>
      <c r="C235" s="12">
        <f>VLOOKUP(A235,'Datos generales'!A:H,8,0)</f>
        <v>5841.75</v>
      </c>
      <c r="D235" s="12" t="str">
        <f t="shared" si="6"/>
        <v>mayo</v>
      </c>
      <c r="E235" s="33">
        <f t="shared" si="7"/>
        <v>2024</v>
      </c>
    </row>
    <row r="236" spans="1:5" x14ac:dyDescent="0.25">
      <c r="A236" t="s">
        <v>46</v>
      </c>
      <c r="B236" s="10">
        <f>VLOOKUP(A236,'Datos generales'!A:B,2,0)</f>
        <v>45746.083333333343</v>
      </c>
      <c r="C236" s="12">
        <f>VLOOKUP(A236,'Datos generales'!A:H,8,0)</f>
        <v>698.6</v>
      </c>
      <c r="D236" s="12" t="str">
        <f t="shared" si="6"/>
        <v>marzo</v>
      </c>
      <c r="E236" s="33">
        <f t="shared" si="7"/>
        <v>2025</v>
      </c>
    </row>
    <row r="237" spans="1:5" x14ac:dyDescent="0.25">
      <c r="A237" t="s">
        <v>47</v>
      </c>
      <c r="B237" s="10">
        <f>VLOOKUP(A237,'Datos generales'!A:B,2,0)</f>
        <v>45515.355555555558</v>
      </c>
      <c r="C237" s="12">
        <f>VLOOKUP(A237,'Datos generales'!A:H,8,0)</f>
        <v>3462.18</v>
      </c>
      <c r="D237" s="12" t="str">
        <f t="shared" si="6"/>
        <v>agosto</v>
      </c>
      <c r="E237" s="33">
        <f t="shared" si="7"/>
        <v>2024</v>
      </c>
    </row>
    <row r="238" spans="1:5" x14ac:dyDescent="0.25">
      <c r="A238" t="s">
        <v>48</v>
      </c>
      <c r="B238" s="10">
        <f>VLOOKUP(A238,'Datos generales'!A:B,2,0)</f>
        <v>45730.554861111108</v>
      </c>
      <c r="C238" s="12">
        <f>VLOOKUP(A238,'Datos generales'!A:H,8,0)</f>
        <v>6265.48</v>
      </c>
      <c r="D238" s="12" t="str">
        <f t="shared" si="6"/>
        <v>marzo</v>
      </c>
      <c r="E238" s="33">
        <f t="shared" si="7"/>
        <v>2025</v>
      </c>
    </row>
    <row r="239" spans="1:5" x14ac:dyDescent="0.25">
      <c r="A239" t="s">
        <v>49</v>
      </c>
      <c r="B239" s="10">
        <f>VLOOKUP(A239,'Datos generales'!A:B,2,0)</f>
        <v>45603.252083333333</v>
      </c>
      <c r="C239" s="12">
        <f>VLOOKUP(A239,'Datos generales'!A:H,8,0)</f>
        <v>1348.96</v>
      </c>
      <c r="D239" s="12" t="str">
        <f t="shared" si="6"/>
        <v>noviembre</v>
      </c>
      <c r="E239" s="33">
        <f t="shared" si="7"/>
        <v>2024</v>
      </c>
    </row>
    <row r="240" spans="1:5" x14ac:dyDescent="0.25">
      <c r="A240" t="s">
        <v>50</v>
      </c>
      <c r="B240" s="10">
        <f>VLOOKUP(A240,'Datos generales'!A:B,2,0)</f>
        <v>45420.054861111108</v>
      </c>
      <c r="C240" s="12">
        <f>VLOOKUP(A240,'Datos generales'!A:H,8,0)</f>
        <v>3087.96</v>
      </c>
      <c r="D240" s="12" t="str">
        <f t="shared" si="6"/>
        <v>mayo</v>
      </c>
      <c r="E240" s="33">
        <f t="shared" si="7"/>
        <v>2024</v>
      </c>
    </row>
    <row r="241" spans="1:5" x14ac:dyDescent="0.25">
      <c r="A241" t="s">
        <v>51</v>
      </c>
      <c r="B241" s="10">
        <f>VLOOKUP(A241,'Datos generales'!A:B,2,0)</f>
        <v>44931.743055555547</v>
      </c>
      <c r="C241" s="12">
        <f>VLOOKUP(A241,'Datos generales'!A:H,8,0)</f>
        <v>4586.5499999999993</v>
      </c>
      <c r="D241" s="12" t="str">
        <f t="shared" si="6"/>
        <v>enero</v>
      </c>
      <c r="E241" s="33">
        <f t="shared" si="7"/>
        <v>2023</v>
      </c>
    </row>
    <row r="242" spans="1:5" x14ac:dyDescent="0.25">
      <c r="A242" t="s">
        <v>52</v>
      </c>
      <c r="B242" s="10">
        <f>VLOOKUP(A242,'Datos generales'!A:B,2,0)</f>
        <v>45326.684027777781</v>
      </c>
      <c r="C242" s="12">
        <f>VLOOKUP(A242,'Datos generales'!A:H,8,0)</f>
        <v>1801.44</v>
      </c>
      <c r="D242" s="12" t="str">
        <f t="shared" si="6"/>
        <v>febrero</v>
      </c>
      <c r="E242" s="33">
        <f t="shared" si="7"/>
        <v>2024</v>
      </c>
    </row>
    <row r="243" spans="1:5" x14ac:dyDescent="0.25">
      <c r="A243" t="s">
        <v>53</v>
      </c>
      <c r="B243" s="10">
        <f>VLOOKUP(A243,'Datos generales'!A:B,2,0)</f>
        <v>45146.872916666667</v>
      </c>
      <c r="C243" s="12">
        <f>VLOOKUP(A243,'Datos generales'!A:H,8,0)</f>
        <v>1510.96</v>
      </c>
      <c r="D243" s="12" t="str">
        <f t="shared" si="6"/>
        <v>agosto</v>
      </c>
      <c r="E243" s="33">
        <f t="shared" si="7"/>
        <v>2023</v>
      </c>
    </row>
    <row r="244" spans="1:5" x14ac:dyDescent="0.25">
      <c r="A244" t="s">
        <v>54</v>
      </c>
      <c r="B244" s="10">
        <f>VLOOKUP(A244,'Datos generales'!A:B,2,0)</f>
        <v>45464.595833333333</v>
      </c>
      <c r="C244" s="12">
        <f>VLOOKUP(A244,'Datos generales'!A:H,8,0)</f>
        <v>5566.65</v>
      </c>
      <c r="D244" s="12" t="str">
        <f t="shared" si="6"/>
        <v>junio</v>
      </c>
      <c r="E244" s="33">
        <f t="shared" si="7"/>
        <v>2024</v>
      </c>
    </row>
    <row r="245" spans="1:5" x14ac:dyDescent="0.25">
      <c r="A245" t="s">
        <v>55</v>
      </c>
      <c r="B245" s="10">
        <f>VLOOKUP(A245,'Datos generales'!A:B,2,0)</f>
        <v>45171.9</v>
      </c>
      <c r="C245" s="12">
        <f>VLOOKUP(A245,'Datos generales'!A:H,8,0)</f>
        <v>5058.75</v>
      </c>
      <c r="D245" s="12" t="str">
        <f t="shared" si="6"/>
        <v>septiembre</v>
      </c>
      <c r="E245" s="33">
        <f t="shared" si="7"/>
        <v>2023</v>
      </c>
    </row>
    <row r="246" spans="1:5" x14ac:dyDescent="0.25">
      <c r="A246" t="s">
        <v>56</v>
      </c>
      <c r="B246" s="10">
        <f>VLOOKUP(A246,'Datos generales'!A:B,2,0)</f>
        <v>44992.136111111111</v>
      </c>
      <c r="C246" s="12">
        <f>VLOOKUP(A246,'Datos generales'!A:H,8,0)</f>
        <v>6091.7</v>
      </c>
      <c r="D246" s="12" t="str">
        <f t="shared" si="6"/>
        <v>marzo</v>
      </c>
      <c r="E246" s="33">
        <f t="shared" si="7"/>
        <v>2023</v>
      </c>
    </row>
    <row r="247" spans="1:5" x14ac:dyDescent="0.25">
      <c r="A247" t="s">
        <v>57</v>
      </c>
      <c r="B247" s="10">
        <f>VLOOKUP(A247,'Datos generales'!A:B,2,0)</f>
        <v>44927.061111111107</v>
      </c>
      <c r="C247" s="12">
        <f>VLOOKUP(A247,'Datos generales'!A:H,8,0)</f>
        <v>723.18</v>
      </c>
      <c r="D247" s="12" t="str">
        <f t="shared" si="6"/>
        <v>enero</v>
      </c>
      <c r="E247" s="33">
        <f t="shared" si="7"/>
        <v>2023</v>
      </c>
    </row>
    <row r="248" spans="1:5" x14ac:dyDescent="0.25">
      <c r="A248" t="s">
        <v>58</v>
      </c>
      <c r="B248" s="10">
        <f>VLOOKUP(A248,'Datos generales'!A:B,2,0)</f>
        <v>45097.359027777777</v>
      </c>
      <c r="C248" s="12">
        <f>VLOOKUP(A248,'Datos generales'!A:H,8,0)</f>
        <v>4794</v>
      </c>
      <c r="D248" s="12" t="str">
        <f t="shared" si="6"/>
        <v>junio</v>
      </c>
      <c r="E248" s="33">
        <f t="shared" si="7"/>
        <v>2023</v>
      </c>
    </row>
    <row r="249" spans="1:5" x14ac:dyDescent="0.25">
      <c r="A249" t="s">
        <v>59</v>
      </c>
      <c r="B249" s="10">
        <f>VLOOKUP(A249,'Datos generales'!A:B,2,0)</f>
        <v>45755.288194444453</v>
      </c>
      <c r="C249" s="12">
        <f>VLOOKUP(A249,'Datos generales'!A:H,8,0)</f>
        <v>8884.3499999999985</v>
      </c>
      <c r="D249" s="12" t="str">
        <f t="shared" si="6"/>
        <v>abril</v>
      </c>
      <c r="E249" s="33">
        <f t="shared" si="7"/>
        <v>2025</v>
      </c>
    </row>
    <row r="250" spans="1:5" x14ac:dyDescent="0.25">
      <c r="A250" t="s">
        <v>60</v>
      </c>
      <c r="B250" s="10">
        <f>VLOOKUP(A250,'Datos generales'!A:B,2,0)</f>
        <v>45782.866666666669</v>
      </c>
      <c r="C250" s="12">
        <f>VLOOKUP(A250,'Datos generales'!A:H,8,0)</f>
        <v>1467.34</v>
      </c>
      <c r="D250" s="12" t="str">
        <f t="shared" si="6"/>
        <v>mayo</v>
      </c>
      <c r="E250" s="33">
        <f t="shared" si="7"/>
        <v>2025</v>
      </c>
    </row>
    <row r="251" spans="1:5" x14ac:dyDescent="0.25">
      <c r="A251" t="s">
        <v>61</v>
      </c>
      <c r="B251" s="10">
        <f>VLOOKUP(A251,'Datos generales'!A:B,2,0)</f>
        <v>45819.341666666667</v>
      </c>
      <c r="C251" s="12">
        <f>VLOOKUP(A251,'Datos generales'!A:H,8,0)</f>
        <v>2051.73</v>
      </c>
      <c r="D251" s="12" t="str">
        <f t="shared" si="6"/>
        <v>junio</v>
      </c>
      <c r="E251" s="33">
        <f t="shared" si="7"/>
        <v>2025</v>
      </c>
    </row>
    <row r="252" spans="1:5" x14ac:dyDescent="0.25">
      <c r="A252" t="s">
        <v>62</v>
      </c>
      <c r="B252" s="10">
        <f>VLOOKUP(A252,'Datos generales'!A:B,2,0)</f>
        <v>45441.993055555547</v>
      </c>
      <c r="C252" s="12">
        <f>VLOOKUP(A252,'Datos generales'!A:H,8,0)</f>
        <v>1083.8599999999999</v>
      </c>
      <c r="D252" s="12" t="str">
        <f t="shared" si="6"/>
        <v>mayo</v>
      </c>
      <c r="E252" s="33">
        <f t="shared" si="7"/>
        <v>2024</v>
      </c>
    </row>
    <row r="253" spans="1:5" x14ac:dyDescent="0.25">
      <c r="A253" t="s">
        <v>63</v>
      </c>
      <c r="B253" s="10">
        <f>VLOOKUP(A253,'Datos generales'!A:B,2,0)</f>
        <v>45180.999305555553</v>
      </c>
      <c r="C253" s="12">
        <f>VLOOKUP(A253,'Datos generales'!A:H,8,0)</f>
        <v>3103.7</v>
      </c>
      <c r="D253" s="12" t="str">
        <f t="shared" si="6"/>
        <v>septiembre</v>
      </c>
      <c r="E253" s="33">
        <f t="shared" si="7"/>
        <v>2023</v>
      </c>
    </row>
    <row r="254" spans="1:5" x14ac:dyDescent="0.25">
      <c r="A254" t="s">
        <v>64</v>
      </c>
      <c r="B254" s="10">
        <f>VLOOKUP(A254,'Datos generales'!A:B,2,0)</f>
        <v>45624.619444444441</v>
      </c>
      <c r="C254" s="12">
        <f>VLOOKUP(A254,'Datos generales'!A:H,8,0)</f>
        <v>6841.35</v>
      </c>
      <c r="D254" s="12" t="str">
        <f t="shared" si="6"/>
        <v>noviembre</v>
      </c>
      <c r="E254" s="33">
        <f t="shared" si="7"/>
        <v>2024</v>
      </c>
    </row>
    <row r="255" spans="1:5" x14ac:dyDescent="0.25">
      <c r="A255" t="s">
        <v>65</v>
      </c>
      <c r="B255" s="10">
        <f>VLOOKUP(A255,'Datos generales'!A:B,2,0)</f>
        <v>45447.955555555563</v>
      </c>
      <c r="C255" s="12">
        <f>VLOOKUP(A255,'Datos generales'!A:H,8,0)</f>
        <v>7275.52</v>
      </c>
      <c r="D255" s="12" t="str">
        <f t="shared" si="6"/>
        <v>junio</v>
      </c>
      <c r="E255" s="33">
        <f t="shared" si="7"/>
        <v>2024</v>
      </c>
    </row>
    <row r="256" spans="1:5" x14ac:dyDescent="0.25">
      <c r="A256" t="s">
        <v>66</v>
      </c>
      <c r="B256" s="10">
        <f>VLOOKUP(A256,'Datos generales'!A:B,2,0)</f>
        <v>45051.74722222222</v>
      </c>
      <c r="C256" s="12">
        <f>VLOOKUP(A256,'Datos generales'!A:H,8,0)</f>
        <v>6405.28</v>
      </c>
      <c r="D256" s="12" t="str">
        <f t="shared" si="6"/>
        <v>mayo</v>
      </c>
      <c r="E256" s="33">
        <f t="shared" si="7"/>
        <v>2023</v>
      </c>
    </row>
    <row r="257" spans="1:5" x14ac:dyDescent="0.25">
      <c r="A257" t="s">
        <v>67</v>
      </c>
      <c r="B257" s="10">
        <f>VLOOKUP(A257,'Datos generales'!A:B,2,0)</f>
        <v>45019.26666666667</v>
      </c>
      <c r="C257" s="12">
        <f>VLOOKUP(A257,'Datos generales'!A:H,8,0)</f>
        <v>711.16</v>
      </c>
      <c r="D257" s="12" t="str">
        <f t="shared" si="6"/>
        <v>abril</v>
      </c>
      <c r="E257" s="33">
        <f t="shared" si="7"/>
        <v>2023</v>
      </c>
    </row>
    <row r="258" spans="1:5" x14ac:dyDescent="0.25">
      <c r="A258" t="s">
        <v>68</v>
      </c>
      <c r="B258" s="10">
        <f>VLOOKUP(A258,'Datos generales'!A:B,2,0)</f>
        <v>44969.094444444447</v>
      </c>
      <c r="C258" s="12">
        <f>VLOOKUP(A258,'Datos generales'!A:H,8,0)</f>
        <v>83.48</v>
      </c>
      <c r="D258" s="12" t="str">
        <f t="shared" si="6"/>
        <v>febrero</v>
      </c>
      <c r="E258" s="33">
        <f t="shared" si="7"/>
        <v>2023</v>
      </c>
    </row>
    <row r="259" spans="1:5" x14ac:dyDescent="0.25">
      <c r="A259" t="s">
        <v>69</v>
      </c>
      <c r="B259" s="10">
        <f>VLOOKUP(A259,'Datos generales'!A:B,2,0)</f>
        <v>45091.519444444442</v>
      </c>
      <c r="C259" s="12">
        <f>VLOOKUP(A259,'Datos generales'!A:H,8,0)</f>
        <v>1372.72</v>
      </c>
      <c r="D259" s="12" t="str">
        <f t="shared" ref="D259:D322" si="8">TEXT(B259,"mmmm")</f>
        <v>junio</v>
      </c>
      <c r="E259" s="33">
        <f t="shared" ref="E259:E322" si="9">YEAR(B259)</f>
        <v>2023</v>
      </c>
    </row>
    <row r="260" spans="1:5" x14ac:dyDescent="0.25">
      <c r="A260" t="s">
        <v>70</v>
      </c>
      <c r="B260" s="10">
        <f>VLOOKUP(A260,'Datos generales'!A:B,2,0)</f>
        <v>45494</v>
      </c>
      <c r="C260" s="12">
        <f>VLOOKUP(A260,'Datos generales'!A:H,8,0)</f>
        <v>1618.91</v>
      </c>
      <c r="D260" s="12" t="str">
        <f t="shared" si="8"/>
        <v>julio</v>
      </c>
      <c r="E260" s="33">
        <f t="shared" si="9"/>
        <v>2024</v>
      </c>
    </row>
    <row r="261" spans="1:5" x14ac:dyDescent="0.25">
      <c r="A261" t="s">
        <v>71</v>
      </c>
      <c r="B261" s="10">
        <f>VLOOKUP(A261,'Datos generales'!A:B,2,0)</f>
        <v>45364.463194444441</v>
      </c>
      <c r="C261" s="12">
        <f>VLOOKUP(A261,'Datos generales'!A:H,8,0)</f>
        <v>2122.6</v>
      </c>
      <c r="D261" s="12" t="str">
        <f t="shared" si="8"/>
        <v>marzo</v>
      </c>
      <c r="E261" s="33">
        <f t="shared" si="9"/>
        <v>2024</v>
      </c>
    </row>
    <row r="262" spans="1:5" x14ac:dyDescent="0.25">
      <c r="A262" t="s">
        <v>72</v>
      </c>
      <c r="B262" s="10">
        <f>VLOOKUP(A262,'Datos generales'!A:B,2,0)</f>
        <v>45583.023611111108</v>
      </c>
      <c r="C262" s="12">
        <f>VLOOKUP(A262,'Datos generales'!A:H,8,0)</f>
        <v>2094.15</v>
      </c>
      <c r="D262" s="12" t="str">
        <f t="shared" si="8"/>
        <v>octubre</v>
      </c>
      <c r="E262" s="33">
        <f t="shared" si="9"/>
        <v>2024</v>
      </c>
    </row>
    <row r="263" spans="1:5" x14ac:dyDescent="0.25">
      <c r="A263" t="s">
        <v>73</v>
      </c>
      <c r="B263" s="10">
        <f>VLOOKUP(A263,'Datos generales'!A:B,2,0)</f>
        <v>45779.546527777777</v>
      </c>
      <c r="C263" s="12">
        <f>VLOOKUP(A263,'Datos generales'!A:H,8,0)</f>
        <v>1994.94</v>
      </c>
      <c r="D263" s="12" t="str">
        <f t="shared" si="8"/>
        <v>mayo</v>
      </c>
      <c r="E263" s="33">
        <f t="shared" si="9"/>
        <v>2025</v>
      </c>
    </row>
    <row r="264" spans="1:5" x14ac:dyDescent="0.25">
      <c r="A264" t="s">
        <v>74</v>
      </c>
      <c r="B264" s="10">
        <f>VLOOKUP(A264,'Datos generales'!A:B,2,0)</f>
        <v>45516.480555555558</v>
      </c>
      <c r="C264" s="12">
        <f>VLOOKUP(A264,'Datos generales'!A:H,8,0)</f>
        <v>1322.41</v>
      </c>
      <c r="D264" s="12" t="str">
        <f t="shared" si="8"/>
        <v>agosto</v>
      </c>
      <c r="E264" s="33">
        <f t="shared" si="9"/>
        <v>2024</v>
      </c>
    </row>
    <row r="265" spans="1:5" x14ac:dyDescent="0.25">
      <c r="A265" t="s">
        <v>75</v>
      </c>
      <c r="B265" s="10">
        <f>VLOOKUP(A265,'Datos generales'!A:B,2,0)</f>
        <v>45285.25277777778</v>
      </c>
      <c r="C265" s="12">
        <f>VLOOKUP(A265,'Datos generales'!A:H,8,0)</f>
        <v>5869.08</v>
      </c>
      <c r="D265" s="12" t="str">
        <f t="shared" si="8"/>
        <v>diciembre</v>
      </c>
      <c r="E265" s="33">
        <f t="shared" si="9"/>
        <v>2023</v>
      </c>
    </row>
    <row r="266" spans="1:5" x14ac:dyDescent="0.25">
      <c r="A266" t="s">
        <v>76</v>
      </c>
      <c r="B266" s="10">
        <f>VLOOKUP(A266,'Datos generales'!A:B,2,0)</f>
        <v>45297.965277777781</v>
      </c>
      <c r="C266" s="12">
        <f>VLOOKUP(A266,'Datos generales'!A:H,8,0)</f>
        <v>7216.48</v>
      </c>
      <c r="D266" s="12" t="str">
        <f t="shared" si="8"/>
        <v>enero</v>
      </c>
      <c r="E266" s="33">
        <f t="shared" si="9"/>
        <v>2024</v>
      </c>
    </row>
    <row r="267" spans="1:5" x14ac:dyDescent="0.25">
      <c r="A267" t="s">
        <v>77</v>
      </c>
      <c r="B267" s="10">
        <f>VLOOKUP(A267,'Datos generales'!A:B,2,0)</f>
        <v>45434.519444444442</v>
      </c>
      <c r="C267" s="12">
        <f>VLOOKUP(A267,'Datos generales'!A:H,8,0)</f>
        <v>1172.72</v>
      </c>
      <c r="D267" s="12" t="str">
        <f t="shared" si="8"/>
        <v>mayo</v>
      </c>
      <c r="E267" s="33">
        <f t="shared" si="9"/>
        <v>2024</v>
      </c>
    </row>
    <row r="268" spans="1:5" x14ac:dyDescent="0.25">
      <c r="A268" t="s">
        <v>78</v>
      </c>
      <c r="B268" s="10">
        <f>VLOOKUP(A268,'Datos generales'!A:B,2,0)</f>
        <v>45290.050694444442</v>
      </c>
      <c r="C268" s="12">
        <f>VLOOKUP(A268,'Datos generales'!A:H,8,0)</f>
        <v>725.07</v>
      </c>
      <c r="D268" s="12" t="str">
        <f t="shared" si="8"/>
        <v>diciembre</v>
      </c>
      <c r="E268" s="33">
        <f t="shared" si="9"/>
        <v>2023</v>
      </c>
    </row>
    <row r="269" spans="1:5" x14ac:dyDescent="0.25">
      <c r="A269" t="s">
        <v>79</v>
      </c>
      <c r="B269" s="10">
        <f>VLOOKUP(A269,'Datos generales'!A:B,2,0)</f>
        <v>45684.334027777782</v>
      </c>
      <c r="C269" s="12">
        <f>VLOOKUP(A269,'Datos generales'!A:H,8,0)</f>
        <v>2818.45</v>
      </c>
      <c r="D269" s="12" t="str">
        <f t="shared" si="8"/>
        <v>enero</v>
      </c>
      <c r="E269" s="33">
        <f t="shared" si="9"/>
        <v>2025</v>
      </c>
    </row>
    <row r="270" spans="1:5" x14ac:dyDescent="0.25">
      <c r="A270" t="s">
        <v>80</v>
      </c>
      <c r="B270" s="10">
        <f>VLOOKUP(A270,'Datos generales'!A:B,2,0)</f>
        <v>45222.202777777777</v>
      </c>
      <c r="C270" s="12">
        <f>VLOOKUP(A270,'Datos generales'!A:H,8,0)</f>
        <v>7737.05</v>
      </c>
      <c r="D270" s="12" t="str">
        <f t="shared" si="8"/>
        <v>octubre</v>
      </c>
      <c r="E270" s="33">
        <f t="shared" si="9"/>
        <v>2023</v>
      </c>
    </row>
    <row r="271" spans="1:5" x14ac:dyDescent="0.25">
      <c r="A271" t="s">
        <v>81</v>
      </c>
      <c r="B271" s="10">
        <f>VLOOKUP(A271,'Datos generales'!A:B,2,0)</f>
        <v>45274.597916666673</v>
      </c>
      <c r="C271" s="12">
        <f>VLOOKUP(A271,'Datos generales'!A:H,8,0)</f>
        <v>3807.3</v>
      </c>
      <c r="D271" s="12" t="str">
        <f t="shared" si="8"/>
        <v>diciembre</v>
      </c>
      <c r="E271" s="33">
        <f t="shared" si="9"/>
        <v>2023</v>
      </c>
    </row>
    <row r="272" spans="1:5" x14ac:dyDescent="0.25">
      <c r="A272" t="s">
        <v>82</v>
      </c>
      <c r="B272" s="10">
        <f>VLOOKUP(A272,'Datos generales'!A:B,2,0)</f>
        <v>45358.874305555553</v>
      </c>
      <c r="C272" s="12">
        <f>VLOOKUP(A272,'Datos generales'!A:H,8,0)</f>
        <v>2396.4</v>
      </c>
      <c r="D272" s="12" t="str">
        <f t="shared" si="8"/>
        <v>marzo</v>
      </c>
      <c r="E272" s="33">
        <f t="shared" si="9"/>
        <v>2024</v>
      </c>
    </row>
    <row r="273" spans="1:5" x14ac:dyDescent="0.25">
      <c r="A273" t="s">
        <v>83</v>
      </c>
      <c r="B273" s="10">
        <f>VLOOKUP(A273,'Datos generales'!A:B,2,0)</f>
        <v>45850.171527777777</v>
      </c>
      <c r="C273" s="12">
        <f>VLOOKUP(A273,'Datos generales'!A:H,8,0)</f>
        <v>1631.16</v>
      </c>
      <c r="D273" s="12" t="str">
        <f t="shared" si="8"/>
        <v>julio</v>
      </c>
      <c r="E273" s="33">
        <f t="shared" si="9"/>
        <v>2025</v>
      </c>
    </row>
    <row r="274" spans="1:5" x14ac:dyDescent="0.25">
      <c r="A274" t="s">
        <v>84</v>
      </c>
      <c r="B274" s="10">
        <f>VLOOKUP(A274,'Datos generales'!A:B,2,0)</f>
        <v>45041.884027777778</v>
      </c>
      <c r="C274" s="12">
        <f>VLOOKUP(A274,'Datos generales'!A:H,8,0)</f>
        <v>2899.06</v>
      </c>
      <c r="D274" s="12" t="str">
        <f t="shared" si="8"/>
        <v>abril</v>
      </c>
      <c r="E274" s="33">
        <f t="shared" si="9"/>
        <v>2023</v>
      </c>
    </row>
    <row r="275" spans="1:5" x14ac:dyDescent="0.25">
      <c r="A275" t="s">
        <v>85</v>
      </c>
      <c r="B275" s="10">
        <f>VLOOKUP(A275,'Datos generales'!A:B,2,0)</f>
        <v>45564.772916666669</v>
      </c>
      <c r="C275" s="12">
        <f>VLOOKUP(A275,'Datos generales'!A:H,8,0)</f>
        <v>2362.1</v>
      </c>
      <c r="D275" s="12" t="str">
        <f t="shared" si="8"/>
        <v>septiembre</v>
      </c>
      <c r="E275" s="33">
        <f t="shared" si="9"/>
        <v>2024</v>
      </c>
    </row>
    <row r="276" spans="1:5" x14ac:dyDescent="0.25">
      <c r="A276" t="s">
        <v>86</v>
      </c>
      <c r="B276" s="10">
        <f>VLOOKUP(A276,'Datos generales'!A:B,2,0)</f>
        <v>45118.247916666667</v>
      </c>
      <c r="C276" s="12">
        <f>VLOOKUP(A276,'Datos generales'!A:H,8,0)</f>
        <v>1103.7</v>
      </c>
      <c r="D276" s="12" t="str">
        <f t="shared" si="8"/>
        <v>julio</v>
      </c>
      <c r="E276" s="33">
        <f t="shared" si="9"/>
        <v>2023</v>
      </c>
    </row>
    <row r="277" spans="1:5" x14ac:dyDescent="0.25">
      <c r="A277" t="s">
        <v>87</v>
      </c>
      <c r="B277" s="10">
        <f>VLOOKUP(A277,'Datos generales'!A:B,2,0)</f>
        <v>45717.986111111109</v>
      </c>
      <c r="C277" s="12">
        <f>VLOOKUP(A277,'Datos generales'!A:H,8,0)</f>
        <v>3697.55</v>
      </c>
      <c r="D277" s="12" t="str">
        <f t="shared" si="8"/>
        <v>marzo</v>
      </c>
      <c r="E277" s="33">
        <f t="shared" si="9"/>
        <v>2025</v>
      </c>
    </row>
    <row r="278" spans="1:5" x14ac:dyDescent="0.25">
      <c r="A278" t="s">
        <v>88</v>
      </c>
      <c r="B278" s="10">
        <f>VLOOKUP(A278,'Datos generales'!A:B,2,0)</f>
        <v>45162.795138888891</v>
      </c>
      <c r="C278" s="12">
        <f>VLOOKUP(A278,'Datos generales'!A:H,8,0)</f>
        <v>2178.2600000000002</v>
      </c>
      <c r="D278" s="12" t="str">
        <f t="shared" si="8"/>
        <v>agosto</v>
      </c>
      <c r="E278" s="33">
        <f t="shared" si="9"/>
        <v>2023</v>
      </c>
    </row>
    <row r="279" spans="1:5" x14ac:dyDescent="0.25">
      <c r="A279" t="s">
        <v>89</v>
      </c>
      <c r="B279" s="10">
        <f>VLOOKUP(A279,'Datos generales'!A:B,2,0)</f>
        <v>45517.353472222218</v>
      </c>
      <c r="C279" s="12">
        <f>VLOOKUP(A279,'Datos generales'!A:H,8,0)</f>
        <v>8163.75</v>
      </c>
      <c r="D279" s="12" t="str">
        <f t="shared" si="8"/>
        <v>agosto</v>
      </c>
      <c r="E279" s="33">
        <f t="shared" si="9"/>
        <v>2024</v>
      </c>
    </row>
    <row r="280" spans="1:5" x14ac:dyDescent="0.25">
      <c r="A280" t="s">
        <v>90</v>
      </c>
      <c r="B280" s="10">
        <f>VLOOKUP(A280,'Datos generales'!A:B,2,0)</f>
        <v>45245.664583333331</v>
      </c>
      <c r="C280" s="12">
        <f>VLOOKUP(A280,'Datos generales'!A:H,8,0)</f>
        <v>2452.0500000000002</v>
      </c>
      <c r="D280" s="12" t="str">
        <f t="shared" si="8"/>
        <v>noviembre</v>
      </c>
      <c r="E280" s="33">
        <f t="shared" si="9"/>
        <v>2023</v>
      </c>
    </row>
    <row r="281" spans="1:5" x14ac:dyDescent="0.25">
      <c r="A281" t="s">
        <v>91</v>
      </c>
      <c r="B281" s="10">
        <f>VLOOKUP(A281,'Datos generales'!A:B,2,0)</f>
        <v>45603.368055555547</v>
      </c>
      <c r="C281" s="12">
        <f>VLOOKUP(A281,'Datos generales'!A:H,8,0)</f>
        <v>2373.16</v>
      </c>
      <c r="D281" s="12" t="str">
        <f t="shared" si="8"/>
        <v>noviembre</v>
      </c>
      <c r="E281" s="33">
        <f t="shared" si="9"/>
        <v>2024</v>
      </c>
    </row>
    <row r="282" spans="1:5" x14ac:dyDescent="0.25">
      <c r="A282" t="s">
        <v>92</v>
      </c>
      <c r="B282" s="10">
        <f>VLOOKUP(A282,'Datos generales'!A:B,2,0)</f>
        <v>44990.597916666673</v>
      </c>
      <c r="C282" s="12">
        <f>VLOOKUP(A282,'Datos generales'!A:H,8,0)</f>
        <v>3745.6</v>
      </c>
      <c r="D282" s="12" t="str">
        <f t="shared" si="8"/>
        <v>marzo</v>
      </c>
      <c r="E282" s="33">
        <f t="shared" si="9"/>
        <v>2023</v>
      </c>
    </row>
    <row r="283" spans="1:5" x14ac:dyDescent="0.25">
      <c r="A283" t="s">
        <v>93</v>
      </c>
      <c r="B283" s="10">
        <f>VLOOKUP(A283,'Datos generales'!A:B,2,0)</f>
        <v>45273.106249999997</v>
      </c>
      <c r="C283" s="12">
        <f>VLOOKUP(A283,'Datos generales'!A:H,8,0)</f>
        <v>2040.57</v>
      </c>
      <c r="D283" s="12" t="str">
        <f t="shared" si="8"/>
        <v>diciembre</v>
      </c>
      <c r="E283" s="33">
        <f t="shared" si="9"/>
        <v>2023</v>
      </c>
    </row>
    <row r="284" spans="1:5" x14ac:dyDescent="0.25">
      <c r="A284" t="s">
        <v>94</v>
      </c>
      <c r="B284" s="10">
        <f>VLOOKUP(A284,'Datos generales'!A:B,2,0)</f>
        <v>45022.271527777782</v>
      </c>
      <c r="C284" s="12">
        <f>VLOOKUP(A284,'Datos generales'!A:H,8,0)</f>
        <v>1051.28</v>
      </c>
      <c r="D284" s="12" t="str">
        <f t="shared" si="8"/>
        <v>abril</v>
      </c>
      <c r="E284" s="33">
        <f t="shared" si="9"/>
        <v>2023</v>
      </c>
    </row>
    <row r="285" spans="1:5" x14ac:dyDescent="0.25">
      <c r="A285" t="s">
        <v>95</v>
      </c>
      <c r="B285" s="10">
        <f>VLOOKUP(A285,'Datos generales'!A:B,2,0)</f>
        <v>45682.68472222222</v>
      </c>
      <c r="C285" s="12">
        <f>VLOOKUP(A285,'Datos generales'!A:H,8,0)</f>
        <v>6127</v>
      </c>
      <c r="D285" s="12" t="str">
        <f t="shared" si="8"/>
        <v>enero</v>
      </c>
      <c r="E285" s="33">
        <f t="shared" si="9"/>
        <v>2025</v>
      </c>
    </row>
    <row r="286" spans="1:5" x14ac:dyDescent="0.25">
      <c r="A286" t="s">
        <v>96</v>
      </c>
      <c r="B286" s="10">
        <f>VLOOKUP(A286,'Datos generales'!A:B,2,0)</f>
        <v>45099.143750000003</v>
      </c>
      <c r="C286" s="12">
        <f>VLOOKUP(A286,'Datos generales'!A:H,8,0)</f>
        <v>503.84</v>
      </c>
      <c r="D286" s="12" t="str">
        <f t="shared" si="8"/>
        <v>junio</v>
      </c>
      <c r="E286" s="33">
        <f t="shared" si="9"/>
        <v>2023</v>
      </c>
    </row>
    <row r="287" spans="1:5" x14ac:dyDescent="0.25">
      <c r="A287" t="s">
        <v>97</v>
      </c>
      <c r="B287" s="10">
        <f>VLOOKUP(A287,'Datos generales'!A:B,2,0)</f>
        <v>45546.810416666667</v>
      </c>
      <c r="C287" s="12">
        <f>VLOOKUP(A287,'Datos generales'!A:H,8,0)</f>
        <v>7633.64</v>
      </c>
      <c r="D287" s="12" t="str">
        <f t="shared" si="8"/>
        <v>septiembre</v>
      </c>
      <c r="E287" s="33">
        <f t="shared" si="9"/>
        <v>2024</v>
      </c>
    </row>
    <row r="288" spans="1:5" x14ac:dyDescent="0.25">
      <c r="A288" t="s">
        <v>98</v>
      </c>
      <c r="B288" s="10">
        <f>VLOOKUP(A288,'Datos generales'!A:B,2,0)</f>
        <v>45451.106249999997</v>
      </c>
      <c r="C288" s="12">
        <f>VLOOKUP(A288,'Datos generales'!A:H,8,0)</f>
        <v>229.2</v>
      </c>
      <c r="D288" s="12" t="str">
        <f t="shared" si="8"/>
        <v>junio</v>
      </c>
      <c r="E288" s="33">
        <f t="shared" si="9"/>
        <v>2024</v>
      </c>
    </row>
    <row r="289" spans="1:5" x14ac:dyDescent="0.25">
      <c r="A289" t="s">
        <v>99</v>
      </c>
      <c r="B289" s="10">
        <f>VLOOKUP(A289,'Datos generales'!A:B,2,0)</f>
        <v>45101.551388888889</v>
      </c>
      <c r="C289" s="12">
        <f>VLOOKUP(A289,'Datos generales'!A:H,8,0)</f>
        <v>1191.56</v>
      </c>
      <c r="D289" s="12" t="str">
        <f t="shared" si="8"/>
        <v>junio</v>
      </c>
      <c r="E289" s="33">
        <f t="shared" si="9"/>
        <v>2023</v>
      </c>
    </row>
    <row r="290" spans="1:5" x14ac:dyDescent="0.25">
      <c r="A290" t="s">
        <v>100</v>
      </c>
      <c r="B290" s="10">
        <f>VLOOKUP(A290,'Datos generales'!A:B,2,0)</f>
        <v>45405.413194444453</v>
      </c>
      <c r="C290" s="12">
        <f>VLOOKUP(A290,'Datos generales'!A:H,8,0)</f>
        <v>150.04</v>
      </c>
      <c r="D290" s="12" t="str">
        <f t="shared" si="8"/>
        <v>abril</v>
      </c>
      <c r="E290" s="33">
        <f t="shared" si="9"/>
        <v>2024</v>
      </c>
    </row>
    <row r="291" spans="1:5" x14ac:dyDescent="0.25">
      <c r="A291" t="s">
        <v>101</v>
      </c>
      <c r="B291" s="10">
        <f>VLOOKUP(A291,'Datos generales'!A:B,2,0)</f>
        <v>45465.332638888889</v>
      </c>
      <c r="C291" s="12">
        <f>VLOOKUP(A291,'Datos generales'!A:H,8,0)</f>
        <v>2704.6</v>
      </c>
      <c r="D291" s="12" t="str">
        <f t="shared" si="8"/>
        <v>junio</v>
      </c>
      <c r="E291" s="33">
        <f t="shared" si="9"/>
        <v>2024</v>
      </c>
    </row>
    <row r="292" spans="1:5" x14ac:dyDescent="0.25">
      <c r="A292" t="s">
        <v>102</v>
      </c>
      <c r="B292" s="10">
        <f>VLOOKUP(A292,'Datos generales'!A:B,2,0)</f>
        <v>45863.330555555563</v>
      </c>
      <c r="C292" s="12">
        <f>VLOOKUP(A292,'Datos generales'!A:H,8,0)</f>
        <v>713.82</v>
      </c>
      <c r="D292" s="12" t="str">
        <f t="shared" si="8"/>
        <v>julio</v>
      </c>
      <c r="E292" s="33">
        <f t="shared" si="9"/>
        <v>2025</v>
      </c>
    </row>
    <row r="293" spans="1:5" x14ac:dyDescent="0.25">
      <c r="A293" t="s">
        <v>103</v>
      </c>
      <c r="B293" s="10">
        <f>VLOOKUP(A293,'Datos generales'!A:B,2,0)</f>
        <v>45727.712500000001</v>
      </c>
      <c r="C293" s="12">
        <f>VLOOKUP(A293,'Datos generales'!A:H,8,0)</f>
        <v>3407.01</v>
      </c>
      <c r="D293" s="12" t="str">
        <f t="shared" si="8"/>
        <v>marzo</v>
      </c>
      <c r="E293" s="33">
        <f t="shared" si="9"/>
        <v>2025</v>
      </c>
    </row>
    <row r="294" spans="1:5" x14ac:dyDescent="0.25">
      <c r="A294" t="s">
        <v>104</v>
      </c>
      <c r="B294" s="10">
        <f>VLOOKUP(A294,'Datos generales'!A:B,2,0)</f>
        <v>45676.398611111108</v>
      </c>
      <c r="C294" s="12">
        <f>VLOOKUP(A294,'Datos generales'!A:H,8,0)</f>
        <v>2417.0700000000002</v>
      </c>
      <c r="D294" s="12" t="str">
        <f t="shared" si="8"/>
        <v>enero</v>
      </c>
      <c r="E294" s="33">
        <f t="shared" si="9"/>
        <v>2025</v>
      </c>
    </row>
    <row r="295" spans="1:5" x14ac:dyDescent="0.25">
      <c r="A295" t="s">
        <v>105</v>
      </c>
      <c r="B295" s="10">
        <f>VLOOKUP(A295,'Datos generales'!A:B,2,0)</f>
        <v>45289.026388888888</v>
      </c>
      <c r="C295" s="12">
        <f>VLOOKUP(A295,'Datos generales'!A:H,8,0)</f>
        <v>2518.14</v>
      </c>
      <c r="D295" s="12" t="str">
        <f t="shared" si="8"/>
        <v>diciembre</v>
      </c>
      <c r="E295" s="33">
        <f t="shared" si="9"/>
        <v>2023</v>
      </c>
    </row>
    <row r="296" spans="1:5" x14ac:dyDescent="0.25">
      <c r="A296" t="s">
        <v>106</v>
      </c>
      <c r="B296" s="10">
        <f>VLOOKUP(A296,'Datos generales'!A:B,2,0)</f>
        <v>45473.418749999997</v>
      </c>
      <c r="C296" s="12">
        <f>VLOOKUP(A296,'Datos generales'!A:H,8,0)</f>
        <v>1801.2</v>
      </c>
      <c r="D296" s="12" t="str">
        <f t="shared" si="8"/>
        <v>junio</v>
      </c>
      <c r="E296" s="33">
        <f t="shared" si="9"/>
        <v>2024</v>
      </c>
    </row>
    <row r="297" spans="1:5" x14ac:dyDescent="0.25">
      <c r="A297" t="s">
        <v>107</v>
      </c>
      <c r="B297" s="10">
        <f>VLOOKUP(A297,'Datos generales'!A:B,2,0)</f>
        <v>45499.757638888892</v>
      </c>
      <c r="C297" s="12">
        <f>VLOOKUP(A297,'Datos generales'!A:H,8,0)</f>
        <v>959.62</v>
      </c>
      <c r="D297" s="12" t="str">
        <f t="shared" si="8"/>
        <v>julio</v>
      </c>
      <c r="E297" s="33">
        <f t="shared" si="9"/>
        <v>2024</v>
      </c>
    </row>
    <row r="298" spans="1:5" x14ac:dyDescent="0.25">
      <c r="A298" t="s">
        <v>108</v>
      </c>
      <c r="B298" s="10">
        <f>VLOOKUP(A298,'Datos generales'!A:B,2,0)</f>
        <v>45541.331250000003</v>
      </c>
      <c r="C298" s="12">
        <f>VLOOKUP(A298,'Datos generales'!A:H,8,0)</f>
        <v>1888.86</v>
      </c>
      <c r="D298" s="12" t="str">
        <f t="shared" si="8"/>
        <v>septiembre</v>
      </c>
      <c r="E298" s="33">
        <f t="shared" si="9"/>
        <v>2024</v>
      </c>
    </row>
    <row r="299" spans="1:5" x14ac:dyDescent="0.25">
      <c r="A299" t="s">
        <v>109</v>
      </c>
      <c r="B299" s="10">
        <f>VLOOKUP(A299,'Datos generales'!A:B,2,0)</f>
        <v>45542.574305555558</v>
      </c>
      <c r="C299" s="12">
        <f>VLOOKUP(A299,'Datos generales'!A:H,8,0)</f>
        <v>7284.2</v>
      </c>
      <c r="D299" s="12" t="str">
        <f t="shared" si="8"/>
        <v>septiembre</v>
      </c>
      <c r="E299" s="33">
        <f t="shared" si="9"/>
        <v>2024</v>
      </c>
    </row>
    <row r="300" spans="1:5" x14ac:dyDescent="0.25">
      <c r="A300" t="s">
        <v>110</v>
      </c>
      <c r="B300" s="10">
        <f>VLOOKUP(A300,'Datos generales'!A:B,2,0)</f>
        <v>45846.336805555547</v>
      </c>
      <c r="C300" s="12">
        <f>VLOOKUP(A300,'Datos generales'!A:H,8,0)</f>
        <v>4611.6900000000014</v>
      </c>
      <c r="D300" s="12" t="str">
        <f t="shared" si="8"/>
        <v>julio</v>
      </c>
      <c r="E300" s="33">
        <f t="shared" si="9"/>
        <v>2025</v>
      </c>
    </row>
    <row r="301" spans="1:5" x14ac:dyDescent="0.25">
      <c r="A301" t="s">
        <v>111</v>
      </c>
      <c r="B301" s="10">
        <f>VLOOKUP(A301,'Datos generales'!A:B,2,0)</f>
        <v>45318.705555555563</v>
      </c>
      <c r="C301" s="12">
        <f>VLOOKUP(A301,'Datos generales'!A:H,8,0)</f>
        <v>934.98</v>
      </c>
      <c r="D301" s="12" t="str">
        <f t="shared" si="8"/>
        <v>enero</v>
      </c>
      <c r="E301" s="33">
        <f t="shared" si="9"/>
        <v>2024</v>
      </c>
    </row>
    <row r="302" spans="1:5" x14ac:dyDescent="0.25">
      <c r="A302" t="s">
        <v>112</v>
      </c>
      <c r="B302" s="10">
        <f>VLOOKUP(A302,'Datos generales'!A:B,2,0)</f>
        <v>45595.668055555558</v>
      </c>
      <c r="C302" s="12">
        <f>VLOOKUP(A302,'Datos generales'!A:H,8,0)</f>
        <v>745.45</v>
      </c>
      <c r="D302" s="12" t="str">
        <f t="shared" si="8"/>
        <v>octubre</v>
      </c>
      <c r="E302" s="33">
        <f t="shared" si="9"/>
        <v>2024</v>
      </c>
    </row>
    <row r="303" spans="1:5" x14ac:dyDescent="0.25">
      <c r="A303" t="s">
        <v>113</v>
      </c>
      <c r="B303" s="10">
        <f>VLOOKUP(A303,'Datos generales'!A:B,2,0)</f>
        <v>44984.418055555558</v>
      </c>
      <c r="C303" s="12">
        <f>VLOOKUP(A303,'Datos generales'!A:H,8,0)</f>
        <v>9427.4</v>
      </c>
      <c r="D303" s="12" t="str">
        <f t="shared" si="8"/>
        <v>febrero</v>
      </c>
      <c r="E303" s="33">
        <f t="shared" si="9"/>
        <v>2023</v>
      </c>
    </row>
    <row r="304" spans="1:5" x14ac:dyDescent="0.25">
      <c r="A304" t="s">
        <v>114</v>
      </c>
      <c r="B304" s="10">
        <f>VLOOKUP(A304,'Datos generales'!A:B,2,0)</f>
        <v>45153.455555555563</v>
      </c>
      <c r="C304" s="12">
        <f>VLOOKUP(A304,'Datos generales'!A:H,8,0)</f>
        <v>4775.76</v>
      </c>
      <c r="D304" s="12" t="str">
        <f t="shared" si="8"/>
        <v>agosto</v>
      </c>
      <c r="E304" s="33">
        <f t="shared" si="9"/>
        <v>2023</v>
      </c>
    </row>
    <row r="305" spans="1:5" x14ac:dyDescent="0.25">
      <c r="A305" t="s">
        <v>115</v>
      </c>
      <c r="B305" s="10">
        <f>VLOOKUP(A305,'Datos generales'!A:B,2,0)</f>
        <v>45919.24722222222</v>
      </c>
      <c r="C305" s="12">
        <f>VLOOKUP(A305,'Datos generales'!A:H,8,0)</f>
        <v>6916.65</v>
      </c>
      <c r="D305" s="12" t="str">
        <f t="shared" si="8"/>
        <v>septiembre</v>
      </c>
      <c r="E305" s="33">
        <f t="shared" si="9"/>
        <v>2025</v>
      </c>
    </row>
    <row r="306" spans="1:5" x14ac:dyDescent="0.25">
      <c r="A306" t="s">
        <v>116</v>
      </c>
      <c r="B306" s="10">
        <f>VLOOKUP(A306,'Datos generales'!A:B,2,0)</f>
        <v>45815.543055555558</v>
      </c>
      <c r="C306" s="12">
        <f>VLOOKUP(A306,'Datos generales'!A:H,8,0)</f>
        <v>2102.46</v>
      </c>
      <c r="D306" s="12" t="str">
        <f t="shared" si="8"/>
        <v>junio</v>
      </c>
      <c r="E306" s="33">
        <f t="shared" si="9"/>
        <v>2025</v>
      </c>
    </row>
    <row r="307" spans="1:5" x14ac:dyDescent="0.25">
      <c r="A307" t="s">
        <v>117</v>
      </c>
      <c r="B307" s="10">
        <f>VLOOKUP(A307,'Datos generales'!A:B,2,0)</f>
        <v>45255.4</v>
      </c>
      <c r="C307" s="12">
        <f>VLOOKUP(A307,'Datos generales'!A:H,8,0)</f>
        <v>5097.84</v>
      </c>
      <c r="D307" s="12" t="str">
        <f t="shared" si="8"/>
        <v>noviembre</v>
      </c>
      <c r="E307" s="33">
        <f t="shared" si="9"/>
        <v>2023</v>
      </c>
    </row>
    <row r="308" spans="1:5" x14ac:dyDescent="0.25">
      <c r="A308" t="s">
        <v>118</v>
      </c>
      <c r="B308" s="10">
        <f>VLOOKUP(A308,'Datos generales'!A:B,2,0)</f>
        <v>45754.797222222223</v>
      </c>
      <c r="C308" s="12">
        <f>VLOOKUP(A308,'Datos generales'!A:H,8,0)</f>
        <v>1251.08</v>
      </c>
      <c r="D308" s="12" t="str">
        <f t="shared" si="8"/>
        <v>abril</v>
      </c>
      <c r="E308" s="33">
        <f t="shared" si="9"/>
        <v>2025</v>
      </c>
    </row>
    <row r="309" spans="1:5" x14ac:dyDescent="0.25">
      <c r="A309" t="s">
        <v>119</v>
      </c>
      <c r="B309" s="10">
        <f>VLOOKUP(A309,'Datos generales'!A:B,2,0)</f>
        <v>45764.185416666667</v>
      </c>
      <c r="C309" s="12">
        <f>VLOOKUP(A309,'Datos generales'!A:H,8,0)</f>
        <v>7911</v>
      </c>
      <c r="D309" s="12" t="str">
        <f t="shared" si="8"/>
        <v>abril</v>
      </c>
      <c r="E309" s="33">
        <f t="shared" si="9"/>
        <v>2025</v>
      </c>
    </row>
    <row r="310" spans="1:5" x14ac:dyDescent="0.25">
      <c r="A310" t="s">
        <v>120</v>
      </c>
      <c r="B310" s="10">
        <f>VLOOKUP(A310,'Datos generales'!A:B,2,0)</f>
        <v>45240.82916666667</v>
      </c>
      <c r="C310" s="12">
        <f>VLOOKUP(A310,'Datos generales'!A:H,8,0)</f>
        <v>81.92</v>
      </c>
      <c r="D310" s="12" t="str">
        <f t="shared" si="8"/>
        <v>noviembre</v>
      </c>
      <c r="E310" s="33">
        <f t="shared" si="9"/>
        <v>2023</v>
      </c>
    </row>
    <row r="311" spans="1:5" x14ac:dyDescent="0.25">
      <c r="A311" t="s">
        <v>121</v>
      </c>
      <c r="B311" s="10">
        <f>VLOOKUP(A311,'Datos generales'!A:B,2,0)</f>
        <v>45634.470138888893</v>
      </c>
      <c r="C311" s="12">
        <f>VLOOKUP(A311,'Datos generales'!A:H,8,0)</f>
        <v>1153.31</v>
      </c>
      <c r="D311" s="12" t="str">
        <f t="shared" si="8"/>
        <v>diciembre</v>
      </c>
      <c r="E311" s="33">
        <f t="shared" si="9"/>
        <v>2024</v>
      </c>
    </row>
    <row r="312" spans="1:5" x14ac:dyDescent="0.25">
      <c r="A312" t="s">
        <v>122</v>
      </c>
      <c r="B312" s="10">
        <f>VLOOKUP(A312,'Datos generales'!A:B,2,0)</f>
        <v>45913.939583333333</v>
      </c>
      <c r="C312" s="12">
        <f>VLOOKUP(A312,'Datos generales'!A:H,8,0)</f>
        <v>3234.24</v>
      </c>
      <c r="D312" s="12" t="str">
        <f t="shared" si="8"/>
        <v>septiembre</v>
      </c>
      <c r="E312" s="33">
        <f t="shared" si="9"/>
        <v>2025</v>
      </c>
    </row>
    <row r="313" spans="1:5" x14ac:dyDescent="0.25">
      <c r="A313" t="s">
        <v>123</v>
      </c>
      <c r="B313" s="10">
        <f>VLOOKUP(A313,'Datos generales'!A:B,2,0)</f>
        <v>45526.149305555547</v>
      </c>
      <c r="C313" s="12">
        <f>VLOOKUP(A313,'Datos generales'!A:H,8,0)</f>
        <v>201.91</v>
      </c>
      <c r="D313" s="12" t="str">
        <f t="shared" si="8"/>
        <v>agosto</v>
      </c>
      <c r="E313" s="33">
        <f t="shared" si="9"/>
        <v>2024</v>
      </c>
    </row>
    <row r="314" spans="1:5" x14ac:dyDescent="0.25">
      <c r="A314" t="s">
        <v>124</v>
      </c>
      <c r="B314" s="10">
        <f>VLOOKUP(A314,'Datos generales'!A:B,2,0)</f>
        <v>45487.067361111112</v>
      </c>
      <c r="C314" s="12">
        <f>VLOOKUP(A314,'Datos generales'!A:H,8,0)</f>
        <v>2182.08</v>
      </c>
      <c r="D314" s="12" t="str">
        <f t="shared" si="8"/>
        <v>julio</v>
      </c>
      <c r="E314" s="33">
        <f t="shared" si="9"/>
        <v>2024</v>
      </c>
    </row>
    <row r="315" spans="1:5" x14ac:dyDescent="0.25">
      <c r="A315" t="s">
        <v>125</v>
      </c>
      <c r="B315" s="10">
        <f>VLOOKUP(A315,'Datos generales'!A:B,2,0)</f>
        <v>45281.986805555563</v>
      </c>
      <c r="C315" s="12">
        <f>VLOOKUP(A315,'Datos generales'!A:H,8,0)</f>
        <v>4936.29</v>
      </c>
      <c r="D315" s="12" t="str">
        <f t="shared" si="8"/>
        <v>diciembre</v>
      </c>
      <c r="E315" s="33">
        <f t="shared" si="9"/>
        <v>2023</v>
      </c>
    </row>
    <row r="316" spans="1:5" x14ac:dyDescent="0.25">
      <c r="A316" t="s">
        <v>126</v>
      </c>
      <c r="B316" s="10">
        <f>VLOOKUP(A316,'Datos generales'!A:B,2,0)</f>
        <v>45468.378472222219</v>
      </c>
      <c r="C316" s="12">
        <f>VLOOKUP(A316,'Datos generales'!A:H,8,0)</f>
        <v>1260.1500000000001</v>
      </c>
      <c r="D316" s="12" t="str">
        <f t="shared" si="8"/>
        <v>junio</v>
      </c>
      <c r="E316" s="33">
        <f t="shared" si="9"/>
        <v>2024</v>
      </c>
    </row>
    <row r="317" spans="1:5" x14ac:dyDescent="0.25">
      <c r="A317" t="s">
        <v>127</v>
      </c>
      <c r="B317" s="10">
        <f>VLOOKUP(A317,'Datos generales'!A:B,2,0)</f>
        <v>45529.436805555553</v>
      </c>
      <c r="C317" s="12">
        <f>VLOOKUP(A317,'Datos generales'!A:H,8,0)</f>
        <v>1987.6</v>
      </c>
      <c r="D317" s="12" t="str">
        <f t="shared" si="8"/>
        <v>agosto</v>
      </c>
      <c r="E317" s="33">
        <f t="shared" si="9"/>
        <v>2024</v>
      </c>
    </row>
    <row r="318" spans="1:5" x14ac:dyDescent="0.25">
      <c r="A318" t="s">
        <v>128</v>
      </c>
      <c r="B318" s="10">
        <f>VLOOKUP(A318,'Datos generales'!A:B,2,0)</f>
        <v>44961.01666666667</v>
      </c>
      <c r="C318" s="12">
        <f>VLOOKUP(A318,'Datos generales'!A:H,8,0)</f>
        <v>1443.12</v>
      </c>
      <c r="D318" s="12" t="str">
        <f t="shared" si="8"/>
        <v>febrero</v>
      </c>
      <c r="E318" s="33">
        <f t="shared" si="9"/>
        <v>2023</v>
      </c>
    </row>
    <row r="319" spans="1:5" x14ac:dyDescent="0.25">
      <c r="A319" t="s">
        <v>129</v>
      </c>
      <c r="B319" s="10">
        <f>VLOOKUP(A319,'Datos generales'!A:B,2,0)</f>
        <v>45041.746527777781</v>
      </c>
      <c r="C319" s="12">
        <f>VLOOKUP(A319,'Datos generales'!A:H,8,0)</f>
        <v>5415.6</v>
      </c>
      <c r="D319" s="12" t="str">
        <f t="shared" si="8"/>
        <v>abril</v>
      </c>
      <c r="E319" s="33">
        <f t="shared" si="9"/>
        <v>2023</v>
      </c>
    </row>
    <row r="320" spans="1:5" x14ac:dyDescent="0.25">
      <c r="A320" t="s">
        <v>130</v>
      </c>
      <c r="B320" s="10">
        <f>VLOOKUP(A320,'Datos generales'!A:B,2,0)</f>
        <v>45400.756249999999</v>
      </c>
      <c r="C320" s="12">
        <f>VLOOKUP(A320,'Datos generales'!A:H,8,0)</f>
        <v>859.04</v>
      </c>
      <c r="D320" s="12" t="str">
        <f t="shared" si="8"/>
        <v>abril</v>
      </c>
      <c r="E320" s="33">
        <f t="shared" si="9"/>
        <v>2024</v>
      </c>
    </row>
    <row r="321" spans="1:5" x14ac:dyDescent="0.25">
      <c r="A321" t="s">
        <v>131</v>
      </c>
      <c r="B321" s="10">
        <f>VLOOKUP(A321,'Datos generales'!A:B,2,0)</f>
        <v>45465.772916666669</v>
      </c>
      <c r="C321" s="12">
        <f>VLOOKUP(A321,'Datos generales'!A:H,8,0)</f>
        <v>3649.92</v>
      </c>
      <c r="D321" s="12" t="str">
        <f t="shared" si="8"/>
        <v>junio</v>
      </c>
      <c r="E321" s="33">
        <f t="shared" si="9"/>
        <v>2024</v>
      </c>
    </row>
    <row r="322" spans="1:5" x14ac:dyDescent="0.25">
      <c r="A322" t="s">
        <v>132</v>
      </c>
      <c r="B322" s="10">
        <f>VLOOKUP(A322,'Datos generales'!A:B,2,0)</f>
        <v>45316.202777777777</v>
      </c>
      <c r="C322" s="12">
        <f>VLOOKUP(A322,'Datos generales'!A:H,8,0)</f>
        <v>5299.0499999999993</v>
      </c>
      <c r="D322" s="12" t="str">
        <f t="shared" si="8"/>
        <v>enero</v>
      </c>
      <c r="E322" s="33">
        <f t="shared" si="9"/>
        <v>2024</v>
      </c>
    </row>
    <row r="323" spans="1:5" x14ac:dyDescent="0.25">
      <c r="A323" t="s">
        <v>133</v>
      </c>
      <c r="B323" s="10">
        <f>VLOOKUP(A323,'Datos generales'!A:B,2,0)</f>
        <v>45118.634722222218</v>
      </c>
      <c r="C323" s="12">
        <f>VLOOKUP(A323,'Datos generales'!A:H,8,0)</f>
        <v>185.56</v>
      </c>
      <c r="D323" s="12" t="str">
        <f t="shared" ref="D323:D386" si="10">TEXT(B323,"mmmm")</f>
        <v>julio</v>
      </c>
      <c r="E323" s="33">
        <f t="shared" ref="E323:E386" si="11">YEAR(B323)</f>
        <v>2023</v>
      </c>
    </row>
    <row r="324" spans="1:5" x14ac:dyDescent="0.25">
      <c r="A324" t="s">
        <v>134</v>
      </c>
      <c r="B324" s="10">
        <f>VLOOKUP(A324,'Datos generales'!A:B,2,0)</f>
        <v>45232.75</v>
      </c>
      <c r="C324" s="12">
        <f>VLOOKUP(A324,'Datos generales'!A:H,8,0)</f>
        <v>754.07</v>
      </c>
      <c r="D324" s="12" t="str">
        <f t="shared" si="10"/>
        <v>noviembre</v>
      </c>
      <c r="E324" s="33">
        <f t="shared" si="11"/>
        <v>2023</v>
      </c>
    </row>
    <row r="325" spans="1:5" x14ac:dyDescent="0.25">
      <c r="A325" t="s">
        <v>135</v>
      </c>
      <c r="B325" s="10">
        <f>VLOOKUP(A325,'Datos generales'!A:B,2,0)</f>
        <v>45745.421527777777</v>
      </c>
      <c r="C325" s="12">
        <f>VLOOKUP(A325,'Datos generales'!A:H,8,0)</f>
        <v>1681.02</v>
      </c>
      <c r="D325" s="12" t="str">
        <f t="shared" si="10"/>
        <v>marzo</v>
      </c>
      <c r="E325" s="33">
        <f t="shared" si="11"/>
        <v>2025</v>
      </c>
    </row>
    <row r="326" spans="1:5" x14ac:dyDescent="0.25">
      <c r="A326" t="s">
        <v>136</v>
      </c>
      <c r="B326" s="10">
        <f>VLOOKUP(A326,'Datos generales'!A:B,2,0)</f>
        <v>45802.370833333327</v>
      </c>
      <c r="C326" s="12">
        <f>VLOOKUP(A326,'Datos generales'!A:H,8,0)</f>
        <v>2397.44</v>
      </c>
      <c r="D326" s="12" t="str">
        <f t="shared" si="10"/>
        <v>mayo</v>
      </c>
      <c r="E326" s="33">
        <f t="shared" si="11"/>
        <v>2025</v>
      </c>
    </row>
    <row r="327" spans="1:5" x14ac:dyDescent="0.25">
      <c r="A327" t="s">
        <v>137</v>
      </c>
      <c r="B327" s="10">
        <f>VLOOKUP(A327,'Datos generales'!A:B,2,0)</f>
        <v>45249.604861111111</v>
      </c>
      <c r="C327" s="12">
        <f>VLOOKUP(A327,'Datos generales'!A:H,8,0)</f>
        <v>2080.4</v>
      </c>
      <c r="D327" s="12" t="str">
        <f t="shared" si="10"/>
        <v>noviembre</v>
      </c>
      <c r="E327" s="33">
        <f t="shared" si="11"/>
        <v>2023</v>
      </c>
    </row>
    <row r="328" spans="1:5" x14ac:dyDescent="0.25">
      <c r="A328" t="s">
        <v>138</v>
      </c>
      <c r="B328" s="10">
        <f>VLOOKUP(A328,'Datos generales'!A:B,2,0)</f>
        <v>45854.013194444437</v>
      </c>
      <c r="C328" s="12">
        <f>VLOOKUP(A328,'Datos generales'!A:H,8,0)</f>
        <v>322.58999999999997</v>
      </c>
      <c r="D328" s="12" t="str">
        <f t="shared" si="10"/>
        <v>julio</v>
      </c>
      <c r="E328" s="33">
        <f t="shared" si="11"/>
        <v>2025</v>
      </c>
    </row>
    <row r="329" spans="1:5" x14ac:dyDescent="0.25">
      <c r="A329" t="s">
        <v>139</v>
      </c>
      <c r="B329" s="10">
        <f>VLOOKUP(A329,'Datos generales'!A:B,2,0)</f>
        <v>45828.018055555563</v>
      </c>
      <c r="C329" s="12">
        <f>VLOOKUP(A329,'Datos generales'!A:H,8,0)</f>
        <v>1522.64</v>
      </c>
      <c r="D329" s="12" t="str">
        <f t="shared" si="10"/>
        <v>junio</v>
      </c>
      <c r="E329" s="33">
        <f t="shared" si="11"/>
        <v>2025</v>
      </c>
    </row>
    <row r="330" spans="1:5" x14ac:dyDescent="0.25">
      <c r="A330" t="s">
        <v>140</v>
      </c>
      <c r="B330" s="10">
        <f>VLOOKUP(A330,'Datos generales'!A:B,2,0)</f>
        <v>45673.40902777778</v>
      </c>
      <c r="C330" s="12">
        <f>VLOOKUP(A330,'Datos generales'!A:H,8,0)</f>
        <v>1400.22</v>
      </c>
      <c r="D330" s="12" t="str">
        <f t="shared" si="10"/>
        <v>enero</v>
      </c>
      <c r="E330" s="33">
        <f t="shared" si="11"/>
        <v>2025</v>
      </c>
    </row>
    <row r="331" spans="1:5" x14ac:dyDescent="0.25">
      <c r="A331" t="s">
        <v>141</v>
      </c>
      <c r="B331" s="10">
        <f>VLOOKUP(A331,'Datos generales'!A:B,2,0)</f>
        <v>44932.951388888891</v>
      </c>
      <c r="C331" s="12">
        <f>VLOOKUP(A331,'Datos generales'!A:H,8,0)</f>
        <v>1792.4</v>
      </c>
      <c r="D331" s="12" t="str">
        <f t="shared" si="10"/>
        <v>enero</v>
      </c>
      <c r="E331" s="33">
        <f t="shared" si="11"/>
        <v>2023</v>
      </c>
    </row>
    <row r="332" spans="1:5" x14ac:dyDescent="0.25">
      <c r="A332" t="s">
        <v>142</v>
      </c>
      <c r="B332" s="10">
        <f>VLOOKUP(A332,'Datos generales'!A:B,2,0)</f>
        <v>45381.871527777781</v>
      </c>
      <c r="C332" s="12">
        <f>VLOOKUP(A332,'Datos generales'!A:H,8,0)</f>
        <v>2986.4</v>
      </c>
      <c r="D332" s="12" t="str">
        <f t="shared" si="10"/>
        <v>marzo</v>
      </c>
      <c r="E332" s="33">
        <f t="shared" si="11"/>
        <v>2024</v>
      </c>
    </row>
    <row r="333" spans="1:5" x14ac:dyDescent="0.25">
      <c r="A333" t="s">
        <v>143</v>
      </c>
      <c r="B333" s="10">
        <f>VLOOKUP(A333,'Datos generales'!A:B,2,0)</f>
        <v>45450.97152777778</v>
      </c>
      <c r="C333" s="12">
        <f>VLOOKUP(A333,'Datos generales'!A:H,8,0)</f>
        <v>751.43</v>
      </c>
      <c r="D333" s="12" t="str">
        <f t="shared" si="10"/>
        <v>junio</v>
      </c>
      <c r="E333" s="33">
        <f t="shared" si="11"/>
        <v>2024</v>
      </c>
    </row>
    <row r="334" spans="1:5" x14ac:dyDescent="0.25">
      <c r="A334" t="s">
        <v>144</v>
      </c>
      <c r="B334" s="10">
        <f>VLOOKUP(A334,'Datos generales'!A:B,2,0)</f>
        <v>45122.813888888893</v>
      </c>
      <c r="C334" s="12">
        <f>VLOOKUP(A334,'Datos generales'!A:H,8,0)</f>
        <v>5545.4</v>
      </c>
      <c r="D334" s="12" t="str">
        <f t="shared" si="10"/>
        <v>julio</v>
      </c>
      <c r="E334" s="33">
        <f t="shared" si="11"/>
        <v>2023</v>
      </c>
    </row>
    <row r="335" spans="1:5" x14ac:dyDescent="0.25">
      <c r="A335" t="s">
        <v>145</v>
      </c>
      <c r="B335" s="10">
        <f>VLOOKUP(A335,'Datos generales'!A:B,2,0)</f>
        <v>45329.842361111107</v>
      </c>
      <c r="C335" s="12">
        <f>VLOOKUP(A335,'Datos generales'!A:H,8,0)</f>
        <v>3213.7</v>
      </c>
      <c r="D335" s="12" t="str">
        <f t="shared" si="10"/>
        <v>febrero</v>
      </c>
      <c r="E335" s="33">
        <f t="shared" si="11"/>
        <v>2024</v>
      </c>
    </row>
    <row r="336" spans="1:5" x14ac:dyDescent="0.25">
      <c r="A336" t="s">
        <v>146</v>
      </c>
      <c r="B336" s="10">
        <f>VLOOKUP(A336,'Datos generales'!A:B,2,0)</f>
        <v>45615.539583333331</v>
      </c>
      <c r="C336" s="12">
        <f>VLOOKUP(A336,'Datos generales'!A:H,8,0)</f>
        <v>1228.6500000000001</v>
      </c>
      <c r="D336" s="12" t="str">
        <f t="shared" si="10"/>
        <v>noviembre</v>
      </c>
      <c r="E336" s="33">
        <f t="shared" si="11"/>
        <v>2024</v>
      </c>
    </row>
    <row r="337" spans="1:5" x14ac:dyDescent="0.25">
      <c r="A337" t="s">
        <v>147</v>
      </c>
      <c r="B337" s="10">
        <f>VLOOKUP(A337,'Datos generales'!A:B,2,0)</f>
        <v>45222.775694444441</v>
      </c>
      <c r="C337" s="12">
        <f>VLOOKUP(A337,'Datos generales'!A:H,8,0)</f>
        <v>5346.39</v>
      </c>
      <c r="D337" s="12" t="str">
        <f t="shared" si="10"/>
        <v>octubre</v>
      </c>
      <c r="E337" s="33">
        <f t="shared" si="11"/>
        <v>2023</v>
      </c>
    </row>
    <row r="338" spans="1:5" x14ac:dyDescent="0.25">
      <c r="A338" t="s">
        <v>148</v>
      </c>
      <c r="B338" s="10">
        <f>VLOOKUP(A338,'Datos generales'!A:B,2,0)</f>
        <v>45525.048611111109</v>
      </c>
      <c r="C338" s="12">
        <f>VLOOKUP(A338,'Datos generales'!A:H,8,0)</f>
        <v>5685.7000000000007</v>
      </c>
      <c r="D338" s="12" t="str">
        <f t="shared" si="10"/>
        <v>agosto</v>
      </c>
      <c r="E338" s="33">
        <f t="shared" si="11"/>
        <v>2024</v>
      </c>
    </row>
    <row r="339" spans="1:5" x14ac:dyDescent="0.25">
      <c r="A339" t="s">
        <v>149</v>
      </c>
      <c r="B339" s="10">
        <f>VLOOKUP(A339,'Datos generales'!A:B,2,0)</f>
        <v>45520.686111111107</v>
      </c>
      <c r="C339" s="12">
        <f>VLOOKUP(A339,'Datos generales'!A:H,8,0)</f>
        <v>3866.88</v>
      </c>
      <c r="D339" s="12" t="str">
        <f t="shared" si="10"/>
        <v>agosto</v>
      </c>
      <c r="E339" s="33">
        <f t="shared" si="11"/>
        <v>2024</v>
      </c>
    </row>
    <row r="340" spans="1:5" x14ac:dyDescent="0.25">
      <c r="A340" t="s">
        <v>150</v>
      </c>
      <c r="B340" s="10">
        <f>VLOOKUP(A340,'Datos generales'!A:B,2,0)</f>
        <v>45484.331944444442</v>
      </c>
      <c r="C340" s="12">
        <f>VLOOKUP(A340,'Datos generales'!A:H,8,0)</f>
        <v>3774.4</v>
      </c>
      <c r="D340" s="12" t="str">
        <f t="shared" si="10"/>
        <v>julio</v>
      </c>
      <c r="E340" s="33">
        <f t="shared" si="11"/>
        <v>2024</v>
      </c>
    </row>
    <row r="341" spans="1:5" x14ac:dyDescent="0.25">
      <c r="A341" t="s">
        <v>151</v>
      </c>
      <c r="B341" s="10">
        <f>VLOOKUP(A341,'Datos generales'!A:B,2,0)</f>
        <v>45842.433333333327</v>
      </c>
      <c r="C341" s="12">
        <f>VLOOKUP(A341,'Datos generales'!A:H,8,0)</f>
        <v>3610</v>
      </c>
      <c r="D341" s="12" t="str">
        <f t="shared" si="10"/>
        <v>julio</v>
      </c>
      <c r="E341" s="33">
        <f t="shared" si="11"/>
        <v>2025</v>
      </c>
    </row>
    <row r="342" spans="1:5" x14ac:dyDescent="0.25">
      <c r="A342" t="s">
        <v>152</v>
      </c>
      <c r="B342" s="10">
        <f>VLOOKUP(A342,'Datos generales'!A:B,2,0)</f>
        <v>45697.842361111107</v>
      </c>
      <c r="C342" s="12">
        <f>VLOOKUP(A342,'Datos generales'!A:H,8,0)</f>
        <v>156.36000000000001</v>
      </c>
      <c r="D342" s="12" t="str">
        <f t="shared" si="10"/>
        <v>febrero</v>
      </c>
      <c r="E342" s="33">
        <f t="shared" si="11"/>
        <v>2025</v>
      </c>
    </row>
    <row r="343" spans="1:5" x14ac:dyDescent="0.25">
      <c r="A343" t="s">
        <v>153</v>
      </c>
      <c r="B343" s="10">
        <f>VLOOKUP(A343,'Datos generales'!A:B,2,0)</f>
        <v>45927.180555555547</v>
      </c>
      <c r="C343" s="12">
        <f>VLOOKUP(A343,'Datos generales'!A:H,8,0)</f>
        <v>3230.82</v>
      </c>
      <c r="D343" s="12" t="str">
        <f t="shared" si="10"/>
        <v>septiembre</v>
      </c>
      <c r="E343" s="33">
        <f t="shared" si="11"/>
        <v>2025</v>
      </c>
    </row>
    <row r="344" spans="1:5" x14ac:dyDescent="0.25">
      <c r="A344" t="s">
        <v>154</v>
      </c>
      <c r="B344" s="10">
        <f>VLOOKUP(A344,'Datos generales'!A:B,2,0)</f>
        <v>45511.748611111107</v>
      </c>
      <c r="C344" s="12">
        <f>VLOOKUP(A344,'Datos generales'!A:H,8,0)</f>
        <v>747.69999999999993</v>
      </c>
      <c r="D344" s="12" t="str">
        <f t="shared" si="10"/>
        <v>agosto</v>
      </c>
      <c r="E344" s="33">
        <f t="shared" si="11"/>
        <v>2024</v>
      </c>
    </row>
    <row r="345" spans="1:5" x14ac:dyDescent="0.25">
      <c r="A345" t="s">
        <v>155</v>
      </c>
      <c r="B345" s="10">
        <f>VLOOKUP(A345,'Datos generales'!A:B,2,0)</f>
        <v>45867.710416666669</v>
      </c>
      <c r="C345" s="12">
        <f>VLOOKUP(A345,'Datos generales'!A:H,8,0)</f>
        <v>4776.95</v>
      </c>
      <c r="D345" s="12" t="str">
        <f t="shared" si="10"/>
        <v>julio</v>
      </c>
      <c r="E345" s="33">
        <f t="shared" si="11"/>
        <v>2025</v>
      </c>
    </row>
    <row r="346" spans="1:5" x14ac:dyDescent="0.25">
      <c r="A346" t="s">
        <v>156</v>
      </c>
      <c r="B346" s="10">
        <f>VLOOKUP(A346,'Datos generales'!A:B,2,0)</f>
        <v>45339.555555555547</v>
      </c>
      <c r="C346" s="12">
        <f>VLOOKUP(A346,'Datos generales'!A:H,8,0)</f>
        <v>3927.26</v>
      </c>
      <c r="D346" s="12" t="str">
        <f t="shared" si="10"/>
        <v>febrero</v>
      </c>
      <c r="E346" s="33">
        <f t="shared" si="11"/>
        <v>2024</v>
      </c>
    </row>
    <row r="347" spans="1:5" x14ac:dyDescent="0.25">
      <c r="A347" t="s">
        <v>157</v>
      </c>
      <c r="B347" s="10">
        <f>VLOOKUP(A347,'Datos generales'!A:B,2,0)</f>
        <v>45538.998611111107</v>
      </c>
      <c r="C347" s="12">
        <f>VLOOKUP(A347,'Datos generales'!A:H,8,0)</f>
        <v>7200.7000000000007</v>
      </c>
      <c r="D347" s="12" t="str">
        <f t="shared" si="10"/>
        <v>septiembre</v>
      </c>
      <c r="E347" s="33">
        <f t="shared" si="11"/>
        <v>2024</v>
      </c>
    </row>
    <row r="348" spans="1:5" x14ac:dyDescent="0.25">
      <c r="A348" t="s">
        <v>158</v>
      </c>
      <c r="B348" s="10">
        <f>VLOOKUP(A348,'Datos generales'!A:B,2,0)</f>
        <v>45105.837500000001</v>
      </c>
      <c r="C348" s="12">
        <f>VLOOKUP(A348,'Datos generales'!A:H,8,0)</f>
        <v>1134.8</v>
      </c>
      <c r="D348" s="12" t="str">
        <f t="shared" si="10"/>
        <v>junio</v>
      </c>
      <c r="E348" s="33">
        <f t="shared" si="11"/>
        <v>2023</v>
      </c>
    </row>
    <row r="349" spans="1:5" x14ac:dyDescent="0.25">
      <c r="A349" t="s">
        <v>159</v>
      </c>
      <c r="B349" s="10">
        <f>VLOOKUP(A349,'Datos generales'!A:B,2,0)</f>
        <v>45470.283333333333</v>
      </c>
      <c r="C349" s="12">
        <f>VLOOKUP(A349,'Datos generales'!A:H,8,0)</f>
        <v>2062.5300000000002</v>
      </c>
      <c r="D349" s="12" t="str">
        <f t="shared" si="10"/>
        <v>junio</v>
      </c>
      <c r="E349" s="33">
        <f t="shared" si="11"/>
        <v>2024</v>
      </c>
    </row>
    <row r="350" spans="1:5" x14ac:dyDescent="0.25">
      <c r="A350" t="s">
        <v>160</v>
      </c>
      <c r="B350" s="10">
        <f>VLOOKUP(A350,'Datos generales'!A:B,2,0)</f>
        <v>45122.511805555558</v>
      </c>
      <c r="C350" s="12">
        <f>VLOOKUP(A350,'Datos generales'!A:H,8,0)</f>
        <v>564</v>
      </c>
      <c r="D350" s="12" t="str">
        <f t="shared" si="10"/>
        <v>julio</v>
      </c>
      <c r="E350" s="33">
        <f t="shared" si="11"/>
        <v>2023</v>
      </c>
    </row>
    <row r="351" spans="1:5" x14ac:dyDescent="0.25">
      <c r="A351" t="s">
        <v>161</v>
      </c>
      <c r="B351" s="10">
        <f>VLOOKUP(A351,'Datos generales'!A:B,2,0)</f>
        <v>45878.351388888892</v>
      </c>
      <c r="C351" s="12">
        <f>VLOOKUP(A351,'Datos generales'!A:H,8,0)</f>
        <v>5885.52</v>
      </c>
      <c r="D351" s="12" t="str">
        <f t="shared" si="10"/>
        <v>agosto</v>
      </c>
      <c r="E351" s="33">
        <f t="shared" si="11"/>
        <v>2025</v>
      </c>
    </row>
    <row r="352" spans="1:5" x14ac:dyDescent="0.25">
      <c r="A352" t="s">
        <v>162</v>
      </c>
      <c r="B352" s="10">
        <f>VLOOKUP(A352,'Datos generales'!A:B,2,0)</f>
        <v>45894.257638888892</v>
      </c>
      <c r="C352" s="12">
        <f>VLOOKUP(A352,'Datos generales'!A:H,8,0)</f>
        <v>1463.91</v>
      </c>
      <c r="D352" s="12" t="str">
        <f t="shared" si="10"/>
        <v>agosto</v>
      </c>
      <c r="E352" s="33">
        <f t="shared" si="11"/>
        <v>2025</v>
      </c>
    </row>
    <row r="353" spans="1:5" x14ac:dyDescent="0.25">
      <c r="A353" t="s">
        <v>163</v>
      </c>
      <c r="B353" s="10">
        <f>VLOOKUP(A353,'Datos generales'!A:B,2,0)</f>
        <v>45321.105555555558</v>
      </c>
      <c r="C353" s="12">
        <f>VLOOKUP(A353,'Datos generales'!A:H,8,0)</f>
        <v>6341.96</v>
      </c>
      <c r="D353" s="12" t="str">
        <f t="shared" si="10"/>
        <v>enero</v>
      </c>
      <c r="E353" s="33">
        <f t="shared" si="11"/>
        <v>2024</v>
      </c>
    </row>
    <row r="354" spans="1:5" x14ac:dyDescent="0.25">
      <c r="A354" t="s">
        <v>164</v>
      </c>
      <c r="B354" s="10">
        <f>VLOOKUP(A354,'Datos generales'!A:B,2,0)</f>
        <v>45571.035416666673</v>
      </c>
      <c r="C354" s="12">
        <f>VLOOKUP(A354,'Datos generales'!A:H,8,0)</f>
        <v>662.17</v>
      </c>
      <c r="D354" s="12" t="str">
        <f t="shared" si="10"/>
        <v>octubre</v>
      </c>
      <c r="E354" s="33">
        <f t="shared" si="11"/>
        <v>2024</v>
      </c>
    </row>
    <row r="355" spans="1:5" x14ac:dyDescent="0.25">
      <c r="A355" t="s">
        <v>165</v>
      </c>
      <c r="B355" s="10">
        <f>VLOOKUP(A355,'Datos generales'!A:B,2,0)</f>
        <v>45442.757638888892</v>
      </c>
      <c r="C355" s="12">
        <f>VLOOKUP(A355,'Datos generales'!A:H,8,0)</f>
        <v>273.36</v>
      </c>
      <c r="D355" s="12" t="str">
        <f t="shared" si="10"/>
        <v>mayo</v>
      </c>
      <c r="E355" s="33">
        <f t="shared" si="11"/>
        <v>2024</v>
      </c>
    </row>
    <row r="356" spans="1:5" x14ac:dyDescent="0.25">
      <c r="A356" t="s">
        <v>166</v>
      </c>
      <c r="B356" s="10">
        <f>VLOOKUP(A356,'Datos generales'!A:B,2,0)</f>
        <v>45889.054166666669</v>
      </c>
      <c r="C356" s="12">
        <f>VLOOKUP(A356,'Datos generales'!A:H,8,0)</f>
        <v>474.56</v>
      </c>
      <c r="D356" s="12" t="str">
        <f t="shared" si="10"/>
        <v>agosto</v>
      </c>
      <c r="E356" s="33">
        <f t="shared" si="11"/>
        <v>2025</v>
      </c>
    </row>
    <row r="357" spans="1:5" x14ac:dyDescent="0.25">
      <c r="A357" t="s">
        <v>167</v>
      </c>
      <c r="B357" s="10">
        <f>VLOOKUP(A357,'Datos generales'!A:B,2,0)</f>
        <v>45468.727083333331</v>
      </c>
      <c r="C357" s="12">
        <f>VLOOKUP(A357,'Datos generales'!A:H,8,0)</f>
        <v>2800.47</v>
      </c>
      <c r="D357" s="12" t="str">
        <f t="shared" si="10"/>
        <v>junio</v>
      </c>
      <c r="E357" s="33">
        <f t="shared" si="11"/>
        <v>2024</v>
      </c>
    </row>
    <row r="358" spans="1:5" x14ac:dyDescent="0.25">
      <c r="A358" t="s">
        <v>168</v>
      </c>
      <c r="B358" s="10">
        <f>VLOOKUP(A358,'Datos generales'!A:B,2,0)</f>
        <v>45202.955555555563</v>
      </c>
      <c r="C358" s="12">
        <f>VLOOKUP(A358,'Datos generales'!A:H,8,0)</f>
        <v>2070.1799999999998</v>
      </c>
      <c r="D358" s="12" t="str">
        <f t="shared" si="10"/>
        <v>octubre</v>
      </c>
      <c r="E358" s="33">
        <f t="shared" si="11"/>
        <v>2023</v>
      </c>
    </row>
    <row r="359" spans="1:5" x14ac:dyDescent="0.25">
      <c r="A359" t="s">
        <v>169</v>
      </c>
      <c r="B359" s="10">
        <f>VLOOKUP(A359,'Datos generales'!A:B,2,0)</f>
        <v>45323.202777777777</v>
      </c>
      <c r="C359" s="12">
        <f>VLOOKUP(A359,'Datos generales'!A:H,8,0)</f>
        <v>2650.02</v>
      </c>
      <c r="D359" s="12" t="str">
        <f t="shared" si="10"/>
        <v>febrero</v>
      </c>
      <c r="E359" s="33">
        <f t="shared" si="11"/>
        <v>2024</v>
      </c>
    </row>
    <row r="360" spans="1:5" x14ac:dyDescent="0.25">
      <c r="A360" t="s">
        <v>170</v>
      </c>
      <c r="B360" s="10">
        <f>VLOOKUP(A360,'Datos generales'!A:B,2,0)</f>
        <v>45288.395833333343</v>
      </c>
      <c r="C360" s="12">
        <f>VLOOKUP(A360,'Datos generales'!A:H,8,0)</f>
        <v>2843.36</v>
      </c>
      <c r="D360" s="12" t="str">
        <f t="shared" si="10"/>
        <v>diciembre</v>
      </c>
      <c r="E360" s="33">
        <f t="shared" si="11"/>
        <v>2023</v>
      </c>
    </row>
    <row r="361" spans="1:5" x14ac:dyDescent="0.25">
      <c r="A361" t="s">
        <v>171</v>
      </c>
      <c r="B361" s="10">
        <f>VLOOKUP(A361,'Datos generales'!A:B,2,0)</f>
        <v>45900.337500000001</v>
      </c>
      <c r="C361" s="12">
        <f>VLOOKUP(A361,'Datos generales'!A:H,8,0)</f>
        <v>291.81</v>
      </c>
      <c r="D361" s="12" t="str">
        <f t="shared" si="10"/>
        <v>agosto</v>
      </c>
      <c r="E361" s="33">
        <f t="shared" si="11"/>
        <v>2025</v>
      </c>
    </row>
    <row r="362" spans="1:5" x14ac:dyDescent="0.25">
      <c r="A362" t="s">
        <v>172</v>
      </c>
      <c r="B362" s="10">
        <f>VLOOKUP(A362,'Datos generales'!A:B,2,0)</f>
        <v>45576.732638888891</v>
      </c>
      <c r="C362" s="12">
        <f>VLOOKUP(A362,'Datos generales'!A:H,8,0)</f>
        <v>2491.8000000000002</v>
      </c>
      <c r="D362" s="12" t="str">
        <f t="shared" si="10"/>
        <v>octubre</v>
      </c>
      <c r="E362" s="33">
        <f t="shared" si="11"/>
        <v>2024</v>
      </c>
    </row>
    <row r="363" spans="1:5" x14ac:dyDescent="0.25">
      <c r="A363" t="s">
        <v>173</v>
      </c>
      <c r="B363" s="10">
        <f>VLOOKUP(A363,'Datos generales'!A:B,2,0)</f>
        <v>45392.97152777778</v>
      </c>
      <c r="C363" s="12">
        <f>VLOOKUP(A363,'Datos generales'!A:H,8,0)</f>
        <v>4904.45</v>
      </c>
      <c r="D363" s="12" t="str">
        <f t="shared" si="10"/>
        <v>abril</v>
      </c>
      <c r="E363" s="33">
        <f t="shared" si="11"/>
        <v>2024</v>
      </c>
    </row>
    <row r="364" spans="1:5" x14ac:dyDescent="0.25">
      <c r="A364" t="s">
        <v>174</v>
      </c>
      <c r="B364" s="10">
        <f>VLOOKUP(A364,'Datos generales'!A:B,2,0)</f>
        <v>45584.049305555563</v>
      </c>
      <c r="C364" s="12">
        <f>VLOOKUP(A364,'Datos generales'!A:H,8,0)</f>
        <v>1390.33</v>
      </c>
      <c r="D364" s="12" t="str">
        <f t="shared" si="10"/>
        <v>octubre</v>
      </c>
      <c r="E364" s="33">
        <f t="shared" si="11"/>
        <v>2024</v>
      </c>
    </row>
    <row r="365" spans="1:5" x14ac:dyDescent="0.25">
      <c r="A365" t="s">
        <v>175</v>
      </c>
      <c r="B365" s="10">
        <f>VLOOKUP(A365,'Datos generales'!A:B,2,0)</f>
        <v>44941.657638888893</v>
      </c>
      <c r="C365" s="12">
        <f>VLOOKUP(A365,'Datos generales'!A:H,8,0)</f>
        <v>8540.4499999999989</v>
      </c>
      <c r="D365" s="12" t="str">
        <f t="shared" si="10"/>
        <v>enero</v>
      </c>
      <c r="E365" s="33">
        <f t="shared" si="11"/>
        <v>2023</v>
      </c>
    </row>
    <row r="366" spans="1:5" x14ac:dyDescent="0.25">
      <c r="A366" t="s">
        <v>176</v>
      </c>
      <c r="B366" s="10">
        <f>VLOOKUP(A366,'Datos generales'!A:B,2,0)</f>
        <v>45238.718055555553</v>
      </c>
      <c r="C366" s="12">
        <f>VLOOKUP(A366,'Datos generales'!A:H,8,0)</f>
        <v>1378.2</v>
      </c>
      <c r="D366" s="12" t="str">
        <f t="shared" si="10"/>
        <v>noviembre</v>
      </c>
      <c r="E366" s="33">
        <f t="shared" si="11"/>
        <v>2023</v>
      </c>
    </row>
    <row r="367" spans="1:5" x14ac:dyDescent="0.25">
      <c r="A367" t="s">
        <v>177</v>
      </c>
      <c r="B367" s="10">
        <f>VLOOKUP(A367,'Datos generales'!A:B,2,0)</f>
        <v>44973.59652777778</v>
      </c>
      <c r="C367" s="12">
        <f>VLOOKUP(A367,'Datos generales'!A:H,8,0)</f>
        <v>1578.33</v>
      </c>
      <c r="D367" s="12" t="str">
        <f t="shared" si="10"/>
        <v>febrero</v>
      </c>
      <c r="E367" s="33">
        <f t="shared" si="11"/>
        <v>2023</v>
      </c>
    </row>
    <row r="368" spans="1:5" x14ac:dyDescent="0.25">
      <c r="A368" t="s">
        <v>178</v>
      </c>
      <c r="B368" s="10">
        <f>VLOOKUP(A368,'Datos generales'!A:B,2,0)</f>
        <v>45445.690972222219</v>
      </c>
      <c r="C368" s="12">
        <f>VLOOKUP(A368,'Datos generales'!A:H,8,0)</f>
        <v>8011.9500000000007</v>
      </c>
      <c r="D368" s="12" t="str">
        <f t="shared" si="10"/>
        <v>junio</v>
      </c>
      <c r="E368" s="33">
        <f t="shared" si="11"/>
        <v>2024</v>
      </c>
    </row>
    <row r="369" spans="1:5" x14ac:dyDescent="0.25">
      <c r="A369" t="s">
        <v>179</v>
      </c>
      <c r="B369" s="10">
        <f>VLOOKUP(A369,'Datos generales'!A:B,2,0)</f>
        <v>45035.472916666673</v>
      </c>
      <c r="C369" s="12">
        <f>VLOOKUP(A369,'Datos generales'!A:H,8,0)</f>
        <v>1429.1</v>
      </c>
      <c r="D369" s="12" t="str">
        <f t="shared" si="10"/>
        <v>abril</v>
      </c>
      <c r="E369" s="33">
        <f t="shared" si="11"/>
        <v>2023</v>
      </c>
    </row>
    <row r="370" spans="1:5" x14ac:dyDescent="0.25">
      <c r="A370" t="s">
        <v>180</v>
      </c>
      <c r="B370" s="10">
        <f>VLOOKUP(A370,'Datos generales'!A:B,2,0)</f>
        <v>45836.104166666657</v>
      </c>
      <c r="C370" s="12">
        <f>VLOOKUP(A370,'Datos generales'!A:H,8,0)</f>
        <v>281.08</v>
      </c>
      <c r="D370" s="12" t="str">
        <f t="shared" si="10"/>
        <v>junio</v>
      </c>
      <c r="E370" s="33">
        <f t="shared" si="11"/>
        <v>2025</v>
      </c>
    </row>
    <row r="371" spans="1:5" x14ac:dyDescent="0.25">
      <c r="A371" t="s">
        <v>181</v>
      </c>
      <c r="B371" s="10">
        <f>VLOOKUP(A371,'Datos generales'!A:B,2,0)</f>
        <v>45584.553472222222</v>
      </c>
      <c r="C371" s="12">
        <f>VLOOKUP(A371,'Datos generales'!A:H,8,0)</f>
        <v>1434.35</v>
      </c>
      <c r="D371" s="12" t="str">
        <f t="shared" si="10"/>
        <v>octubre</v>
      </c>
      <c r="E371" s="33">
        <f t="shared" si="11"/>
        <v>2024</v>
      </c>
    </row>
    <row r="372" spans="1:5" x14ac:dyDescent="0.25">
      <c r="A372" t="s">
        <v>182</v>
      </c>
      <c r="B372" s="10">
        <f>VLOOKUP(A372,'Datos generales'!A:B,2,0)</f>
        <v>45338.585416666669</v>
      </c>
      <c r="C372" s="12">
        <f>VLOOKUP(A372,'Datos generales'!A:H,8,0)</f>
        <v>9489.85</v>
      </c>
      <c r="D372" s="12" t="str">
        <f t="shared" si="10"/>
        <v>febrero</v>
      </c>
      <c r="E372" s="33">
        <f t="shared" si="11"/>
        <v>2024</v>
      </c>
    </row>
    <row r="373" spans="1:5" x14ac:dyDescent="0.25">
      <c r="A373" t="s">
        <v>183</v>
      </c>
      <c r="B373" s="10">
        <f>VLOOKUP(A373,'Datos generales'!A:B,2,0)</f>
        <v>45625.480555555558</v>
      </c>
      <c r="C373" s="12">
        <f>VLOOKUP(A373,'Datos generales'!A:H,8,0)</f>
        <v>1175.42</v>
      </c>
      <c r="D373" s="12" t="str">
        <f t="shared" si="10"/>
        <v>noviembre</v>
      </c>
      <c r="E373" s="33">
        <f t="shared" si="11"/>
        <v>2024</v>
      </c>
    </row>
    <row r="374" spans="1:5" x14ac:dyDescent="0.25">
      <c r="A374" t="s">
        <v>184</v>
      </c>
      <c r="B374" s="10">
        <f>VLOOKUP(A374,'Datos generales'!A:B,2,0)</f>
        <v>45291</v>
      </c>
      <c r="C374" s="12">
        <f>VLOOKUP(A374,'Datos generales'!A:H,8,0)</f>
        <v>3580.52</v>
      </c>
      <c r="D374" s="12" t="str">
        <f t="shared" si="10"/>
        <v>diciembre</v>
      </c>
      <c r="E374" s="33">
        <f t="shared" si="11"/>
        <v>2023</v>
      </c>
    </row>
    <row r="375" spans="1:5" x14ac:dyDescent="0.25">
      <c r="A375" t="s">
        <v>185</v>
      </c>
      <c r="B375" s="10">
        <f>VLOOKUP(A375,'Datos generales'!A:B,2,0)</f>
        <v>45548.488194444442</v>
      </c>
      <c r="C375" s="12">
        <f>VLOOKUP(A375,'Datos generales'!A:H,8,0)</f>
        <v>4372.0499999999993</v>
      </c>
      <c r="D375" s="12" t="str">
        <f t="shared" si="10"/>
        <v>septiembre</v>
      </c>
      <c r="E375" s="33">
        <f t="shared" si="11"/>
        <v>2024</v>
      </c>
    </row>
    <row r="376" spans="1:5" x14ac:dyDescent="0.25">
      <c r="A376" t="s">
        <v>186</v>
      </c>
      <c r="B376" s="10">
        <f>VLOOKUP(A376,'Datos generales'!A:B,2,0)</f>
        <v>45540.261805555558</v>
      </c>
      <c r="C376" s="12">
        <f>VLOOKUP(A376,'Datos generales'!A:H,8,0)</f>
        <v>3249.96</v>
      </c>
      <c r="D376" s="12" t="str">
        <f t="shared" si="10"/>
        <v>septiembre</v>
      </c>
      <c r="E376" s="33">
        <f t="shared" si="11"/>
        <v>2024</v>
      </c>
    </row>
    <row r="377" spans="1:5" x14ac:dyDescent="0.25">
      <c r="A377" t="s">
        <v>187</v>
      </c>
      <c r="B377" s="10">
        <f>VLOOKUP(A377,'Datos generales'!A:B,2,0)</f>
        <v>45783.684027777781</v>
      </c>
      <c r="C377" s="12">
        <f>VLOOKUP(A377,'Datos generales'!A:H,8,0)</f>
        <v>4628.13</v>
      </c>
      <c r="D377" s="12" t="str">
        <f t="shared" si="10"/>
        <v>mayo</v>
      </c>
      <c r="E377" s="33">
        <f t="shared" si="11"/>
        <v>2025</v>
      </c>
    </row>
    <row r="378" spans="1:5" x14ac:dyDescent="0.25">
      <c r="A378" t="s">
        <v>188</v>
      </c>
      <c r="B378" s="10">
        <f>VLOOKUP(A378,'Datos generales'!A:B,2,0)</f>
        <v>45692.470138888893</v>
      </c>
      <c r="C378" s="12">
        <f>VLOOKUP(A378,'Datos generales'!A:H,8,0)</f>
        <v>3619</v>
      </c>
      <c r="D378" s="12" t="str">
        <f t="shared" si="10"/>
        <v>febrero</v>
      </c>
      <c r="E378" s="33">
        <f t="shared" si="11"/>
        <v>2025</v>
      </c>
    </row>
    <row r="379" spans="1:5" x14ac:dyDescent="0.25">
      <c r="A379" t="s">
        <v>189</v>
      </c>
      <c r="B379" s="10">
        <f>VLOOKUP(A379,'Datos generales'!A:B,2,0)</f>
        <v>45186.410416666673</v>
      </c>
      <c r="C379" s="12">
        <f>VLOOKUP(A379,'Datos generales'!A:H,8,0)</f>
        <v>899.85</v>
      </c>
      <c r="D379" s="12" t="str">
        <f t="shared" si="10"/>
        <v>septiembre</v>
      </c>
      <c r="E379" s="33">
        <f t="shared" si="11"/>
        <v>2023</v>
      </c>
    </row>
    <row r="380" spans="1:5" x14ac:dyDescent="0.25">
      <c r="A380" t="s">
        <v>190</v>
      </c>
      <c r="B380" s="10">
        <f>VLOOKUP(A380,'Datos generales'!A:B,2,0)</f>
        <v>45539.616666666669</v>
      </c>
      <c r="C380" s="12">
        <f>VLOOKUP(A380,'Datos generales'!A:H,8,0)</f>
        <v>1318.43</v>
      </c>
      <c r="D380" s="12" t="str">
        <f t="shared" si="10"/>
        <v>septiembre</v>
      </c>
      <c r="E380" s="33">
        <f t="shared" si="11"/>
        <v>2024</v>
      </c>
    </row>
    <row r="381" spans="1:5" x14ac:dyDescent="0.25">
      <c r="A381" t="s">
        <v>191</v>
      </c>
      <c r="B381" s="10">
        <f>VLOOKUP(A381,'Datos generales'!A:B,2,0)</f>
        <v>45073.392361111109</v>
      </c>
      <c r="C381" s="12">
        <f>VLOOKUP(A381,'Datos generales'!A:H,8,0)</f>
        <v>614.74</v>
      </c>
      <c r="D381" s="12" t="str">
        <f t="shared" si="10"/>
        <v>mayo</v>
      </c>
      <c r="E381" s="33">
        <f t="shared" si="11"/>
        <v>2023</v>
      </c>
    </row>
    <row r="382" spans="1:5" x14ac:dyDescent="0.25">
      <c r="A382" t="s">
        <v>192</v>
      </c>
      <c r="B382" s="10">
        <f>VLOOKUP(A382,'Datos generales'!A:B,2,0)</f>
        <v>45287.277777777781</v>
      </c>
      <c r="C382" s="12">
        <f>VLOOKUP(A382,'Datos generales'!A:H,8,0)</f>
        <v>1364.97</v>
      </c>
      <c r="D382" s="12" t="str">
        <f t="shared" si="10"/>
        <v>diciembre</v>
      </c>
      <c r="E382" s="33">
        <f t="shared" si="11"/>
        <v>2023</v>
      </c>
    </row>
    <row r="383" spans="1:5" x14ac:dyDescent="0.25">
      <c r="A383" t="s">
        <v>193</v>
      </c>
      <c r="B383" s="10">
        <f>VLOOKUP(A383,'Datos generales'!A:B,2,0)</f>
        <v>45398.678472222222</v>
      </c>
      <c r="C383" s="12">
        <f>VLOOKUP(A383,'Datos generales'!A:H,8,0)</f>
        <v>732.68999999999994</v>
      </c>
      <c r="D383" s="12" t="str">
        <f t="shared" si="10"/>
        <v>abril</v>
      </c>
      <c r="E383" s="33">
        <f t="shared" si="11"/>
        <v>2024</v>
      </c>
    </row>
    <row r="384" spans="1:5" x14ac:dyDescent="0.25">
      <c r="A384" t="s">
        <v>194</v>
      </c>
      <c r="B384" s="10">
        <f>VLOOKUP(A384,'Datos generales'!A:B,2,0)</f>
        <v>44949.395833333343</v>
      </c>
      <c r="C384" s="12">
        <f>VLOOKUP(A384,'Datos generales'!A:H,8,0)</f>
        <v>736.92</v>
      </c>
      <c r="D384" s="12" t="str">
        <f t="shared" si="10"/>
        <v>enero</v>
      </c>
      <c r="E384" s="33">
        <f t="shared" si="11"/>
        <v>2023</v>
      </c>
    </row>
    <row r="385" spans="1:5" x14ac:dyDescent="0.25">
      <c r="A385" t="s">
        <v>195</v>
      </c>
      <c r="B385" s="10">
        <f>VLOOKUP(A385,'Datos generales'!A:B,2,0)</f>
        <v>45560.538194444453</v>
      </c>
      <c r="C385" s="12">
        <f>VLOOKUP(A385,'Datos generales'!A:H,8,0)</f>
        <v>1501.34</v>
      </c>
      <c r="D385" s="12" t="str">
        <f t="shared" si="10"/>
        <v>septiembre</v>
      </c>
      <c r="E385" s="33">
        <f t="shared" si="11"/>
        <v>2024</v>
      </c>
    </row>
    <row r="386" spans="1:5" x14ac:dyDescent="0.25">
      <c r="A386" t="s">
        <v>196</v>
      </c>
      <c r="B386" s="10">
        <f>VLOOKUP(A386,'Datos generales'!A:B,2,0)</f>
        <v>45636.231249999997</v>
      </c>
      <c r="C386" s="12">
        <f>VLOOKUP(A386,'Datos generales'!A:H,8,0)</f>
        <v>3980.72</v>
      </c>
      <c r="D386" s="12" t="str">
        <f t="shared" si="10"/>
        <v>diciembre</v>
      </c>
      <c r="E386" s="33">
        <f t="shared" si="11"/>
        <v>2024</v>
      </c>
    </row>
    <row r="387" spans="1:5" x14ac:dyDescent="0.25">
      <c r="A387" t="s">
        <v>197</v>
      </c>
      <c r="B387" s="10">
        <f>VLOOKUP(A387,'Datos generales'!A:B,2,0)</f>
        <v>45218.252083333333</v>
      </c>
      <c r="C387" s="12">
        <f>VLOOKUP(A387,'Datos generales'!A:H,8,0)</f>
        <v>3669.44</v>
      </c>
      <c r="D387" s="12" t="str">
        <f t="shared" ref="D387:D450" si="12">TEXT(B387,"mmmm")</f>
        <v>octubre</v>
      </c>
      <c r="E387" s="33">
        <f t="shared" ref="E387:E450" si="13">YEAR(B387)</f>
        <v>2023</v>
      </c>
    </row>
    <row r="388" spans="1:5" x14ac:dyDescent="0.25">
      <c r="A388" t="s">
        <v>198</v>
      </c>
      <c r="B388" s="10">
        <f>VLOOKUP(A388,'Datos generales'!A:B,2,0)</f>
        <v>45615.827777777777</v>
      </c>
      <c r="C388" s="12">
        <f>VLOOKUP(A388,'Datos generales'!A:H,8,0)</f>
        <v>3884.62</v>
      </c>
      <c r="D388" s="12" t="str">
        <f t="shared" si="12"/>
        <v>noviembre</v>
      </c>
      <c r="E388" s="33">
        <f t="shared" si="13"/>
        <v>2024</v>
      </c>
    </row>
    <row r="389" spans="1:5" x14ac:dyDescent="0.25">
      <c r="A389" t="s">
        <v>199</v>
      </c>
      <c r="B389" s="10">
        <f>VLOOKUP(A389,'Datos generales'!A:B,2,0)</f>
        <v>45755.705555555563</v>
      </c>
      <c r="C389" s="12">
        <f>VLOOKUP(A389,'Datos generales'!A:H,8,0)</f>
        <v>3076.71</v>
      </c>
      <c r="D389" s="12" t="str">
        <f t="shared" si="12"/>
        <v>abril</v>
      </c>
      <c r="E389" s="33">
        <f t="shared" si="13"/>
        <v>2025</v>
      </c>
    </row>
    <row r="390" spans="1:5" x14ac:dyDescent="0.25">
      <c r="A390" t="s">
        <v>200</v>
      </c>
      <c r="B390" s="10">
        <f>VLOOKUP(A390,'Datos generales'!A:B,2,0)</f>
        <v>44962.009722222218</v>
      </c>
      <c r="C390" s="12">
        <f>VLOOKUP(A390,'Datos generales'!A:H,8,0)</f>
        <v>2220.7600000000002</v>
      </c>
      <c r="D390" s="12" t="str">
        <f t="shared" si="12"/>
        <v>febrero</v>
      </c>
      <c r="E390" s="33">
        <f t="shared" si="13"/>
        <v>2023</v>
      </c>
    </row>
    <row r="391" spans="1:5" x14ac:dyDescent="0.25">
      <c r="A391" t="s">
        <v>201</v>
      </c>
      <c r="B391" s="10">
        <f>VLOOKUP(A391,'Datos generales'!A:B,2,0)</f>
        <v>45194.675000000003</v>
      </c>
      <c r="C391" s="12">
        <f>VLOOKUP(A391,'Datos generales'!A:H,8,0)</f>
        <v>3754.1</v>
      </c>
      <c r="D391" s="12" t="str">
        <f t="shared" si="12"/>
        <v>septiembre</v>
      </c>
      <c r="E391" s="33">
        <f t="shared" si="13"/>
        <v>2023</v>
      </c>
    </row>
    <row r="392" spans="1:5" x14ac:dyDescent="0.25">
      <c r="A392" t="s">
        <v>202</v>
      </c>
      <c r="B392" s="10">
        <f>VLOOKUP(A392,'Datos generales'!A:B,2,0)</f>
        <v>45818.179861111108</v>
      </c>
      <c r="C392" s="12">
        <f>VLOOKUP(A392,'Datos generales'!A:H,8,0)</f>
        <v>3219.8</v>
      </c>
      <c r="D392" s="12" t="str">
        <f t="shared" si="12"/>
        <v>junio</v>
      </c>
      <c r="E392" s="33">
        <f t="shared" si="13"/>
        <v>2025</v>
      </c>
    </row>
    <row r="393" spans="1:5" x14ac:dyDescent="0.25">
      <c r="A393" t="s">
        <v>203</v>
      </c>
      <c r="B393" s="10">
        <f>VLOOKUP(A393,'Datos generales'!A:B,2,0)</f>
        <v>45755.011111111111</v>
      </c>
      <c r="C393" s="12">
        <f>VLOOKUP(A393,'Datos generales'!A:H,8,0)</f>
        <v>83.67</v>
      </c>
      <c r="D393" s="12" t="str">
        <f t="shared" si="12"/>
        <v>abril</v>
      </c>
      <c r="E393" s="33">
        <f t="shared" si="13"/>
        <v>2025</v>
      </c>
    </row>
    <row r="394" spans="1:5" x14ac:dyDescent="0.25">
      <c r="A394" t="s">
        <v>204</v>
      </c>
      <c r="B394" s="10">
        <f>VLOOKUP(A394,'Datos generales'!A:B,2,0)</f>
        <v>45862.584722222222</v>
      </c>
      <c r="C394" s="12">
        <f>VLOOKUP(A394,'Datos generales'!A:H,8,0)</f>
        <v>1700.54</v>
      </c>
      <c r="D394" s="12" t="str">
        <f t="shared" si="12"/>
        <v>julio</v>
      </c>
      <c r="E394" s="33">
        <f t="shared" si="13"/>
        <v>2025</v>
      </c>
    </row>
    <row r="395" spans="1:5" x14ac:dyDescent="0.25">
      <c r="A395" t="s">
        <v>205</v>
      </c>
      <c r="B395" s="10">
        <f>VLOOKUP(A395,'Datos generales'!A:B,2,0)</f>
        <v>45802.370833333327</v>
      </c>
      <c r="C395" s="12">
        <f>VLOOKUP(A395,'Datos generales'!A:H,8,0)</f>
        <v>1420.2</v>
      </c>
      <c r="D395" s="12" t="str">
        <f t="shared" si="12"/>
        <v>mayo</v>
      </c>
      <c r="E395" s="33">
        <f t="shared" si="13"/>
        <v>2025</v>
      </c>
    </row>
    <row r="396" spans="1:5" x14ac:dyDescent="0.25">
      <c r="A396" t="s">
        <v>206</v>
      </c>
      <c r="B396" s="10">
        <f>VLOOKUP(A396,'Datos generales'!A:B,2,0)</f>
        <v>45178.038888888892</v>
      </c>
      <c r="C396" s="12">
        <f>VLOOKUP(A396,'Datos generales'!A:H,8,0)</f>
        <v>521.32000000000005</v>
      </c>
      <c r="D396" s="12" t="str">
        <f t="shared" si="12"/>
        <v>septiembre</v>
      </c>
      <c r="E396" s="33">
        <f t="shared" si="13"/>
        <v>2023</v>
      </c>
    </row>
    <row r="397" spans="1:5" x14ac:dyDescent="0.25">
      <c r="A397" t="s">
        <v>207</v>
      </c>
      <c r="B397" s="10">
        <f>VLOOKUP(A397,'Datos generales'!A:B,2,0)</f>
        <v>45748.34097222222</v>
      </c>
      <c r="C397" s="12">
        <f>VLOOKUP(A397,'Datos generales'!A:H,8,0)</f>
        <v>1067.6400000000001</v>
      </c>
      <c r="D397" s="12" t="str">
        <f t="shared" si="12"/>
        <v>abril</v>
      </c>
      <c r="E397" s="33">
        <f t="shared" si="13"/>
        <v>2025</v>
      </c>
    </row>
    <row r="398" spans="1:5" x14ac:dyDescent="0.25">
      <c r="A398" t="s">
        <v>208</v>
      </c>
      <c r="B398" s="10">
        <f>VLOOKUP(A398,'Datos generales'!A:B,2,0)</f>
        <v>45055.556250000001</v>
      </c>
      <c r="C398" s="12">
        <f>VLOOKUP(A398,'Datos generales'!A:H,8,0)</f>
        <v>1903.64</v>
      </c>
      <c r="D398" s="12" t="str">
        <f t="shared" si="12"/>
        <v>mayo</v>
      </c>
      <c r="E398" s="33">
        <f t="shared" si="13"/>
        <v>2023</v>
      </c>
    </row>
    <row r="399" spans="1:5" x14ac:dyDescent="0.25">
      <c r="A399" t="s">
        <v>209</v>
      </c>
      <c r="B399" s="10">
        <f>VLOOKUP(A399,'Datos generales'!A:B,2,0)</f>
        <v>44958.773611111108</v>
      </c>
      <c r="C399" s="12">
        <f>VLOOKUP(A399,'Datos generales'!A:H,8,0)</f>
        <v>2920.32</v>
      </c>
      <c r="D399" s="12" t="str">
        <f t="shared" si="12"/>
        <v>febrero</v>
      </c>
      <c r="E399" s="33">
        <f t="shared" si="13"/>
        <v>2023</v>
      </c>
    </row>
    <row r="400" spans="1:5" x14ac:dyDescent="0.25">
      <c r="A400" t="s">
        <v>210</v>
      </c>
      <c r="B400" s="10">
        <f>VLOOKUP(A400,'Datos generales'!A:B,2,0)</f>
        <v>45816.563888888893</v>
      </c>
      <c r="C400" s="12">
        <f>VLOOKUP(A400,'Datos generales'!A:H,8,0)</f>
        <v>3388</v>
      </c>
      <c r="D400" s="12" t="str">
        <f t="shared" si="12"/>
        <v>junio</v>
      </c>
      <c r="E400" s="33">
        <f t="shared" si="13"/>
        <v>2025</v>
      </c>
    </row>
    <row r="401" spans="1:5" x14ac:dyDescent="0.25">
      <c r="A401" t="s">
        <v>211</v>
      </c>
      <c r="B401" s="10">
        <f>VLOOKUP(A401,'Datos generales'!A:B,2,0)</f>
        <v>45089.396527777782</v>
      </c>
      <c r="C401" s="12">
        <f>VLOOKUP(A401,'Datos generales'!A:H,8,0)</f>
        <v>2486.6799999999998</v>
      </c>
      <c r="D401" s="12" t="str">
        <f t="shared" si="12"/>
        <v>junio</v>
      </c>
      <c r="E401" s="33">
        <f t="shared" si="13"/>
        <v>2023</v>
      </c>
    </row>
    <row r="402" spans="1:5" x14ac:dyDescent="0.25">
      <c r="A402" t="s">
        <v>12</v>
      </c>
      <c r="B402" s="10">
        <f>VLOOKUP(A402,'Datos generales'!A:B,2,0)</f>
        <v>45280.478472222218</v>
      </c>
      <c r="C402" s="12">
        <f>VLOOKUP(A402,'Datos generales'!A:H,8,0)</f>
        <v>7486.2</v>
      </c>
      <c r="D402" s="12" t="str">
        <f t="shared" si="12"/>
        <v>diciembre</v>
      </c>
      <c r="E402" s="33">
        <f t="shared" si="13"/>
        <v>2023</v>
      </c>
    </row>
    <row r="403" spans="1:5" x14ac:dyDescent="0.25">
      <c r="A403" t="s">
        <v>13</v>
      </c>
      <c r="B403" s="10">
        <f>VLOOKUP(A403,'Datos generales'!A:B,2,0)</f>
        <v>45008.840277777781</v>
      </c>
      <c r="C403" s="12">
        <f>VLOOKUP(A403,'Datos generales'!A:H,8,0)</f>
        <v>1687.54</v>
      </c>
      <c r="D403" s="12" t="str">
        <f t="shared" si="12"/>
        <v>marzo</v>
      </c>
      <c r="E403" s="33">
        <f t="shared" si="13"/>
        <v>2023</v>
      </c>
    </row>
    <row r="404" spans="1:5" x14ac:dyDescent="0.25">
      <c r="A404" t="s">
        <v>14</v>
      </c>
      <c r="B404" s="10">
        <f>VLOOKUP(A404,'Datos generales'!A:B,2,0)</f>
        <v>45355.443749999999</v>
      </c>
      <c r="C404" s="12">
        <f>VLOOKUP(A404,'Datos generales'!A:H,8,0)</f>
        <v>2306.4</v>
      </c>
      <c r="D404" s="12" t="str">
        <f t="shared" si="12"/>
        <v>marzo</v>
      </c>
      <c r="E404" s="33">
        <f t="shared" si="13"/>
        <v>2024</v>
      </c>
    </row>
    <row r="405" spans="1:5" x14ac:dyDescent="0.25">
      <c r="A405" t="s">
        <v>15</v>
      </c>
      <c r="B405" s="10">
        <f>VLOOKUP(A405,'Datos generales'!A:B,2,0)</f>
        <v>45704.374305555553</v>
      </c>
      <c r="C405" s="12">
        <f>VLOOKUP(A405,'Datos generales'!A:H,8,0)</f>
        <v>1532.67</v>
      </c>
      <c r="D405" s="12" t="str">
        <f t="shared" si="12"/>
        <v>febrero</v>
      </c>
      <c r="E405" s="33">
        <f t="shared" si="13"/>
        <v>2025</v>
      </c>
    </row>
    <row r="406" spans="1:5" x14ac:dyDescent="0.25">
      <c r="A406" t="s">
        <v>16</v>
      </c>
      <c r="B406" s="10">
        <f>VLOOKUP(A406,'Datos generales'!A:B,2,0)</f>
        <v>45772.848611111112</v>
      </c>
      <c r="C406" s="12">
        <f>VLOOKUP(A406,'Datos generales'!A:H,8,0)</f>
        <v>5128.41</v>
      </c>
      <c r="D406" s="12" t="str">
        <f t="shared" si="12"/>
        <v>abril</v>
      </c>
      <c r="E406" s="33">
        <f t="shared" si="13"/>
        <v>2025</v>
      </c>
    </row>
    <row r="407" spans="1:5" x14ac:dyDescent="0.25">
      <c r="A407" t="s">
        <v>17</v>
      </c>
      <c r="B407" s="10">
        <f>VLOOKUP(A407,'Datos generales'!A:B,2,0)</f>
        <v>45101.225694444453</v>
      </c>
      <c r="C407" s="12">
        <f>VLOOKUP(A407,'Datos generales'!A:H,8,0)</f>
        <v>892.62000000000012</v>
      </c>
      <c r="D407" s="12" t="str">
        <f t="shared" si="12"/>
        <v>junio</v>
      </c>
      <c r="E407" s="33">
        <f t="shared" si="13"/>
        <v>2023</v>
      </c>
    </row>
    <row r="408" spans="1:5" x14ac:dyDescent="0.25">
      <c r="A408" t="s">
        <v>18</v>
      </c>
      <c r="B408" s="10">
        <f>VLOOKUP(A408,'Datos generales'!A:B,2,0)</f>
        <v>45694.432638888888</v>
      </c>
      <c r="C408" s="12">
        <f>VLOOKUP(A408,'Datos generales'!A:H,8,0)</f>
        <v>6186.6</v>
      </c>
      <c r="D408" s="12" t="str">
        <f t="shared" si="12"/>
        <v>febrero</v>
      </c>
      <c r="E408" s="33">
        <f t="shared" si="13"/>
        <v>2025</v>
      </c>
    </row>
    <row r="409" spans="1:5" x14ac:dyDescent="0.25">
      <c r="A409" t="s">
        <v>19</v>
      </c>
      <c r="B409" s="10">
        <f>VLOOKUP(A409,'Datos generales'!A:B,2,0)</f>
        <v>45798.69027777778</v>
      </c>
      <c r="C409" s="12">
        <f>VLOOKUP(A409,'Datos generales'!A:H,8,0)</f>
        <v>1575.18</v>
      </c>
      <c r="D409" s="12" t="str">
        <f t="shared" si="12"/>
        <v>mayo</v>
      </c>
      <c r="E409" s="33">
        <f t="shared" si="13"/>
        <v>2025</v>
      </c>
    </row>
    <row r="410" spans="1:5" x14ac:dyDescent="0.25">
      <c r="A410" t="s">
        <v>20</v>
      </c>
      <c r="B410" s="10">
        <f>VLOOKUP(A410,'Datos generales'!A:B,2,0)</f>
        <v>45425.797222222223</v>
      </c>
      <c r="C410" s="12">
        <f>VLOOKUP(A410,'Datos generales'!A:H,8,0)</f>
        <v>9079.2999999999993</v>
      </c>
      <c r="D410" s="12" t="str">
        <f t="shared" si="12"/>
        <v>mayo</v>
      </c>
      <c r="E410" s="33">
        <f t="shared" si="13"/>
        <v>2024</v>
      </c>
    </row>
    <row r="411" spans="1:5" x14ac:dyDescent="0.25">
      <c r="A411" t="s">
        <v>21</v>
      </c>
      <c r="B411" s="10">
        <f>VLOOKUP(A411,'Datos generales'!A:B,2,0)</f>
        <v>45525.152083333327</v>
      </c>
      <c r="C411" s="12">
        <f>VLOOKUP(A411,'Datos generales'!A:H,8,0)</f>
        <v>564.11</v>
      </c>
      <c r="D411" s="12" t="str">
        <f t="shared" si="12"/>
        <v>agosto</v>
      </c>
      <c r="E411" s="33">
        <f t="shared" si="13"/>
        <v>2024</v>
      </c>
    </row>
    <row r="412" spans="1:5" x14ac:dyDescent="0.25">
      <c r="A412" t="s">
        <v>22</v>
      </c>
      <c r="B412" s="10">
        <f>VLOOKUP(A412,'Datos generales'!A:B,2,0)</f>
        <v>45580.043749999997</v>
      </c>
      <c r="C412" s="12">
        <f>VLOOKUP(A412,'Datos generales'!A:H,8,0)</f>
        <v>454.9</v>
      </c>
      <c r="D412" s="12" t="str">
        <f t="shared" si="12"/>
        <v>octubre</v>
      </c>
      <c r="E412" s="33">
        <f t="shared" si="13"/>
        <v>2024</v>
      </c>
    </row>
    <row r="413" spans="1:5" x14ac:dyDescent="0.25">
      <c r="A413" t="s">
        <v>23</v>
      </c>
      <c r="B413" s="10">
        <f>VLOOKUP(A413,'Datos generales'!A:B,2,0)</f>
        <v>45551.151388888888</v>
      </c>
      <c r="C413" s="12">
        <f>VLOOKUP(A413,'Datos generales'!A:H,8,0)</f>
        <v>3832.53</v>
      </c>
      <c r="D413" s="12" t="str">
        <f t="shared" si="12"/>
        <v>septiembre</v>
      </c>
      <c r="E413" s="33">
        <f t="shared" si="13"/>
        <v>2024</v>
      </c>
    </row>
    <row r="414" spans="1:5" x14ac:dyDescent="0.25">
      <c r="A414" t="s">
        <v>24</v>
      </c>
      <c r="B414" s="10">
        <f>VLOOKUP(A414,'Datos generales'!A:B,2,0)</f>
        <v>45230.395833333343</v>
      </c>
      <c r="C414" s="12">
        <f>VLOOKUP(A414,'Datos generales'!A:H,8,0)</f>
        <v>3741.9</v>
      </c>
      <c r="D414" s="12" t="str">
        <f t="shared" si="12"/>
        <v>octubre</v>
      </c>
      <c r="E414" s="33">
        <f t="shared" si="13"/>
        <v>2023</v>
      </c>
    </row>
    <row r="415" spans="1:5" x14ac:dyDescent="0.25">
      <c r="A415" t="s">
        <v>25</v>
      </c>
      <c r="B415" s="10">
        <f>VLOOKUP(A415,'Datos generales'!A:B,2,0)</f>
        <v>45234.645833333343</v>
      </c>
      <c r="C415" s="12">
        <f>VLOOKUP(A415,'Datos generales'!A:H,8,0)</f>
        <v>4908.92</v>
      </c>
      <c r="D415" s="12" t="str">
        <f t="shared" si="12"/>
        <v>noviembre</v>
      </c>
      <c r="E415" s="33">
        <f t="shared" si="13"/>
        <v>2023</v>
      </c>
    </row>
    <row r="416" spans="1:5" x14ac:dyDescent="0.25">
      <c r="A416" t="s">
        <v>26</v>
      </c>
      <c r="B416" s="10">
        <f>VLOOKUP(A416,'Datos generales'!A:B,2,0)</f>
        <v>45464.76666666667</v>
      </c>
      <c r="C416" s="12">
        <f>VLOOKUP(A416,'Datos generales'!A:H,8,0)</f>
        <v>1329.6</v>
      </c>
      <c r="D416" s="12" t="str">
        <f t="shared" si="12"/>
        <v>junio</v>
      </c>
      <c r="E416" s="33">
        <f t="shared" si="13"/>
        <v>2024</v>
      </c>
    </row>
    <row r="417" spans="1:5" x14ac:dyDescent="0.25">
      <c r="A417" t="s">
        <v>27</v>
      </c>
      <c r="B417" s="10">
        <f>VLOOKUP(A417,'Datos generales'!A:B,2,0)</f>
        <v>45138.240277777782</v>
      </c>
      <c r="C417" s="12">
        <f>VLOOKUP(A417,'Datos generales'!A:H,8,0)</f>
        <v>5202.3599999999997</v>
      </c>
      <c r="D417" s="12" t="str">
        <f t="shared" si="12"/>
        <v>julio</v>
      </c>
      <c r="E417" s="33">
        <f t="shared" si="13"/>
        <v>2023</v>
      </c>
    </row>
    <row r="418" spans="1:5" x14ac:dyDescent="0.25">
      <c r="A418" t="s">
        <v>28</v>
      </c>
      <c r="B418" s="10">
        <f>VLOOKUP(A418,'Datos generales'!A:B,2,0)</f>
        <v>45455.688888888893</v>
      </c>
      <c r="C418" s="12">
        <f>VLOOKUP(A418,'Datos generales'!A:H,8,0)</f>
        <v>1209.6199999999999</v>
      </c>
      <c r="D418" s="12" t="str">
        <f t="shared" si="12"/>
        <v>junio</v>
      </c>
      <c r="E418" s="33">
        <f t="shared" si="13"/>
        <v>2024</v>
      </c>
    </row>
    <row r="419" spans="1:5" x14ac:dyDescent="0.25">
      <c r="A419" t="s">
        <v>29</v>
      </c>
      <c r="B419" s="10">
        <f>VLOOKUP(A419,'Datos generales'!A:B,2,0)</f>
        <v>45301.151388888888</v>
      </c>
      <c r="C419" s="12">
        <f>VLOOKUP(A419,'Datos generales'!A:H,8,0)</f>
        <v>2766.99</v>
      </c>
      <c r="D419" s="12" t="str">
        <f t="shared" si="12"/>
        <v>enero</v>
      </c>
      <c r="E419" s="33">
        <f t="shared" si="13"/>
        <v>2024</v>
      </c>
    </row>
    <row r="420" spans="1:5" x14ac:dyDescent="0.25">
      <c r="A420" t="s">
        <v>30</v>
      </c>
      <c r="B420" s="10">
        <f>VLOOKUP(A420,'Datos generales'!A:B,2,0)</f>
        <v>45677.761111111111</v>
      </c>
      <c r="C420" s="12">
        <f>VLOOKUP(A420,'Datos generales'!A:H,8,0)</f>
        <v>217.68</v>
      </c>
      <c r="D420" s="12" t="str">
        <f t="shared" si="12"/>
        <v>enero</v>
      </c>
      <c r="E420" s="33">
        <f t="shared" si="13"/>
        <v>2025</v>
      </c>
    </row>
    <row r="421" spans="1:5" x14ac:dyDescent="0.25">
      <c r="A421" t="s">
        <v>31</v>
      </c>
      <c r="B421" s="10">
        <f>VLOOKUP(A421,'Datos generales'!A:B,2,0)</f>
        <v>45238.713888888888</v>
      </c>
      <c r="C421" s="12">
        <f>VLOOKUP(A421,'Datos generales'!A:H,8,0)</f>
        <v>3134.36</v>
      </c>
      <c r="D421" s="12" t="str">
        <f t="shared" si="12"/>
        <v>noviembre</v>
      </c>
      <c r="E421" s="33">
        <f t="shared" si="13"/>
        <v>2023</v>
      </c>
    </row>
    <row r="422" spans="1:5" x14ac:dyDescent="0.25">
      <c r="A422" t="s">
        <v>32</v>
      </c>
      <c r="B422" s="10">
        <f>VLOOKUP(A422,'Datos generales'!A:B,2,0)</f>
        <v>45231.386111111111</v>
      </c>
      <c r="C422" s="12">
        <f>VLOOKUP(A422,'Datos generales'!A:H,8,0)</f>
        <v>1039.5999999999999</v>
      </c>
      <c r="D422" s="12" t="str">
        <f t="shared" si="12"/>
        <v>noviembre</v>
      </c>
      <c r="E422" s="33">
        <f t="shared" si="13"/>
        <v>2023</v>
      </c>
    </row>
    <row r="423" spans="1:5" x14ac:dyDescent="0.25">
      <c r="A423" t="s">
        <v>33</v>
      </c>
      <c r="B423" s="10">
        <f>VLOOKUP(A423,'Datos generales'!A:B,2,0)</f>
        <v>45421.563888888893</v>
      </c>
      <c r="C423" s="12">
        <f>VLOOKUP(A423,'Datos generales'!A:H,8,0)</f>
        <v>1267.01</v>
      </c>
      <c r="D423" s="12" t="str">
        <f t="shared" si="12"/>
        <v>mayo</v>
      </c>
      <c r="E423" s="33">
        <f t="shared" si="13"/>
        <v>2024</v>
      </c>
    </row>
    <row r="424" spans="1:5" x14ac:dyDescent="0.25">
      <c r="A424" t="s">
        <v>34</v>
      </c>
      <c r="B424" s="10">
        <f>VLOOKUP(A424,'Datos generales'!A:B,2,0)</f>
        <v>45437.592361111107</v>
      </c>
      <c r="C424" s="12">
        <f>VLOOKUP(A424,'Datos generales'!A:H,8,0)</f>
        <v>4111.24</v>
      </c>
      <c r="D424" s="12" t="str">
        <f t="shared" si="12"/>
        <v>mayo</v>
      </c>
      <c r="E424" s="33">
        <f t="shared" si="13"/>
        <v>2024</v>
      </c>
    </row>
    <row r="425" spans="1:5" x14ac:dyDescent="0.25">
      <c r="A425" t="s">
        <v>35</v>
      </c>
      <c r="B425" s="10">
        <f>VLOOKUP(A425,'Datos generales'!A:B,2,0)</f>
        <v>45355.487500000003</v>
      </c>
      <c r="C425" s="12">
        <f>VLOOKUP(A425,'Datos generales'!A:H,8,0)</f>
        <v>2776.86</v>
      </c>
      <c r="D425" s="12" t="str">
        <f t="shared" si="12"/>
        <v>marzo</v>
      </c>
      <c r="E425" s="33">
        <f t="shared" si="13"/>
        <v>2024</v>
      </c>
    </row>
    <row r="426" spans="1:5" x14ac:dyDescent="0.25">
      <c r="A426" t="s">
        <v>36</v>
      </c>
      <c r="B426" s="10">
        <f>VLOOKUP(A426,'Datos generales'!A:B,2,0)</f>
        <v>45924.43472222222</v>
      </c>
      <c r="C426" s="12">
        <f>VLOOKUP(A426,'Datos generales'!A:H,8,0)</f>
        <v>641.13</v>
      </c>
      <c r="D426" s="12" t="str">
        <f t="shared" si="12"/>
        <v>septiembre</v>
      </c>
      <c r="E426" s="33">
        <f t="shared" si="13"/>
        <v>2025</v>
      </c>
    </row>
    <row r="427" spans="1:5" x14ac:dyDescent="0.25">
      <c r="A427" t="s">
        <v>37</v>
      </c>
      <c r="B427" s="10">
        <f>VLOOKUP(A427,'Datos generales'!A:B,2,0)</f>
        <v>45471.931250000001</v>
      </c>
      <c r="C427" s="12">
        <f>VLOOKUP(A427,'Datos generales'!A:H,8,0)</f>
        <v>2293.5</v>
      </c>
      <c r="D427" s="12" t="str">
        <f t="shared" si="12"/>
        <v>junio</v>
      </c>
      <c r="E427" s="33">
        <f t="shared" si="13"/>
        <v>2024</v>
      </c>
    </row>
    <row r="428" spans="1:5" x14ac:dyDescent="0.25">
      <c r="A428" t="s">
        <v>38</v>
      </c>
      <c r="B428" s="10">
        <f>VLOOKUP(A428,'Datos generales'!A:B,2,0)</f>
        <v>45003.59097222222</v>
      </c>
      <c r="C428" s="12">
        <f>VLOOKUP(A428,'Datos generales'!A:H,8,0)</f>
        <v>4536.3999999999996</v>
      </c>
      <c r="D428" s="12" t="str">
        <f t="shared" si="12"/>
        <v>marzo</v>
      </c>
      <c r="E428" s="33">
        <f t="shared" si="13"/>
        <v>2023</v>
      </c>
    </row>
    <row r="429" spans="1:5" x14ac:dyDescent="0.25">
      <c r="A429" t="s">
        <v>39</v>
      </c>
      <c r="B429" s="10">
        <f>VLOOKUP(A429,'Datos generales'!A:B,2,0)</f>
        <v>45206.394444444442</v>
      </c>
      <c r="C429" s="12">
        <f>VLOOKUP(A429,'Datos generales'!A:H,8,0)</f>
        <v>3468.88</v>
      </c>
      <c r="D429" s="12" t="str">
        <f t="shared" si="12"/>
        <v>octubre</v>
      </c>
      <c r="E429" s="33">
        <f t="shared" si="13"/>
        <v>2023</v>
      </c>
    </row>
    <row r="430" spans="1:5" x14ac:dyDescent="0.25">
      <c r="A430" t="s">
        <v>40</v>
      </c>
      <c r="B430" s="10">
        <f>VLOOKUP(A430,'Datos generales'!A:B,2,0)</f>
        <v>45595.773611111108</v>
      </c>
      <c r="C430" s="12">
        <f>VLOOKUP(A430,'Datos generales'!A:H,8,0)</f>
        <v>424.35</v>
      </c>
      <c r="D430" s="12" t="str">
        <f t="shared" si="12"/>
        <v>octubre</v>
      </c>
      <c r="E430" s="33">
        <f t="shared" si="13"/>
        <v>2024</v>
      </c>
    </row>
    <row r="431" spans="1:5" x14ac:dyDescent="0.25">
      <c r="A431" t="s">
        <v>41</v>
      </c>
      <c r="B431" s="10">
        <f>VLOOKUP(A431,'Datos generales'!A:B,2,0)</f>
        <v>45888.736805555563</v>
      </c>
      <c r="C431" s="12">
        <f>VLOOKUP(A431,'Datos generales'!A:H,8,0)</f>
        <v>252.57</v>
      </c>
      <c r="D431" s="12" t="str">
        <f t="shared" si="12"/>
        <v>agosto</v>
      </c>
      <c r="E431" s="33">
        <f t="shared" si="13"/>
        <v>2025</v>
      </c>
    </row>
    <row r="432" spans="1:5" x14ac:dyDescent="0.25">
      <c r="A432" t="s">
        <v>42</v>
      </c>
      <c r="B432" s="10">
        <f>VLOOKUP(A432,'Datos generales'!A:B,2,0)</f>
        <v>45478.06527777778</v>
      </c>
      <c r="C432" s="12">
        <f>VLOOKUP(A432,'Datos generales'!A:H,8,0)</f>
        <v>64.679999999999993</v>
      </c>
      <c r="D432" s="12" t="str">
        <f t="shared" si="12"/>
        <v>julio</v>
      </c>
      <c r="E432" s="33">
        <f t="shared" si="13"/>
        <v>2024</v>
      </c>
    </row>
    <row r="433" spans="1:5" x14ac:dyDescent="0.25">
      <c r="A433" t="s">
        <v>43</v>
      </c>
      <c r="B433" s="10">
        <f>VLOOKUP(A433,'Datos generales'!A:B,2,0)</f>
        <v>45402.668749999997</v>
      </c>
      <c r="C433" s="12">
        <f>VLOOKUP(A433,'Datos generales'!A:H,8,0)</f>
        <v>446.81</v>
      </c>
      <c r="D433" s="12" t="str">
        <f t="shared" si="12"/>
        <v>abril</v>
      </c>
      <c r="E433" s="33">
        <f t="shared" si="13"/>
        <v>2024</v>
      </c>
    </row>
    <row r="434" spans="1:5" x14ac:dyDescent="0.25">
      <c r="A434" t="s">
        <v>44</v>
      </c>
      <c r="B434" s="10">
        <f>VLOOKUP(A434,'Datos generales'!A:B,2,0)</f>
        <v>45033.806944444441</v>
      </c>
      <c r="C434" s="12">
        <f>VLOOKUP(A434,'Datos generales'!A:H,8,0)</f>
        <v>129.34</v>
      </c>
      <c r="D434" s="12" t="str">
        <f t="shared" si="12"/>
        <v>abril</v>
      </c>
      <c r="E434" s="33">
        <f t="shared" si="13"/>
        <v>2023</v>
      </c>
    </row>
    <row r="435" spans="1:5" x14ac:dyDescent="0.25">
      <c r="A435" t="s">
        <v>45</v>
      </c>
      <c r="B435" s="10">
        <f>VLOOKUP(A435,'Datos generales'!A:B,2,0)</f>
        <v>45432.781944444447</v>
      </c>
      <c r="C435" s="12">
        <f>VLOOKUP(A435,'Datos generales'!A:H,8,0)</f>
        <v>5841.75</v>
      </c>
      <c r="D435" s="12" t="str">
        <f t="shared" si="12"/>
        <v>mayo</v>
      </c>
      <c r="E435" s="33">
        <f t="shared" si="13"/>
        <v>2024</v>
      </c>
    </row>
    <row r="436" spans="1:5" x14ac:dyDescent="0.25">
      <c r="A436" t="s">
        <v>46</v>
      </c>
      <c r="B436" s="10">
        <f>VLOOKUP(A436,'Datos generales'!A:B,2,0)</f>
        <v>45746.083333333343</v>
      </c>
      <c r="C436" s="12">
        <f>VLOOKUP(A436,'Datos generales'!A:H,8,0)</f>
        <v>698.6</v>
      </c>
      <c r="D436" s="12" t="str">
        <f t="shared" si="12"/>
        <v>marzo</v>
      </c>
      <c r="E436" s="33">
        <f t="shared" si="13"/>
        <v>2025</v>
      </c>
    </row>
    <row r="437" spans="1:5" x14ac:dyDescent="0.25">
      <c r="A437" t="s">
        <v>47</v>
      </c>
      <c r="B437" s="10">
        <f>VLOOKUP(A437,'Datos generales'!A:B,2,0)</f>
        <v>45515.355555555558</v>
      </c>
      <c r="C437" s="12">
        <f>VLOOKUP(A437,'Datos generales'!A:H,8,0)</f>
        <v>3462.18</v>
      </c>
      <c r="D437" s="12" t="str">
        <f t="shared" si="12"/>
        <v>agosto</v>
      </c>
      <c r="E437" s="33">
        <f t="shared" si="13"/>
        <v>2024</v>
      </c>
    </row>
    <row r="438" spans="1:5" x14ac:dyDescent="0.25">
      <c r="A438" t="s">
        <v>48</v>
      </c>
      <c r="B438" s="10">
        <f>VLOOKUP(A438,'Datos generales'!A:B,2,0)</f>
        <v>45730.554861111108</v>
      </c>
      <c r="C438" s="12">
        <f>VLOOKUP(A438,'Datos generales'!A:H,8,0)</f>
        <v>6265.48</v>
      </c>
      <c r="D438" s="12" t="str">
        <f t="shared" si="12"/>
        <v>marzo</v>
      </c>
      <c r="E438" s="33">
        <f t="shared" si="13"/>
        <v>2025</v>
      </c>
    </row>
    <row r="439" spans="1:5" x14ac:dyDescent="0.25">
      <c r="A439" t="s">
        <v>49</v>
      </c>
      <c r="B439" s="10">
        <f>VLOOKUP(A439,'Datos generales'!A:B,2,0)</f>
        <v>45603.252083333333</v>
      </c>
      <c r="C439" s="12">
        <f>VLOOKUP(A439,'Datos generales'!A:H,8,0)</f>
        <v>1348.96</v>
      </c>
      <c r="D439" s="12" t="str">
        <f t="shared" si="12"/>
        <v>noviembre</v>
      </c>
      <c r="E439" s="33">
        <f t="shared" si="13"/>
        <v>2024</v>
      </c>
    </row>
    <row r="440" spans="1:5" x14ac:dyDescent="0.25">
      <c r="A440" t="s">
        <v>50</v>
      </c>
      <c r="B440" s="10">
        <f>VLOOKUP(A440,'Datos generales'!A:B,2,0)</f>
        <v>45420.054861111108</v>
      </c>
      <c r="C440" s="12">
        <f>VLOOKUP(A440,'Datos generales'!A:H,8,0)</f>
        <v>3087.96</v>
      </c>
      <c r="D440" s="12" t="str">
        <f t="shared" si="12"/>
        <v>mayo</v>
      </c>
      <c r="E440" s="33">
        <f t="shared" si="13"/>
        <v>2024</v>
      </c>
    </row>
    <row r="441" spans="1:5" x14ac:dyDescent="0.25">
      <c r="A441" t="s">
        <v>51</v>
      </c>
      <c r="B441" s="10">
        <f>VLOOKUP(A441,'Datos generales'!A:B,2,0)</f>
        <v>44931.743055555547</v>
      </c>
      <c r="C441" s="12">
        <f>VLOOKUP(A441,'Datos generales'!A:H,8,0)</f>
        <v>4586.5499999999993</v>
      </c>
      <c r="D441" s="12" t="str">
        <f t="shared" si="12"/>
        <v>enero</v>
      </c>
      <c r="E441" s="33">
        <f t="shared" si="13"/>
        <v>2023</v>
      </c>
    </row>
    <row r="442" spans="1:5" x14ac:dyDescent="0.25">
      <c r="A442" t="s">
        <v>52</v>
      </c>
      <c r="B442" s="10">
        <f>VLOOKUP(A442,'Datos generales'!A:B,2,0)</f>
        <v>45326.684027777781</v>
      </c>
      <c r="C442" s="12">
        <f>VLOOKUP(A442,'Datos generales'!A:H,8,0)</f>
        <v>1801.44</v>
      </c>
      <c r="D442" s="12" t="str">
        <f t="shared" si="12"/>
        <v>febrero</v>
      </c>
      <c r="E442" s="33">
        <f t="shared" si="13"/>
        <v>2024</v>
      </c>
    </row>
    <row r="443" spans="1:5" x14ac:dyDescent="0.25">
      <c r="A443" t="s">
        <v>53</v>
      </c>
      <c r="B443" s="10">
        <f>VLOOKUP(A443,'Datos generales'!A:B,2,0)</f>
        <v>45146.872916666667</v>
      </c>
      <c r="C443" s="12">
        <f>VLOOKUP(A443,'Datos generales'!A:H,8,0)</f>
        <v>1510.96</v>
      </c>
      <c r="D443" s="12" t="str">
        <f t="shared" si="12"/>
        <v>agosto</v>
      </c>
      <c r="E443" s="33">
        <f t="shared" si="13"/>
        <v>2023</v>
      </c>
    </row>
    <row r="444" spans="1:5" x14ac:dyDescent="0.25">
      <c r="A444" t="s">
        <v>54</v>
      </c>
      <c r="B444" s="10">
        <f>VLOOKUP(A444,'Datos generales'!A:B,2,0)</f>
        <v>45464.595833333333</v>
      </c>
      <c r="C444" s="12">
        <f>VLOOKUP(A444,'Datos generales'!A:H,8,0)</f>
        <v>5566.65</v>
      </c>
      <c r="D444" s="12" t="str">
        <f t="shared" si="12"/>
        <v>junio</v>
      </c>
      <c r="E444" s="33">
        <f t="shared" si="13"/>
        <v>2024</v>
      </c>
    </row>
    <row r="445" spans="1:5" x14ac:dyDescent="0.25">
      <c r="A445" t="s">
        <v>55</v>
      </c>
      <c r="B445" s="10">
        <f>VLOOKUP(A445,'Datos generales'!A:B,2,0)</f>
        <v>45171.9</v>
      </c>
      <c r="C445" s="12">
        <f>VLOOKUP(A445,'Datos generales'!A:H,8,0)</f>
        <v>5058.75</v>
      </c>
      <c r="D445" s="12" t="str">
        <f t="shared" si="12"/>
        <v>septiembre</v>
      </c>
      <c r="E445" s="33">
        <f t="shared" si="13"/>
        <v>2023</v>
      </c>
    </row>
    <row r="446" spans="1:5" x14ac:dyDescent="0.25">
      <c r="A446" t="s">
        <v>56</v>
      </c>
      <c r="B446" s="10">
        <f>VLOOKUP(A446,'Datos generales'!A:B,2,0)</f>
        <v>44992.136111111111</v>
      </c>
      <c r="C446" s="12">
        <f>VLOOKUP(A446,'Datos generales'!A:H,8,0)</f>
        <v>6091.7</v>
      </c>
      <c r="D446" s="12" t="str">
        <f t="shared" si="12"/>
        <v>marzo</v>
      </c>
      <c r="E446" s="33">
        <f t="shared" si="13"/>
        <v>2023</v>
      </c>
    </row>
    <row r="447" spans="1:5" x14ac:dyDescent="0.25">
      <c r="A447" t="s">
        <v>57</v>
      </c>
      <c r="B447" s="10">
        <f>VLOOKUP(A447,'Datos generales'!A:B,2,0)</f>
        <v>44927.061111111107</v>
      </c>
      <c r="C447" s="12">
        <f>VLOOKUP(A447,'Datos generales'!A:H,8,0)</f>
        <v>723.18</v>
      </c>
      <c r="D447" s="12" t="str">
        <f t="shared" si="12"/>
        <v>enero</v>
      </c>
      <c r="E447" s="33">
        <f t="shared" si="13"/>
        <v>2023</v>
      </c>
    </row>
    <row r="448" spans="1:5" x14ac:dyDescent="0.25">
      <c r="A448" t="s">
        <v>58</v>
      </c>
      <c r="B448" s="10">
        <f>VLOOKUP(A448,'Datos generales'!A:B,2,0)</f>
        <v>45097.359027777777</v>
      </c>
      <c r="C448" s="12">
        <f>VLOOKUP(A448,'Datos generales'!A:H,8,0)</f>
        <v>4794</v>
      </c>
      <c r="D448" s="12" t="str">
        <f t="shared" si="12"/>
        <v>junio</v>
      </c>
      <c r="E448" s="33">
        <f t="shared" si="13"/>
        <v>2023</v>
      </c>
    </row>
    <row r="449" spans="1:5" x14ac:dyDescent="0.25">
      <c r="A449" t="s">
        <v>59</v>
      </c>
      <c r="B449" s="10">
        <f>VLOOKUP(A449,'Datos generales'!A:B,2,0)</f>
        <v>45755.288194444453</v>
      </c>
      <c r="C449" s="12">
        <f>VLOOKUP(A449,'Datos generales'!A:H,8,0)</f>
        <v>8884.3499999999985</v>
      </c>
      <c r="D449" s="12" t="str">
        <f t="shared" si="12"/>
        <v>abril</v>
      </c>
      <c r="E449" s="33">
        <f t="shared" si="13"/>
        <v>2025</v>
      </c>
    </row>
    <row r="450" spans="1:5" x14ac:dyDescent="0.25">
      <c r="A450" t="s">
        <v>60</v>
      </c>
      <c r="B450" s="10">
        <f>VLOOKUP(A450,'Datos generales'!A:B,2,0)</f>
        <v>45782.866666666669</v>
      </c>
      <c r="C450" s="12">
        <f>VLOOKUP(A450,'Datos generales'!A:H,8,0)</f>
        <v>1467.34</v>
      </c>
      <c r="D450" s="12" t="str">
        <f t="shared" si="12"/>
        <v>mayo</v>
      </c>
      <c r="E450" s="33">
        <f t="shared" si="13"/>
        <v>2025</v>
      </c>
    </row>
    <row r="451" spans="1:5" x14ac:dyDescent="0.25">
      <c r="A451" t="s">
        <v>61</v>
      </c>
      <c r="B451" s="10">
        <f>VLOOKUP(A451,'Datos generales'!A:B,2,0)</f>
        <v>45819.341666666667</v>
      </c>
      <c r="C451" s="12">
        <f>VLOOKUP(A451,'Datos generales'!A:H,8,0)</f>
        <v>2051.73</v>
      </c>
      <c r="D451" s="12" t="str">
        <f t="shared" ref="D451:D514" si="14">TEXT(B451,"mmmm")</f>
        <v>junio</v>
      </c>
      <c r="E451" s="33">
        <f t="shared" ref="E451:E514" si="15">YEAR(B451)</f>
        <v>2025</v>
      </c>
    </row>
    <row r="452" spans="1:5" x14ac:dyDescent="0.25">
      <c r="A452" t="s">
        <v>62</v>
      </c>
      <c r="B452" s="10">
        <f>VLOOKUP(A452,'Datos generales'!A:B,2,0)</f>
        <v>45441.993055555547</v>
      </c>
      <c r="C452" s="12">
        <f>VLOOKUP(A452,'Datos generales'!A:H,8,0)</f>
        <v>1083.8599999999999</v>
      </c>
      <c r="D452" s="12" t="str">
        <f t="shared" si="14"/>
        <v>mayo</v>
      </c>
      <c r="E452" s="33">
        <f t="shared" si="15"/>
        <v>2024</v>
      </c>
    </row>
    <row r="453" spans="1:5" x14ac:dyDescent="0.25">
      <c r="A453" t="s">
        <v>63</v>
      </c>
      <c r="B453" s="10">
        <f>VLOOKUP(A453,'Datos generales'!A:B,2,0)</f>
        <v>45180.999305555553</v>
      </c>
      <c r="C453" s="12">
        <f>VLOOKUP(A453,'Datos generales'!A:H,8,0)</f>
        <v>3103.7</v>
      </c>
      <c r="D453" s="12" t="str">
        <f t="shared" si="14"/>
        <v>septiembre</v>
      </c>
      <c r="E453" s="33">
        <f t="shared" si="15"/>
        <v>2023</v>
      </c>
    </row>
    <row r="454" spans="1:5" x14ac:dyDescent="0.25">
      <c r="A454" t="s">
        <v>64</v>
      </c>
      <c r="B454" s="10">
        <f>VLOOKUP(A454,'Datos generales'!A:B,2,0)</f>
        <v>45624.619444444441</v>
      </c>
      <c r="C454" s="12">
        <f>VLOOKUP(A454,'Datos generales'!A:H,8,0)</f>
        <v>6841.35</v>
      </c>
      <c r="D454" s="12" t="str">
        <f t="shared" si="14"/>
        <v>noviembre</v>
      </c>
      <c r="E454" s="33">
        <f t="shared" si="15"/>
        <v>2024</v>
      </c>
    </row>
    <row r="455" spans="1:5" x14ac:dyDescent="0.25">
      <c r="A455" t="s">
        <v>65</v>
      </c>
      <c r="B455" s="10">
        <f>VLOOKUP(A455,'Datos generales'!A:B,2,0)</f>
        <v>45447.955555555563</v>
      </c>
      <c r="C455" s="12">
        <f>VLOOKUP(A455,'Datos generales'!A:H,8,0)</f>
        <v>7275.52</v>
      </c>
      <c r="D455" s="12" t="str">
        <f t="shared" si="14"/>
        <v>junio</v>
      </c>
      <c r="E455" s="33">
        <f t="shared" si="15"/>
        <v>2024</v>
      </c>
    </row>
    <row r="456" spans="1:5" x14ac:dyDescent="0.25">
      <c r="A456" t="s">
        <v>66</v>
      </c>
      <c r="B456" s="10">
        <f>VLOOKUP(A456,'Datos generales'!A:B,2,0)</f>
        <v>45051.74722222222</v>
      </c>
      <c r="C456" s="12">
        <f>VLOOKUP(A456,'Datos generales'!A:H,8,0)</f>
        <v>6405.28</v>
      </c>
      <c r="D456" s="12" t="str">
        <f t="shared" si="14"/>
        <v>mayo</v>
      </c>
      <c r="E456" s="33">
        <f t="shared" si="15"/>
        <v>2023</v>
      </c>
    </row>
    <row r="457" spans="1:5" x14ac:dyDescent="0.25">
      <c r="A457" t="s">
        <v>67</v>
      </c>
      <c r="B457" s="10">
        <f>VLOOKUP(A457,'Datos generales'!A:B,2,0)</f>
        <v>45019.26666666667</v>
      </c>
      <c r="C457" s="12">
        <f>VLOOKUP(A457,'Datos generales'!A:H,8,0)</f>
        <v>711.16</v>
      </c>
      <c r="D457" s="12" t="str">
        <f t="shared" si="14"/>
        <v>abril</v>
      </c>
      <c r="E457" s="33">
        <f t="shared" si="15"/>
        <v>2023</v>
      </c>
    </row>
    <row r="458" spans="1:5" x14ac:dyDescent="0.25">
      <c r="A458" t="s">
        <v>68</v>
      </c>
      <c r="B458" s="10">
        <f>VLOOKUP(A458,'Datos generales'!A:B,2,0)</f>
        <v>44969.094444444447</v>
      </c>
      <c r="C458" s="12">
        <f>VLOOKUP(A458,'Datos generales'!A:H,8,0)</f>
        <v>83.48</v>
      </c>
      <c r="D458" s="12" t="str">
        <f t="shared" si="14"/>
        <v>febrero</v>
      </c>
      <c r="E458" s="33">
        <f t="shared" si="15"/>
        <v>2023</v>
      </c>
    </row>
    <row r="459" spans="1:5" x14ac:dyDescent="0.25">
      <c r="A459" t="s">
        <v>69</v>
      </c>
      <c r="B459" s="10">
        <f>VLOOKUP(A459,'Datos generales'!A:B,2,0)</f>
        <v>45091.519444444442</v>
      </c>
      <c r="C459" s="12">
        <f>VLOOKUP(A459,'Datos generales'!A:H,8,0)</f>
        <v>1372.72</v>
      </c>
      <c r="D459" s="12" t="str">
        <f t="shared" si="14"/>
        <v>junio</v>
      </c>
      <c r="E459" s="33">
        <f t="shared" si="15"/>
        <v>2023</v>
      </c>
    </row>
    <row r="460" spans="1:5" x14ac:dyDescent="0.25">
      <c r="A460" t="s">
        <v>70</v>
      </c>
      <c r="B460" s="10">
        <f>VLOOKUP(A460,'Datos generales'!A:B,2,0)</f>
        <v>45494</v>
      </c>
      <c r="C460" s="12">
        <f>VLOOKUP(A460,'Datos generales'!A:H,8,0)</f>
        <v>1618.91</v>
      </c>
      <c r="D460" s="12" t="str">
        <f t="shared" si="14"/>
        <v>julio</v>
      </c>
      <c r="E460" s="33">
        <f t="shared" si="15"/>
        <v>2024</v>
      </c>
    </row>
    <row r="461" spans="1:5" x14ac:dyDescent="0.25">
      <c r="A461" t="s">
        <v>71</v>
      </c>
      <c r="B461" s="10">
        <f>VLOOKUP(A461,'Datos generales'!A:B,2,0)</f>
        <v>45364.463194444441</v>
      </c>
      <c r="C461" s="12">
        <f>VLOOKUP(A461,'Datos generales'!A:H,8,0)</f>
        <v>2122.6</v>
      </c>
      <c r="D461" s="12" t="str">
        <f t="shared" si="14"/>
        <v>marzo</v>
      </c>
      <c r="E461" s="33">
        <f t="shared" si="15"/>
        <v>2024</v>
      </c>
    </row>
    <row r="462" spans="1:5" x14ac:dyDescent="0.25">
      <c r="A462" t="s">
        <v>72</v>
      </c>
      <c r="B462" s="10">
        <f>VLOOKUP(A462,'Datos generales'!A:B,2,0)</f>
        <v>45583.023611111108</v>
      </c>
      <c r="C462" s="12">
        <f>VLOOKUP(A462,'Datos generales'!A:H,8,0)</f>
        <v>2094.15</v>
      </c>
      <c r="D462" s="12" t="str">
        <f t="shared" si="14"/>
        <v>octubre</v>
      </c>
      <c r="E462" s="33">
        <f t="shared" si="15"/>
        <v>2024</v>
      </c>
    </row>
    <row r="463" spans="1:5" x14ac:dyDescent="0.25">
      <c r="A463" t="s">
        <v>73</v>
      </c>
      <c r="B463" s="10">
        <f>VLOOKUP(A463,'Datos generales'!A:B,2,0)</f>
        <v>45779.546527777777</v>
      </c>
      <c r="C463" s="12">
        <f>VLOOKUP(A463,'Datos generales'!A:H,8,0)</f>
        <v>1994.94</v>
      </c>
      <c r="D463" s="12" t="str">
        <f t="shared" si="14"/>
        <v>mayo</v>
      </c>
      <c r="E463" s="33">
        <f t="shared" si="15"/>
        <v>2025</v>
      </c>
    </row>
    <row r="464" spans="1:5" x14ac:dyDescent="0.25">
      <c r="A464" t="s">
        <v>74</v>
      </c>
      <c r="B464" s="10">
        <f>VLOOKUP(A464,'Datos generales'!A:B,2,0)</f>
        <v>45516.480555555558</v>
      </c>
      <c r="C464" s="12">
        <f>VLOOKUP(A464,'Datos generales'!A:H,8,0)</f>
        <v>1322.41</v>
      </c>
      <c r="D464" s="12" t="str">
        <f t="shared" si="14"/>
        <v>agosto</v>
      </c>
      <c r="E464" s="33">
        <f t="shared" si="15"/>
        <v>2024</v>
      </c>
    </row>
    <row r="465" spans="1:5" x14ac:dyDescent="0.25">
      <c r="A465" t="s">
        <v>75</v>
      </c>
      <c r="B465" s="10">
        <f>VLOOKUP(A465,'Datos generales'!A:B,2,0)</f>
        <v>45285.25277777778</v>
      </c>
      <c r="C465" s="12">
        <f>VLOOKUP(A465,'Datos generales'!A:H,8,0)</f>
        <v>5869.08</v>
      </c>
      <c r="D465" s="12" t="str">
        <f t="shared" si="14"/>
        <v>diciembre</v>
      </c>
      <c r="E465" s="33">
        <f t="shared" si="15"/>
        <v>2023</v>
      </c>
    </row>
    <row r="466" spans="1:5" x14ac:dyDescent="0.25">
      <c r="A466" t="s">
        <v>76</v>
      </c>
      <c r="B466" s="10">
        <f>VLOOKUP(A466,'Datos generales'!A:B,2,0)</f>
        <v>45297.965277777781</v>
      </c>
      <c r="C466" s="12">
        <f>VLOOKUP(A466,'Datos generales'!A:H,8,0)</f>
        <v>7216.48</v>
      </c>
      <c r="D466" s="12" t="str">
        <f t="shared" si="14"/>
        <v>enero</v>
      </c>
      <c r="E466" s="33">
        <f t="shared" si="15"/>
        <v>2024</v>
      </c>
    </row>
    <row r="467" spans="1:5" x14ac:dyDescent="0.25">
      <c r="A467" t="s">
        <v>77</v>
      </c>
      <c r="B467" s="10">
        <f>VLOOKUP(A467,'Datos generales'!A:B,2,0)</f>
        <v>45434.519444444442</v>
      </c>
      <c r="C467" s="12">
        <f>VLOOKUP(A467,'Datos generales'!A:H,8,0)</f>
        <v>1172.72</v>
      </c>
      <c r="D467" s="12" t="str">
        <f t="shared" si="14"/>
        <v>mayo</v>
      </c>
      <c r="E467" s="33">
        <f t="shared" si="15"/>
        <v>2024</v>
      </c>
    </row>
    <row r="468" spans="1:5" x14ac:dyDescent="0.25">
      <c r="A468" t="s">
        <v>78</v>
      </c>
      <c r="B468" s="10">
        <f>VLOOKUP(A468,'Datos generales'!A:B,2,0)</f>
        <v>45290.050694444442</v>
      </c>
      <c r="C468" s="12">
        <f>VLOOKUP(A468,'Datos generales'!A:H,8,0)</f>
        <v>725.07</v>
      </c>
      <c r="D468" s="12" t="str">
        <f t="shared" si="14"/>
        <v>diciembre</v>
      </c>
      <c r="E468" s="33">
        <f t="shared" si="15"/>
        <v>2023</v>
      </c>
    </row>
    <row r="469" spans="1:5" x14ac:dyDescent="0.25">
      <c r="A469" t="s">
        <v>79</v>
      </c>
      <c r="B469" s="10">
        <f>VLOOKUP(A469,'Datos generales'!A:B,2,0)</f>
        <v>45684.334027777782</v>
      </c>
      <c r="C469" s="12">
        <f>VLOOKUP(A469,'Datos generales'!A:H,8,0)</f>
        <v>2818.45</v>
      </c>
      <c r="D469" s="12" t="str">
        <f t="shared" si="14"/>
        <v>enero</v>
      </c>
      <c r="E469" s="33">
        <f t="shared" si="15"/>
        <v>2025</v>
      </c>
    </row>
    <row r="470" spans="1:5" x14ac:dyDescent="0.25">
      <c r="A470" t="s">
        <v>80</v>
      </c>
      <c r="B470" s="10">
        <f>VLOOKUP(A470,'Datos generales'!A:B,2,0)</f>
        <v>45222.202777777777</v>
      </c>
      <c r="C470" s="12">
        <f>VLOOKUP(A470,'Datos generales'!A:H,8,0)</f>
        <v>7737.05</v>
      </c>
      <c r="D470" s="12" t="str">
        <f t="shared" si="14"/>
        <v>octubre</v>
      </c>
      <c r="E470" s="33">
        <f t="shared" si="15"/>
        <v>2023</v>
      </c>
    </row>
    <row r="471" spans="1:5" x14ac:dyDescent="0.25">
      <c r="A471" t="s">
        <v>81</v>
      </c>
      <c r="B471" s="10">
        <f>VLOOKUP(A471,'Datos generales'!A:B,2,0)</f>
        <v>45274.597916666673</v>
      </c>
      <c r="C471" s="12">
        <f>VLOOKUP(A471,'Datos generales'!A:H,8,0)</f>
        <v>3807.3</v>
      </c>
      <c r="D471" s="12" t="str">
        <f t="shared" si="14"/>
        <v>diciembre</v>
      </c>
      <c r="E471" s="33">
        <f t="shared" si="15"/>
        <v>2023</v>
      </c>
    </row>
    <row r="472" spans="1:5" x14ac:dyDescent="0.25">
      <c r="A472" t="s">
        <v>82</v>
      </c>
      <c r="B472" s="10">
        <f>VLOOKUP(A472,'Datos generales'!A:B,2,0)</f>
        <v>45358.874305555553</v>
      </c>
      <c r="C472" s="12">
        <f>VLOOKUP(A472,'Datos generales'!A:H,8,0)</f>
        <v>2396.4</v>
      </c>
      <c r="D472" s="12" t="str">
        <f t="shared" si="14"/>
        <v>marzo</v>
      </c>
      <c r="E472" s="33">
        <f t="shared" si="15"/>
        <v>2024</v>
      </c>
    </row>
    <row r="473" spans="1:5" x14ac:dyDescent="0.25">
      <c r="A473" t="s">
        <v>83</v>
      </c>
      <c r="B473" s="10">
        <f>VLOOKUP(A473,'Datos generales'!A:B,2,0)</f>
        <v>45850.171527777777</v>
      </c>
      <c r="C473" s="12">
        <f>VLOOKUP(A473,'Datos generales'!A:H,8,0)</f>
        <v>1631.16</v>
      </c>
      <c r="D473" s="12" t="str">
        <f t="shared" si="14"/>
        <v>julio</v>
      </c>
      <c r="E473" s="33">
        <f t="shared" si="15"/>
        <v>2025</v>
      </c>
    </row>
    <row r="474" spans="1:5" x14ac:dyDescent="0.25">
      <c r="A474" t="s">
        <v>84</v>
      </c>
      <c r="B474" s="10">
        <f>VLOOKUP(A474,'Datos generales'!A:B,2,0)</f>
        <v>45041.884027777778</v>
      </c>
      <c r="C474" s="12">
        <f>VLOOKUP(A474,'Datos generales'!A:H,8,0)</f>
        <v>2899.06</v>
      </c>
      <c r="D474" s="12" t="str">
        <f t="shared" si="14"/>
        <v>abril</v>
      </c>
      <c r="E474" s="33">
        <f t="shared" si="15"/>
        <v>2023</v>
      </c>
    </row>
    <row r="475" spans="1:5" x14ac:dyDescent="0.25">
      <c r="A475" t="s">
        <v>85</v>
      </c>
      <c r="B475" s="10">
        <f>VLOOKUP(A475,'Datos generales'!A:B,2,0)</f>
        <v>45564.772916666669</v>
      </c>
      <c r="C475" s="12">
        <f>VLOOKUP(A475,'Datos generales'!A:H,8,0)</f>
        <v>2362.1</v>
      </c>
      <c r="D475" s="12" t="str">
        <f t="shared" si="14"/>
        <v>septiembre</v>
      </c>
      <c r="E475" s="33">
        <f t="shared" si="15"/>
        <v>2024</v>
      </c>
    </row>
    <row r="476" spans="1:5" x14ac:dyDescent="0.25">
      <c r="A476" t="s">
        <v>86</v>
      </c>
      <c r="B476" s="10">
        <f>VLOOKUP(A476,'Datos generales'!A:B,2,0)</f>
        <v>45118.247916666667</v>
      </c>
      <c r="C476" s="12">
        <f>VLOOKUP(A476,'Datos generales'!A:H,8,0)</f>
        <v>1103.7</v>
      </c>
      <c r="D476" s="12" t="str">
        <f t="shared" si="14"/>
        <v>julio</v>
      </c>
      <c r="E476" s="33">
        <f t="shared" si="15"/>
        <v>2023</v>
      </c>
    </row>
    <row r="477" spans="1:5" x14ac:dyDescent="0.25">
      <c r="A477" t="s">
        <v>87</v>
      </c>
      <c r="B477" s="10">
        <f>VLOOKUP(A477,'Datos generales'!A:B,2,0)</f>
        <v>45717.986111111109</v>
      </c>
      <c r="C477" s="12">
        <f>VLOOKUP(A477,'Datos generales'!A:H,8,0)</f>
        <v>3697.55</v>
      </c>
      <c r="D477" s="12" t="str">
        <f t="shared" si="14"/>
        <v>marzo</v>
      </c>
      <c r="E477" s="33">
        <f t="shared" si="15"/>
        <v>2025</v>
      </c>
    </row>
    <row r="478" spans="1:5" x14ac:dyDescent="0.25">
      <c r="A478" t="s">
        <v>88</v>
      </c>
      <c r="B478" s="10">
        <f>VLOOKUP(A478,'Datos generales'!A:B,2,0)</f>
        <v>45162.795138888891</v>
      </c>
      <c r="C478" s="12">
        <f>VLOOKUP(A478,'Datos generales'!A:H,8,0)</f>
        <v>2178.2600000000002</v>
      </c>
      <c r="D478" s="12" t="str">
        <f t="shared" si="14"/>
        <v>agosto</v>
      </c>
      <c r="E478" s="33">
        <f t="shared" si="15"/>
        <v>2023</v>
      </c>
    </row>
    <row r="479" spans="1:5" x14ac:dyDescent="0.25">
      <c r="A479" t="s">
        <v>89</v>
      </c>
      <c r="B479" s="10">
        <f>VLOOKUP(A479,'Datos generales'!A:B,2,0)</f>
        <v>45517.353472222218</v>
      </c>
      <c r="C479" s="12">
        <f>VLOOKUP(A479,'Datos generales'!A:H,8,0)</f>
        <v>8163.75</v>
      </c>
      <c r="D479" s="12" t="str">
        <f t="shared" si="14"/>
        <v>agosto</v>
      </c>
      <c r="E479" s="33">
        <f t="shared" si="15"/>
        <v>2024</v>
      </c>
    </row>
    <row r="480" spans="1:5" x14ac:dyDescent="0.25">
      <c r="A480" t="s">
        <v>90</v>
      </c>
      <c r="B480" s="10">
        <f>VLOOKUP(A480,'Datos generales'!A:B,2,0)</f>
        <v>45245.664583333331</v>
      </c>
      <c r="C480" s="12">
        <f>VLOOKUP(A480,'Datos generales'!A:H,8,0)</f>
        <v>2452.0500000000002</v>
      </c>
      <c r="D480" s="12" t="str">
        <f t="shared" si="14"/>
        <v>noviembre</v>
      </c>
      <c r="E480" s="33">
        <f t="shared" si="15"/>
        <v>2023</v>
      </c>
    </row>
    <row r="481" spans="1:5" x14ac:dyDescent="0.25">
      <c r="A481" t="s">
        <v>91</v>
      </c>
      <c r="B481" s="10">
        <f>VLOOKUP(A481,'Datos generales'!A:B,2,0)</f>
        <v>45603.368055555547</v>
      </c>
      <c r="C481" s="12">
        <f>VLOOKUP(A481,'Datos generales'!A:H,8,0)</f>
        <v>2373.16</v>
      </c>
      <c r="D481" s="12" t="str">
        <f t="shared" si="14"/>
        <v>noviembre</v>
      </c>
      <c r="E481" s="33">
        <f t="shared" si="15"/>
        <v>2024</v>
      </c>
    </row>
    <row r="482" spans="1:5" x14ac:dyDescent="0.25">
      <c r="A482" t="s">
        <v>92</v>
      </c>
      <c r="B482" s="10">
        <f>VLOOKUP(A482,'Datos generales'!A:B,2,0)</f>
        <v>44990.597916666673</v>
      </c>
      <c r="C482" s="12">
        <f>VLOOKUP(A482,'Datos generales'!A:H,8,0)</f>
        <v>3745.6</v>
      </c>
      <c r="D482" s="12" t="str">
        <f t="shared" si="14"/>
        <v>marzo</v>
      </c>
      <c r="E482" s="33">
        <f t="shared" si="15"/>
        <v>2023</v>
      </c>
    </row>
    <row r="483" spans="1:5" x14ac:dyDescent="0.25">
      <c r="A483" t="s">
        <v>93</v>
      </c>
      <c r="B483" s="10">
        <f>VLOOKUP(A483,'Datos generales'!A:B,2,0)</f>
        <v>45273.106249999997</v>
      </c>
      <c r="C483" s="12">
        <f>VLOOKUP(A483,'Datos generales'!A:H,8,0)</f>
        <v>2040.57</v>
      </c>
      <c r="D483" s="12" t="str">
        <f t="shared" si="14"/>
        <v>diciembre</v>
      </c>
      <c r="E483" s="33">
        <f t="shared" si="15"/>
        <v>2023</v>
      </c>
    </row>
    <row r="484" spans="1:5" x14ac:dyDescent="0.25">
      <c r="A484" t="s">
        <v>94</v>
      </c>
      <c r="B484" s="10">
        <f>VLOOKUP(A484,'Datos generales'!A:B,2,0)</f>
        <v>45022.271527777782</v>
      </c>
      <c r="C484" s="12">
        <f>VLOOKUP(A484,'Datos generales'!A:H,8,0)</f>
        <v>1051.28</v>
      </c>
      <c r="D484" s="12" t="str">
        <f t="shared" si="14"/>
        <v>abril</v>
      </c>
      <c r="E484" s="33">
        <f t="shared" si="15"/>
        <v>2023</v>
      </c>
    </row>
    <row r="485" spans="1:5" x14ac:dyDescent="0.25">
      <c r="A485" t="s">
        <v>95</v>
      </c>
      <c r="B485" s="10">
        <f>VLOOKUP(A485,'Datos generales'!A:B,2,0)</f>
        <v>45682.68472222222</v>
      </c>
      <c r="C485" s="12">
        <f>VLOOKUP(A485,'Datos generales'!A:H,8,0)</f>
        <v>6127</v>
      </c>
      <c r="D485" s="12" t="str">
        <f t="shared" si="14"/>
        <v>enero</v>
      </c>
      <c r="E485" s="33">
        <f t="shared" si="15"/>
        <v>2025</v>
      </c>
    </row>
    <row r="486" spans="1:5" x14ac:dyDescent="0.25">
      <c r="A486" t="s">
        <v>96</v>
      </c>
      <c r="B486" s="10">
        <f>VLOOKUP(A486,'Datos generales'!A:B,2,0)</f>
        <v>45099.143750000003</v>
      </c>
      <c r="C486" s="12">
        <f>VLOOKUP(A486,'Datos generales'!A:H,8,0)</f>
        <v>503.84</v>
      </c>
      <c r="D486" s="12" t="str">
        <f t="shared" si="14"/>
        <v>junio</v>
      </c>
      <c r="E486" s="33">
        <f t="shared" si="15"/>
        <v>2023</v>
      </c>
    </row>
    <row r="487" spans="1:5" x14ac:dyDescent="0.25">
      <c r="A487" t="s">
        <v>97</v>
      </c>
      <c r="B487" s="10">
        <f>VLOOKUP(A487,'Datos generales'!A:B,2,0)</f>
        <v>45546.810416666667</v>
      </c>
      <c r="C487" s="12">
        <f>VLOOKUP(A487,'Datos generales'!A:H,8,0)</f>
        <v>7633.64</v>
      </c>
      <c r="D487" s="12" t="str">
        <f t="shared" si="14"/>
        <v>septiembre</v>
      </c>
      <c r="E487" s="33">
        <f t="shared" si="15"/>
        <v>2024</v>
      </c>
    </row>
    <row r="488" spans="1:5" x14ac:dyDescent="0.25">
      <c r="A488" t="s">
        <v>98</v>
      </c>
      <c r="B488" s="10">
        <f>VLOOKUP(A488,'Datos generales'!A:B,2,0)</f>
        <v>45451.106249999997</v>
      </c>
      <c r="C488" s="12">
        <f>VLOOKUP(A488,'Datos generales'!A:H,8,0)</f>
        <v>229.2</v>
      </c>
      <c r="D488" s="12" t="str">
        <f t="shared" si="14"/>
        <v>junio</v>
      </c>
      <c r="E488" s="33">
        <f t="shared" si="15"/>
        <v>2024</v>
      </c>
    </row>
    <row r="489" spans="1:5" x14ac:dyDescent="0.25">
      <c r="A489" t="s">
        <v>99</v>
      </c>
      <c r="B489" s="10">
        <f>VLOOKUP(A489,'Datos generales'!A:B,2,0)</f>
        <v>45101.551388888889</v>
      </c>
      <c r="C489" s="12">
        <f>VLOOKUP(A489,'Datos generales'!A:H,8,0)</f>
        <v>1191.56</v>
      </c>
      <c r="D489" s="12" t="str">
        <f t="shared" si="14"/>
        <v>junio</v>
      </c>
      <c r="E489" s="33">
        <f t="shared" si="15"/>
        <v>2023</v>
      </c>
    </row>
    <row r="490" spans="1:5" x14ac:dyDescent="0.25">
      <c r="A490" t="s">
        <v>100</v>
      </c>
      <c r="B490" s="10">
        <f>VLOOKUP(A490,'Datos generales'!A:B,2,0)</f>
        <v>45405.413194444453</v>
      </c>
      <c r="C490" s="12">
        <f>VLOOKUP(A490,'Datos generales'!A:H,8,0)</f>
        <v>150.04</v>
      </c>
      <c r="D490" s="12" t="str">
        <f t="shared" si="14"/>
        <v>abril</v>
      </c>
      <c r="E490" s="33">
        <f t="shared" si="15"/>
        <v>2024</v>
      </c>
    </row>
    <row r="491" spans="1:5" x14ac:dyDescent="0.25">
      <c r="A491" t="s">
        <v>101</v>
      </c>
      <c r="B491" s="10">
        <f>VLOOKUP(A491,'Datos generales'!A:B,2,0)</f>
        <v>45465.332638888889</v>
      </c>
      <c r="C491" s="12">
        <f>VLOOKUP(A491,'Datos generales'!A:H,8,0)</f>
        <v>2704.6</v>
      </c>
      <c r="D491" s="12" t="str">
        <f t="shared" si="14"/>
        <v>junio</v>
      </c>
      <c r="E491" s="33">
        <f t="shared" si="15"/>
        <v>2024</v>
      </c>
    </row>
    <row r="492" spans="1:5" x14ac:dyDescent="0.25">
      <c r="A492" t="s">
        <v>102</v>
      </c>
      <c r="B492" s="10">
        <f>VLOOKUP(A492,'Datos generales'!A:B,2,0)</f>
        <v>45863.330555555563</v>
      </c>
      <c r="C492" s="12">
        <f>VLOOKUP(A492,'Datos generales'!A:H,8,0)</f>
        <v>713.82</v>
      </c>
      <c r="D492" s="12" t="str">
        <f t="shared" si="14"/>
        <v>julio</v>
      </c>
      <c r="E492" s="33">
        <f t="shared" si="15"/>
        <v>2025</v>
      </c>
    </row>
    <row r="493" spans="1:5" x14ac:dyDescent="0.25">
      <c r="A493" t="s">
        <v>103</v>
      </c>
      <c r="B493" s="10">
        <f>VLOOKUP(A493,'Datos generales'!A:B,2,0)</f>
        <v>45727.712500000001</v>
      </c>
      <c r="C493" s="12">
        <f>VLOOKUP(A493,'Datos generales'!A:H,8,0)</f>
        <v>3407.01</v>
      </c>
      <c r="D493" s="12" t="str">
        <f t="shared" si="14"/>
        <v>marzo</v>
      </c>
      <c r="E493" s="33">
        <f t="shared" si="15"/>
        <v>2025</v>
      </c>
    </row>
    <row r="494" spans="1:5" x14ac:dyDescent="0.25">
      <c r="A494" t="s">
        <v>104</v>
      </c>
      <c r="B494" s="10">
        <f>VLOOKUP(A494,'Datos generales'!A:B,2,0)</f>
        <v>45676.398611111108</v>
      </c>
      <c r="C494" s="12">
        <f>VLOOKUP(A494,'Datos generales'!A:H,8,0)</f>
        <v>2417.0700000000002</v>
      </c>
      <c r="D494" s="12" t="str">
        <f t="shared" si="14"/>
        <v>enero</v>
      </c>
      <c r="E494" s="33">
        <f t="shared" si="15"/>
        <v>2025</v>
      </c>
    </row>
    <row r="495" spans="1:5" x14ac:dyDescent="0.25">
      <c r="A495" t="s">
        <v>105</v>
      </c>
      <c r="B495" s="10">
        <f>VLOOKUP(A495,'Datos generales'!A:B,2,0)</f>
        <v>45289.026388888888</v>
      </c>
      <c r="C495" s="12">
        <f>VLOOKUP(A495,'Datos generales'!A:H,8,0)</f>
        <v>2518.14</v>
      </c>
      <c r="D495" s="12" t="str">
        <f t="shared" si="14"/>
        <v>diciembre</v>
      </c>
      <c r="E495" s="33">
        <f t="shared" si="15"/>
        <v>2023</v>
      </c>
    </row>
    <row r="496" spans="1:5" x14ac:dyDescent="0.25">
      <c r="A496" t="s">
        <v>106</v>
      </c>
      <c r="B496" s="10">
        <f>VLOOKUP(A496,'Datos generales'!A:B,2,0)</f>
        <v>45473.418749999997</v>
      </c>
      <c r="C496" s="12">
        <f>VLOOKUP(A496,'Datos generales'!A:H,8,0)</f>
        <v>1801.2</v>
      </c>
      <c r="D496" s="12" t="str">
        <f t="shared" si="14"/>
        <v>junio</v>
      </c>
      <c r="E496" s="33">
        <f t="shared" si="15"/>
        <v>2024</v>
      </c>
    </row>
    <row r="497" spans="1:5" x14ac:dyDescent="0.25">
      <c r="A497" t="s">
        <v>107</v>
      </c>
      <c r="B497" s="10">
        <f>VLOOKUP(A497,'Datos generales'!A:B,2,0)</f>
        <v>45499.757638888892</v>
      </c>
      <c r="C497" s="12">
        <f>VLOOKUP(A497,'Datos generales'!A:H,8,0)</f>
        <v>959.62</v>
      </c>
      <c r="D497" s="12" t="str">
        <f t="shared" si="14"/>
        <v>julio</v>
      </c>
      <c r="E497" s="33">
        <f t="shared" si="15"/>
        <v>2024</v>
      </c>
    </row>
    <row r="498" spans="1:5" x14ac:dyDescent="0.25">
      <c r="A498" t="s">
        <v>108</v>
      </c>
      <c r="B498" s="10">
        <f>VLOOKUP(A498,'Datos generales'!A:B,2,0)</f>
        <v>45541.331250000003</v>
      </c>
      <c r="C498" s="12">
        <f>VLOOKUP(A498,'Datos generales'!A:H,8,0)</f>
        <v>1888.86</v>
      </c>
      <c r="D498" s="12" t="str">
        <f t="shared" si="14"/>
        <v>septiembre</v>
      </c>
      <c r="E498" s="33">
        <f t="shared" si="15"/>
        <v>2024</v>
      </c>
    </row>
    <row r="499" spans="1:5" x14ac:dyDescent="0.25">
      <c r="A499" t="s">
        <v>109</v>
      </c>
      <c r="B499" s="10">
        <f>VLOOKUP(A499,'Datos generales'!A:B,2,0)</f>
        <v>45542.574305555558</v>
      </c>
      <c r="C499" s="12">
        <f>VLOOKUP(A499,'Datos generales'!A:H,8,0)</f>
        <v>7284.2</v>
      </c>
      <c r="D499" s="12" t="str">
        <f t="shared" si="14"/>
        <v>septiembre</v>
      </c>
      <c r="E499" s="33">
        <f t="shared" si="15"/>
        <v>2024</v>
      </c>
    </row>
    <row r="500" spans="1:5" x14ac:dyDescent="0.25">
      <c r="A500" t="s">
        <v>110</v>
      </c>
      <c r="B500" s="10">
        <f>VLOOKUP(A500,'Datos generales'!A:B,2,0)</f>
        <v>45846.336805555547</v>
      </c>
      <c r="C500" s="12">
        <f>VLOOKUP(A500,'Datos generales'!A:H,8,0)</f>
        <v>4611.6900000000014</v>
      </c>
      <c r="D500" s="12" t="str">
        <f t="shared" si="14"/>
        <v>julio</v>
      </c>
      <c r="E500" s="33">
        <f t="shared" si="15"/>
        <v>2025</v>
      </c>
    </row>
    <row r="501" spans="1:5" x14ac:dyDescent="0.25">
      <c r="A501" t="s">
        <v>111</v>
      </c>
      <c r="B501" s="10">
        <f>VLOOKUP(A501,'Datos generales'!A:B,2,0)</f>
        <v>45318.705555555563</v>
      </c>
      <c r="C501" s="12">
        <f>VLOOKUP(A501,'Datos generales'!A:H,8,0)</f>
        <v>934.98</v>
      </c>
      <c r="D501" s="12" t="str">
        <f t="shared" si="14"/>
        <v>enero</v>
      </c>
      <c r="E501" s="33">
        <f t="shared" si="15"/>
        <v>2024</v>
      </c>
    </row>
    <row r="502" spans="1:5" x14ac:dyDescent="0.25">
      <c r="A502" t="s">
        <v>112</v>
      </c>
      <c r="B502" s="10">
        <f>VLOOKUP(A502,'Datos generales'!A:B,2,0)</f>
        <v>45595.668055555558</v>
      </c>
      <c r="C502" s="12">
        <f>VLOOKUP(A502,'Datos generales'!A:H,8,0)</f>
        <v>745.45</v>
      </c>
      <c r="D502" s="12" t="str">
        <f t="shared" si="14"/>
        <v>octubre</v>
      </c>
      <c r="E502" s="33">
        <f t="shared" si="15"/>
        <v>2024</v>
      </c>
    </row>
    <row r="503" spans="1:5" x14ac:dyDescent="0.25">
      <c r="A503" t="s">
        <v>113</v>
      </c>
      <c r="B503" s="10">
        <f>VLOOKUP(A503,'Datos generales'!A:B,2,0)</f>
        <v>44984.418055555558</v>
      </c>
      <c r="C503" s="12">
        <f>VLOOKUP(A503,'Datos generales'!A:H,8,0)</f>
        <v>9427.4</v>
      </c>
      <c r="D503" s="12" t="str">
        <f t="shared" si="14"/>
        <v>febrero</v>
      </c>
      <c r="E503" s="33">
        <f t="shared" si="15"/>
        <v>2023</v>
      </c>
    </row>
    <row r="504" spans="1:5" x14ac:dyDescent="0.25">
      <c r="A504" t="s">
        <v>114</v>
      </c>
      <c r="B504" s="10">
        <f>VLOOKUP(A504,'Datos generales'!A:B,2,0)</f>
        <v>45153.455555555563</v>
      </c>
      <c r="C504" s="12">
        <f>VLOOKUP(A504,'Datos generales'!A:H,8,0)</f>
        <v>4775.76</v>
      </c>
      <c r="D504" s="12" t="str">
        <f t="shared" si="14"/>
        <v>agosto</v>
      </c>
      <c r="E504" s="33">
        <f t="shared" si="15"/>
        <v>2023</v>
      </c>
    </row>
    <row r="505" spans="1:5" x14ac:dyDescent="0.25">
      <c r="A505" t="s">
        <v>115</v>
      </c>
      <c r="B505" s="10">
        <f>VLOOKUP(A505,'Datos generales'!A:B,2,0)</f>
        <v>45919.24722222222</v>
      </c>
      <c r="C505" s="12">
        <f>VLOOKUP(A505,'Datos generales'!A:H,8,0)</f>
        <v>6916.65</v>
      </c>
      <c r="D505" s="12" t="str">
        <f t="shared" si="14"/>
        <v>septiembre</v>
      </c>
      <c r="E505" s="33">
        <f t="shared" si="15"/>
        <v>2025</v>
      </c>
    </row>
    <row r="506" spans="1:5" x14ac:dyDescent="0.25">
      <c r="A506" t="s">
        <v>116</v>
      </c>
      <c r="B506" s="10">
        <f>VLOOKUP(A506,'Datos generales'!A:B,2,0)</f>
        <v>45815.543055555558</v>
      </c>
      <c r="C506" s="12">
        <f>VLOOKUP(A506,'Datos generales'!A:H,8,0)</f>
        <v>2102.46</v>
      </c>
      <c r="D506" s="12" t="str">
        <f t="shared" si="14"/>
        <v>junio</v>
      </c>
      <c r="E506" s="33">
        <f t="shared" si="15"/>
        <v>2025</v>
      </c>
    </row>
    <row r="507" spans="1:5" x14ac:dyDescent="0.25">
      <c r="A507" t="s">
        <v>117</v>
      </c>
      <c r="B507" s="10">
        <f>VLOOKUP(A507,'Datos generales'!A:B,2,0)</f>
        <v>45255.4</v>
      </c>
      <c r="C507" s="12">
        <f>VLOOKUP(A507,'Datos generales'!A:H,8,0)</f>
        <v>5097.84</v>
      </c>
      <c r="D507" s="12" t="str">
        <f t="shared" si="14"/>
        <v>noviembre</v>
      </c>
      <c r="E507" s="33">
        <f t="shared" si="15"/>
        <v>2023</v>
      </c>
    </row>
    <row r="508" spans="1:5" x14ac:dyDescent="0.25">
      <c r="A508" t="s">
        <v>118</v>
      </c>
      <c r="B508" s="10">
        <f>VLOOKUP(A508,'Datos generales'!A:B,2,0)</f>
        <v>45754.797222222223</v>
      </c>
      <c r="C508" s="12">
        <f>VLOOKUP(A508,'Datos generales'!A:H,8,0)</f>
        <v>1251.08</v>
      </c>
      <c r="D508" s="12" t="str">
        <f t="shared" si="14"/>
        <v>abril</v>
      </c>
      <c r="E508" s="33">
        <f t="shared" si="15"/>
        <v>2025</v>
      </c>
    </row>
    <row r="509" spans="1:5" x14ac:dyDescent="0.25">
      <c r="A509" t="s">
        <v>119</v>
      </c>
      <c r="B509" s="10">
        <f>VLOOKUP(A509,'Datos generales'!A:B,2,0)</f>
        <v>45764.185416666667</v>
      </c>
      <c r="C509" s="12">
        <f>VLOOKUP(A509,'Datos generales'!A:H,8,0)</f>
        <v>7911</v>
      </c>
      <c r="D509" s="12" t="str">
        <f t="shared" si="14"/>
        <v>abril</v>
      </c>
      <c r="E509" s="33">
        <f t="shared" si="15"/>
        <v>2025</v>
      </c>
    </row>
    <row r="510" spans="1:5" x14ac:dyDescent="0.25">
      <c r="A510" t="s">
        <v>120</v>
      </c>
      <c r="B510" s="10">
        <f>VLOOKUP(A510,'Datos generales'!A:B,2,0)</f>
        <v>45240.82916666667</v>
      </c>
      <c r="C510" s="12">
        <f>VLOOKUP(A510,'Datos generales'!A:H,8,0)</f>
        <v>81.92</v>
      </c>
      <c r="D510" s="12" t="str">
        <f t="shared" si="14"/>
        <v>noviembre</v>
      </c>
      <c r="E510" s="33">
        <f t="shared" si="15"/>
        <v>2023</v>
      </c>
    </row>
    <row r="511" spans="1:5" x14ac:dyDescent="0.25">
      <c r="A511" t="s">
        <v>121</v>
      </c>
      <c r="B511" s="10">
        <f>VLOOKUP(A511,'Datos generales'!A:B,2,0)</f>
        <v>45634.470138888893</v>
      </c>
      <c r="C511" s="12">
        <f>VLOOKUP(A511,'Datos generales'!A:H,8,0)</f>
        <v>1153.31</v>
      </c>
      <c r="D511" s="12" t="str">
        <f t="shared" si="14"/>
        <v>diciembre</v>
      </c>
      <c r="E511" s="33">
        <f t="shared" si="15"/>
        <v>2024</v>
      </c>
    </row>
    <row r="512" spans="1:5" x14ac:dyDescent="0.25">
      <c r="A512" t="s">
        <v>122</v>
      </c>
      <c r="B512" s="10">
        <f>VLOOKUP(A512,'Datos generales'!A:B,2,0)</f>
        <v>45913.939583333333</v>
      </c>
      <c r="C512" s="12">
        <f>VLOOKUP(A512,'Datos generales'!A:H,8,0)</f>
        <v>3234.24</v>
      </c>
      <c r="D512" s="12" t="str">
        <f t="shared" si="14"/>
        <v>septiembre</v>
      </c>
      <c r="E512" s="33">
        <f t="shared" si="15"/>
        <v>2025</v>
      </c>
    </row>
    <row r="513" spans="1:5" x14ac:dyDescent="0.25">
      <c r="A513" t="s">
        <v>123</v>
      </c>
      <c r="B513" s="10">
        <f>VLOOKUP(A513,'Datos generales'!A:B,2,0)</f>
        <v>45526.149305555547</v>
      </c>
      <c r="C513" s="12">
        <f>VLOOKUP(A513,'Datos generales'!A:H,8,0)</f>
        <v>201.91</v>
      </c>
      <c r="D513" s="12" t="str">
        <f t="shared" si="14"/>
        <v>agosto</v>
      </c>
      <c r="E513" s="33">
        <f t="shared" si="15"/>
        <v>2024</v>
      </c>
    </row>
    <row r="514" spans="1:5" x14ac:dyDescent="0.25">
      <c r="A514" t="s">
        <v>124</v>
      </c>
      <c r="B514" s="10">
        <f>VLOOKUP(A514,'Datos generales'!A:B,2,0)</f>
        <v>45487.067361111112</v>
      </c>
      <c r="C514" s="12">
        <f>VLOOKUP(A514,'Datos generales'!A:H,8,0)</f>
        <v>2182.08</v>
      </c>
      <c r="D514" s="12" t="str">
        <f t="shared" si="14"/>
        <v>julio</v>
      </c>
      <c r="E514" s="33">
        <f t="shared" si="15"/>
        <v>2024</v>
      </c>
    </row>
    <row r="515" spans="1:5" x14ac:dyDescent="0.25">
      <c r="A515" t="s">
        <v>125</v>
      </c>
      <c r="B515" s="10">
        <f>VLOOKUP(A515,'Datos generales'!A:B,2,0)</f>
        <v>45281.986805555563</v>
      </c>
      <c r="C515" s="12">
        <f>VLOOKUP(A515,'Datos generales'!A:H,8,0)</f>
        <v>4936.29</v>
      </c>
      <c r="D515" s="12" t="str">
        <f t="shared" ref="D515:D578" si="16">TEXT(B515,"mmmm")</f>
        <v>diciembre</v>
      </c>
      <c r="E515" s="33">
        <f t="shared" ref="E515:E578" si="17">YEAR(B515)</f>
        <v>2023</v>
      </c>
    </row>
    <row r="516" spans="1:5" x14ac:dyDescent="0.25">
      <c r="A516" t="s">
        <v>126</v>
      </c>
      <c r="B516" s="10">
        <f>VLOOKUP(A516,'Datos generales'!A:B,2,0)</f>
        <v>45468.378472222219</v>
      </c>
      <c r="C516" s="12">
        <f>VLOOKUP(A516,'Datos generales'!A:H,8,0)</f>
        <v>1260.1500000000001</v>
      </c>
      <c r="D516" s="12" t="str">
        <f t="shared" si="16"/>
        <v>junio</v>
      </c>
      <c r="E516" s="33">
        <f t="shared" si="17"/>
        <v>2024</v>
      </c>
    </row>
    <row r="517" spans="1:5" x14ac:dyDescent="0.25">
      <c r="A517" t="s">
        <v>127</v>
      </c>
      <c r="B517" s="10">
        <f>VLOOKUP(A517,'Datos generales'!A:B,2,0)</f>
        <v>45529.436805555553</v>
      </c>
      <c r="C517" s="12">
        <f>VLOOKUP(A517,'Datos generales'!A:H,8,0)</f>
        <v>1987.6</v>
      </c>
      <c r="D517" s="12" t="str">
        <f t="shared" si="16"/>
        <v>agosto</v>
      </c>
      <c r="E517" s="33">
        <f t="shared" si="17"/>
        <v>2024</v>
      </c>
    </row>
    <row r="518" spans="1:5" x14ac:dyDescent="0.25">
      <c r="A518" t="s">
        <v>128</v>
      </c>
      <c r="B518" s="10">
        <f>VLOOKUP(A518,'Datos generales'!A:B,2,0)</f>
        <v>44961.01666666667</v>
      </c>
      <c r="C518" s="12">
        <f>VLOOKUP(A518,'Datos generales'!A:H,8,0)</f>
        <v>1443.12</v>
      </c>
      <c r="D518" s="12" t="str">
        <f t="shared" si="16"/>
        <v>febrero</v>
      </c>
      <c r="E518" s="33">
        <f t="shared" si="17"/>
        <v>2023</v>
      </c>
    </row>
    <row r="519" spans="1:5" x14ac:dyDescent="0.25">
      <c r="A519" t="s">
        <v>129</v>
      </c>
      <c r="B519" s="10">
        <f>VLOOKUP(A519,'Datos generales'!A:B,2,0)</f>
        <v>45041.746527777781</v>
      </c>
      <c r="C519" s="12">
        <f>VLOOKUP(A519,'Datos generales'!A:H,8,0)</f>
        <v>5415.6</v>
      </c>
      <c r="D519" s="12" t="str">
        <f t="shared" si="16"/>
        <v>abril</v>
      </c>
      <c r="E519" s="33">
        <f t="shared" si="17"/>
        <v>2023</v>
      </c>
    </row>
    <row r="520" spans="1:5" x14ac:dyDescent="0.25">
      <c r="A520" t="s">
        <v>130</v>
      </c>
      <c r="B520" s="10">
        <f>VLOOKUP(A520,'Datos generales'!A:B,2,0)</f>
        <v>45400.756249999999</v>
      </c>
      <c r="C520" s="12">
        <f>VLOOKUP(A520,'Datos generales'!A:H,8,0)</f>
        <v>859.04</v>
      </c>
      <c r="D520" s="12" t="str">
        <f t="shared" si="16"/>
        <v>abril</v>
      </c>
      <c r="E520" s="33">
        <f t="shared" si="17"/>
        <v>2024</v>
      </c>
    </row>
    <row r="521" spans="1:5" x14ac:dyDescent="0.25">
      <c r="A521" t="s">
        <v>131</v>
      </c>
      <c r="B521" s="10">
        <f>VLOOKUP(A521,'Datos generales'!A:B,2,0)</f>
        <v>45465.772916666669</v>
      </c>
      <c r="C521" s="12">
        <f>VLOOKUP(A521,'Datos generales'!A:H,8,0)</f>
        <v>3649.92</v>
      </c>
      <c r="D521" s="12" t="str">
        <f t="shared" si="16"/>
        <v>junio</v>
      </c>
      <c r="E521" s="33">
        <f t="shared" si="17"/>
        <v>2024</v>
      </c>
    </row>
    <row r="522" spans="1:5" x14ac:dyDescent="0.25">
      <c r="A522" t="s">
        <v>132</v>
      </c>
      <c r="B522" s="10">
        <f>VLOOKUP(A522,'Datos generales'!A:B,2,0)</f>
        <v>45316.202777777777</v>
      </c>
      <c r="C522" s="12">
        <f>VLOOKUP(A522,'Datos generales'!A:H,8,0)</f>
        <v>5299.0499999999993</v>
      </c>
      <c r="D522" s="12" t="str">
        <f t="shared" si="16"/>
        <v>enero</v>
      </c>
      <c r="E522" s="33">
        <f t="shared" si="17"/>
        <v>2024</v>
      </c>
    </row>
    <row r="523" spans="1:5" x14ac:dyDescent="0.25">
      <c r="A523" t="s">
        <v>133</v>
      </c>
      <c r="B523" s="10">
        <f>VLOOKUP(A523,'Datos generales'!A:B,2,0)</f>
        <v>45118.634722222218</v>
      </c>
      <c r="C523" s="12">
        <f>VLOOKUP(A523,'Datos generales'!A:H,8,0)</f>
        <v>185.56</v>
      </c>
      <c r="D523" s="12" t="str">
        <f t="shared" si="16"/>
        <v>julio</v>
      </c>
      <c r="E523" s="33">
        <f t="shared" si="17"/>
        <v>2023</v>
      </c>
    </row>
    <row r="524" spans="1:5" x14ac:dyDescent="0.25">
      <c r="A524" t="s">
        <v>134</v>
      </c>
      <c r="B524" s="10">
        <f>VLOOKUP(A524,'Datos generales'!A:B,2,0)</f>
        <v>45232.75</v>
      </c>
      <c r="C524" s="12">
        <f>VLOOKUP(A524,'Datos generales'!A:H,8,0)</f>
        <v>754.07</v>
      </c>
      <c r="D524" s="12" t="str">
        <f t="shared" si="16"/>
        <v>noviembre</v>
      </c>
      <c r="E524" s="33">
        <f t="shared" si="17"/>
        <v>2023</v>
      </c>
    </row>
    <row r="525" spans="1:5" x14ac:dyDescent="0.25">
      <c r="A525" t="s">
        <v>135</v>
      </c>
      <c r="B525" s="10">
        <f>VLOOKUP(A525,'Datos generales'!A:B,2,0)</f>
        <v>45745.421527777777</v>
      </c>
      <c r="C525" s="12">
        <f>VLOOKUP(A525,'Datos generales'!A:H,8,0)</f>
        <v>1681.02</v>
      </c>
      <c r="D525" s="12" t="str">
        <f t="shared" si="16"/>
        <v>marzo</v>
      </c>
      <c r="E525" s="33">
        <f t="shared" si="17"/>
        <v>2025</v>
      </c>
    </row>
    <row r="526" spans="1:5" x14ac:dyDescent="0.25">
      <c r="A526" t="s">
        <v>136</v>
      </c>
      <c r="B526" s="10">
        <f>VLOOKUP(A526,'Datos generales'!A:B,2,0)</f>
        <v>45802.370833333327</v>
      </c>
      <c r="C526" s="12">
        <f>VLOOKUP(A526,'Datos generales'!A:H,8,0)</f>
        <v>2397.44</v>
      </c>
      <c r="D526" s="12" t="str">
        <f t="shared" si="16"/>
        <v>mayo</v>
      </c>
      <c r="E526" s="33">
        <f t="shared" si="17"/>
        <v>2025</v>
      </c>
    </row>
    <row r="527" spans="1:5" x14ac:dyDescent="0.25">
      <c r="A527" t="s">
        <v>137</v>
      </c>
      <c r="B527" s="10">
        <f>VLOOKUP(A527,'Datos generales'!A:B,2,0)</f>
        <v>45249.604861111111</v>
      </c>
      <c r="C527" s="12">
        <f>VLOOKUP(A527,'Datos generales'!A:H,8,0)</f>
        <v>2080.4</v>
      </c>
      <c r="D527" s="12" t="str">
        <f t="shared" si="16"/>
        <v>noviembre</v>
      </c>
      <c r="E527" s="33">
        <f t="shared" si="17"/>
        <v>2023</v>
      </c>
    </row>
    <row r="528" spans="1:5" x14ac:dyDescent="0.25">
      <c r="A528" t="s">
        <v>138</v>
      </c>
      <c r="B528" s="10">
        <f>VLOOKUP(A528,'Datos generales'!A:B,2,0)</f>
        <v>45854.013194444437</v>
      </c>
      <c r="C528" s="12">
        <f>VLOOKUP(A528,'Datos generales'!A:H,8,0)</f>
        <v>322.58999999999997</v>
      </c>
      <c r="D528" s="12" t="str">
        <f t="shared" si="16"/>
        <v>julio</v>
      </c>
      <c r="E528" s="33">
        <f t="shared" si="17"/>
        <v>2025</v>
      </c>
    </row>
    <row r="529" spans="1:5" x14ac:dyDescent="0.25">
      <c r="A529" t="s">
        <v>139</v>
      </c>
      <c r="B529" s="10">
        <f>VLOOKUP(A529,'Datos generales'!A:B,2,0)</f>
        <v>45828.018055555563</v>
      </c>
      <c r="C529" s="12">
        <f>VLOOKUP(A529,'Datos generales'!A:H,8,0)</f>
        <v>1522.64</v>
      </c>
      <c r="D529" s="12" t="str">
        <f t="shared" si="16"/>
        <v>junio</v>
      </c>
      <c r="E529" s="33">
        <f t="shared" si="17"/>
        <v>2025</v>
      </c>
    </row>
    <row r="530" spans="1:5" x14ac:dyDescent="0.25">
      <c r="A530" t="s">
        <v>140</v>
      </c>
      <c r="B530" s="10">
        <f>VLOOKUP(A530,'Datos generales'!A:B,2,0)</f>
        <v>45673.40902777778</v>
      </c>
      <c r="C530" s="12">
        <f>VLOOKUP(A530,'Datos generales'!A:H,8,0)</f>
        <v>1400.22</v>
      </c>
      <c r="D530" s="12" t="str">
        <f t="shared" si="16"/>
        <v>enero</v>
      </c>
      <c r="E530" s="33">
        <f t="shared" si="17"/>
        <v>2025</v>
      </c>
    </row>
    <row r="531" spans="1:5" x14ac:dyDescent="0.25">
      <c r="A531" t="s">
        <v>141</v>
      </c>
      <c r="B531" s="10">
        <f>VLOOKUP(A531,'Datos generales'!A:B,2,0)</f>
        <v>44932.951388888891</v>
      </c>
      <c r="C531" s="12">
        <f>VLOOKUP(A531,'Datos generales'!A:H,8,0)</f>
        <v>1792.4</v>
      </c>
      <c r="D531" s="12" t="str">
        <f t="shared" si="16"/>
        <v>enero</v>
      </c>
      <c r="E531" s="33">
        <f t="shared" si="17"/>
        <v>2023</v>
      </c>
    </row>
    <row r="532" spans="1:5" x14ac:dyDescent="0.25">
      <c r="A532" t="s">
        <v>142</v>
      </c>
      <c r="B532" s="10">
        <f>VLOOKUP(A532,'Datos generales'!A:B,2,0)</f>
        <v>45381.871527777781</v>
      </c>
      <c r="C532" s="12">
        <f>VLOOKUP(A532,'Datos generales'!A:H,8,0)</f>
        <v>2986.4</v>
      </c>
      <c r="D532" s="12" t="str">
        <f t="shared" si="16"/>
        <v>marzo</v>
      </c>
      <c r="E532" s="33">
        <f t="shared" si="17"/>
        <v>2024</v>
      </c>
    </row>
    <row r="533" spans="1:5" x14ac:dyDescent="0.25">
      <c r="A533" t="s">
        <v>143</v>
      </c>
      <c r="B533" s="10">
        <f>VLOOKUP(A533,'Datos generales'!A:B,2,0)</f>
        <v>45450.97152777778</v>
      </c>
      <c r="C533" s="12">
        <f>VLOOKUP(A533,'Datos generales'!A:H,8,0)</f>
        <v>751.43</v>
      </c>
      <c r="D533" s="12" t="str">
        <f t="shared" si="16"/>
        <v>junio</v>
      </c>
      <c r="E533" s="33">
        <f t="shared" si="17"/>
        <v>2024</v>
      </c>
    </row>
    <row r="534" spans="1:5" x14ac:dyDescent="0.25">
      <c r="A534" t="s">
        <v>144</v>
      </c>
      <c r="B534" s="10">
        <f>VLOOKUP(A534,'Datos generales'!A:B,2,0)</f>
        <v>45122.813888888893</v>
      </c>
      <c r="C534" s="12">
        <f>VLOOKUP(A534,'Datos generales'!A:H,8,0)</f>
        <v>5545.4</v>
      </c>
      <c r="D534" s="12" t="str">
        <f t="shared" si="16"/>
        <v>julio</v>
      </c>
      <c r="E534" s="33">
        <f t="shared" si="17"/>
        <v>2023</v>
      </c>
    </row>
    <row r="535" spans="1:5" x14ac:dyDescent="0.25">
      <c r="A535" t="s">
        <v>145</v>
      </c>
      <c r="B535" s="10">
        <f>VLOOKUP(A535,'Datos generales'!A:B,2,0)</f>
        <v>45329.842361111107</v>
      </c>
      <c r="C535" s="12">
        <f>VLOOKUP(A535,'Datos generales'!A:H,8,0)</f>
        <v>3213.7</v>
      </c>
      <c r="D535" s="12" t="str">
        <f t="shared" si="16"/>
        <v>febrero</v>
      </c>
      <c r="E535" s="33">
        <f t="shared" si="17"/>
        <v>2024</v>
      </c>
    </row>
    <row r="536" spans="1:5" x14ac:dyDescent="0.25">
      <c r="A536" t="s">
        <v>146</v>
      </c>
      <c r="B536" s="10">
        <f>VLOOKUP(A536,'Datos generales'!A:B,2,0)</f>
        <v>45615.539583333331</v>
      </c>
      <c r="C536" s="12">
        <f>VLOOKUP(A536,'Datos generales'!A:H,8,0)</f>
        <v>1228.6500000000001</v>
      </c>
      <c r="D536" s="12" t="str">
        <f t="shared" si="16"/>
        <v>noviembre</v>
      </c>
      <c r="E536" s="33">
        <f t="shared" si="17"/>
        <v>2024</v>
      </c>
    </row>
    <row r="537" spans="1:5" x14ac:dyDescent="0.25">
      <c r="A537" t="s">
        <v>147</v>
      </c>
      <c r="B537" s="10">
        <f>VLOOKUP(A537,'Datos generales'!A:B,2,0)</f>
        <v>45222.775694444441</v>
      </c>
      <c r="C537" s="12">
        <f>VLOOKUP(A537,'Datos generales'!A:H,8,0)</f>
        <v>5346.39</v>
      </c>
      <c r="D537" s="12" t="str">
        <f t="shared" si="16"/>
        <v>octubre</v>
      </c>
      <c r="E537" s="33">
        <f t="shared" si="17"/>
        <v>2023</v>
      </c>
    </row>
    <row r="538" spans="1:5" x14ac:dyDescent="0.25">
      <c r="A538" t="s">
        <v>148</v>
      </c>
      <c r="B538" s="10">
        <f>VLOOKUP(A538,'Datos generales'!A:B,2,0)</f>
        <v>45525.048611111109</v>
      </c>
      <c r="C538" s="12">
        <f>VLOOKUP(A538,'Datos generales'!A:H,8,0)</f>
        <v>5685.7000000000007</v>
      </c>
      <c r="D538" s="12" t="str">
        <f t="shared" si="16"/>
        <v>agosto</v>
      </c>
      <c r="E538" s="33">
        <f t="shared" si="17"/>
        <v>2024</v>
      </c>
    </row>
    <row r="539" spans="1:5" x14ac:dyDescent="0.25">
      <c r="A539" t="s">
        <v>149</v>
      </c>
      <c r="B539" s="10">
        <f>VLOOKUP(A539,'Datos generales'!A:B,2,0)</f>
        <v>45520.686111111107</v>
      </c>
      <c r="C539" s="12">
        <f>VLOOKUP(A539,'Datos generales'!A:H,8,0)</f>
        <v>3866.88</v>
      </c>
      <c r="D539" s="12" t="str">
        <f t="shared" si="16"/>
        <v>agosto</v>
      </c>
      <c r="E539" s="33">
        <f t="shared" si="17"/>
        <v>2024</v>
      </c>
    </row>
    <row r="540" spans="1:5" x14ac:dyDescent="0.25">
      <c r="A540" t="s">
        <v>150</v>
      </c>
      <c r="B540" s="10">
        <f>VLOOKUP(A540,'Datos generales'!A:B,2,0)</f>
        <v>45484.331944444442</v>
      </c>
      <c r="C540" s="12">
        <f>VLOOKUP(A540,'Datos generales'!A:H,8,0)</f>
        <v>3774.4</v>
      </c>
      <c r="D540" s="12" t="str">
        <f t="shared" si="16"/>
        <v>julio</v>
      </c>
      <c r="E540" s="33">
        <f t="shared" si="17"/>
        <v>2024</v>
      </c>
    </row>
    <row r="541" spans="1:5" x14ac:dyDescent="0.25">
      <c r="A541" t="s">
        <v>151</v>
      </c>
      <c r="B541" s="10">
        <f>VLOOKUP(A541,'Datos generales'!A:B,2,0)</f>
        <v>45842.433333333327</v>
      </c>
      <c r="C541" s="12">
        <f>VLOOKUP(A541,'Datos generales'!A:H,8,0)</f>
        <v>3610</v>
      </c>
      <c r="D541" s="12" t="str">
        <f t="shared" si="16"/>
        <v>julio</v>
      </c>
      <c r="E541" s="33">
        <f t="shared" si="17"/>
        <v>2025</v>
      </c>
    </row>
    <row r="542" spans="1:5" x14ac:dyDescent="0.25">
      <c r="A542" t="s">
        <v>152</v>
      </c>
      <c r="B542" s="10">
        <f>VLOOKUP(A542,'Datos generales'!A:B,2,0)</f>
        <v>45697.842361111107</v>
      </c>
      <c r="C542" s="12">
        <f>VLOOKUP(A542,'Datos generales'!A:H,8,0)</f>
        <v>156.36000000000001</v>
      </c>
      <c r="D542" s="12" t="str">
        <f t="shared" si="16"/>
        <v>febrero</v>
      </c>
      <c r="E542" s="33">
        <f t="shared" si="17"/>
        <v>2025</v>
      </c>
    </row>
    <row r="543" spans="1:5" x14ac:dyDescent="0.25">
      <c r="A543" t="s">
        <v>153</v>
      </c>
      <c r="B543" s="10">
        <f>VLOOKUP(A543,'Datos generales'!A:B,2,0)</f>
        <v>45927.180555555547</v>
      </c>
      <c r="C543" s="12">
        <f>VLOOKUP(A543,'Datos generales'!A:H,8,0)</f>
        <v>3230.82</v>
      </c>
      <c r="D543" s="12" t="str">
        <f t="shared" si="16"/>
        <v>septiembre</v>
      </c>
      <c r="E543" s="33">
        <f t="shared" si="17"/>
        <v>2025</v>
      </c>
    </row>
    <row r="544" spans="1:5" x14ac:dyDescent="0.25">
      <c r="A544" t="s">
        <v>154</v>
      </c>
      <c r="B544" s="10">
        <f>VLOOKUP(A544,'Datos generales'!A:B,2,0)</f>
        <v>45511.748611111107</v>
      </c>
      <c r="C544" s="12">
        <f>VLOOKUP(A544,'Datos generales'!A:H,8,0)</f>
        <v>747.69999999999993</v>
      </c>
      <c r="D544" s="12" t="str">
        <f t="shared" si="16"/>
        <v>agosto</v>
      </c>
      <c r="E544" s="33">
        <f t="shared" si="17"/>
        <v>2024</v>
      </c>
    </row>
    <row r="545" spans="1:5" x14ac:dyDescent="0.25">
      <c r="A545" t="s">
        <v>155</v>
      </c>
      <c r="B545" s="10">
        <f>VLOOKUP(A545,'Datos generales'!A:B,2,0)</f>
        <v>45867.710416666669</v>
      </c>
      <c r="C545" s="12">
        <f>VLOOKUP(A545,'Datos generales'!A:H,8,0)</f>
        <v>4776.95</v>
      </c>
      <c r="D545" s="12" t="str">
        <f t="shared" si="16"/>
        <v>julio</v>
      </c>
      <c r="E545" s="33">
        <f t="shared" si="17"/>
        <v>2025</v>
      </c>
    </row>
    <row r="546" spans="1:5" x14ac:dyDescent="0.25">
      <c r="A546" t="s">
        <v>156</v>
      </c>
      <c r="B546" s="10">
        <f>VLOOKUP(A546,'Datos generales'!A:B,2,0)</f>
        <v>45339.555555555547</v>
      </c>
      <c r="C546" s="12">
        <f>VLOOKUP(A546,'Datos generales'!A:H,8,0)</f>
        <v>3927.26</v>
      </c>
      <c r="D546" s="12" t="str">
        <f t="shared" si="16"/>
        <v>febrero</v>
      </c>
      <c r="E546" s="33">
        <f t="shared" si="17"/>
        <v>2024</v>
      </c>
    </row>
    <row r="547" spans="1:5" x14ac:dyDescent="0.25">
      <c r="A547" t="s">
        <v>157</v>
      </c>
      <c r="B547" s="10">
        <f>VLOOKUP(A547,'Datos generales'!A:B,2,0)</f>
        <v>45538.998611111107</v>
      </c>
      <c r="C547" s="12">
        <f>VLOOKUP(A547,'Datos generales'!A:H,8,0)</f>
        <v>7200.7000000000007</v>
      </c>
      <c r="D547" s="12" t="str">
        <f t="shared" si="16"/>
        <v>septiembre</v>
      </c>
      <c r="E547" s="33">
        <f t="shared" si="17"/>
        <v>2024</v>
      </c>
    </row>
    <row r="548" spans="1:5" x14ac:dyDescent="0.25">
      <c r="A548" t="s">
        <v>158</v>
      </c>
      <c r="B548" s="10">
        <f>VLOOKUP(A548,'Datos generales'!A:B,2,0)</f>
        <v>45105.837500000001</v>
      </c>
      <c r="C548" s="12">
        <f>VLOOKUP(A548,'Datos generales'!A:H,8,0)</f>
        <v>1134.8</v>
      </c>
      <c r="D548" s="12" t="str">
        <f t="shared" si="16"/>
        <v>junio</v>
      </c>
      <c r="E548" s="33">
        <f t="shared" si="17"/>
        <v>2023</v>
      </c>
    </row>
    <row r="549" spans="1:5" x14ac:dyDescent="0.25">
      <c r="A549" t="s">
        <v>159</v>
      </c>
      <c r="B549" s="10">
        <f>VLOOKUP(A549,'Datos generales'!A:B,2,0)</f>
        <v>45470.283333333333</v>
      </c>
      <c r="C549" s="12">
        <f>VLOOKUP(A549,'Datos generales'!A:H,8,0)</f>
        <v>2062.5300000000002</v>
      </c>
      <c r="D549" s="12" t="str">
        <f t="shared" si="16"/>
        <v>junio</v>
      </c>
      <c r="E549" s="33">
        <f t="shared" si="17"/>
        <v>2024</v>
      </c>
    </row>
    <row r="550" spans="1:5" x14ac:dyDescent="0.25">
      <c r="A550" t="s">
        <v>160</v>
      </c>
      <c r="B550" s="10">
        <f>VLOOKUP(A550,'Datos generales'!A:B,2,0)</f>
        <v>45122.511805555558</v>
      </c>
      <c r="C550" s="12">
        <f>VLOOKUP(A550,'Datos generales'!A:H,8,0)</f>
        <v>564</v>
      </c>
      <c r="D550" s="12" t="str">
        <f t="shared" si="16"/>
        <v>julio</v>
      </c>
      <c r="E550" s="33">
        <f t="shared" si="17"/>
        <v>2023</v>
      </c>
    </row>
    <row r="551" spans="1:5" x14ac:dyDescent="0.25">
      <c r="A551" t="s">
        <v>161</v>
      </c>
      <c r="B551" s="10">
        <f>VLOOKUP(A551,'Datos generales'!A:B,2,0)</f>
        <v>45878.351388888892</v>
      </c>
      <c r="C551" s="12">
        <f>VLOOKUP(A551,'Datos generales'!A:H,8,0)</f>
        <v>5885.52</v>
      </c>
      <c r="D551" s="12" t="str">
        <f t="shared" si="16"/>
        <v>agosto</v>
      </c>
      <c r="E551" s="33">
        <f t="shared" si="17"/>
        <v>2025</v>
      </c>
    </row>
    <row r="552" spans="1:5" x14ac:dyDescent="0.25">
      <c r="A552" t="s">
        <v>162</v>
      </c>
      <c r="B552" s="10">
        <f>VLOOKUP(A552,'Datos generales'!A:B,2,0)</f>
        <v>45894.257638888892</v>
      </c>
      <c r="C552" s="12">
        <f>VLOOKUP(A552,'Datos generales'!A:H,8,0)</f>
        <v>1463.91</v>
      </c>
      <c r="D552" s="12" t="str">
        <f t="shared" si="16"/>
        <v>agosto</v>
      </c>
      <c r="E552" s="33">
        <f t="shared" si="17"/>
        <v>2025</v>
      </c>
    </row>
    <row r="553" spans="1:5" x14ac:dyDescent="0.25">
      <c r="A553" t="s">
        <v>163</v>
      </c>
      <c r="B553" s="10">
        <f>VLOOKUP(A553,'Datos generales'!A:B,2,0)</f>
        <v>45321.105555555558</v>
      </c>
      <c r="C553" s="12">
        <f>VLOOKUP(A553,'Datos generales'!A:H,8,0)</f>
        <v>6341.96</v>
      </c>
      <c r="D553" s="12" t="str">
        <f t="shared" si="16"/>
        <v>enero</v>
      </c>
      <c r="E553" s="33">
        <f t="shared" si="17"/>
        <v>2024</v>
      </c>
    </row>
    <row r="554" spans="1:5" x14ac:dyDescent="0.25">
      <c r="A554" t="s">
        <v>164</v>
      </c>
      <c r="B554" s="10">
        <f>VLOOKUP(A554,'Datos generales'!A:B,2,0)</f>
        <v>45571.035416666673</v>
      </c>
      <c r="C554" s="12">
        <f>VLOOKUP(A554,'Datos generales'!A:H,8,0)</f>
        <v>662.17</v>
      </c>
      <c r="D554" s="12" t="str">
        <f t="shared" si="16"/>
        <v>octubre</v>
      </c>
      <c r="E554" s="33">
        <f t="shared" si="17"/>
        <v>2024</v>
      </c>
    </row>
    <row r="555" spans="1:5" x14ac:dyDescent="0.25">
      <c r="A555" t="s">
        <v>165</v>
      </c>
      <c r="B555" s="10">
        <f>VLOOKUP(A555,'Datos generales'!A:B,2,0)</f>
        <v>45442.757638888892</v>
      </c>
      <c r="C555" s="12">
        <f>VLOOKUP(A555,'Datos generales'!A:H,8,0)</f>
        <v>273.36</v>
      </c>
      <c r="D555" s="12" t="str">
        <f t="shared" si="16"/>
        <v>mayo</v>
      </c>
      <c r="E555" s="33">
        <f t="shared" si="17"/>
        <v>2024</v>
      </c>
    </row>
    <row r="556" spans="1:5" x14ac:dyDescent="0.25">
      <c r="A556" t="s">
        <v>166</v>
      </c>
      <c r="B556" s="10">
        <f>VLOOKUP(A556,'Datos generales'!A:B,2,0)</f>
        <v>45889.054166666669</v>
      </c>
      <c r="C556" s="12">
        <f>VLOOKUP(A556,'Datos generales'!A:H,8,0)</f>
        <v>474.56</v>
      </c>
      <c r="D556" s="12" t="str">
        <f t="shared" si="16"/>
        <v>agosto</v>
      </c>
      <c r="E556" s="33">
        <f t="shared" si="17"/>
        <v>2025</v>
      </c>
    </row>
    <row r="557" spans="1:5" x14ac:dyDescent="0.25">
      <c r="A557" t="s">
        <v>167</v>
      </c>
      <c r="B557" s="10">
        <f>VLOOKUP(A557,'Datos generales'!A:B,2,0)</f>
        <v>45468.727083333331</v>
      </c>
      <c r="C557" s="12">
        <f>VLOOKUP(A557,'Datos generales'!A:H,8,0)</f>
        <v>2800.47</v>
      </c>
      <c r="D557" s="12" t="str">
        <f t="shared" si="16"/>
        <v>junio</v>
      </c>
      <c r="E557" s="33">
        <f t="shared" si="17"/>
        <v>2024</v>
      </c>
    </row>
    <row r="558" spans="1:5" x14ac:dyDescent="0.25">
      <c r="A558" t="s">
        <v>168</v>
      </c>
      <c r="B558" s="10">
        <f>VLOOKUP(A558,'Datos generales'!A:B,2,0)</f>
        <v>45202.955555555563</v>
      </c>
      <c r="C558" s="12">
        <f>VLOOKUP(A558,'Datos generales'!A:H,8,0)</f>
        <v>2070.1799999999998</v>
      </c>
      <c r="D558" s="12" t="str">
        <f t="shared" si="16"/>
        <v>octubre</v>
      </c>
      <c r="E558" s="33">
        <f t="shared" si="17"/>
        <v>2023</v>
      </c>
    </row>
    <row r="559" spans="1:5" x14ac:dyDescent="0.25">
      <c r="A559" t="s">
        <v>169</v>
      </c>
      <c r="B559" s="10">
        <f>VLOOKUP(A559,'Datos generales'!A:B,2,0)</f>
        <v>45323.202777777777</v>
      </c>
      <c r="C559" s="12">
        <f>VLOOKUP(A559,'Datos generales'!A:H,8,0)</f>
        <v>2650.02</v>
      </c>
      <c r="D559" s="12" t="str">
        <f t="shared" si="16"/>
        <v>febrero</v>
      </c>
      <c r="E559" s="33">
        <f t="shared" si="17"/>
        <v>2024</v>
      </c>
    </row>
    <row r="560" spans="1:5" x14ac:dyDescent="0.25">
      <c r="A560" t="s">
        <v>170</v>
      </c>
      <c r="B560" s="10">
        <f>VLOOKUP(A560,'Datos generales'!A:B,2,0)</f>
        <v>45288.395833333343</v>
      </c>
      <c r="C560" s="12">
        <f>VLOOKUP(A560,'Datos generales'!A:H,8,0)</f>
        <v>2843.36</v>
      </c>
      <c r="D560" s="12" t="str">
        <f t="shared" si="16"/>
        <v>diciembre</v>
      </c>
      <c r="E560" s="33">
        <f t="shared" si="17"/>
        <v>2023</v>
      </c>
    </row>
    <row r="561" spans="1:5" x14ac:dyDescent="0.25">
      <c r="A561" t="s">
        <v>171</v>
      </c>
      <c r="B561" s="10">
        <f>VLOOKUP(A561,'Datos generales'!A:B,2,0)</f>
        <v>45900.337500000001</v>
      </c>
      <c r="C561" s="12">
        <f>VLOOKUP(A561,'Datos generales'!A:H,8,0)</f>
        <v>291.81</v>
      </c>
      <c r="D561" s="12" t="str">
        <f t="shared" si="16"/>
        <v>agosto</v>
      </c>
      <c r="E561" s="33">
        <f t="shared" si="17"/>
        <v>2025</v>
      </c>
    </row>
    <row r="562" spans="1:5" x14ac:dyDescent="0.25">
      <c r="A562" t="s">
        <v>172</v>
      </c>
      <c r="B562" s="10">
        <f>VLOOKUP(A562,'Datos generales'!A:B,2,0)</f>
        <v>45576.732638888891</v>
      </c>
      <c r="C562" s="12">
        <f>VLOOKUP(A562,'Datos generales'!A:H,8,0)</f>
        <v>2491.8000000000002</v>
      </c>
      <c r="D562" s="12" t="str">
        <f t="shared" si="16"/>
        <v>octubre</v>
      </c>
      <c r="E562" s="33">
        <f t="shared" si="17"/>
        <v>2024</v>
      </c>
    </row>
    <row r="563" spans="1:5" x14ac:dyDescent="0.25">
      <c r="A563" t="s">
        <v>173</v>
      </c>
      <c r="B563" s="10">
        <f>VLOOKUP(A563,'Datos generales'!A:B,2,0)</f>
        <v>45392.97152777778</v>
      </c>
      <c r="C563" s="12">
        <f>VLOOKUP(A563,'Datos generales'!A:H,8,0)</f>
        <v>4904.45</v>
      </c>
      <c r="D563" s="12" t="str">
        <f t="shared" si="16"/>
        <v>abril</v>
      </c>
      <c r="E563" s="33">
        <f t="shared" si="17"/>
        <v>2024</v>
      </c>
    </row>
    <row r="564" spans="1:5" x14ac:dyDescent="0.25">
      <c r="A564" t="s">
        <v>174</v>
      </c>
      <c r="B564" s="10">
        <f>VLOOKUP(A564,'Datos generales'!A:B,2,0)</f>
        <v>45584.049305555563</v>
      </c>
      <c r="C564" s="12">
        <f>VLOOKUP(A564,'Datos generales'!A:H,8,0)</f>
        <v>1390.33</v>
      </c>
      <c r="D564" s="12" t="str">
        <f t="shared" si="16"/>
        <v>octubre</v>
      </c>
      <c r="E564" s="33">
        <f t="shared" si="17"/>
        <v>2024</v>
      </c>
    </row>
    <row r="565" spans="1:5" x14ac:dyDescent="0.25">
      <c r="A565" t="s">
        <v>175</v>
      </c>
      <c r="B565" s="10">
        <f>VLOOKUP(A565,'Datos generales'!A:B,2,0)</f>
        <v>44941.657638888893</v>
      </c>
      <c r="C565" s="12">
        <f>VLOOKUP(A565,'Datos generales'!A:H,8,0)</f>
        <v>8540.4499999999989</v>
      </c>
      <c r="D565" s="12" t="str">
        <f t="shared" si="16"/>
        <v>enero</v>
      </c>
      <c r="E565" s="33">
        <f t="shared" si="17"/>
        <v>2023</v>
      </c>
    </row>
    <row r="566" spans="1:5" x14ac:dyDescent="0.25">
      <c r="A566" t="s">
        <v>176</v>
      </c>
      <c r="B566" s="10">
        <f>VLOOKUP(A566,'Datos generales'!A:B,2,0)</f>
        <v>45238.718055555553</v>
      </c>
      <c r="C566" s="12">
        <f>VLOOKUP(A566,'Datos generales'!A:H,8,0)</f>
        <v>1378.2</v>
      </c>
      <c r="D566" s="12" t="str">
        <f t="shared" si="16"/>
        <v>noviembre</v>
      </c>
      <c r="E566" s="33">
        <f t="shared" si="17"/>
        <v>2023</v>
      </c>
    </row>
    <row r="567" spans="1:5" x14ac:dyDescent="0.25">
      <c r="A567" t="s">
        <v>177</v>
      </c>
      <c r="B567" s="10">
        <f>VLOOKUP(A567,'Datos generales'!A:B,2,0)</f>
        <v>44973.59652777778</v>
      </c>
      <c r="C567" s="12">
        <f>VLOOKUP(A567,'Datos generales'!A:H,8,0)</f>
        <v>1578.33</v>
      </c>
      <c r="D567" s="12" t="str">
        <f t="shared" si="16"/>
        <v>febrero</v>
      </c>
      <c r="E567" s="33">
        <f t="shared" si="17"/>
        <v>2023</v>
      </c>
    </row>
    <row r="568" spans="1:5" x14ac:dyDescent="0.25">
      <c r="A568" t="s">
        <v>178</v>
      </c>
      <c r="B568" s="10">
        <f>VLOOKUP(A568,'Datos generales'!A:B,2,0)</f>
        <v>45445.690972222219</v>
      </c>
      <c r="C568" s="12">
        <f>VLOOKUP(A568,'Datos generales'!A:H,8,0)</f>
        <v>8011.9500000000007</v>
      </c>
      <c r="D568" s="12" t="str">
        <f t="shared" si="16"/>
        <v>junio</v>
      </c>
      <c r="E568" s="33">
        <f t="shared" si="17"/>
        <v>2024</v>
      </c>
    </row>
    <row r="569" spans="1:5" x14ac:dyDescent="0.25">
      <c r="A569" t="s">
        <v>179</v>
      </c>
      <c r="B569" s="10">
        <f>VLOOKUP(A569,'Datos generales'!A:B,2,0)</f>
        <v>45035.472916666673</v>
      </c>
      <c r="C569" s="12">
        <f>VLOOKUP(A569,'Datos generales'!A:H,8,0)</f>
        <v>1429.1</v>
      </c>
      <c r="D569" s="12" t="str">
        <f t="shared" si="16"/>
        <v>abril</v>
      </c>
      <c r="E569" s="33">
        <f t="shared" si="17"/>
        <v>2023</v>
      </c>
    </row>
    <row r="570" spans="1:5" x14ac:dyDescent="0.25">
      <c r="A570" t="s">
        <v>180</v>
      </c>
      <c r="B570" s="10">
        <f>VLOOKUP(A570,'Datos generales'!A:B,2,0)</f>
        <v>45836.104166666657</v>
      </c>
      <c r="C570" s="12">
        <f>VLOOKUP(A570,'Datos generales'!A:H,8,0)</f>
        <v>281.08</v>
      </c>
      <c r="D570" s="12" t="str">
        <f t="shared" si="16"/>
        <v>junio</v>
      </c>
      <c r="E570" s="33">
        <f t="shared" si="17"/>
        <v>2025</v>
      </c>
    </row>
    <row r="571" spans="1:5" x14ac:dyDescent="0.25">
      <c r="A571" t="s">
        <v>181</v>
      </c>
      <c r="B571" s="10">
        <f>VLOOKUP(A571,'Datos generales'!A:B,2,0)</f>
        <v>45584.553472222222</v>
      </c>
      <c r="C571" s="12">
        <f>VLOOKUP(A571,'Datos generales'!A:H,8,0)</f>
        <v>1434.35</v>
      </c>
      <c r="D571" s="12" t="str">
        <f t="shared" si="16"/>
        <v>octubre</v>
      </c>
      <c r="E571" s="33">
        <f t="shared" si="17"/>
        <v>2024</v>
      </c>
    </row>
    <row r="572" spans="1:5" x14ac:dyDescent="0.25">
      <c r="A572" t="s">
        <v>182</v>
      </c>
      <c r="B572" s="10">
        <f>VLOOKUP(A572,'Datos generales'!A:B,2,0)</f>
        <v>45338.585416666669</v>
      </c>
      <c r="C572" s="12">
        <f>VLOOKUP(A572,'Datos generales'!A:H,8,0)</f>
        <v>9489.85</v>
      </c>
      <c r="D572" s="12" t="str">
        <f t="shared" si="16"/>
        <v>febrero</v>
      </c>
      <c r="E572" s="33">
        <f t="shared" si="17"/>
        <v>2024</v>
      </c>
    </row>
    <row r="573" spans="1:5" x14ac:dyDescent="0.25">
      <c r="A573" t="s">
        <v>183</v>
      </c>
      <c r="B573" s="10">
        <f>VLOOKUP(A573,'Datos generales'!A:B,2,0)</f>
        <v>45625.480555555558</v>
      </c>
      <c r="C573" s="12">
        <f>VLOOKUP(A573,'Datos generales'!A:H,8,0)</f>
        <v>1175.42</v>
      </c>
      <c r="D573" s="12" t="str">
        <f t="shared" si="16"/>
        <v>noviembre</v>
      </c>
      <c r="E573" s="33">
        <f t="shared" si="17"/>
        <v>2024</v>
      </c>
    </row>
    <row r="574" spans="1:5" x14ac:dyDescent="0.25">
      <c r="A574" t="s">
        <v>184</v>
      </c>
      <c r="B574" s="10">
        <f>VLOOKUP(A574,'Datos generales'!A:B,2,0)</f>
        <v>45291</v>
      </c>
      <c r="C574" s="12">
        <f>VLOOKUP(A574,'Datos generales'!A:H,8,0)</f>
        <v>3580.52</v>
      </c>
      <c r="D574" s="12" t="str">
        <f t="shared" si="16"/>
        <v>diciembre</v>
      </c>
      <c r="E574" s="33">
        <f t="shared" si="17"/>
        <v>2023</v>
      </c>
    </row>
    <row r="575" spans="1:5" x14ac:dyDescent="0.25">
      <c r="A575" t="s">
        <v>185</v>
      </c>
      <c r="B575" s="10">
        <f>VLOOKUP(A575,'Datos generales'!A:B,2,0)</f>
        <v>45548.488194444442</v>
      </c>
      <c r="C575" s="12">
        <f>VLOOKUP(A575,'Datos generales'!A:H,8,0)</f>
        <v>4372.0499999999993</v>
      </c>
      <c r="D575" s="12" t="str">
        <f t="shared" si="16"/>
        <v>septiembre</v>
      </c>
      <c r="E575" s="33">
        <f t="shared" si="17"/>
        <v>2024</v>
      </c>
    </row>
    <row r="576" spans="1:5" x14ac:dyDescent="0.25">
      <c r="A576" t="s">
        <v>186</v>
      </c>
      <c r="B576" s="10">
        <f>VLOOKUP(A576,'Datos generales'!A:B,2,0)</f>
        <v>45540.261805555558</v>
      </c>
      <c r="C576" s="12">
        <f>VLOOKUP(A576,'Datos generales'!A:H,8,0)</f>
        <v>3249.96</v>
      </c>
      <c r="D576" s="12" t="str">
        <f t="shared" si="16"/>
        <v>septiembre</v>
      </c>
      <c r="E576" s="33">
        <f t="shared" si="17"/>
        <v>2024</v>
      </c>
    </row>
    <row r="577" spans="1:5" x14ac:dyDescent="0.25">
      <c r="A577" t="s">
        <v>187</v>
      </c>
      <c r="B577" s="10">
        <f>VLOOKUP(A577,'Datos generales'!A:B,2,0)</f>
        <v>45783.684027777781</v>
      </c>
      <c r="C577" s="12">
        <f>VLOOKUP(A577,'Datos generales'!A:H,8,0)</f>
        <v>4628.13</v>
      </c>
      <c r="D577" s="12" t="str">
        <f t="shared" si="16"/>
        <v>mayo</v>
      </c>
      <c r="E577" s="33">
        <f t="shared" si="17"/>
        <v>2025</v>
      </c>
    </row>
    <row r="578" spans="1:5" x14ac:dyDescent="0.25">
      <c r="A578" t="s">
        <v>188</v>
      </c>
      <c r="B578" s="10">
        <f>VLOOKUP(A578,'Datos generales'!A:B,2,0)</f>
        <v>45692.470138888893</v>
      </c>
      <c r="C578" s="12">
        <f>VLOOKUP(A578,'Datos generales'!A:H,8,0)</f>
        <v>3619</v>
      </c>
      <c r="D578" s="12" t="str">
        <f t="shared" si="16"/>
        <v>febrero</v>
      </c>
      <c r="E578" s="33">
        <f t="shared" si="17"/>
        <v>2025</v>
      </c>
    </row>
    <row r="579" spans="1:5" x14ac:dyDescent="0.25">
      <c r="A579" t="s">
        <v>189</v>
      </c>
      <c r="B579" s="10">
        <f>VLOOKUP(A579,'Datos generales'!A:B,2,0)</f>
        <v>45186.410416666673</v>
      </c>
      <c r="C579" s="12">
        <f>VLOOKUP(A579,'Datos generales'!A:H,8,0)</f>
        <v>899.85</v>
      </c>
      <c r="D579" s="12" t="str">
        <f t="shared" ref="D579:D642" si="18">TEXT(B579,"mmmm")</f>
        <v>septiembre</v>
      </c>
      <c r="E579" s="33">
        <f t="shared" ref="E579:E642" si="19">YEAR(B579)</f>
        <v>2023</v>
      </c>
    </row>
    <row r="580" spans="1:5" x14ac:dyDescent="0.25">
      <c r="A580" t="s">
        <v>190</v>
      </c>
      <c r="B580" s="10">
        <f>VLOOKUP(A580,'Datos generales'!A:B,2,0)</f>
        <v>45539.616666666669</v>
      </c>
      <c r="C580" s="12">
        <f>VLOOKUP(A580,'Datos generales'!A:H,8,0)</f>
        <v>1318.43</v>
      </c>
      <c r="D580" s="12" t="str">
        <f t="shared" si="18"/>
        <v>septiembre</v>
      </c>
      <c r="E580" s="33">
        <f t="shared" si="19"/>
        <v>2024</v>
      </c>
    </row>
    <row r="581" spans="1:5" x14ac:dyDescent="0.25">
      <c r="A581" t="s">
        <v>191</v>
      </c>
      <c r="B581" s="10">
        <f>VLOOKUP(A581,'Datos generales'!A:B,2,0)</f>
        <v>45073.392361111109</v>
      </c>
      <c r="C581" s="12">
        <f>VLOOKUP(A581,'Datos generales'!A:H,8,0)</f>
        <v>614.74</v>
      </c>
      <c r="D581" s="12" t="str">
        <f t="shared" si="18"/>
        <v>mayo</v>
      </c>
      <c r="E581" s="33">
        <f t="shared" si="19"/>
        <v>2023</v>
      </c>
    </row>
    <row r="582" spans="1:5" x14ac:dyDescent="0.25">
      <c r="A582" t="s">
        <v>192</v>
      </c>
      <c r="B582" s="10">
        <f>VLOOKUP(A582,'Datos generales'!A:B,2,0)</f>
        <v>45287.277777777781</v>
      </c>
      <c r="C582" s="12">
        <f>VLOOKUP(A582,'Datos generales'!A:H,8,0)</f>
        <v>1364.97</v>
      </c>
      <c r="D582" s="12" t="str">
        <f t="shared" si="18"/>
        <v>diciembre</v>
      </c>
      <c r="E582" s="33">
        <f t="shared" si="19"/>
        <v>2023</v>
      </c>
    </row>
    <row r="583" spans="1:5" x14ac:dyDescent="0.25">
      <c r="A583" t="s">
        <v>193</v>
      </c>
      <c r="B583" s="10">
        <f>VLOOKUP(A583,'Datos generales'!A:B,2,0)</f>
        <v>45398.678472222222</v>
      </c>
      <c r="C583" s="12">
        <f>VLOOKUP(A583,'Datos generales'!A:H,8,0)</f>
        <v>732.68999999999994</v>
      </c>
      <c r="D583" s="12" t="str">
        <f t="shared" si="18"/>
        <v>abril</v>
      </c>
      <c r="E583" s="33">
        <f t="shared" si="19"/>
        <v>2024</v>
      </c>
    </row>
    <row r="584" spans="1:5" x14ac:dyDescent="0.25">
      <c r="A584" t="s">
        <v>194</v>
      </c>
      <c r="B584" s="10">
        <f>VLOOKUP(A584,'Datos generales'!A:B,2,0)</f>
        <v>44949.395833333343</v>
      </c>
      <c r="C584" s="12">
        <f>VLOOKUP(A584,'Datos generales'!A:H,8,0)</f>
        <v>736.92</v>
      </c>
      <c r="D584" s="12" t="str">
        <f t="shared" si="18"/>
        <v>enero</v>
      </c>
      <c r="E584" s="33">
        <f t="shared" si="19"/>
        <v>2023</v>
      </c>
    </row>
    <row r="585" spans="1:5" x14ac:dyDescent="0.25">
      <c r="A585" t="s">
        <v>195</v>
      </c>
      <c r="B585" s="10">
        <f>VLOOKUP(A585,'Datos generales'!A:B,2,0)</f>
        <v>45560.538194444453</v>
      </c>
      <c r="C585" s="12">
        <f>VLOOKUP(A585,'Datos generales'!A:H,8,0)</f>
        <v>1501.34</v>
      </c>
      <c r="D585" s="12" t="str">
        <f t="shared" si="18"/>
        <v>septiembre</v>
      </c>
      <c r="E585" s="33">
        <f t="shared" si="19"/>
        <v>2024</v>
      </c>
    </row>
    <row r="586" spans="1:5" x14ac:dyDescent="0.25">
      <c r="A586" t="s">
        <v>196</v>
      </c>
      <c r="B586" s="10">
        <f>VLOOKUP(A586,'Datos generales'!A:B,2,0)</f>
        <v>45636.231249999997</v>
      </c>
      <c r="C586" s="12">
        <f>VLOOKUP(A586,'Datos generales'!A:H,8,0)</f>
        <v>3980.72</v>
      </c>
      <c r="D586" s="12" t="str">
        <f t="shared" si="18"/>
        <v>diciembre</v>
      </c>
      <c r="E586" s="33">
        <f t="shared" si="19"/>
        <v>2024</v>
      </c>
    </row>
    <row r="587" spans="1:5" x14ac:dyDescent="0.25">
      <c r="A587" t="s">
        <v>197</v>
      </c>
      <c r="B587" s="10">
        <f>VLOOKUP(A587,'Datos generales'!A:B,2,0)</f>
        <v>45218.252083333333</v>
      </c>
      <c r="C587" s="12">
        <f>VLOOKUP(A587,'Datos generales'!A:H,8,0)</f>
        <v>3669.44</v>
      </c>
      <c r="D587" s="12" t="str">
        <f t="shared" si="18"/>
        <v>octubre</v>
      </c>
      <c r="E587" s="33">
        <f t="shared" si="19"/>
        <v>2023</v>
      </c>
    </row>
    <row r="588" spans="1:5" x14ac:dyDescent="0.25">
      <c r="A588" t="s">
        <v>198</v>
      </c>
      <c r="B588" s="10">
        <f>VLOOKUP(A588,'Datos generales'!A:B,2,0)</f>
        <v>45615.827777777777</v>
      </c>
      <c r="C588" s="12">
        <f>VLOOKUP(A588,'Datos generales'!A:H,8,0)</f>
        <v>3884.62</v>
      </c>
      <c r="D588" s="12" t="str">
        <f t="shared" si="18"/>
        <v>noviembre</v>
      </c>
      <c r="E588" s="33">
        <f t="shared" si="19"/>
        <v>2024</v>
      </c>
    </row>
    <row r="589" spans="1:5" x14ac:dyDescent="0.25">
      <c r="A589" t="s">
        <v>199</v>
      </c>
      <c r="B589" s="10">
        <f>VLOOKUP(A589,'Datos generales'!A:B,2,0)</f>
        <v>45755.705555555563</v>
      </c>
      <c r="C589" s="12">
        <f>VLOOKUP(A589,'Datos generales'!A:H,8,0)</f>
        <v>3076.71</v>
      </c>
      <c r="D589" s="12" t="str">
        <f t="shared" si="18"/>
        <v>abril</v>
      </c>
      <c r="E589" s="33">
        <f t="shared" si="19"/>
        <v>2025</v>
      </c>
    </row>
    <row r="590" spans="1:5" x14ac:dyDescent="0.25">
      <c r="A590" t="s">
        <v>200</v>
      </c>
      <c r="B590" s="10">
        <f>VLOOKUP(A590,'Datos generales'!A:B,2,0)</f>
        <v>44962.009722222218</v>
      </c>
      <c r="C590" s="12">
        <f>VLOOKUP(A590,'Datos generales'!A:H,8,0)</f>
        <v>2220.7600000000002</v>
      </c>
      <c r="D590" s="12" t="str">
        <f t="shared" si="18"/>
        <v>febrero</v>
      </c>
      <c r="E590" s="33">
        <f t="shared" si="19"/>
        <v>2023</v>
      </c>
    </row>
    <row r="591" spans="1:5" x14ac:dyDescent="0.25">
      <c r="A591" t="s">
        <v>201</v>
      </c>
      <c r="B591" s="10">
        <f>VLOOKUP(A591,'Datos generales'!A:B,2,0)</f>
        <v>45194.675000000003</v>
      </c>
      <c r="C591" s="12">
        <f>VLOOKUP(A591,'Datos generales'!A:H,8,0)</f>
        <v>3754.1</v>
      </c>
      <c r="D591" s="12" t="str">
        <f t="shared" si="18"/>
        <v>septiembre</v>
      </c>
      <c r="E591" s="33">
        <f t="shared" si="19"/>
        <v>2023</v>
      </c>
    </row>
    <row r="592" spans="1:5" x14ac:dyDescent="0.25">
      <c r="A592" t="s">
        <v>202</v>
      </c>
      <c r="B592" s="10">
        <f>VLOOKUP(A592,'Datos generales'!A:B,2,0)</f>
        <v>45818.179861111108</v>
      </c>
      <c r="C592" s="12">
        <f>VLOOKUP(A592,'Datos generales'!A:H,8,0)</f>
        <v>3219.8</v>
      </c>
      <c r="D592" s="12" t="str">
        <f t="shared" si="18"/>
        <v>junio</v>
      </c>
      <c r="E592" s="33">
        <f t="shared" si="19"/>
        <v>2025</v>
      </c>
    </row>
    <row r="593" spans="1:5" x14ac:dyDescent="0.25">
      <c r="A593" t="s">
        <v>203</v>
      </c>
      <c r="B593" s="10">
        <f>VLOOKUP(A593,'Datos generales'!A:B,2,0)</f>
        <v>45755.011111111111</v>
      </c>
      <c r="C593" s="12">
        <f>VLOOKUP(A593,'Datos generales'!A:H,8,0)</f>
        <v>83.67</v>
      </c>
      <c r="D593" s="12" t="str">
        <f t="shared" si="18"/>
        <v>abril</v>
      </c>
      <c r="E593" s="33">
        <f t="shared" si="19"/>
        <v>2025</v>
      </c>
    </row>
    <row r="594" spans="1:5" x14ac:dyDescent="0.25">
      <c r="A594" t="s">
        <v>204</v>
      </c>
      <c r="B594" s="10">
        <f>VLOOKUP(A594,'Datos generales'!A:B,2,0)</f>
        <v>45862.584722222222</v>
      </c>
      <c r="C594" s="12">
        <f>VLOOKUP(A594,'Datos generales'!A:H,8,0)</f>
        <v>1700.54</v>
      </c>
      <c r="D594" s="12" t="str">
        <f t="shared" si="18"/>
        <v>julio</v>
      </c>
      <c r="E594" s="33">
        <f t="shared" si="19"/>
        <v>2025</v>
      </c>
    </row>
    <row r="595" spans="1:5" x14ac:dyDescent="0.25">
      <c r="A595" t="s">
        <v>205</v>
      </c>
      <c r="B595" s="10">
        <f>VLOOKUP(A595,'Datos generales'!A:B,2,0)</f>
        <v>45802.370833333327</v>
      </c>
      <c r="C595" s="12">
        <f>VLOOKUP(A595,'Datos generales'!A:H,8,0)</f>
        <v>1420.2</v>
      </c>
      <c r="D595" s="12" t="str">
        <f t="shared" si="18"/>
        <v>mayo</v>
      </c>
      <c r="E595" s="33">
        <f t="shared" si="19"/>
        <v>2025</v>
      </c>
    </row>
    <row r="596" spans="1:5" x14ac:dyDescent="0.25">
      <c r="A596" t="s">
        <v>206</v>
      </c>
      <c r="B596" s="10">
        <f>VLOOKUP(A596,'Datos generales'!A:B,2,0)</f>
        <v>45178.038888888892</v>
      </c>
      <c r="C596" s="12">
        <f>VLOOKUP(A596,'Datos generales'!A:H,8,0)</f>
        <v>521.32000000000005</v>
      </c>
      <c r="D596" s="12" t="str">
        <f t="shared" si="18"/>
        <v>septiembre</v>
      </c>
      <c r="E596" s="33">
        <f t="shared" si="19"/>
        <v>2023</v>
      </c>
    </row>
    <row r="597" spans="1:5" x14ac:dyDescent="0.25">
      <c r="A597" t="s">
        <v>207</v>
      </c>
      <c r="B597" s="10">
        <f>VLOOKUP(A597,'Datos generales'!A:B,2,0)</f>
        <v>45748.34097222222</v>
      </c>
      <c r="C597" s="12">
        <f>VLOOKUP(A597,'Datos generales'!A:H,8,0)</f>
        <v>1067.6400000000001</v>
      </c>
      <c r="D597" s="12" t="str">
        <f t="shared" si="18"/>
        <v>abril</v>
      </c>
      <c r="E597" s="33">
        <f t="shared" si="19"/>
        <v>2025</v>
      </c>
    </row>
    <row r="598" spans="1:5" x14ac:dyDescent="0.25">
      <c r="A598" t="s">
        <v>208</v>
      </c>
      <c r="B598" s="10">
        <f>VLOOKUP(A598,'Datos generales'!A:B,2,0)</f>
        <v>45055.556250000001</v>
      </c>
      <c r="C598" s="12">
        <f>VLOOKUP(A598,'Datos generales'!A:H,8,0)</f>
        <v>1903.64</v>
      </c>
      <c r="D598" s="12" t="str">
        <f t="shared" si="18"/>
        <v>mayo</v>
      </c>
      <c r="E598" s="33">
        <f t="shared" si="19"/>
        <v>2023</v>
      </c>
    </row>
    <row r="599" spans="1:5" x14ac:dyDescent="0.25">
      <c r="A599" t="s">
        <v>209</v>
      </c>
      <c r="B599" s="10">
        <f>VLOOKUP(A599,'Datos generales'!A:B,2,0)</f>
        <v>44958.773611111108</v>
      </c>
      <c r="C599" s="12">
        <f>VLOOKUP(A599,'Datos generales'!A:H,8,0)</f>
        <v>2920.32</v>
      </c>
      <c r="D599" s="12" t="str">
        <f t="shared" si="18"/>
        <v>febrero</v>
      </c>
      <c r="E599" s="33">
        <f t="shared" si="19"/>
        <v>2023</v>
      </c>
    </row>
    <row r="600" spans="1:5" x14ac:dyDescent="0.25">
      <c r="A600" t="s">
        <v>210</v>
      </c>
      <c r="B600" s="10">
        <f>VLOOKUP(A600,'Datos generales'!A:B,2,0)</f>
        <v>45816.563888888893</v>
      </c>
      <c r="C600" s="12">
        <f>VLOOKUP(A600,'Datos generales'!A:H,8,0)</f>
        <v>3388</v>
      </c>
      <c r="D600" s="12" t="str">
        <f t="shared" si="18"/>
        <v>junio</v>
      </c>
      <c r="E600" s="33">
        <f t="shared" si="19"/>
        <v>2025</v>
      </c>
    </row>
    <row r="601" spans="1:5" x14ac:dyDescent="0.25">
      <c r="A601" t="s">
        <v>211</v>
      </c>
      <c r="B601" s="10">
        <f>VLOOKUP(A601,'Datos generales'!A:B,2,0)</f>
        <v>45089.396527777782</v>
      </c>
      <c r="C601" s="12">
        <f>VLOOKUP(A601,'Datos generales'!A:H,8,0)</f>
        <v>2486.6799999999998</v>
      </c>
      <c r="D601" s="12" t="str">
        <f t="shared" si="18"/>
        <v>junio</v>
      </c>
      <c r="E601" s="33">
        <f t="shared" si="19"/>
        <v>2023</v>
      </c>
    </row>
    <row r="602" spans="1:5" x14ac:dyDescent="0.25">
      <c r="A602" t="s">
        <v>12</v>
      </c>
      <c r="B602" s="10">
        <f>VLOOKUP(A602,'Datos generales'!A:B,2,0)</f>
        <v>45280.478472222218</v>
      </c>
      <c r="C602" s="12">
        <f>VLOOKUP(A602,'Datos generales'!A:H,8,0)</f>
        <v>7486.2</v>
      </c>
      <c r="D602" s="12" t="str">
        <f t="shared" si="18"/>
        <v>diciembre</v>
      </c>
      <c r="E602" s="33">
        <f t="shared" si="19"/>
        <v>2023</v>
      </c>
    </row>
    <row r="603" spans="1:5" x14ac:dyDescent="0.25">
      <c r="A603" t="s">
        <v>13</v>
      </c>
      <c r="B603" s="10">
        <f>VLOOKUP(A603,'Datos generales'!A:B,2,0)</f>
        <v>45008.840277777781</v>
      </c>
      <c r="C603" s="12">
        <f>VLOOKUP(A603,'Datos generales'!A:H,8,0)</f>
        <v>1687.54</v>
      </c>
      <c r="D603" s="12" t="str">
        <f t="shared" si="18"/>
        <v>marzo</v>
      </c>
      <c r="E603" s="33">
        <f t="shared" si="19"/>
        <v>2023</v>
      </c>
    </row>
    <row r="604" spans="1:5" x14ac:dyDescent="0.25">
      <c r="A604" t="s">
        <v>14</v>
      </c>
      <c r="B604" s="10">
        <f>VLOOKUP(A604,'Datos generales'!A:B,2,0)</f>
        <v>45355.443749999999</v>
      </c>
      <c r="C604" s="12">
        <f>VLOOKUP(A604,'Datos generales'!A:H,8,0)</f>
        <v>2306.4</v>
      </c>
      <c r="D604" s="12" t="str">
        <f t="shared" si="18"/>
        <v>marzo</v>
      </c>
      <c r="E604" s="33">
        <f t="shared" si="19"/>
        <v>2024</v>
      </c>
    </row>
    <row r="605" spans="1:5" x14ac:dyDescent="0.25">
      <c r="A605" t="s">
        <v>15</v>
      </c>
      <c r="B605" s="10">
        <f>VLOOKUP(A605,'Datos generales'!A:B,2,0)</f>
        <v>45704.374305555553</v>
      </c>
      <c r="C605" s="12">
        <f>VLOOKUP(A605,'Datos generales'!A:H,8,0)</f>
        <v>1532.67</v>
      </c>
      <c r="D605" s="12" t="str">
        <f t="shared" si="18"/>
        <v>febrero</v>
      </c>
      <c r="E605" s="33">
        <f t="shared" si="19"/>
        <v>2025</v>
      </c>
    </row>
    <row r="606" spans="1:5" x14ac:dyDescent="0.25">
      <c r="A606" t="s">
        <v>16</v>
      </c>
      <c r="B606" s="10">
        <f>VLOOKUP(A606,'Datos generales'!A:B,2,0)</f>
        <v>45772.848611111112</v>
      </c>
      <c r="C606" s="12">
        <f>VLOOKUP(A606,'Datos generales'!A:H,8,0)</f>
        <v>5128.41</v>
      </c>
      <c r="D606" s="12" t="str">
        <f t="shared" si="18"/>
        <v>abril</v>
      </c>
      <c r="E606" s="33">
        <f t="shared" si="19"/>
        <v>2025</v>
      </c>
    </row>
    <row r="607" spans="1:5" x14ac:dyDescent="0.25">
      <c r="A607" t="s">
        <v>17</v>
      </c>
      <c r="B607" s="10">
        <f>VLOOKUP(A607,'Datos generales'!A:B,2,0)</f>
        <v>45101.225694444453</v>
      </c>
      <c r="C607" s="12">
        <f>VLOOKUP(A607,'Datos generales'!A:H,8,0)</f>
        <v>892.62000000000012</v>
      </c>
      <c r="D607" s="12" t="str">
        <f t="shared" si="18"/>
        <v>junio</v>
      </c>
      <c r="E607" s="33">
        <f t="shared" si="19"/>
        <v>2023</v>
      </c>
    </row>
    <row r="608" spans="1:5" x14ac:dyDescent="0.25">
      <c r="A608" t="s">
        <v>18</v>
      </c>
      <c r="B608" s="10">
        <f>VLOOKUP(A608,'Datos generales'!A:B,2,0)</f>
        <v>45694.432638888888</v>
      </c>
      <c r="C608" s="12">
        <f>VLOOKUP(A608,'Datos generales'!A:H,8,0)</f>
        <v>6186.6</v>
      </c>
      <c r="D608" s="12" t="str">
        <f t="shared" si="18"/>
        <v>febrero</v>
      </c>
      <c r="E608" s="33">
        <f t="shared" si="19"/>
        <v>2025</v>
      </c>
    </row>
    <row r="609" spans="1:5" x14ac:dyDescent="0.25">
      <c r="A609" t="s">
        <v>19</v>
      </c>
      <c r="B609" s="10">
        <f>VLOOKUP(A609,'Datos generales'!A:B,2,0)</f>
        <v>45798.69027777778</v>
      </c>
      <c r="C609" s="12">
        <f>VLOOKUP(A609,'Datos generales'!A:H,8,0)</f>
        <v>1575.18</v>
      </c>
      <c r="D609" s="12" t="str">
        <f t="shared" si="18"/>
        <v>mayo</v>
      </c>
      <c r="E609" s="33">
        <f t="shared" si="19"/>
        <v>2025</v>
      </c>
    </row>
    <row r="610" spans="1:5" x14ac:dyDescent="0.25">
      <c r="A610" t="s">
        <v>20</v>
      </c>
      <c r="B610" s="10">
        <f>VLOOKUP(A610,'Datos generales'!A:B,2,0)</f>
        <v>45425.797222222223</v>
      </c>
      <c r="C610" s="12">
        <f>VLOOKUP(A610,'Datos generales'!A:H,8,0)</f>
        <v>9079.2999999999993</v>
      </c>
      <c r="D610" s="12" t="str">
        <f t="shared" si="18"/>
        <v>mayo</v>
      </c>
      <c r="E610" s="33">
        <f t="shared" si="19"/>
        <v>2024</v>
      </c>
    </row>
    <row r="611" spans="1:5" x14ac:dyDescent="0.25">
      <c r="A611" t="s">
        <v>21</v>
      </c>
      <c r="B611" s="10">
        <f>VLOOKUP(A611,'Datos generales'!A:B,2,0)</f>
        <v>45525.152083333327</v>
      </c>
      <c r="C611" s="12">
        <f>VLOOKUP(A611,'Datos generales'!A:H,8,0)</f>
        <v>564.11</v>
      </c>
      <c r="D611" s="12" t="str">
        <f t="shared" si="18"/>
        <v>agosto</v>
      </c>
      <c r="E611" s="33">
        <f t="shared" si="19"/>
        <v>2024</v>
      </c>
    </row>
    <row r="612" spans="1:5" x14ac:dyDescent="0.25">
      <c r="A612" t="s">
        <v>22</v>
      </c>
      <c r="B612" s="10">
        <f>VLOOKUP(A612,'Datos generales'!A:B,2,0)</f>
        <v>45580.043749999997</v>
      </c>
      <c r="C612" s="12">
        <f>VLOOKUP(A612,'Datos generales'!A:H,8,0)</f>
        <v>454.9</v>
      </c>
      <c r="D612" s="12" t="str">
        <f t="shared" si="18"/>
        <v>octubre</v>
      </c>
      <c r="E612" s="33">
        <f t="shared" si="19"/>
        <v>2024</v>
      </c>
    </row>
    <row r="613" spans="1:5" x14ac:dyDescent="0.25">
      <c r="A613" t="s">
        <v>23</v>
      </c>
      <c r="B613" s="10">
        <f>VLOOKUP(A613,'Datos generales'!A:B,2,0)</f>
        <v>45551.151388888888</v>
      </c>
      <c r="C613" s="12">
        <f>VLOOKUP(A613,'Datos generales'!A:H,8,0)</f>
        <v>3832.53</v>
      </c>
      <c r="D613" s="12" t="str">
        <f t="shared" si="18"/>
        <v>septiembre</v>
      </c>
      <c r="E613" s="33">
        <f t="shared" si="19"/>
        <v>2024</v>
      </c>
    </row>
    <row r="614" spans="1:5" x14ac:dyDescent="0.25">
      <c r="A614" t="s">
        <v>24</v>
      </c>
      <c r="B614" s="10">
        <f>VLOOKUP(A614,'Datos generales'!A:B,2,0)</f>
        <v>45230.395833333343</v>
      </c>
      <c r="C614" s="12">
        <f>VLOOKUP(A614,'Datos generales'!A:H,8,0)</f>
        <v>3741.9</v>
      </c>
      <c r="D614" s="12" t="str">
        <f t="shared" si="18"/>
        <v>octubre</v>
      </c>
      <c r="E614" s="33">
        <f t="shared" si="19"/>
        <v>2023</v>
      </c>
    </row>
    <row r="615" spans="1:5" x14ac:dyDescent="0.25">
      <c r="A615" t="s">
        <v>25</v>
      </c>
      <c r="B615" s="10">
        <f>VLOOKUP(A615,'Datos generales'!A:B,2,0)</f>
        <v>45234.645833333343</v>
      </c>
      <c r="C615" s="12">
        <f>VLOOKUP(A615,'Datos generales'!A:H,8,0)</f>
        <v>4908.92</v>
      </c>
      <c r="D615" s="12" t="str">
        <f t="shared" si="18"/>
        <v>noviembre</v>
      </c>
      <c r="E615" s="33">
        <f t="shared" si="19"/>
        <v>2023</v>
      </c>
    </row>
    <row r="616" spans="1:5" x14ac:dyDescent="0.25">
      <c r="A616" t="s">
        <v>26</v>
      </c>
      <c r="B616" s="10">
        <f>VLOOKUP(A616,'Datos generales'!A:B,2,0)</f>
        <v>45464.76666666667</v>
      </c>
      <c r="C616" s="12">
        <f>VLOOKUP(A616,'Datos generales'!A:H,8,0)</f>
        <v>1329.6</v>
      </c>
      <c r="D616" s="12" t="str">
        <f t="shared" si="18"/>
        <v>junio</v>
      </c>
      <c r="E616" s="33">
        <f t="shared" si="19"/>
        <v>2024</v>
      </c>
    </row>
    <row r="617" spans="1:5" x14ac:dyDescent="0.25">
      <c r="A617" t="s">
        <v>27</v>
      </c>
      <c r="B617" s="10">
        <f>VLOOKUP(A617,'Datos generales'!A:B,2,0)</f>
        <v>45138.240277777782</v>
      </c>
      <c r="C617" s="12">
        <f>VLOOKUP(A617,'Datos generales'!A:H,8,0)</f>
        <v>5202.3599999999997</v>
      </c>
      <c r="D617" s="12" t="str">
        <f t="shared" si="18"/>
        <v>julio</v>
      </c>
      <c r="E617" s="33">
        <f t="shared" si="19"/>
        <v>2023</v>
      </c>
    </row>
    <row r="618" spans="1:5" x14ac:dyDescent="0.25">
      <c r="A618" t="s">
        <v>28</v>
      </c>
      <c r="B618" s="10">
        <f>VLOOKUP(A618,'Datos generales'!A:B,2,0)</f>
        <v>45455.688888888893</v>
      </c>
      <c r="C618" s="12">
        <f>VLOOKUP(A618,'Datos generales'!A:H,8,0)</f>
        <v>1209.6199999999999</v>
      </c>
      <c r="D618" s="12" t="str">
        <f t="shared" si="18"/>
        <v>junio</v>
      </c>
      <c r="E618" s="33">
        <f t="shared" si="19"/>
        <v>2024</v>
      </c>
    </row>
    <row r="619" spans="1:5" x14ac:dyDescent="0.25">
      <c r="A619" t="s">
        <v>29</v>
      </c>
      <c r="B619" s="10">
        <f>VLOOKUP(A619,'Datos generales'!A:B,2,0)</f>
        <v>45301.151388888888</v>
      </c>
      <c r="C619" s="12">
        <f>VLOOKUP(A619,'Datos generales'!A:H,8,0)</f>
        <v>2766.99</v>
      </c>
      <c r="D619" s="12" t="str">
        <f t="shared" si="18"/>
        <v>enero</v>
      </c>
      <c r="E619" s="33">
        <f t="shared" si="19"/>
        <v>2024</v>
      </c>
    </row>
    <row r="620" spans="1:5" x14ac:dyDescent="0.25">
      <c r="A620" t="s">
        <v>30</v>
      </c>
      <c r="B620" s="10">
        <f>VLOOKUP(A620,'Datos generales'!A:B,2,0)</f>
        <v>45677.761111111111</v>
      </c>
      <c r="C620" s="12">
        <f>VLOOKUP(A620,'Datos generales'!A:H,8,0)</f>
        <v>217.68</v>
      </c>
      <c r="D620" s="12" t="str">
        <f t="shared" si="18"/>
        <v>enero</v>
      </c>
      <c r="E620" s="33">
        <f t="shared" si="19"/>
        <v>2025</v>
      </c>
    </row>
    <row r="621" spans="1:5" x14ac:dyDescent="0.25">
      <c r="A621" t="s">
        <v>31</v>
      </c>
      <c r="B621" s="10">
        <f>VLOOKUP(A621,'Datos generales'!A:B,2,0)</f>
        <v>45238.713888888888</v>
      </c>
      <c r="C621" s="12">
        <f>VLOOKUP(A621,'Datos generales'!A:H,8,0)</f>
        <v>3134.36</v>
      </c>
      <c r="D621" s="12" t="str">
        <f t="shared" si="18"/>
        <v>noviembre</v>
      </c>
      <c r="E621" s="33">
        <f t="shared" si="19"/>
        <v>2023</v>
      </c>
    </row>
    <row r="622" spans="1:5" x14ac:dyDescent="0.25">
      <c r="A622" t="s">
        <v>32</v>
      </c>
      <c r="B622" s="10">
        <f>VLOOKUP(A622,'Datos generales'!A:B,2,0)</f>
        <v>45231.386111111111</v>
      </c>
      <c r="C622" s="12">
        <f>VLOOKUP(A622,'Datos generales'!A:H,8,0)</f>
        <v>1039.5999999999999</v>
      </c>
      <c r="D622" s="12" t="str">
        <f t="shared" si="18"/>
        <v>noviembre</v>
      </c>
      <c r="E622" s="33">
        <f t="shared" si="19"/>
        <v>2023</v>
      </c>
    </row>
    <row r="623" spans="1:5" x14ac:dyDescent="0.25">
      <c r="A623" t="s">
        <v>33</v>
      </c>
      <c r="B623" s="10">
        <f>VLOOKUP(A623,'Datos generales'!A:B,2,0)</f>
        <v>45421.563888888893</v>
      </c>
      <c r="C623" s="12">
        <f>VLOOKUP(A623,'Datos generales'!A:H,8,0)</f>
        <v>1267.01</v>
      </c>
      <c r="D623" s="12" t="str">
        <f t="shared" si="18"/>
        <v>mayo</v>
      </c>
      <c r="E623" s="33">
        <f t="shared" si="19"/>
        <v>2024</v>
      </c>
    </row>
    <row r="624" spans="1:5" x14ac:dyDescent="0.25">
      <c r="A624" t="s">
        <v>34</v>
      </c>
      <c r="B624" s="10">
        <f>VLOOKUP(A624,'Datos generales'!A:B,2,0)</f>
        <v>45437.592361111107</v>
      </c>
      <c r="C624" s="12">
        <f>VLOOKUP(A624,'Datos generales'!A:H,8,0)</f>
        <v>4111.24</v>
      </c>
      <c r="D624" s="12" t="str">
        <f t="shared" si="18"/>
        <v>mayo</v>
      </c>
      <c r="E624" s="33">
        <f t="shared" si="19"/>
        <v>2024</v>
      </c>
    </row>
    <row r="625" spans="1:5" x14ac:dyDescent="0.25">
      <c r="A625" t="s">
        <v>35</v>
      </c>
      <c r="B625" s="10">
        <f>VLOOKUP(A625,'Datos generales'!A:B,2,0)</f>
        <v>45355.487500000003</v>
      </c>
      <c r="C625" s="12">
        <f>VLOOKUP(A625,'Datos generales'!A:H,8,0)</f>
        <v>2776.86</v>
      </c>
      <c r="D625" s="12" t="str">
        <f t="shared" si="18"/>
        <v>marzo</v>
      </c>
      <c r="E625" s="33">
        <f t="shared" si="19"/>
        <v>2024</v>
      </c>
    </row>
    <row r="626" spans="1:5" x14ac:dyDescent="0.25">
      <c r="A626" t="s">
        <v>36</v>
      </c>
      <c r="B626" s="10">
        <f>VLOOKUP(A626,'Datos generales'!A:B,2,0)</f>
        <v>45924.43472222222</v>
      </c>
      <c r="C626" s="12">
        <f>VLOOKUP(A626,'Datos generales'!A:H,8,0)</f>
        <v>641.13</v>
      </c>
      <c r="D626" s="12" t="str">
        <f t="shared" si="18"/>
        <v>septiembre</v>
      </c>
      <c r="E626" s="33">
        <f t="shared" si="19"/>
        <v>2025</v>
      </c>
    </row>
    <row r="627" spans="1:5" x14ac:dyDescent="0.25">
      <c r="A627" t="s">
        <v>37</v>
      </c>
      <c r="B627" s="10">
        <f>VLOOKUP(A627,'Datos generales'!A:B,2,0)</f>
        <v>45471.931250000001</v>
      </c>
      <c r="C627" s="12">
        <f>VLOOKUP(A627,'Datos generales'!A:H,8,0)</f>
        <v>2293.5</v>
      </c>
      <c r="D627" s="12" t="str">
        <f t="shared" si="18"/>
        <v>junio</v>
      </c>
      <c r="E627" s="33">
        <f t="shared" si="19"/>
        <v>2024</v>
      </c>
    </row>
    <row r="628" spans="1:5" x14ac:dyDescent="0.25">
      <c r="A628" t="s">
        <v>38</v>
      </c>
      <c r="B628" s="10">
        <f>VLOOKUP(A628,'Datos generales'!A:B,2,0)</f>
        <v>45003.59097222222</v>
      </c>
      <c r="C628" s="12">
        <f>VLOOKUP(A628,'Datos generales'!A:H,8,0)</f>
        <v>4536.3999999999996</v>
      </c>
      <c r="D628" s="12" t="str">
        <f t="shared" si="18"/>
        <v>marzo</v>
      </c>
      <c r="E628" s="33">
        <f t="shared" si="19"/>
        <v>2023</v>
      </c>
    </row>
    <row r="629" spans="1:5" x14ac:dyDescent="0.25">
      <c r="A629" t="s">
        <v>39</v>
      </c>
      <c r="B629" s="10">
        <f>VLOOKUP(A629,'Datos generales'!A:B,2,0)</f>
        <v>45206.394444444442</v>
      </c>
      <c r="C629" s="12">
        <f>VLOOKUP(A629,'Datos generales'!A:H,8,0)</f>
        <v>3468.88</v>
      </c>
      <c r="D629" s="12" t="str">
        <f t="shared" si="18"/>
        <v>octubre</v>
      </c>
      <c r="E629" s="33">
        <f t="shared" si="19"/>
        <v>2023</v>
      </c>
    </row>
    <row r="630" spans="1:5" x14ac:dyDescent="0.25">
      <c r="A630" t="s">
        <v>40</v>
      </c>
      <c r="B630" s="10">
        <f>VLOOKUP(A630,'Datos generales'!A:B,2,0)</f>
        <v>45595.773611111108</v>
      </c>
      <c r="C630" s="12">
        <f>VLOOKUP(A630,'Datos generales'!A:H,8,0)</f>
        <v>424.35</v>
      </c>
      <c r="D630" s="12" t="str">
        <f t="shared" si="18"/>
        <v>octubre</v>
      </c>
      <c r="E630" s="33">
        <f t="shared" si="19"/>
        <v>2024</v>
      </c>
    </row>
    <row r="631" spans="1:5" x14ac:dyDescent="0.25">
      <c r="A631" t="s">
        <v>41</v>
      </c>
      <c r="B631" s="10">
        <f>VLOOKUP(A631,'Datos generales'!A:B,2,0)</f>
        <v>45888.736805555563</v>
      </c>
      <c r="C631" s="12">
        <f>VLOOKUP(A631,'Datos generales'!A:H,8,0)</f>
        <v>252.57</v>
      </c>
      <c r="D631" s="12" t="str">
        <f t="shared" si="18"/>
        <v>agosto</v>
      </c>
      <c r="E631" s="33">
        <f t="shared" si="19"/>
        <v>2025</v>
      </c>
    </row>
    <row r="632" spans="1:5" x14ac:dyDescent="0.25">
      <c r="A632" t="s">
        <v>42</v>
      </c>
      <c r="B632" s="10">
        <f>VLOOKUP(A632,'Datos generales'!A:B,2,0)</f>
        <v>45478.06527777778</v>
      </c>
      <c r="C632" s="12">
        <f>VLOOKUP(A632,'Datos generales'!A:H,8,0)</f>
        <v>64.679999999999993</v>
      </c>
      <c r="D632" s="12" t="str">
        <f t="shared" si="18"/>
        <v>julio</v>
      </c>
      <c r="E632" s="33">
        <f t="shared" si="19"/>
        <v>2024</v>
      </c>
    </row>
    <row r="633" spans="1:5" x14ac:dyDescent="0.25">
      <c r="A633" t="s">
        <v>43</v>
      </c>
      <c r="B633" s="10">
        <f>VLOOKUP(A633,'Datos generales'!A:B,2,0)</f>
        <v>45402.668749999997</v>
      </c>
      <c r="C633" s="12">
        <f>VLOOKUP(A633,'Datos generales'!A:H,8,0)</f>
        <v>446.81</v>
      </c>
      <c r="D633" s="12" t="str">
        <f t="shared" si="18"/>
        <v>abril</v>
      </c>
      <c r="E633" s="33">
        <f t="shared" si="19"/>
        <v>2024</v>
      </c>
    </row>
    <row r="634" spans="1:5" x14ac:dyDescent="0.25">
      <c r="A634" t="s">
        <v>44</v>
      </c>
      <c r="B634" s="10">
        <f>VLOOKUP(A634,'Datos generales'!A:B,2,0)</f>
        <v>45033.806944444441</v>
      </c>
      <c r="C634" s="12">
        <f>VLOOKUP(A634,'Datos generales'!A:H,8,0)</f>
        <v>129.34</v>
      </c>
      <c r="D634" s="12" t="str">
        <f t="shared" si="18"/>
        <v>abril</v>
      </c>
      <c r="E634" s="33">
        <f t="shared" si="19"/>
        <v>2023</v>
      </c>
    </row>
    <row r="635" spans="1:5" x14ac:dyDescent="0.25">
      <c r="A635" t="s">
        <v>45</v>
      </c>
      <c r="B635" s="10">
        <f>VLOOKUP(A635,'Datos generales'!A:B,2,0)</f>
        <v>45432.781944444447</v>
      </c>
      <c r="C635" s="12">
        <f>VLOOKUP(A635,'Datos generales'!A:H,8,0)</f>
        <v>5841.75</v>
      </c>
      <c r="D635" s="12" t="str">
        <f t="shared" si="18"/>
        <v>mayo</v>
      </c>
      <c r="E635" s="33">
        <f t="shared" si="19"/>
        <v>2024</v>
      </c>
    </row>
    <row r="636" spans="1:5" x14ac:dyDescent="0.25">
      <c r="A636" t="s">
        <v>46</v>
      </c>
      <c r="B636" s="10">
        <f>VLOOKUP(A636,'Datos generales'!A:B,2,0)</f>
        <v>45746.083333333343</v>
      </c>
      <c r="C636" s="12">
        <f>VLOOKUP(A636,'Datos generales'!A:H,8,0)</f>
        <v>698.6</v>
      </c>
      <c r="D636" s="12" t="str">
        <f t="shared" si="18"/>
        <v>marzo</v>
      </c>
      <c r="E636" s="33">
        <f t="shared" si="19"/>
        <v>2025</v>
      </c>
    </row>
    <row r="637" spans="1:5" x14ac:dyDescent="0.25">
      <c r="A637" t="s">
        <v>47</v>
      </c>
      <c r="B637" s="10">
        <f>VLOOKUP(A637,'Datos generales'!A:B,2,0)</f>
        <v>45515.355555555558</v>
      </c>
      <c r="C637" s="12">
        <f>VLOOKUP(A637,'Datos generales'!A:H,8,0)</f>
        <v>3462.18</v>
      </c>
      <c r="D637" s="12" t="str">
        <f t="shared" si="18"/>
        <v>agosto</v>
      </c>
      <c r="E637" s="33">
        <f t="shared" si="19"/>
        <v>2024</v>
      </c>
    </row>
    <row r="638" spans="1:5" x14ac:dyDescent="0.25">
      <c r="A638" t="s">
        <v>48</v>
      </c>
      <c r="B638" s="10">
        <f>VLOOKUP(A638,'Datos generales'!A:B,2,0)</f>
        <v>45730.554861111108</v>
      </c>
      <c r="C638" s="12">
        <f>VLOOKUP(A638,'Datos generales'!A:H,8,0)</f>
        <v>6265.48</v>
      </c>
      <c r="D638" s="12" t="str">
        <f t="shared" si="18"/>
        <v>marzo</v>
      </c>
      <c r="E638" s="33">
        <f t="shared" si="19"/>
        <v>2025</v>
      </c>
    </row>
    <row r="639" spans="1:5" x14ac:dyDescent="0.25">
      <c r="A639" t="s">
        <v>49</v>
      </c>
      <c r="B639" s="10">
        <f>VLOOKUP(A639,'Datos generales'!A:B,2,0)</f>
        <v>45603.252083333333</v>
      </c>
      <c r="C639" s="12">
        <f>VLOOKUP(A639,'Datos generales'!A:H,8,0)</f>
        <v>1348.96</v>
      </c>
      <c r="D639" s="12" t="str">
        <f t="shared" si="18"/>
        <v>noviembre</v>
      </c>
      <c r="E639" s="33">
        <f t="shared" si="19"/>
        <v>2024</v>
      </c>
    </row>
    <row r="640" spans="1:5" x14ac:dyDescent="0.25">
      <c r="A640" t="s">
        <v>50</v>
      </c>
      <c r="B640" s="10">
        <f>VLOOKUP(A640,'Datos generales'!A:B,2,0)</f>
        <v>45420.054861111108</v>
      </c>
      <c r="C640" s="12">
        <f>VLOOKUP(A640,'Datos generales'!A:H,8,0)</f>
        <v>3087.96</v>
      </c>
      <c r="D640" s="12" t="str">
        <f t="shared" si="18"/>
        <v>mayo</v>
      </c>
      <c r="E640" s="33">
        <f t="shared" si="19"/>
        <v>2024</v>
      </c>
    </row>
    <row r="641" spans="1:5" x14ac:dyDescent="0.25">
      <c r="A641" t="s">
        <v>51</v>
      </c>
      <c r="B641" s="10">
        <f>VLOOKUP(A641,'Datos generales'!A:B,2,0)</f>
        <v>44931.743055555547</v>
      </c>
      <c r="C641" s="12">
        <f>VLOOKUP(A641,'Datos generales'!A:H,8,0)</f>
        <v>4586.5499999999993</v>
      </c>
      <c r="D641" s="12" t="str">
        <f t="shared" si="18"/>
        <v>enero</v>
      </c>
      <c r="E641" s="33">
        <f t="shared" si="19"/>
        <v>2023</v>
      </c>
    </row>
    <row r="642" spans="1:5" x14ac:dyDescent="0.25">
      <c r="A642" t="s">
        <v>52</v>
      </c>
      <c r="B642" s="10">
        <f>VLOOKUP(A642,'Datos generales'!A:B,2,0)</f>
        <v>45326.684027777781</v>
      </c>
      <c r="C642" s="12">
        <f>VLOOKUP(A642,'Datos generales'!A:H,8,0)</f>
        <v>1801.44</v>
      </c>
      <c r="D642" s="12" t="str">
        <f t="shared" si="18"/>
        <v>febrero</v>
      </c>
      <c r="E642" s="33">
        <f t="shared" si="19"/>
        <v>2024</v>
      </c>
    </row>
    <row r="643" spans="1:5" x14ac:dyDescent="0.25">
      <c r="A643" t="s">
        <v>53</v>
      </c>
      <c r="B643" s="10">
        <f>VLOOKUP(A643,'Datos generales'!A:B,2,0)</f>
        <v>45146.872916666667</v>
      </c>
      <c r="C643" s="12">
        <f>VLOOKUP(A643,'Datos generales'!A:H,8,0)</f>
        <v>1510.96</v>
      </c>
      <c r="D643" s="12" t="str">
        <f t="shared" ref="D643:D706" si="20">TEXT(B643,"mmmm")</f>
        <v>agosto</v>
      </c>
      <c r="E643" s="33">
        <f t="shared" ref="E643:E706" si="21">YEAR(B643)</f>
        <v>2023</v>
      </c>
    </row>
    <row r="644" spans="1:5" x14ac:dyDescent="0.25">
      <c r="A644" t="s">
        <v>54</v>
      </c>
      <c r="B644" s="10">
        <f>VLOOKUP(A644,'Datos generales'!A:B,2,0)</f>
        <v>45464.595833333333</v>
      </c>
      <c r="C644" s="12">
        <f>VLOOKUP(A644,'Datos generales'!A:H,8,0)</f>
        <v>5566.65</v>
      </c>
      <c r="D644" s="12" t="str">
        <f t="shared" si="20"/>
        <v>junio</v>
      </c>
      <c r="E644" s="33">
        <f t="shared" si="21"/>
        <v>2024</v>
      </c>
    </row>
    <row r="645" spans="1:5" x14ac:dyDescent="0.25">
      <c r="A645" t="s">
        <v>55</v>
      </c>
      <c r="B645" s="10">
        <f>VLOOKUP(A645,'Datos generales'!A:B,2,0)</f>
        <v>45171.9</v>
      </c>
      <c r="C645" s="12">
        <f>VLOOKUP(A645,'Datos generales'!A:H,8,0)</f>
        <v>5058.75</v>
      </c>
      <c r="D645" s="12" t="str">
        <f t="shared" si="20"/>
        <v>septiembre</v>
      </c>
      <c r="E645" s="33">
        <f t="shared" si="21"/>
        <v>2023</v>
      </c>
    </row>
    <row r="646" spans="1:5" x14ac:dyDescent="0.25">
      <c r="A646" t="s">
        <v>56</v>
      </c>
      <c r="B646" s="10">
        <f>VLOOKUP(A646,'Datos generales'!A:B,2,0)</f>
        <v>44992.136111111111</v>
      </c>
      <c r="C646" s="12">
        <f>VLOOKUP(A646,'Datos generales'!A:H,8,0)</f>
        <v>6091.7</v>
      </c>
      <c r="D646" s="12" t="str">
        <f t="shared" si="20"/>
        <v>marzo</v>
      </c>
      <c r="E646" s="33">
        <f t="shared" si="21"/>
        <v>2023</v>
      </c>
    </row>
    <row r="647" spans="1:5" x14ac:dyDescent="0.25">
      <c r="A647" t="s">
        <v>57</v>
      </c>
      <c r="B647" s="10">
        <f>VLOOKUP(A647,'Datos generales'!A:B,2,0)</f>
        <v>44927.061111111107</v>
      </c>
      <c r="C647" s="12">
        <f>VLOOKUP(A647,'Datos generales'!A:H,8,0)</f>
        <v>723.18</v>
      </c>
      <c r="D647" s="12" t="str">
        <f t="shared" si="20"/>
        <v>enero</v>
      </c>
      <c r="E647" s="33">
        <f t="shared" si="21"/>
        <v>2023</v>
      </c>
    </row>
    <row r="648" spans="1:5" x14ac:dyDescent="0.25">
      <c r="A648" t="s">
        <v>58</v>
      </c>
      <c r="B648" s="10">
        <f>VLOOKUP(A648,'Datos generales'!A:B,2,0)</f>
        <v>45097.359027777777</v>
      </c>
      <c r="C648" s="12">
        <f>VLOOKUP(A648,'Datos generales'!A:H,8,0)</f>
        <v>4794</v>
      </c>
      <c r="D648" s="12" t="str">
        <f t="shared" si="20"/>
        <v>junio</v>
      </c>
      <c r="E648" s="33">
        <f t="shared" si="21"/>
        <v>2023</v>
      </c>
    </row>
    <row r="649" spans="1:5" x14ac:dyDescent="0.25">
      <c r="A649" t="s">
        <v>59</v>
      </c>
      <c r="B649" s="10">
        <f>VLOOKUP(A649,'Datos generales'!A:B,2,0)</f>
        <v>45755.288194444453</v>
      </c>
      <c r="C649" s="12">
        <f>VLOOKUP(A649,'Datos generales'!A:H,8,0)</f>
        <v>8884.3499999999985</v>
      </c>
      <c r="D649" s="12" t="str">
        <f t="shared" si="20"/>
        <v>abril</v>
      </c>
      <c r="E649" s="33">
        <f t="shared" si="21"/>
        <v>2025</v>
      </c>
    </row>
    <row r="650" spans="1:5" x14ac:dyDescent="0.25">
      <c r="A650" t="s">
        <v>60</v>
      </c>
      <c r="B650" s="10">
        <f>VLOOKUP(A650,'Datos generales'!A:B,2,0)</f>
        <v>45782.866666666669</v>
      </c>
      <c r="C650" s="12">
        <f>VLOOKUP(A650,'Datos generales'!A:H,8,0)</f>
        <v>1467.34</v>
      </c>
      <c r="D650" s="12" t="str">
        <f t="shared" si="20"/>
        <v>mayo</v>
      </c>
      <c r="E650" s="33">
        <f t="shared" si="21"/>
        <v>2025</v>
      </c>
    </row>
    <row r="651" spans="1:5" x14ac:dyDescent="0.25">
      <c r="A651" t="s">
        <v>61</v>
      </c>
      <c r="B651" s="10">
        <f>VLOOKUP(A651,'Datos generales'!A:B,2,0)</f>
        <v>45819.341666666667</v>
      </c>
      <c r="C651" s="12">
        <f>VLOOKUP(A651,'Datos generales'!A:H,8,0)</f>
        <v>2051.73</v>
      </c>
      <c r="D651" s="12" t="str">
        <f t="shared" si="20"/>
        <v>junio</v>
      </c>
      <c r="E651" s="33">
        <f t="shared" si="21"/>
        <v>2025</v>
      </c>
    </row>
    <row r="652" spans="1:5" x14ac:dyDescent="0.25">
      <c r="A652" t="s">
        <v>62</v>
      </c>
      <c r="B652" s="10">
        <f>VLOOKUP(A652,'Datos generales'!A:B,2,0)</f>
        <v>45441.993055555547</v>
      </c>
      <c r="C652" s="12">
        <f>VLOOKUP(A652,'Datos generales'!A:H,8,0)</f>
        <v>1083.8599999999999</v>
      </c>
      <c r="D652" s="12" t="str">
        <f t="shared" si="20"/>
        <v>mayo</v>
      </c>
      <c r="E652" s="33">
        <f t="shared" si="21"/>
        <v>2024</v>
      </c>
    </row>
    <row r="653" spans="1:5" x14ac:dyDescent="0.25">
      <c r="A653" t="s">
        <v>63</v>
      </c>
      <c r="B653" s="10">
        <f>VLOOKUP(A653,'Datos generales'!A:B,2,0)</f>
        <v>45180.999305555553</v>
      </c>
      <c r="C653" s="12">
        <f>VLOOKUP(A653,'Datos generales'!A:H,8,0)</f>
        <v>3103.7</v>
      </c>
      <c r="D653" s="12" t="str">
        <f t="shared" si="20"/>
        <v>septiembre</v>
      </c>
      <c r="E653" s="33">
        <f t="shared" si="21"/>
        <v>2023</v>
      </c>
    </row>
    <row r="654" spans="1:5" x14ac:dyDescent="0.25">
      <c r="A654" t="s">
        <v>64</v>
      </c>
      <c r="B654" s="10">
        <f>VLOOKUP(A654,'Datos generales'!A:B,2,0)</f>
        <v>45624.619444444441</v>
      </c>
      <c r="C654" s="12">
        <f>VLOOKUP(A654,'Datos generales'!A:H,8,0)</f>
        <v>6841.35</v>
      </c>
      <c r="D654" s="12" t="str">
        <f t="shared" si="20"/>
        <v>noviembre</v>
      </c>
      <c r="E654" s="33">
        <f t="shared" si="21"/>
        <v>2024</v>
      </c>
    </row>
    <row r="655" spans="1:5" x14ac:dyDescent="0.25">
      <c r="A655" t="s">
        <v>65</v>
      </c>
      <c r="B655" s="10">
        <f>VLOOKUP(A655,'Datos generales'!A:B,2,0)</f>
        <v>45447.955555555563</v>
      </c>
      <c r="C655" s="12">
        <f>VLOOKUP(A655,'Datos generales'!A:H,8,0)</f>
        <v>7275.52</v>
      </c>
      <c r="D655" s="12" t="str">
        <f t="shared" si="20"/>
        <v>junio</v>
      </c>
      <c r="E655" s="33">
        <f t="shared" si="21"/>
        <v>2024</v>
      </c>
    </row>
    <row r="656" spans="1:5" x14ac:dyDescent="0.25">
      <c r="A656" t="s">
        <v>66</v>
      </c>
      <c r="B656" s="10">
        <f>VLOOKUP(A656,'Datos generales'!A:B,2,0)</f>
        <v>45051.74722222222</v>
      </c>
      <c r="C656" s="12">
        <f>VLOOKUP(A656,'Datos generales'!A:H,8,0)</f>
        <v>6405.28</v>
      </c>
      <c r="D656" s="12" t="str">
        <f t="shared" si="20"/>
        <v>mayo</v>
      </c>
      <c r="E656" s="33">
        <f t="shared" si="21"/>
        <v>2023</v>
      </c>
    </row>
    <row r="657" spans="1:5" x14ac:dyDescent="0.25">
      <c r="A657" t="s">
        <v>67</v>
      </c>
      <c r="B657" s="10">
        <f>VLOOKUP(A657,'Datos generales'!A:B,2,0)</f>
        <v>45019.26666666667</v>
      </c>
      <c r="C657" s="12">
        <f>VLOOKUP(A657,'Datos generales'!A:H,8,0)</f>
        <v>711.16</v>
      </c>
      <c r="D657" s="12" t="str">
        <f t="shared" si="20"/>
        <v>abril</v>
      </c>
      <c r="E657" s="33">
        <f t="shared" si="21"/>
        <v>2023</v>
      </c>
    </row>
    <row r="658" spans="1:5" x14ac:dyDescent="0.25">
      <c r="A658" t="s">
        <v>68</v>
      </c>
      <c r="B658" s="10">
        <f>VLOOKUP(A658,'Datos generales'!A:B,2,0)</f>
        <v>44969.094444444447</v>
      </c>
      <c r="C658" s="12">
        <f>VLOOKUP(A658,'Datos generales'!A:H,8,0)</f>
        <v>83.48</v>
      </c>
      <c r="D658" s="12" t="str">
        <f t="shared" si="20"/>
        <v>febrero</v>
      </c>
      <c r="E658" s="33">
        <f t="shared" si="21"/>
        <v>2023</v>
      </c>
    </row>
    <row r="659" spans="1:5" x14ac:dyDescent="0.25">
      <c r="A659" t="s">
        <v>69</v>
      </c>
      <c r="B659" s="10">
        <f>VLOOKUP(A659,'Datos generales'!A:B,2,0)</f>
        <v>45091.519444444442</v>
      </c>
      <c r="C659" s="12">
        <f>VLOOKUP(A659,'Datos generales'!A:H,8,0)</f>
        <v>1372.72</v>
      </c>
      <c r="D659" s="12" t="str">
        <f t="shared" si="20"/>
        <v>junio</v>
      </c>
      <c r="E659" s="33">
        <f t="shared" si="21"/>
        <v>2023</v>
      </c>
    </row>
    <row r="660" spans="1:5" x14ac:dyDescent="0.25">
      <c r="A660" t="s">
        <v>70</v>
      </c>
      <c r="B660" s="10">
        <f>VLOOKUP(A660,'Datos generales'!A:B,2,0)</f>
        <v>45494</v>
      </c>
      <c r="C660" s="12">
        <f>VLOOKUP(A660,'Datos generales'!A:H,8,0)</f>
        <v>1618.91</v>
      </c>
      <c r="D660" s="12" t="str">
        <f t="shared" si="20"/>
        <v>julio</v>
      </c>
      <c r="E660" s="33">
        <f t="shared" si="21"/>
        <v>2024</v>
      </c>
    </row>
    <row r="661" spans="1:5" x14ac:dyDescent="0.25">
      <c r="A661" t="s">
        <v>71</v>
      </c>
      <c r="B661" s="10">
        <f>VLOOKUP(A661,'Datos generales'!A:B,2,0)</f>
        <v>45364.463194444441</v>
      </c>
      <c r="C661" s="12">
        <f>VLOOKUP(A661,'Datos generales'!A:H,8,0)</f>
        <v>2122.6</v>
      </c>
      <c r="D661" s="12" t="str">
        <f t="shared" si="20"/>
        <v>marzo</v>
      </c>
      <c r="E661" s="33">
        <f t="shared" si="21"/>
        <v>2024</v>
      </c>
    </row>
    <row r="662" spans="1:5" x14ac:dyDescent="0.25">
      <c r="A662" t="s">
        <v>72</v>
      </c>
      <c r="B662" s="10">
        <f>VLOOKUP(A662,'Datos generales'!A:B,2,0)</f>
        <v>45583.023611111108</v>
      </c>
      <c r="C662" s="12">
        <f>VLOOKUP(A662,'Datos generales'!A:H,8,0)</f>
        <v>2094.15</v>
      </c>
      <c r="D662" s="12" t="str">
        <f t="shared" si="20"/>
        <v>octubre</v>
      </c>
      <c r="E662" s="33">
        <f t="shared" si="21"/>
        <v>2024</v>
      </c>
    </row>
    <row r="663" spans="1:5" x14ac:dyDescent="0.25">
      <c r="A663" t="s">
        <v>73</v>
      </c>
      <c r="B663" s="10">
        <f>VLOOKUP(A663,'Datos generales'!A:B,2,0)</f>
        <v>45779.546527777777</v>
      </c>
      <c r="C663" s="12">
        <f>VLOOKUP(A663,'Datos generales'!A:H,8,0)</f>
        <v>1994.94</v>
      </c>
      <c r="D663" s="12" t="str">
        <f t="shared" si="20"/>
        <v>mayo</v>
      </c>
      <c r="E663" s="33">
        <f t="shared" si="21"/>
        <v>2025</v>
      </c>
    </row>
    <row r="664" spans="1:5" x14ac:dyDescent="0.25">
      <c r="A664" t="s">
        <v>74</v>
      </c>
      <c r="B664" s="10">
        <f>VLOOKUP(A664,'Datos generales'!A:B,2,0)</f>
        <v>45516.480555555558</v>
      </c>
      <c r="C664" s="12">
        <f>VLOOKUP(A664,'Datos generales'!A:H,8,0)</f>
        <v>1322.41</v>
      </c>
      <c r="D664" s="12" t="str">
        <f t="shared" si="20"/>
        <v>agosto</v>
      </c>
      <c r="E664" s="33">
        <f t="shared" si="21"/>
        <v>2024</v>
      </c>
    </row>
    <row r="665" spans="1:5" x14ac:dyDescent="0.25">
      <c r="A665" t="s">
        <v>75</v>
      </c>
      <c r="B665" s="10">
        <f>VLOOKUP(A665,'Datos generales'!A:B,2,0)</f>
        <v>45285.25277777778</v>
      </c>
      <c r="C665" s="12">
        <f>VLOOKUP(A665,'Datos generales'!A:H,8,0)</f>
        <v>5869.08</v>
      </c>
      <c r="D665" s="12" t="str">
        <f t="shared" si="20"/>
        <v>diciembre</v>
      </c>
      <c r="E665" s="33">
        <f t="shared" si="21"/>
        <v>2023</v>
      </c>
    </row>
    <row r="666" spans="1:5" x14ac:dyDescent="0.25">
      <c r="A666" t="s">
        <v>76</v>
      </c>
      <c r="B666" s="10">
        <f>VLOOKUP(A666,'Datos generales'!A:B,2,0)</f>
        <v>45297.965277777781</v>
      </c>
      <c r="C666" s="12">
        <f>VLOOKUP(A666,'Datos generales'!A:H,8,0)</f>
        <v>7216.48</v>
      </c>
      <c r="D666" s="12" t="str">
        <f t="shared" si="20"/>
        <v>enero</v>
      </c>
      <c r="E666" s="33">
        <f t="shared" si="21"/>
        <v>2024</v>
      </c>
    </row>
    <row r="667" spans="1:5" x14ac:dyDescent="0.25">
      <c r="A667" t="s">
        <v>77</v>
      </c>
      <c r="B667" s="10">
        <f>VLOOKUP(A667,'Datos generales'!A:B,2,0)</f>
        <v>45434.519444444442</v>
      </c>
      <c r="C667" s="12">
        <f>VLOOKUP(A667,'Datos generales'!A:H,8,0)</f>
        <v>1172.72</v>
      </c>
      <c r="D667" s="12" t="str">
        <f t="shared" si="20"/>
        <v>mayo</v>
      </c>
      <c r="E667" s="33">
        <f t="shared" si="21"/>
        <v>2024</v>
      </c>
    </row>
    <row r="668" spans="1:5" x14ac:dyDescent="0.25">
      <c r="A668" t="s">
        <v>78</v>
      </c>
      <c r="B668" s="10">
        <f>VLOOKUP(A668,'Datos generales'!A:B,2,0)</f>
        <v>45290.050694444442</v>
      </c>
      <c r="C668" s="12">
        <f>VLOOKUP(A668,'Datos generales'!A:H,8,0)</f>
        <v>725.07</v>
      </c>
      <c r="D668" s="12" t="str">
        <f t="shared" si="20"/>
        <v>diciembre</v>
      </c>
      <c r="E668" s="33">
        <f t="shared" si="21"/>
        <v>2023</v>
      </c>
    </row>
    <row r="669" spans="1:5" x14ac:dyDescent="0.25">
      <c r="A669" t="s">
        <v>79</v>
      </c>
      <c r="B669" s="10">
        <f>VLOOKUP(A669,'Datos generales'!A:B,2,0)</f>
        <v>45684.334027777782</v>
      </c>
      <c r="C669" s="12">
        <f>VLOOKUP(A669,'Datos generales'!A:H,8,0)</f>
        <v>2818.45</v>
      </c>
      <c r="D669" s="12" t="str">
        <f t="shared" si="20"/>
        <v>enero</v>
      </c>
      <c r="E669" s="33">
        <f t="shared" si="21"/>
        <v>2025</v>
      </c>
    </row>
    <row r="670" spans="1:5" x14ac:dyDescent="0.25">
      <c r="A670" t="s">
        <v>80</v>
      </c>
      <c r="B670" s="10">
        <f>VLOOKUP(A670,'Datos generales'!A:B,2,0)</f>
        <v>45222.202777777777</v>
      </c>
      <c r="C670" s="12">
        <f>VLOOKUP(A670,'Datos generales'!A:H,8,0)</f>
        <v>7737.05</v>
      </c>
      <c r="D670" s="12" t="str">
        <f t="shared" si="20"/>
        <v>octubre</v>
      </c>
      <c r="E670" s="33">
        <f t="shared" si="21"/>
        <v>2023</v>
      </c>
    </row>
    <row r="671" spans="1:5" x14ac:dyDescent="0.25">
      <c r="A671" t="s">
        <v>81</v>
      </c>
      <c r="B671" s="10">
        <f>VLOOKUP(A671,'Datos generales'!A:B,2,0)</f>
        <v>45274.597916666673</v>
      </c>
      <c r="C671" s="12">
        <f>VLOOKUP(A671,'Datos generales'!A:H,8,0)</f>
        <v>3807.3</v>
      </c>
      <c r="D671" s="12" t="str">
        <f t="shared" si="20"/>
        <v>diciembre</v>
      </c>
      <c r="E671" s="33">
        <f t="shared" si="21"/>
        <v>2023</v>
      </c>
    </row>
    <row r="672" spans="1:5" x14ac:dyDescent="0.25">
      <c r="A672" t="s">
        <v>82</v>
      </c>
      <c r="B672" s="10">
        <f>VLOOKUP(A672,'Datos generales'!A:B,2,0)</f>
        <v>45358.874305555553</v>
      </c>
      <c r="C672" s="12">
        <f>VLOOKUP(A672,'Datos generales'!A:H,8,0)</f>
        <v>2396.4</v>
      </c>
      <c r="D672" s="12" t="str">
        <f t="shared" si="20"/>
        <v>marzo</v>
      </c>
      <c r="E672" s="33">
        <f t="shared" si="21"/>
        <v>2024</v>
      </c>
    </row>
    <row r="673" spans="1:5" x14ac:dyDescent="0.25">
      <c r="A673" t="s">
        <v>83</v>
      </c>
      <c r="B673" s="10">
        <f>VLOOKUP(A673,'Datos generales'!A:B,2,0)</f>
        <v>45850.171527777777</v>
      </c>
      <c r="C673" s="12">
        <f>VLOOKUP(A673,'Datos generales'!A:H,8,0)</f>
        <v>1631.16</v>
      </c>
      <c r="D673" s="12" t="str">
        <f t="shared" si="20"/>
        <v>julio</v>
      </c>
      <c r="E673" s="33">
        <f t="shared" si="21"/>
        <v>2025</v>
      </c>
    </row>
    <row r="674" spans="1:5" x14ac:dyDescent="0.25">
      <c r="A674" t="s">
        <v>84</v>
      </c>
      <c r="B674" s="10">
        <f>VLOOKUP(A674,'Datos generales'!A:B,2,0)</f>
        <v>45041.884027777778</v>
      </c>
      <c r="C674" s="12">
        <f>VLOOKUP(A674,'Datos generales'!A:H,8,0)</f>
        <v>2899.06</v>
      </c>
      <c r="D674" s="12" t="str">
        <f t="shared" si="20"/>
        <v>abril</v>
      </c>
      <c r="E674" s="33">
        <f t="shared" si="21"/>
        <v>2023</v>
      </c>
    </row>
    <row r="675" spans="1:5" x14ac:dyDescent="0.25">
      <c r="A675" t="s">
        <v>85</v>
      </c>
      <c r="B675" s="10">
        <f>VLOOKUP(A675,'Datos generales'!A:B,2,0)</f>
        <v>45564.772916666669</v>
      </c>
      <c r="C675" s="12">
        <f>VLOOKUP(A675,'Datos generales'!A:H,8,0)</f>
        <v>2362.1</v>
      </c>
      <c r="D675" s="12" t="str">
        <f t="shared" si="20"/>
        <v>septiembre</v>
      </c>
      <c r="E675" s="33">
        <f t="shared" si="21"/>
        <v>2024</v>
      </c>
    </row>
    <row r="676" spans="1:5" x14ac:dyDescent="0.25">
      <c r="A676" t="s">
        <v>86</v>
      </c>
      <c r="B676" s="10">
        <f>VLOOKUP(A676,'Datos generales'!A:B,2,0)</f>
        <v>45118.247916666667</v>
      </c>
      <c r="C676" s="12">
        <f>VLOOKUP(A676,'Datos generales'!A:H,8,0)</f>
        <v>1103.7</v>
      </c>
      <c r="D676" s="12" t="str">
        <f t="shared" si="20"/>
        <v>julio</v>
      </c>
      <c r="E676" s="33">
        <f t="shared" si="21"/>
        <v>2023</v>
      </c>
    </row>
    <row r="677" spans="1:5" x14ac:dyDescent="0.25">
      <c r="A677" t="s">
        <v>87</v>
      </c>
      <c r="B677" s="10">
        <f>VLOOKUP(A677,'Datos generales'!A:B,2,0)</f>
        <v>45717.986111111109</v>
      </c>
      <c r="C677" s="12">
        <f>VLOOKUP(A677,'Datos generales'!A:H,8,0)</f>
        <v>3697.55</v>
      </c>
      <c r="D677" s="12" t="str">
        <f t="shared" si="20"/>
        <v>marzo</v>
      </c>
      <c r="E677" s="33">
        <f t="shared" si="21"/>
        <v>2025</v>
      </c>
    </row>
    <row r="678" spans="1:5" x14ac:dyDescent="0.25">
      <c r="A678" t="s">
        <v>88</v>
      </c>
      <c r="B678" s="10">
        <f>VLOOKUP(A678,'Datos generales'!A:B,2,0)</f>
        <v>45162.795138888891</v>
      </c>
      <c r="C678" s="12">
        <f>VLOOKUP(A678,'Datos generales'!A:H,8,0)</f>
        <v>2178.2600000000002</v>
      </c>
      <c r="D678" s="12" t="str">
        <f t="shared" si="20"/>
        <v>agosto</v>
      </c>
      <c r="E678" s="33">
        <f t="shared" si="21"/>
        <v>2023</v>
      </c>
    </row>
    <row r="679" spans="1:5" x14ac:dyDescent="0.25">
      <c r="A679" t="s">
        <v>89</v>
      </c>
      <c r="B679" s="10">
        <f>VLOOKUP(A679,'Datos generales'!A:B,2,0)</f>
        <v>45517.353472222218</v>
      </c>
      <c r="C679" s="12">
        <f>VLOOKUP(A679,'Datos generales'!A:H,8,0)</f>
        <v>8163.75</v>
      </c>
      <c r="D679" s="12" t="str">
        <f t="shared" si="20"/>
        <v>agosto</v>
      </c>
      <c r="E679" s="33">
        <f t="shared" si="21"/>
        <v>2024</v>
      </c>
    </row>
    <row r="680" spans="1:5" x14ac:dyDescent="0.25">
      <c r="A680" t="s">
        <v>90</v>
      </c>
      <c r="B680" s="10">
        <f>VLOOKUP(A680,'Datos generales'!A:B,2,0)</f>
        <v>45245.664583333331</v>
      </c>
      <c r="C680" s="12">
        <f>VLOOKUP(A680,'Datos generales'!A:H,8,0)</f>
        <v>2452.0500000000002</v>
      </c>
      <c r="D680" s="12" t="str">
        <f t="shared" si="20"/>
        <v>noviembre</v>
      </c>
      <c r="E680" s="33">
        <f t="shared" si="21"/>
        <v>2023</v>
      </c>
    </row>
    <row r="681" spans="1:5" x14ac:dyDescent="0.25">
      <c r="A681" t="s">
        <v>91</v>
      </c>
      <c r="B681" s="10">
        <f>VLOOKUP(A681,'Datos generales'!A:B,2,0)</f>
        <v>45603.368055555547</v>
      </c>
      <c r="C681" s="12">
        <f>VLOOKUP(A681,'Datos generales'!A:H,8,0)</f>
        <v>2373.16</v>
      </c>
      <c r="D681" s="12" t="str">
        <f t="shared" si="20"/>
        <v>noviembre</v>
      </c>
      <c r="E681" s="33">
        <f t="shared" si="21"/>
        <v>2024</v>
      </c>
    </row>
    <row r="682" spans="1:5" x14ac:dyDescent="0.25">
      <c r="A682" t="s">
        <v>92</v>
      </c>
      <c r="B682" s="10">
        <f>VLOOKUP(A682,'Datos generales'!A:B,2,0)</f>
        <v>44990.597916666673</v>
      </c>
      <c r="C682" s="12">
        <f>VLOOKUP(A682,'Datos generales'!A:H,8,0)</f>
        <v>3745.6</v>
      </c>
      <c r="D682" s="12" t="str">
        <f t="shared" si="20"/>
        <v>marzo</v>
      </c>
      <c r="E682" s="33">
        <f t="shared" si="21"/>
        <v>2023</v>
      </c>
    </row>
    <row r="683" spans="1:5" x14ac:dyDescent="0.25">
      <c r="A683" t="s">
        <v>93</v>
      </c>
      <c r="B683" s="10">
        <f>VLOOKUP(A683,'Datos generales'!A:B,2,0)</f>
        <v>45273.106249999997</v>
      </c>
      <c r="C683" s="12">
        <f>VLOOKUP(A683,'Datos generales'!A:H,8,0)</f>
        <v>2040.57</v>
      </c>
      <c r="D683" s="12" t="str">
        <f t="shared" si="20"/>
        <v>diciembre</v>
      </c>
      <c r="E683" s="33">
        <f t="shared" si="21"/>
        <v>2023</v>
      </c>
    </row>
    <row r="684" spans="1:5" x14ac:dyDescent="0.25">
      <c r="A684" t="s">
        <v>94</v>
      </c>
      <c r="B684" s="10">
        <f>VLOOKUP(A684,'Datos generales'!A:B,2,0)</f>
        <v>45022.271527777782</v>
      </c>
      <c r="C684" s="12">
        <f>VLOOKUP(A684,'Datos generales'!A:H,8,0)</f>
        <v>1051.28</v>
      </c>
      <c r="D684" s="12" t="str">
        <f t="shared" si="20"/>
        <v>abril</v>
      </c>
      <c r="E684" s="33">
        <f t="shared" si="21"/>
        <v>2023</v>
      </c>
    </row>
    <row r="685" spans="1:5" x14ac:dyDescent="0.25">
      <c r="A685" t="s">
        <v>95</v>
      </c>
      <c r="B685" s="10">
        <f>VLOOKUP(A685,'Datos generales'!A:B,2,0)</f>
        <v>45682.68472222222</v>
      </c>
      <c r="C685" s="12">
        <f>VLOOKUP(A685,'Datos generales'!A:H,8,0)</f>
        <v>6127</v>
      </c>
      <c r="D685" s="12" t="str">
        <f t="shared" si="20"/>
        <v>enero</v>
      </c>
      <c r="E685" s="33">
        <f t="shared" si="21"/>
        <v>2025</v>
      </c>
    </row>
    <row r="686" spans="1:5" x14ac:dyDescent="0.25">
      <c r="A686" t="s">
        <v>96</v>
      </c>
      <c r="B686" s="10">
        <f>VLOOKUP(A686,'Datos generales'!A:B,2,0)</f>
        <v>45099.143750000003</v>
      </c>
      <c r="C686" s="12">
        <f>VLOOKUP(A686,'Datos generales'!A:H,8,0)</f>
        <v>503.84</v>
      </c>
      <c r="D686" s="12" t="str">
        <f t="shared" si="20"/>
        <v>junio</v>
      </c>
      <c r="E686" s="33">
        <f t="shared" si="21"/>
        <v>2023</v>
      </c>
    </row>
    <row r="687" spans="1:5" x14ac:dyDescent="0.25">
      <c r="A687" t="s">
        <v>97</v>
      </c>
      <c r="B687" s="10">
        <f>VLOOKUP(A687,'Datos generales'!A:B,2,0)</f>
        <v>45546.810416666667</v>
      </c>
      <c r="C687" s="12">
        <f>VLOOKUP(A687,'Datos generales'!A:H,8,0)</f>
        <v>7633.64</v>
      </c>
      <c r="D687" s="12" t="str">
        <f t="shared" si="20"/>
        <v>septiembre</v>
      </c>
      <c r="E687" s="33">
        <f t="shared" si="21"/>
        <v>2024</v>
      </c>
    </row>
    <row r="688" spans="1:5" x14ac:dyDescent="0.25">
      <c r="A688" t="s">
        <v>98</v>
      </c>
      <c r="B688" s="10">
        <f>VLOOKUP(A688,'Datos generales'!A:B,2,0)</f>
        <v>45451.106249999997</v>
      </c>
      <c r="C688" s="12">
        <f>VLOOKUP(A688,'Datos generales'!A:H,8,0)</f>
        <v>229.2</v>
      </c>
      <c r="D688" s="12" t="str">
        <f t="shared" si="20"/>
        <v>junio</v>
      </c>
      <c r="E688" s="33">
        <f t="shared" si="21"/>
        <v>2024</v>
      </c>
    </row>
    <row r="689" spans="1:5" x14ac:dyDescent="0.25">
      <c r="A689" t="s">
        <v>99</v>
      </c>
      <c r="B689" s="10">
        <f>VLOOKUP(A689,'Datos generales'!A:B,2,0)</f>
        <v>45101.551388888889</v>
      </c>
      <c r="C689" s="12">
        <f>VLOOKUP(A689,'Datos generales'!A:H,8,0)</f>
        <v>1191.56</v>
      </c>
      <c r="D689" s="12" t="str">
        <f t="shared" si="20"/>
        <v>junio</v>
      </c>
      <c r="E689" s="33">
        <f t="shared" si="21"/>
        <v>2023</v>
      </c>
    </row>
    <row r="690" spans="1:5" x14ac:dyDescent="0.25">
      <c r="A690" t="s">
        <v>100</v>
      </c>
      <c r="B690" s="10">
        <f>VLOOKUP(A690,'Datos generales'!A:B,2,0)</f>
        <v>45405.413194444453</v>
      </c>
      <c r="C690" s="12">
        <f>VLOOKUP(A690,'Datos generales'!A:H,8,0)</f>
        <v>150.04</v>
      </c>
      <c r="D690" s="12" t="str">
        <f t="shared" si="20"/>
        <v>abril</v>
      </c>
      <c r="E690" s="33">
        <f t="shared" si="21"/>
        <v>2024</v>
      </c>
    </row>
    <row r="691" spans="1:5" x14ac:dyDescent="0.25">
      <c r="A691" t="s">
        <v>101</v>
      </c>
      <c r="B691" s="10">
        <f>VLOOKUP(A691,'Datos generales'!A:B,2,0)</f>
        <v>45465.332638888889</v>
      </c>
      <c r="C691" s="12">
        <f>VLOOKUP(A691,'Datos generales'!A:H,8,0)</f>
        <v>2704.6</v>
      </c>
      <c r="D691" s="12" t="str">
        <f t="shared" si="20"/>
        <v>junio</v>
      </c>
      <c r="E691" s="33">
        <f t="shared" si="21"/>
        <v>2024</v>
      </c>
    </row>
    <row r="692" spans="1:5" x14ac:dyDescent="0.25">
      <c r="A692" t="s">
        <v>102</v>
      </c>
      <c r="B692" s="10">
        <f>VLOOKUP(A692,'Datos generales'!A:B,2,0)</f>
        <v>45863.330555555563</v>
      </c>
      <c r="C692" s="12">
        <f>VLOOKUP(A692,'Datos generales'!A:H,8,0)</f>
        <v>713.82</v>
      </c>
      <c r="D692" s="12" t="str">
        <f t="shared" si="20"/>
        <v>julio</v>
      </c>
      <c r="E692" s="33">
        <f t="shared" si="21"/>
        <v>2025</v>
      </c>
    </row>
    <row r="693" spans="1:5" x14ac:dyDescent="0.25">
      <c r="A693" t="s">
        <v>103</v>
      </c>
      <c r="B693" s="10">
        <f>VLOOKUP(A693,'Datos generales'!A:B,2,0)</f>
        <v>45727.712500000001</v>
      </c>
      <c r="C693" s="12">
        <f>VLOOKUP(A693,'Datos generales'!A:H,8,0)</f>
        <v>3407.01</v>
      </c>
      <c r="D693" s="12" t="str">
        <f t="shared" si="20"/>
        <v>marzo</v>
      </c>
      <c r="E693" s="33">
        <f t="shared" si="21"/>
        <v>2025</v>
      </c>
    </row>
    <row r="694" spans="1:5" x14ac:dyDescent="0.25">
      <c r="A694" t="s">
        <v>104</v>
      </c>
      <c r="B694" s="10">
        <f>VLOOKUP(A694,'Datos generales'!A:B,2,0)</f>
        <v>45676.398611111108</v>
      </c>
      <c r="C694" s="12">
        <f>VLOOKUP(A694,'Datos generales'!A:H,8,0)</f>
        <v>2417.0700000000002</v>
      </c>
      <c r="D694" s="12" t="str">
        <f t="shared" si="20"/>
        <v>enero</v>
      </c>
      <c r="E694" s="33">
        <f t="shared" si="21"/>
        <v>2025</v>
      </c>
    </row>
    <row r="695" spans="1:5" x14ac:dyDescent="0.25">
      <c r="A695" t="s">
        <v>105</v>
      </c>
      <c r="B695" s="10">
        <f>VLOOKUP(A695,'Datos generales'!A:B,2,0)</f>
        <v>45289.026388888888</v>
      </c>
      <c r="C695" s="12">
        <f>VLOOKUP(A695,'Datos generales'!A:H,8,0)</f>
        <v>2518.14</v>
      </c>
      <c r="D695" s="12" t="str">
        <f t="shared" si="20"/>
        <v>diciembre</v>
      </c>
      <c r="E695" s="33">
        <f t="shared" si="21"/>
        <v>2023</v>
      </c>
    </row>
    <row r="696" spans="1:5" x14ac:dyDescent="0.25">
      <c r="A696" t="s">
        <v>106</v>
      </c>
      <c r="B696" s="10">
        <f>VLOOKUP(A696,'Datos generales'!A:B,2,0)</f>
        <v>45473.418749999997</v>
      </c>
      <c r="C696" s="12">
        <f>VLOOKUP(A696,'Datos generales'!A:H,8,0)</f>
        <v>1801.2</v>
      </c>
      <c r="D696" s="12" t="str">
        <f t="shared" si="20"/>
        <v>junio</v>
      </c>
      <c r="E696" s="33">
        <f t="shared" si="21"/>
        <v>2024</v>
      </c>
    </row>
    <row r="697" spans="1:5" x14ac:dyDescent="0.25">
      <c r="A697" t="s">
        <v>107</v>
      </c>
      <c r="B697" s="10">
        <f>VLOOKUP(A697,'Datos generales'!A:B,2,0)</f>
        <v>45499.757638888892</v>
      </c>
      <c r="C697" s="12">
        <f>VLOOKUP(A697,'Datos generales'!A:H,8,0)</f>
        <v>959.62</v>
      </c>
      <c r="D697" s="12" t="str">
        <f t="shared" si="20"/>
        <v>julio</v>
      </c>
      <c r="E697" s="33">
        <f t="shared" si="21"/>
        <v>2024</v>
      </c>
    </row>
    <row r="698" spans="1:5" x14ac:dyDescent="0.25">
      <c r="A698" t="s">
        <v>108</v>
      </c>
      <c r="B698" s="10">
        <f>VLOOKUP(A698,'Datos generales'!A:B,2,0)</f>
        <v>45541.331250000003</v>
      </c>
      <c r="C698" s="12">
        <f>VLOOKUP(A698,'Datos generales'!A:H,8,0)</f>
        <v>1888.86</v>
      </c>
      <c r="D698" s="12" t="str">
        <f t="shared" si="20"/>
        <v>septiembre</v>
      </c>
      <c r="E698" s="33">
        <f t="shared" si="21"/>
        <v>2024</v>
      </c>
    </row>
    <row r="699" spans="1:5" x14ac:dyDescent="0.25">
      <c r="A699" t="s">
        <v>109</v>
      </c>
      <c r="B699" s="10">
        <f>VLOOKUP(A699,'Datos generales'!A:B,2,0)</f>
        <v>45542.574305555558</v>
      </c>
      <c r="C699" s="12">
        <f>VLOOKUP(A699,'Datos generales'!A:H,8,0)</f>
        <v>7284.2</v>
      </c>
      <c r="D699" s="12" t="str">
        <f t="shared" si="20"/>
        <v>septiembre</v>
      </c>
      <c r="E699" s="33">
        <f t="shared" si="21"/>
        <v>2024</v>
      </c>
    </row>
    <row r="700" spans="1:5" x14ac:dyDescent="0.25">
      <c r="A700" t="s">
        <v>110</v>
      </c>
      <c r="B700" s="10">
        <f>VLOOKUP(A700,'Datos generales'!A:B,2,0)</f>
        <v>45846.336805555547</v>
      </c>
      <c r="C700" s="12">
        <f>VLOOKUP(A700,'Datos generales'!A:H,8,0)</f>
        <v>4611.6900000000014</v>
      </c>
      <c r="D700" s="12" t="str">
        <f t="shared" si="20"/>
        <v>julio</v>
      </c>
      <c r="E700" s="33">
        <f t="shared" si="21"/>
        <v>2025</v>
      </c>
    </row>
    <row r="701" spans="1:5" x14ac:dyDescent="0.25">
      <c r="A701" t="s">
        <v>111</v>
      </c>
      <c r="B701" s="10">
        <f>VLOOKUP(A701,'Datos generales'!A:B,2,0)</f>
        <v>45318.705555555563</v>
      </c>
      <c r="C701" s="12">
        <f>VLOOKUP(A701,'Datos generales'!A:H,8,0)</f>
        <v>934.98</v>
      </c>
      <c r="D701" s="12" t="str">
        <f t="shared" si="20"/>
        <v>enero</v>
      </c>
      <c r="E701" s="33">
        <f t="shared" si="21"/>
        <v>2024</v>
      </c>
    </row>
    <row r="702" spans="1:5" x14ac:dyDescent="0.25">
      <c r="A702" t="s">
        <v>112</v>
      </c>
      <c r="B702" s="10">
        <f>VLOOKUP(A702,'Datos generales'!A:B,2,0)</f>
        <v>45595.668055555558</v>
      </c>
      <c r="C702" s="12">
        <f>VLOOKUP(A702,'Datos generales'!A:H,8,0)</f>
        <v>745.45</v>
      </c>
      <c r="D702" s="12" t="str">
        <f t="shared" si="20"/>
        <v>octubre</v>
      </c>
      <c r="E702" s="33">
        <f t="shared" si="21"/>
        <v>2024</v>
      </c>
    </row>
    <row r="703" spans="1:5" x14ac:dyDescent="0.25">
      <c r="A703" t="s">
        <v>113</v>
      </c>
      <c r="B703" s="10">
        <f>VLOOKUP(A703,'Datos generales'!A:B,2,0)</f>
        <v>44984.418055555558</v>
      </c>
      <c r="C703" s="12">
        <f>VLOOKUP(A703,'Datos generales'!A:H,8,0)</f>
        <v>9427.4</v>
      </c>
      <c r="D703" s="12" t="str">
        <f t="shared" si="20"/>
        <v>febrero</v>
      </c>
      <c r="E703" s="33">
        <f t="shared" si="21"/>
        <v>2023</v>
      </c>
    </row>
    <row r="704" spans="1:5" x14ac:dyDescent="0.25">
      <c r="A704" t="s">
        <v>114</v>
      </c>
      <c r="B704" s="10">
        <f>VLOOKUP(A704,'Datos generales'!A:B,2,0)</f>
        <v>45153.455555555563</v>
      </c>
      <c r="C704" s="12">
        <f>VLOOKUP(A704,'Datos generales'!A:H,8,0)</f>
        <v>4775.76</v>
      </c>
      <c r="D704" s="12" t="str">
        <f t="shared" si="20"/>
        <v>agosto</v>
      </c>
      <c r="E704" s="33">
        <f t="shared" si="21"/>
        <v>2023</v>
      </c>
    </row>
    <row r="705" spans="1:5" x14ac:dyDescent="0.25">
      <c r="A705" t="s">
        <v>115</v>
      </c>
      <c r="B705" s="10">
        <f>VLOOKUP(A705,'Datos generales'!A:B,2,0)</f>
        <v>45919.24722222222</v>
      </c>
      <c r="C705" s="12">
        <f>VLOOKUP(A705,'Datos generales'!A:H,8,0)</f>
        <v>6916.65</v>
      </c>
      <c r="D705" s="12" t="str">
        <f t="shared" si="20"/>
        <v>septiembre</v>
      </c>
      <c r="E705" s="33">
        <f t="shared" si="21"/>
        <v>2025</v>
      </c>
    </row>
    <row r="706" spans="1:5" x14ac:dyDescent="0.25">
      <c r="A706" t="s">
        <v>116</v>
      </c>
      <c r="B706" s="10">
        <f>VLOOKUP(A706,'Datos generales'!A:B,2,0)</f>
        <v>45815.543055555558</v>
      </c>
      <c r="C706" s="12">
        <f>VLOOKUP(A706,'Datos generales'!A:H,8,0)</f>
        <v>2102.46</v>
      </c>
      <c r="D706" s="12" t="str">
        <f t="shared" si="20"/>
        <v>junio</v>
      </c>
      <c r="E706" s="33">
        <f t="shared" si="21"/>
        <v>2025</v>
      </c>
    </row>
    <row r="707" spans="1:5" x14ac:dyDescent="0.25">
      <c r="A707" t="s">
        <v>117</v>
      </c>
      <c r="B707" s="10">
        <f>VLOOKUP(A707,'Datos generales'!A:B,2,0)</f>
        <v>45255.4</v>
      </c>
      <c r="C707" s="12">
        <f>VLOOKUP(A707,'Datos generales'!A:H,8,0)</f>
        <v>5097.84</v>
      </c>
      <c r="D707" s="12" t="str">
        <f t="shared" ref="D707:D770" si="22">TEXT(B707,"mmmm")</f>
        <v>noviembre</v>
      </c>
      <c r="E707" s="33">
        <f t="shared" ref="E707:E770" si="23">YEAR(B707)</f>
        <v>2023</v>
      </c>
    </row>
    <row r="708" spans="1:5" x14ac:dyDescent="0.25">
      <c r="A708" t="s">
        <v>118</v>
      </c>
      <c r="B708" s="10">
        <f>VLOOKUP(A708,'Datos generales'!A:B,2,0)</f>
        <v>45754.797222222223</v>
      </c>
      <c r="C708" s="12">
        <f>VLOOKUP(A708,'Datos generales'!A:H,8,0)</f>
        <v>1251.08</v>
      </c>
      <c r="D708" s="12" t="str">
        <f t="shared" si="22"/>
        <v>abril</v>
      </c>
      <c r="E708" s="33">
        <f t="shared" si="23"/>
        <v>2025</v>
      </c>
    </row>
    <row r="709" spans="1:5" x14ac:dyDescent="0.25">
      <c r="A709" t="s">
        <v>119</v>
      </c>
      <c r="B709" s="10">
        <f>VLOOKUP(A709,'Datos generales'!A:B,2,0)</f>
        <v>45764.185416666667</v>
      </c>
      <c r="C709" s="12">
        <f>VLOOKUP(A709,'Datos generales'!A:H,8,0)</f>
        <v>7911</v>
      </c>
      <c r="D709" s="12" t="str">
        <f t="shared" si="22"/>
        <v>abril</v>
      </c>
      <c r="E709" s="33">
        <f t="shared" si="23"/>
        <v>2025</v>
      </c>
    </row>
    <row r="710" spans="1:5" x14ac:dyDescent="0.25">
      <c r="A710" t="s">
        <v>120</v>
      </c>
      <c r="B710" s="10">
        <f>VLOOKUP(A710,'Datos generales'!A:B,2,0)</f>
        <v>45240.82916666667</v>
      </c>
      <c r="C710" s="12">
        <f>VLOOKUP(A710,'Datos generales'!A:H,8,0)</f>
        <v>81.92</v>
      </c>
      <c r="D710" s="12" t="str">
        <f t="shared" si="22"/>
        <v>noviembre</v>
      </c>
      <c r="E710" s="33">
        <f t="shared" si="23"/>
        <v>2023</v>
      </c>
    </row>
    <row r="711" spans="1:5" x14ac:dyDescent="0.25">
      <c r="A711" t="s">
        <v>121</v>
      </c>
      <c r="B711" s="10">
        <f>VLOOKUP(A711,'Datos generales'!A:B,2,0)</f>
        <v>45634.470138888893</v>
      </c>
      <c r="C711" s="12">
        <f>VLOOKUP(A711,'Datos generales'!A:H,8,0)</f>
        <v>1153.31</v>
      </c>
      <c r="D711" s="12" t="str">
        <f t="shared" si="22"/>
        <v>diciembre</v>
      </c>
      <c r="E711" s="33">
        <f t="shared" si="23"/>
        <v>2024</v>
      </c>
    </row>
    <row r="712" spans="1:5" x14ac:dyDescent="0.25">
      <c r="A712" t="s">
        <v>122</v>
      </c>
      <c r="B712" s="10">
        <f>VLOOKUP(A712,'Datos generales'!A:B,2,0)</f>
        <v>45913.939583333333</v>
      </c>
      <c r="C712" s="12">
        <f>VLOOKUP(A712,'Datos generales'!A:H,8,0)</f>
        <v>3234.24</v>
      </c>
      <c r="D712" s="12" t="str">
        <f t="shared" si="22"/>
        <v>septiembre</v>
      </c>
      <c r="E712" s="33">
        <f t="shared" si="23"/>
        <v>2025</v>
      </c>
    </row>
    <row r="713" spans="1:5" x14ac:dyDescent="0.25">
      <c r="A713" t="s">
        <v>123</v>
      </c>
      <c r="B713" s="10">
        <f>VLOOKUP(A713,'Datos generales'!A:B,2,0)</f>
        <v>45526.149305555547</v>
      </c>
      <c r="C713" s="12">
        <f>VLOOKUP(A713,'Datos generales'!A:H,8,0)</f>
        <v>201.91</v>
      </c>
      <c r="D713" s="12" t="str">
        <f t="shared" si="22"/>
        <v>agosto</v>
      </c>
      <c r="E713" s="33">
        <f t="shared" si="23"/>
        <v>2024</v>
      </c>
    </row>
    <row r="714" spans="1:5" x14ac:dyDescent="0.25">
      <c r="A714" t="s">
        <v>124</v>
      </c>
      <c r="B714" s="10">
        <f>VLOOKUP(A714,'Datos generales'!A:B,2,0)</f>
        <v>45487.067361111112</v>
      </c>
      <c r="C714" s="12">
        <f>VLOOKUP(A714,'Datos generales'!A:H,8,0)</f>
        <v>2182.08</v>
      </c>
      <c r="D714" s="12" t="str">
        <f t="shared" si="22"/>
        <v>julio</v>
      </c>
      <c r="E714" s="33">
        <f t="shared" si="23"/>
        <v>2024</v>
      </c>
    </row>
    <row r="715" spans="1:5" x14ac:dyDescent="0.25">
      <c r="A715" t="s">
        <v>125</v>
      </c>
      <c r="B715" s="10">
        <f>VLOOKUP(A715,'Datos generales'!A:B,2,0)</f>
        <v>45281.986805555563</v>
      </c>
      <c r="C715" s="12">
        <f>VLOOKUP(A715,'Datos generales'!A:H,8,0)</f>
        <v>4936.29</v>
      </c>
      <c r="D715" s="12" t="str">
        <f t="shared" si="22"/>
        <v>diciembre</v>
      </c>
      <c r="E715" s="33">
        <f t="shared" si="23"/>
        <v>2023</v>
      </c>
    </row>
    <row r="716" spans="1:5" x14ac:dyDescent="0.25">
      <c r="A716" t="s">
        <v>126</v>
      </c>
      <c r="B716" s="10">
        <f>VLOOKUP(A716,'Datos generales'!A:B,2,0)</f>
        <v>45468.378472222219</v>
      </c>
      <c r="C716" s="12">
        <f>VLOOKUP(A716,'Datos generales'!A:H,8,0)</f>
        <v>1260.1500000000001</v>
      </c>
      <c r="D716" s="12" t="str">
        <f t="shared" si="22"/>
        <v>junio</v>
      </c>
      <c r="E716" s="33">
        <f t="shared" si="23"/>
        <v>2024</v>
      </c>
    </row>
    <row r="717" spans="1:5" x14ac:dyDescent="0.25">
      <c r="A717" t="s">
        <v>127</v>
      </c>
      <c r="B717" s="10">
        <f>VLOOKUP(A717,'Datos generales'!A:B,2,0)</f>
        <v>45529.436805555553</v>
      </c>
      <c r="C717" s="12">
        <f>VLOOKUP(A717,'Datos generales'!A:H,8,0)</f>
        <v>1987.6</v>
      </c>
      <c r="D717" s="12" t="str">
        <f t="shared" si="22"/>
        <v>agosto</v>
      </c>
      <c r="E717" s="33">
        <f t="shared" si="23"/>
        <v>2024</v>
      </c>
    </row>
    <row r="718" spans="1:5" x14ac:dyDescent="0.25">
      <c r="A718" t="s">
        <v>128</v>
      </c>
      <c r="B718" s="10">
        <f>VLOOKUP(A718,'Datos generales'!A:B,2,0)</f>
        <v>44961.01666666667</v>
      </c>
      <c r="C718" s="12">
        <f>VLOOKUP(A718,'Datos generales'!A:H,8,0)</f>
        <v>1443.12</v>
      </c>
      <c r="D718" s="12" t="str">
        <f t="shared" si="22"/>
        <v>febrero</v>
      </c>
      <c r="E718" s="33">
        <f t="shared" si="23"/>
        <v>2023</v>
      </c>
    </row>
    <row r="719" spans="1:5" x14ac:dyDescent="0.25">
      <c r="A719" t="s">
        <v>129</v>
      </c>
      <c r="B719" s="10">
        <f>VLOOKUP(A719,'Datos generales'!A:B,2,0)</f>
        <v>45041.746527777781</v>
      </c>
      <c r="C719" s="12">
        <f>VLOOKUP(A719,'Datos generales'!A:H,8,0)</f>
        <v>5415.6</v>
      </c>
      <c r="D719" s="12" t="str">
        <f t="shared" si="22"/>
        <v>abril</v>
      </c>
      <c r="E719" s="33">
        <f t="shared" si="23"/>
        <v>2023</v>
      </c>
    </row>
    <row r="720" spans="1:5" x14ac:dyDescent="0.25">
      <c r="A720" t="s">
        <v>130</v>
      </c>
      <c r="B720" s="10">
        <f>VLOOKUP(A720,'Datos generales'!A:B,2,0)</f>
        <v>45400.756249999999</v>
      </c>
      <c r="C720" s="12">
        <f>VLOOKUP(A720,'Datos generales'!A:H,8,0)</f>
        <v>859.04</v>
      </c>
      <c r="D720" s="12" t="str">
        <f t="shared" si="22"/>
        <v>abril</v>
      </c>
      <c r="E720" s="33">
        <f t="shared" si="23"/>
        <v>2024</v>
      </c>
    </row>
    <row r="721" spans="1:5" x14ac:dyDescent="0.25">
      <c r="A721" t="s">
        <v>131</v>
      </c>
      <c r="B721" s="10">
        <f>VLOOKUP(A721,'Datos generales'!A:B,2,0)</f>
        <v>45465.772916666669</v>
      </c>
      <c r="C721" s="12">
        <f>VLOOKUP(A721,'Datos generales'!A:H,8,0)</f>
        <v>3649.92</v>
      </c>
      <c r="D721" s="12" t="str">
        <f t="shared" si="22"/>
        <v>junio</v>
      </c>
      <c r="E721" s="33">
        <f t="shared" si="23"/>
        <v>2024</v>
      </c>
    </row>
    <row r="722" spans="1:5" x14ac:dyDescent="0.25">
      <c r="A722" t="s">
        <v>132</v>
      </c>
      <c r="B722" s="10">
        <f>VLOOKUP(A722,'Datos generales'!A:B,2,0)</f>
        <v>45316.202777777777</v>
      </c>
      <c r="C722" s="12">
        <f>VLOOKUP(A722,'Datos generales'!A:H,8,0)</f>
        <v>5299.0499999999993</v>
      </c>
      <c r="D722" s="12" t="str">
        <f t="shared" si="22"/>
        <v>enero</v>
      </c>
      <c r="E722" s="33">
        <f t="shared" si="23"/>
        <v>2024</v>
      </c>
    </row>
    <row r="723" spans="1:5" x14ac:dyDescent="0.25">
      <c r="A723" t="s">
        <v>133</v>
      </c>
      <c r="B723" s="10">
        <f>VLOOKUP(A723,'Datos generales'!A:B,2,0)</f>
        <v>45118.634722222218</v>
      </c>
      <c r="C723" s="12">
        <f>VLOOKUP(A723,'Datos generales'!A:H,8,0)</f>
        <v>185.56</v>
      </c>
      <c r="D723" s="12" t="str">
        <f t="shared" si="22"/>
        <v>julio</v>
      </c>
      <c r="E723" s="33">
        <f t="shared" si="23"/>
        <v>2023</v>
      </c>
    </row>
    <row r="724" spans="1:5" x14ac:dyDescent="0.25">
      <c r="A724" t="s">
        <v>134</v>
      </c>
      <c r="B724" s="10">
        <f>VLOOKUP(A724,'Datos generales'!A:B,2,0)</f>
        <v>45232.75</v>
      </c>
      <c r="C724" s="12">
        <f>VLOOKUP(A724,'Datos generales'!A:H,8,0)</f>
        <v>754.07</v>
      </c>
      <c r="D724" s="12" t="str">
        <f t="shared" si="22"/>
        <v>noviembre</v>
      </c>
      <c r="E724" s="33">
        <f t="shared" si="23"/>
        <v>2023</v>
      </c>
    </row>
    <row r="725" spans="1:5" x14ac:dyDescent="0.25">
      <c r="A725" t="s">
        <v>135</v>
      </c>
      <c r="B725" s="10">
        <f>VLOOKUP(A725,'Datos generales'!A:B,2,0)</f>
        <v>45745.421527777777</v>
      </c>
      <c r="C725" s="12">
        <f>VLOOKUP(A725,'Datos generales'!A:H,8,0)</f>
        <v>1681.02</v>
      </c>
      <c r="D725" s="12" t="str">
        <f t="shared" si="22"/>
        <v>marzo</v>
      </c>
      <c r="E725" s="33">
        <f t="shared" si="23"/>
        <v>2025</v>
      </c>
    </row>
    <row r="726" spans="1:5" x14ac:dyDescent="0.25">
      <c r="A726" t="s">
        <v>136</v>
      </c>
      <c r="B726" s="10">
        <f>VLOOKUP(A726,'Datos generales'!A:B,2,0)</f>
        <v>45802.370833333327</v>
      </c>
      <c r="C726" s="12">
        <f>VLOOKUP(A726,'Datos generales'!A:H,8,0)</f>
        <v>2397.44</v>
      </c>
      <c r="D726" s="12" t="str">
        <f t="shared" si="22"/>
        <v>mayo</v>
      </c>
      <c r="E726" s="33">
        <f t="shared" si="23"/>
        <v>2025</v>
      </c>
    </row>
    <row r="727" spans="1:5" x14ac:dyDescent="0.25">
      <c r="A727" t="s">
        <v>137</v>
      </c>
      <c r="B727" s="10">
        <f>VLOOKUP(A727,'Datos generales'!A:B,2,0)</f>
        <v>45249.604861111111</v>
      </c>
      <c r="C727" s="12">
        <f>VLOOKUP(A727,'Datos generales'!A:H,8,0)</f>
        <v>2080.4</v>
      </c>
      <c r="D727" s="12" t="str">
        <f t="shared" si="22"/>
        <v>noviembre</v>
      </c>
      <c r="E727" s="33">
        <f t="shared" si="23"/>
        <v>2023</v>
      </c>
    </row>
    <row r="728" spans="1:5" x14ac:dyDescent="0.25">
      <c r="A728" t="s">
        <v>138</v>
      </c>
      <c r="B728" s="10">
        <f>VLOOKUP(A728,'Datos generales'!A:B,2,0)</f>
        <v>45854.013194444437</v>
      </c>
      <c r="C728" s="12">
        <f>VLOOKUP(A728,'Datos generales'!A:H,8,0)</f>
        <v>322.58999999999997</v>
      </c>
      <c r="D728" s="12" t="str">
        <f t="shared" si="22"/>
        <v>julio</v>
      </c>
      <c r="E728" s="33">
        <f t="shared" si="23"/>
        <v>2025</v>
      </c>
    </row>
    <row r="729" spans="1:5" x14ac:dyDescent="0.25">
      <c r="A729" t="s">
        <v>139</v>
      </c>
      <c r="B729" s="10">
        <f>VLOOKUP(A729,'Datos generales'!A:B,2,0)</f>
        <v>45828.018055555563</v>
      </c>
      <c r="C729" s="12">
        <f>VLOOKUP(A729,'Datos generales'!A:H,8,0)</f>
        <v>1522.64</v>
      </c>
      <c r="D729" s="12" t="str">
        <f t="shared" si="22"/>
        <v>junio</v>
      </c>
      <c r="E729" s="33">
        <f t="shared" si="23"/>
        <v>2025</v>
      </c>
    </row>
    <row r="730" spans="1:5" x14ac:dyDescent="0.25">
      <c r="A730" t="s">
        <v>140</v>
      </c>
      <c r="B730" s="10">
        <f>VLOOKUP(A730,'Datos generales'!A:B,2,0)</f>
        <v>45673.40902777778</v>
      </c>
      <c r="C730" s="12">
        <f>VLOOKUP(A730,'Datos generales'!A:H,8,0)</f>
        <v>1400.22</v>
      </c>
      <c r="D730" s="12" t="str">
        <f t="shared" si="22"/>
        <v>enero</v>
      </c>
      <c r="E730" s="33">
        <f t="shared" si="23"/>
        <v>2025</v>
      </c>
    </row>
    <row r="731" spans="1:5" x14ac:dyDescent="0.25">
      <c r="A731" t="s">
        <v>141</v>
      </c>
      <c r="B731" s="10">
        <f>VLOOKUP(A731,'Datos generales'!A:B,2,0)</f>
        <v>44932.951388888891</v>
      </c>
      <c r="C731" s="12">
        <f>VLOOKUP(A731,'Datos generales'!A:H,8,0)</f>
        <v>1792.4</v>
      </c>
      <c r="D731" s="12" t="str">
        <f t="shared" si="22"/>
        <v>enero</v>
      </c>
      <c r="E731" s="33">
        <f t="shared" si="23"/>
        <v>2023</v>
      </c>
    </row>
    <row r="732" spans="1:5" x14ac:dyDescent="0.25">
      <c r="A732" t="s">
        <v>142</v>
      </c>
      <c r="B732" s="10">
        <f>VLOOKUP(A732,'Datos generales'!A:B,2,0)</f>
        <v>45381.871527777781</v>
      </c>
      <c r="C732" s="12">
        <f>VLOOKUP(A732,'Datos generales'!A:H,8,0)</f>
        <v>2986.4</v>
      </c>
      <c r="D732" s="12" t="str">
        <f t="shared" si="22"/>
        <v>marzo</v>
      </c>
      <c r="E732" s="33">
        <f t="shared" si="23"/>
        <v>2024</v>
      </c>
    </row>
    <row r="733" spans="1:5" x14ac:dyDescent="0.25">
      <c r="A733" t="s">
        <v>143</v>
      </c>
      <c r="B733" s="10">
        <f>VLOOKUP(A733,'Datos generales'!A:B,2,0)</f>
        <v>45450.97152777778</v>
      </c>
      <c r="C733" s="12">
        <f>VLOOKUP(A733,'Datos generales'!A:H,8,0)</f>
        <v>751.43</v>
      </c>
      <c r="D733" s="12" t="str">
        <f t="shared" si="22"/>
        <v>junio</v>
      </c>
      <c r="E733" s="33">
        <f t="shared" si="23"/>
        <v>2024</v>
      </c>
    </row>
    <row r="734" spans="1:5" x14ac:dyDescent="0.25">
      <c r="A734" t="s">
        <v>144</v>
      </c>
      <c r="B734" s="10">
        <f>VLOOKUP(A734,'Datos generales'!A:B,2,0)</f>
        <v>45122.813888888893</v>
      </c>
      <c r="C734" s="12">
        <f>VLOOKUP(A734,'Datos generales'!A:H,8,0)</f>
        <v>5545.4</v>
      </c>
      <c r="D734" s="12" t="str">
        <f t="shared" si="22"/>
        <v>julio</v>
      </c>
      <c r="E734" s="33">
        <f t="shared" si="23"/>
        <v>2023</v>
      </c>
    </row>
    <row r="735" spans="1:5" x14ac:dyDescent="0.25">
      <c r="A735" t="s">
        <v>145</v>
      </c>
      <c r="B735" s="10">
        <f>VLOOKUP(A735,'Datos generales'!A:B,2,0)</f>
        <v>45329.842361111107</v>
      </c>
      <c r="C735" s="12">
        <f>VLOOKUP(A735,'Datos generales'!A:H,8,0)</f>
        <v>3213.7</v>
      </c>
      <c r="D735" s="12" t="str">
        <f t="shared" si="22"/>
        <v>febrero</v>
      </c>
      <c r="E735" s="33">
        <f t="shared" si="23"/>
        <v>2024</v>
      </c>
    </row>
    <row r="736" spans="1:5" x14ac:dyDescent="0.25">
      <c r="A736" t="s">
        <v>146</v>
      </c>
      <c r="B736" s="10">
        <f>VLOOKUP(A736,'Datos generales'!A:B,2,0)</f>
        <v>45615.539583333331</v>
      </c>
      <c r="C736" s="12">
        <f>VLOOKUP(A736,'Datos generales'!A:H,8,0)</f>
        <v>1228.6500000000001</v>
      </c>
      <c r="D736" s="12" t="str">
        <f t="shared" si="22"/>
        <v>noviembre</v>
      </c>
      <c r="E736" s="33">
        <f t="shared" si="23"/>
        <v>2024</v>
      </c>
    </row>
    <row r="737" spans="1:5" x14ac:dyDescent="0.25">
      <c r="A737" t="s">
        <v>147</v>
      </c>
      <c r="B737" s="10">
        <f>VLOOKUP(A737,'Datos generales'!A:B,2,0)</f>
        <v>45222.775694444441</v>
      </c>
      <c r="C737" s="12">
        <f>VLOOKUP(A737,'Datos generales'!A:H,8,0)</f>
        <v>5346.39</v>
      </c>
      <c r="D737" s="12" t="str">
        <f t="shared" si="22"/>
        <v>octubre</v>
      </c>
      <c r="E737" s="33">
        <f t="shared" si="23"/>
        <v>2023</v>
      </c>
    </row>
    <row r="738" spans="1:5" x14ac:dyDescent="0.25">
      <c r="A738" t="s">
        <v>148</v>
      </c>
      <c r="B738" s="10">
        <f>VLOOKUP(A738,'Datos generales'!A:B,2,0)</f>
        <v>45525.048611111109</v>
      </c>
      <c r="C738" s="12">
        <f>VLOOKUP(A738,'Datos generales'!A:H,8,0)</f>
        <v>5685.7000000000007</v>
      </c>
      <c r="D738" s="12" t="str">
        <f t="shared" si="22"/>
        <v>agosto</v>
      </c>
      <c r="E738" s="33">
        <f t="shared" si="23"/>
        <v>2024</v>
      </c>
    </row>
    <row r="739" spans="1:5" x14ac:dyDescent="0.25">
      <c r="A739" t="s">
        <v>149</v>
      </c>
      <c r="B739" s="10">
        <f>VLOOKUP(A739,'Datos generales'!A:B,2,0)</f>
        <v>45520.686111111107</v>
      </c>
      <c r="C739" s="12">
        <f>VLOOKUP(A739,'Datos generales'!A:H,8,0)</f>
        <v>3866.88</v>
      </c>
      <c r="D739" s="12" t="str">
        <f t="shared" si="22"/>
        <v>agosto</v>
      </c>
      <c r="E739" s="33">
        <f t="shared" si="23"/>
        <v>2024</v>
      </c>
    </row>
    <row r="740" spans="1:5" x14ac:dyDescent="0.25">
      <c r="A740" t="s">
        <v>150</v>
      </c>
      <c r="B740" s="10">
        <f>VLOOKUP(A740,'Datos generales'!A:B,2,0)</f>
        <v>45484.331944444442</v>
      </c>
      <c r="C740" s="12">
        <f>VLOOKUP(A740,'Datos generales'!A:H,8,0)</f>
        <v>3774.4</v>
      </c>
      <c r="D740" s="12" t="str">
        <f t="shared" si="22"/>
        <v>julio</v>
      </c>
      <c r="E740" s="33">
        <f t="shared" si="23"/>
        <v>2024</v>
      </c>
    </row>
    <row r="741" spans="1:5" x14ac:dyDescent="0.25">
      <c r="A741" t="s">
        <v>151</v>
      </c>
      <c r="B741" s="10">
        <f>VLOOKUP(A741,'Datos generales'!A:B,2,0)</f>
        <v>45842.433333333327</v>
      </c>
      <c r="C741" s="12">
        <f>VLOOKUP(A741,'Datos generales'!A:H,8,0)</f>
        <v>3610</v>
      </c>
      <c r="D741" s="12" t="str">
        <f t="shared" si="22"/>
        <v>julio</v>
      </c>
      <c r="E741" s="33">
        <f t="shared" si="23"/>
        <v>2025</v>
      </c>
    </row>
    <row r="742" spans="1:5" x14ac:dyDescent="0.25">
      <c r="A742" t="s">
        <v>152</v>
      </c>
      <c r="B742" s="10">
        <f>VLOOKUP(A742,'Datos generales'!A:B,2,0)</f>
        <v>45697.842361111107</v>
      </c>
      <c r="C742" s="12">
        <f>VLOOKUP(A742,'Datos generales'!A:H,8,0)</f>
        <v>156.36000000000001</v>
      </c>
      <c r="D742" s="12" t="str">
        <f t="shared" si="22"/>
        <v>febrero</v>
      </c>
      <c r="E742" s="33">
        <f t="shared" si="23"/>
        <v>2025</v>
      </c>
    </row>
    <row r="743" spans="1:5" x14ac:dyDescent="0.25">
      <c r="A743" t="s">
        <v>153</v>
      </c>
      <c r="B743" s="10">
        <f>VLOOKUP(A743,'Datos generales'!A:B,2,0)</f>
        <v>45927.180555555547</v>
      </c>
      <c r="C743" s="12">
        <f>VLOOKUP(A743,'Datos generales'!A:H,8,0)</f>
        <v>3230.82</v>
      </c>
      <c r="D743" s="12" t="str">
        <f t="shared" si="22"/>
        <v>septiembre</v>
      </c>
      <c r="E743" s="33">
        <f t="shared" si="23"/>
        <v>2025</v>
      </c>
    </row>
    <row r="744" spans="1:5" x14ac:dyDescent="0.25">
      <c r="A744" t="s">
        <v>154</v>
      </c>
      <c r="B744" s="10">
        <f>VLOOKUP(A744,'Datos generales'!A:B,2,0)</f>
        <v>45511.748611111107</v>
      </c>
      <c r="C744" s="12">
        <f>VLOOKUP(A744,'Datos generales'!A:H,8,0)</f>
        <v>747.69999999999993</v>
      </c>
      <c r="D744" s="12" t="str">
        <f t="shared" si="22"/>
        <v>agosto</v>
      </c>
      <c r="E744" s="33">
        <f t="shared" si="23"/>
        <v>2024</v>
      </c>
    </row>
    <row r="745" spans="1:5" x14ac:dyDescent="0.25">
      <c r="A745" t="s">
        <v>155</v>
      </c>
      <c r="B745" s="10">
        <f>VLOOKUP(A745,'Datos generales'!A:B,2,0)</f>
        <v>45867.710416666669</v>
      </c>
      <c r="C745" s="12">
        <f>VLOOKUP(A745,'Datos generales'!A:H,8,0)</f>
        <v>4776.95</v>
      </c>
      <c r="D745" s="12" t="str">
        <f t="shared" si="22"/>
        <v>julio</v>
      </c>
      <c r="E745" s="33">
        <f t="shared" si="23"/>
        <v>2025</v>
      </c>
    </row>
    <row r="746" spans="1:5" x14ac:dyDescent="0.25">
      <c r="A746" t="s">
        <v>156</v>
      </c>
      <c r="B746" s="10">
        <f>VLOOKUP(A746,'Datos generales'!A:B,2,0)</f>
        <v>45339.555555555547</v>
      </c>
      <c r="C746" s="12">
        <f>VLOOKUP(A746,'Datos generales'!A:H,8,0)</f>
        <v>3927.26</v>
      </c>
      <c r="D746" s="12" t="str">
        <f t="shared" si="22"/>
        <v>febrero</v>
      </c>
      <c r="E746" s="33">
        <f t="shared" si="23"/>
        <v>2024</v>
      </c>
    </row>
    <row r="747" spans="1:5" x14ac:dyDescent="0.25">
      <c r="A747" t="s">
        <v>157</v>
      </c>
      <c r="B747" s="10">
        <f>VLOOKUP(A747,'Datos generales'!A:B,2,0)</f>
        <v>45538.998611111107</v>
      </c>
      <c r="C747" s="12">
        <f>VLOOKUP(A747,'Datos generales'!A:H,8,0)</f>
        <v>7200.7000000000007</v>
      </c>
      <c r="D747" s="12" t="str">
        <f t="shared" si="22"/>
        <v>septiembre</v>
      </c>
      <c r="E747" s="33">
        <f t="shared" si="23"/>
        <v>2024</v>
      </c>
    </row>
    <row r="748" spans="1:5" x14ac:dyDescent="0.25">
      <c r="A748" t="s">
        <v>158</v>
      </c>
      <c r="B748" s="10">
        <f>VLOOKUP(A748,'Datos generales'!A:B,2,0)</f>
        <v>45105.837500000001</v>
      </c>
      <c r="C748" s="12">
        <f>VLOOKUP(A748,'Datos generales'!A:H,8,0)</f>
        <v>1134.8</v>
      </c>
      <c r="D748" s="12" t="str">
        <f t="shared" si="22"/>
        <v>junio</v>
      </c>
      <c r="E748" s="33">
        <f t="shared" si="23"/>
        <v>2023</v>
      </c>
    </row>
    <row r="749" spans="1:5" x14ac:dyDescent="0.25">
      <c r="A749" t="s">
        <v>159</v>
      </c>
      <c r="B749" s="10">
        <f>VLOOKUP(A749,'Datos generales'!A:B,2,0)</f>
        <v>45470.283333333333</v>
      </c>
      <c r="C749" s="12">
        <f>VLOOKUP(A749,'Datos generales'!A:H,8,0)</f>
        <v>2062.5300000000002</v>
      </c>
      <c r="D749" s="12" t="str">
        <f t="shared" si="22"/>
        <v>junio</v>
      </c>
      <c r="E749" s="33">
        <f t="shared" si="23"/>
        <v>2024</v>
      </c>
    </row>
    <row r="750" spans="1:5" x14ac:dyDescent="0.25">
      <c r="A750" t="s">
        <v>160</v>
      </c>
      <c r="B750" s="10">
        <f>VLOOKUP(A750,'Datos generales'!A:B,2,0)</f>
        <v>45122.511805555558</v>
      </c>
      <c r="C750" s="12">
        <f>VLOOKUP(A750,'Datos generales'!A:H,8,0)</f>
        <v>564</v>
      </c>
      <c r="D750" s="12" t="str">
        <f t="shared" si="22"/>
        <v>julio</v>
      </c>
      <c r="E750" s="33">
        <f t="shared" si="23"/>
        <v>2023</v>
      </c>
    </row>
    <row r="751" spans="1:5" x14ac:dyDescent="0.25">
      <c r="A751" t="s">
        <v>161</v>
      </c>
      <c r="B751" s="10">
        <f>VLOOKUP(A751,'Datos generales'!A:B,2,0)</f>
        <v>45878.351388888892</v>
      </c>
      <c r="C751" s="12">
        <f>VLOOKUP(A751,'Datos generales'!A:H,8,0)</f>
        <v>5885.52</v>
      </c>
      <c r="D751" s="12" t="str">
        <f t="shared" si="22"/>
        <v>agosto</v>
      </c>
      <c r="E751" s="33">
        <f t="shared" si="23"/>
        <v>2025</v>
      </c>
    </row>
    <row r="752" spans="1:5" x14ac:dyDescent="0.25">
      <c r="A752" t="s">
        <v>162</v>
      </c>
      <c r="B752" s="10">
        <f>VLOOKUP(A752,'Datos generales'!A:B,2,0)</f>
        <v>45894.257638888892</v>
      </c>
      <c r="C752" s="12">
        <f>VLOOKUP(A752,'Datos generales'!A:H,8,0)</f>
        <v>1463.91</v>
      </c>
      <c r="D752" s="12" t="str">
        <f t="shared" si="22"/>
        <v>agosto</v>
      </c>
      <c r="E752" s="33">
        <f t="shared" si="23"/>
        <v>2025</v>
      </c>
    </row>
    <row r="753" spans="1:5" x14ac:dyDescent="0.25">
      <c r="A753" t="s">
        <v>163</v>
      </c>
      <c r="B753" s="10">
        <f>VLOOKUP(A753,'Datos generales'!A:B,2,0)</f>
        <v>45321.105555555558</v>
      </c>
      <c r="C753" s="12">
        <f>VLOOKUP(A753,'Datos generales'!A:H,8,0)</f>
        <v>6341.96</v>
      </c>
      <c r="D753" s="12" t="str">
        <f t="shared" si="22"/>
        <v>enero</v>
      </c>
      <c r="E753" s="33">
        <f t="shared" si="23"/>
        <v>2024</v>
      </c>
    </row>
    <row r="754" spans="1:5" x14ac:dyDescent="0.25">
      <c r="A754" t="s">
        <v>164</v>
      </c>
      <c r="B754" s="10">
        <f>VLOOKUP(A754,'Datos generales'!A:B,2,0)</f>
        <v>45571.035416666673</v>
      </c>
      <c r="C754" s="12">
        <f>VLOOKUP(A754,'Datos generales'!A:H,8,0)</f>
        <v>662.17</v>
      </c>
      <c r="D754" s="12" t="str">
        <f t="shared" si="22"/>
        <v>octubre</v>
      </c>
      <c r="E754" s="33">
        <f t="shared" si="23"/>
        <v>2024</v>
      </c>
    </row>
    <row r="755" spans="1:5" x14ac:dyDescent="0.25">
      <c r="A755" t="s">
        <v>165</v>
      </c>
      <c r="B755" s="10">
        <f>VLOOKUP(A755,'Datos generales'!A:B,2,0)</f>
        <v>45442.757638888892</v>
      </c>
      <c r="C755" s="12">
        <f>VLOOKUP(A755,'Datos generales'!A:H,8,0)</f>
        <v>273.36</v>
      </c>
      <c r="D755" s="12" t="str">
        <f t="shared" si="22"/>
        <v>mayo</v>
      </c>
      <c r="E755" s="33">
        <f t="shared" si="23"/>
        <v>2024</v>
      </c>
    </row>
    <row r="756" spans="1:5" x14ac:dyDescent="0.25">
      <c r="A756" t="s">
        <v>166</v>
      </c>
      <c r="B756" s="10">
        <f>VLOOKUP(A756,'Datos generales'!A:B,2,0)</f>
        <v>45889.054166666669</v>
      </c>
      <c r="C756" s="12">
        <f>VLOOKUP(A756,'Datos generales'!A:H,8,0)</f>
        <v>474.56</v>
      </c>
      <c r="D756" s="12" t="str">
        <f t="shared" si="22"/>
        <v>agosto</v>
      </c>
      <c r="E756" s="33">
        <f t="shared" si="23"/>
        <v>2025</v>
      </c>
    </row>
    <row r="757" spans="1:5" x14ac:dyDescent="0.25">
      <c r="A757" t="s">
        <v>167</v>
      </c>
      <c r="B757" s="10">
        <f>VLOOKUP(A757,'Datos generales'!A:B,2,0)</f>
        <v>45468.727083333331</v>
      </c>
      <c r="C757" s="12">
        <f>VLOOKUP(A757,'Datos generales'!A:H,8,0)</f>
        <v>2800.47</v>
      </c>
      <c r="D757" s="12" t="str">
        <f t="shared" si="22"/>
        <v>junio</v>
      </c>
      <c r="E757" s="33">
        <f t="shared" si="23"/>
        <v>2024</v>
      </c>
    </row>
    <row r="758" spans="1:5" x14ac:dyDescent="0.25">
      <c r="A758" t="s">
        <v>168</v>
      </c>
      <c r="B758" s="10">
        <f>VLOOKUP(A758,'Datos generales'!A:B,2,0)</f>
        <v>45202.955555555563</v>
      </c>
      <c r="C758" s="12">
        <f>VLOOKUP(A758,'Datos generales'!A:H,8,0)</f>
        <v>2070.1799999999998</v>
      </c>
      <c r="D758" s="12" t="str">
        <f t="shared" si="22"/>
        <v>octubre</v>
      </c>
      <c r="E758" s="33">
        <f t="shared" si="23"/>
        <v>2023</v>
      </c>
    </row>
    <row r="759" spans="1:5" x14ac:dyDescent="0.25">
      <c r="A759" t="s">
        <v>169</v>
      </c>
      <c r="B759" s="10">
        <f>VLOOKUP(A759,'Datos generales'!A:B,2,0)</f>
        <v>45323.202777777777</v>
      </c>
      <c r="C759" s="12">
        <f>VLOOKUP(A759,'Datos generales'!A:H,8,0)</f>
        <v>2650.02</v>
      </c>
      <c r="D759" s="12" t="str">
        <f t="shared" si="22"/>
        <v>febrero</v>
      </c>
      <c r="E759" s="33">
        <f t="shared" si="23"/>
        <v>2024</v>
      </c>
    </row>
    <row r="760" spans="1:5" x14ac:dyDescent="0.25">
      <c r="A760" t="s">
        <v>170</v>
      </c>
      <c r="B760" s="10">
        <f>VLOOKUP(A760,'Datos generales'!A:B,2,0)</f>
        <v>45288.395833333343</v>
      </c>
      <c r="C760" s="12">
        <f>VLOOKUP(A760,'Datos generales'!A:H,8,0)</f>
        <v>2843.36</v>
      </c>
      <c r="D760" s="12" t="str">
        <f t="shared" si="22"/>
        <v>diciembre</v>
      </c>
      <c r="E760" s="33">
        <f t="shared" si="23"/>
        <v>2023</v>
      </c>
    </row>
    <row r="761" spans="1:5" x14ac:dyDescent="0.25">
      <c r="A761" t="s">
        <v>171</v>
      </c>
      <c r="B761" s="10">
        <f>VLOOKUP(A761,'Datos generales'!A:B,2,0)</f>
        <v>45900.337500000001</v>
      </c>
      <c r="C761" s="12">
        <f>VLOOKUP(A761,'Datos generales'!A:H,8,0)</f>
        <v>291.81</v>
      </c>
      <c r="D761" s="12" t="str">
        <f t="shared" si="22"/>
        <v>agosto</v>
      </c>
      <c r="E761" s="33">
        <f t="shared" si="23"/>
        <v>2025</v>
      </c>
    </row>
    <row r="762" spans="1:5" x14ac:dyDescent="0.25">
      <c r="A762" t="s">
        <v>172</v>
      </c>
      <c r="B762" s="10">
        <f>VLOOKUP(A762,'Datos generales'!A:B,2,0)</f>
        <v>45576.732638888891</v>
      </c>
      <c r="C762" s="12">
        <f>VLOOKUP(A762,'Datos generales'!A:H,8,0)</f>
        <v>2491.8000000000002</v>
      </c>
      <c r="D762" s="12" t="str">
        <f t="shared" si="22"/>
        <v>octubre</v>
      </c>
      <c r="E762" s="33">
        <f t="shared" si="23"/>
        <v>2024</v>
      </c>
    </row>
    <row r="763" spans="1:5" x14ac:dyDescent="0.25">
      <c r="A763" t="s">
        <v>173</v>
      </c>
      <c r="B763" s="10">
        <f>VLOOKUP(A763,'Datos generales'!A:B,2,0)</f>
        <v>45392.97152777778</v>
      </c>
      <c r="C763" s="12">
        <f>VLOOKUP(A763,'Datos generales'!A:H,8,0)</f>
        <v>4904.45</v>
      </c>
      <c r="D763" s="12" t="str">
        <f t="shared" si="22"/>
        <v>abril</v>
      </c>
      <c r="E763" s="33">
        <f t="shared" si="23"/>
        <v>2024</v>
      </c>
    </row>
    <row r="764" spans="1:5" x14ac:dyDescent="0.25">
      <c r="A764" t="s">
        <v>174</v>
      </c>
      <c r="B764" s="10">
        <f>VLOOKUP(A764,'Datos generales'!A:B,2,0)</f>
        <v>45584.049305555563</v>
      </c>
      <c r="C764" s="12">
        <f>VLOOKUP(A764,'Datos generales'!A:H,8,0)</f>
        <v>1390.33</v>
      </c>
      <c r="D764" s="12" t="str">
        <f t="shared" si="22"/>
        <v>octubre</v>
      </c>
      <c r="E764" s="33">
        <f t="shared" si="23"/>
        <v>2024</v>
      </c>
    </row>
    <row r="765" spans="1:5" x14ac:dyDescent="0.25">
      <c r="A765" t="s">
        <v>175</v>
      </c>
      <c r="B765" s="10">
        <f>VLOOKUP(A765,'Datos generales'!A:B,2,0)</f>
        <v>44941.657638888893</v>
      </c>
      <c r="C765" s="12">
        <f>VLOOKUP(A765,'Datos generales'!A:H,8,0)</f>
        <v>8540.4499999999989</v>
      </c>
      <c r="D765" s="12" t="str">
        <f t="shared" si="22"/>
        <v>enero</v>
      </c>
      <c r="E765" s="33">
        <f t="shared" si="23"/>
        <v>2023</v>
      </c>
    </row>
    <row r="766" spans="1:5" x14ac:dyDescent="0.25">
      <c r="A766" t="s">
        <v>176</v>
      </c>
      <c r="B766" s="10">
        <f>VLOOKUP(A766,'Datos generales'!A:B,2,0)</f>
        <v>45238.718055555553</v>
      </c>
      <c r="C766" s="12">
        <f>VLOOKUP(A766,'Datos generales'!A:H,8,0)</f>
        <v>1378.2</v>
      </c>
      <c r="D766" s="12" t="str">
        <f t="shared" si="22"/>
        <v>noviembre</v>
      </c>
      <c r="E766" s="33">
        <f t="shared" si="23"/>
        <v>2023</v>
      </c>
    </row>
    <row r="767" spans="1:5" x14ac:dyDescent="0.25">
      <c r="A767" t="s">
        <v>177</v>
      </c>
      <c r="B767" s="10">
        <f>VLOOKUP(A767,'Datos generales'!A:B,2,0)</f>
        <v>44973.59652777778</v>
      </c>
      <c r="C767" s="12">
        <f>VLOOKUP(A767,'Datos generales'!A:H,8,0)</f>
        <v>1578.33</v>
      </c>
      <c r="D767" s="12" t="str">
        <f t="shared" si="22"/>
        <v>febrero</v>
      </c>
      <c r="E767" s="33">
        <f t="shared" si="23"/>
        <v>2023</v>
      </c>
    </row>
    <row r="768" spans="1:5" x14ac:dyDescent="0.25">
      <c r="A768" t="s">
        <v>178</v>
      </c>
      <c r="B768" s="10">
        <f>VLOOKUP(A768,'Datos generales'!A:B,2,0)</f>
        <v>45445.690972222219</v>
      </c>
      <c r="C768" s="12">
        <f>VLOOKUP(A768,'Datos generales'!A:H,8,0)</f>
        <v>8011.9500000000007</v>
      </c>
      <c r="D768" s="12" t="str">
        <f t="shared" si="22"/>
        <v>junio</v>
      </c>
      <c r="E768" s="33">
        <f t="shared" si="23"/>
        <v>2024</v>
      </c>
    </row>
    <row r="769" spans="1:5" x14ac:dyDescent="0.25">
      <c r="A769" t="s">
        <v>179</v>
      </c>
      <c r="B769" s="10">
        <f>VLOOKUP(A769,'Datos generales'!A:B,2,0)</f>
        <v>45035.472916666673</v>
      </c>
      <c r="C769" s="12">
        <f>VLOOKUP(A769,'Datos generales'!A:H,8,0)</f>
        <v>1429.1</v>
      </c>
      <c r="D769" s="12" t="str">
        <f t="shared" si="22"/>
        <v>abril</v>
      </c>
      <c r="E769" s="33">
        <f t="shared" si="23"/>
        <v>2023</v>
      </c>
    </row>
    <row r="770" spans="1:5" x14ac:dyDescent="0.25">
      <c r="A770" t="s">
        <v>180</v>
      </c>
      <c r="B770" s="10">
        <f>VLOOKUP(A770,'Datos generales'!A:B,2,0)</f>
        <v>45836.104166666657</v>
      </c>
      <c r="C770" s="12">
        <f>VLOOKUP(A770,'Datos generales'!A:H,8,0)</f>
        <v>281.08</v>
      </c>
      <c r="D770" s="12" t="str">
        <f t="shared" si="22"/>
        <v>junio</v>
      </c>
      <c r="E770" s="33">
        <f t="shared" si="23"/>
        <v>2025</v>
      </c>
    </row>
    <row r="771" spans="1:5" x14ac:dyDescent="0.25">
      <c r="A771" t="s">
        <v>181</v>
      </c>
      <c r="B771" s="10">
        <f>VLOOKUP(A771,'Datos generales'!A:B,2,0)</f>
        <v>45584.553472222222</v>
      </c>
      <c r="C771" s="12">
        <f>VLOOKUP(A771,'Datos generales'!A:H,8,0)</f>
        <v>1434.35</v>
      </c>
      <c r="D771" s="12" t="str">
        <f t="shared" ref="D771:D834" si="24">TEXT(B771,"mmmm")</f>
        <v>octubre</v>
      </c>
      <c r="E771" s="33">
        <f t="shared" ref="E771:E834" si="25">YEAR(B771)</f>
        <v>2024</v>
      </c>
    </row>
    <row r="772" spans="1:5" x14ac:dyDescent="0.25">
      <c r="A772" t="s">
        <v>182</v>
      </c>
      <c r="B772" s="10">
        <f>VLOOKUP(A772,'Datos generales'!A:B,2,0)</f>
        <v>45338.585416666669</v>
      </c>
      <c r="C772" s="12">
        <f>VLOOKUP(A772,'Datos generales'!A:H,8,0)</f>
        <v>9489.85</v>
      </c>
      <c r="D772" s="12" t="str">
        <f t="shared" si="24"/>
        <v>febrero</v>
      </c>
      <c r="E772" s="33">
        <f t="shared" si="25"/>
        <v>2024</v>
      </c>
    </row>
    <row r="773" spans="1:5" x14ac:dyDescent="0.25">
      <c r="A773" t="s">
        <v>183</v>
      </c>
      <c r="B773" s="10">
        <f>VLOOKUP(A773,'Datos generales'!A:B,2,0)</f>
        <v>45625.480555555558</v>
      </c>
      <c r="C773" s="12">
        <f>VLOOKUP(A773,'Datos generales'!A:H,8,0)</f>
        <v>1175.42</v>
      </c>
      <c r="D773" s="12" t="str">
        <f t="shared" si="24"/>
        <v>noviembre</v>
      </c>
      <c r="E773" s="33">
        <f t="shared" si="25"/>
        <v>2024</v>
      </c>
    </row>
    <row r="774" spans="1:5" x14ac:dyDescent="0.25">
      <c r="A774" t="s">
        <v>184</v>
      </c>
      <c r="B774" s="10">
        <f>VLOOKUP(A774,'Datos generales'!A:B,2,0)</f>
        <v>45291</v>
      </c>
      <c r="C774" s="12">
        <f>VLOOKUP(A774,'Datos generales'!A:H,8,0)</f>
        <v>3580.52</v>
      </c>
      <c r="D774" s="12" t="str">
        <f t="shared" si="24"/>
        <v>diciembre</v>
      </c>
      <c r="E774" s="33">
        <f t="shared" si="25"/>
        <v>2023</v>
      </c>
    </row>
    <row r="775" spans="1:5" x14ac:dyDescent="0.25">
      <c r="A775" t="s">
        <v>185</v>
      </c>
      <c r="B775" s="10">
        <f>VLOOKUP(A775,'Datos generales'!A:B,2,0)</f>
        <v>45548.488194444442</v>
      </c>
      <c r="C775" s="12">
        <f>VLOOKUP(A775,'Datos generales'!A:H,8,0)</f>
        <v>4372.0499999999993</v>
      </c>
      <c r="D775" s="12" t="str">
        <f t="shared" si="24"/>
        <v>septiembre</v>
      </c>
      <c r="E775" s="33">
        <f t="shared" si="25"/>
        <v>2024</v>
      </c>
    </row>
    <row r="776" spans="1:5" x14ac:dyDescent="0.25">
      <c r="A776" t="s">
        <v>186</v>
      </c>
      <c r="B776" s="10">
        <f>VLOOKUP(A776,'Datos generales'!A:B,2,0)</f>
        <v>45540.261805555558</v>
      </c>
      <c r="C776" s="12">
        <f>VLOOKUP(A776,'Datos generales'!A:H,8,0)</f>
        <v>3249.96</v>
      </c>
      <c r="D776" s="12" t="str">
        <f t="shared" si="24"/>
        <v>septiembre</v>
      </c>
      <c r="E776" s="33">
        <f t="shared" si="25"/>
        <v>2024</v>
      </c>
    </row>
    <row r="777" spans="1:5" x14ac:dyDescent="0.25">
      <c r="A777" t="s">
        <v>187</v>
      </c>
      <c r="B777" s="10">
        <f>VLOOKUP(A777,'Datos generales'!A:B,2,0)</f>
        <v>45783.684027777781</v>
      </c>
      <c r="C777" s="12">
        <f>VLOOKUP(A777,'Datos generales'!A:H,8,0)</f>
        <v>4628.13</v>
      </c>
      <c r="D777" s="12" t="str">
        <f t="shared" si="24"/>
        <v>mayo</v>
      </c>
      <c r="E777" s="33">
        <f t="shared" si="25"/>
        <v>2025</v>
      </c>
    </row>
    <row r="778" spans="1:5" x14ac:dyDescent="0.25">
      <c r="A778" t="s">
        <v>188</v>
      </c>
      <c r="B778" s="10">
        <f>VLOOKUP(A778,'Datos generales'!A:B,2,0)</f>
        <v>45692.470138888893</v>
      </c>
      <c r="C778" s="12">
        <f>VLOOKUP(A778,'Datos generales'!A:H,8,0)</f>
        <v>3619</v>
      </c>
      <c r="D778" s="12" t="str">
        <f t="shared" si="24"/>
        <v>febrero</v>
      </c>
      <c r="E778" s="33">
        <f t="shared" si="25"/>
        <v>2025</v>
      </c>
    </row>
    <row r="779" spans="1:5" x14ac:dyDescent="0.25">
      <c r="A779" t="s">
        <v>189</v>
      </c>
      <c r="B779" s="10">
        <f>VLOOKUP(A779,'Datos generales'!A:B,2,0)</f>
        <v>45186.410416666673</v>
      </c>
      <c r="C779" s="12">
        <f>VLOOKUP(A779,'Datos generales'!A:H,8,0)</f>
        <v>899.85</v>
      </c>
      <c r="D779" s="12" t="str">
        <f t="shared" si="24"/>
        <v>septiembre</v>
      </c>
      <c r="E779" s="33">
        <f t="shared" si="25"/>
        <v>2023</v>
      </c>
    </row>
    <row r="780" spans="1:5" x14ac:dyDescent="0.25">
      <c r="A780" t="s">
        <v>190</v>
      </c>
      <c r="B780" s="10">
        <f>VLOOKUP(A780,'Datos generales'!A:B,2,0)</f>
        <v>45539.616666666669</v>
      </c>
      <c r="C780" s="12">
        <f>VLOOKUP(A780,'Datos generales'!A:H,8,0)</f>
        <v>1318.43</v>
      </c>
      <c r="D780" s="12" t="str">
        <f t="shared" si="24"/>
        <v>septiembre</v>
      </c>
      <c r="E780" s="33">
        <f t="shared" si="25"/>
        <v>2024</v>
      </c>
    </row>
    <row r="781" spans="1:5" x14ac:dyDescent="0.25">
      <c r="A781" t="s">
        <v>191</v>
      </c>
      <c r="B781" s="10">
        <f>VLOOKUP(A781,'Datos generales'!A:B,2,0)</f>
        <v>45073.392361111109</v>
      </c>
      <c r="C781" s="12">
        <f>VLOOKUP(A781,'Datos generales'!A:H,8,0)</f>
        <v>614.74</v>
      </c>
      <c r="D781" s="12" t="str">
        <f t="shared" si="24"/>
        <v>mayo</v>
      </c>
      <c r="E781" s="33">
        <f t="shared" si="25"/>
        <v>2023</v>
      </c>
    </row>
    <row r="782" spans="1:5" x14ac:dyDescent="0.25">
      <c r="A782" t="s">
        <v>192</v>
      </c>
      <c r="B782" s="10">
        <f>VLOOKUP(A782,'Datos generales'!A:B,2,0)</f>
        <v>45287.277777777781</v>
      </c>
      <c r="C782" s="12">
        <f>VLOOKUP(A782,'Datos generales'!A:H,8,0)</f>
        <v>1364.97</v>
      </c>
      <c r="D782" s="12" t="str">
        <f t="shared" si="24"/>
        <v>diciembre</v>
      </c>
      <c r="E782" s="33">
        <f t="shared" si="25"/>
        <v>2023</v>
      </c>
    </row>
    <row r="783" spans="1:5" x14ac:dyDescent="0.25">
      <c r="A783" t="s">
        <v>193</v>
      </c>
      <c r="B783" s="10">
        <f>VLOOKUP(A783,'Datos generales'!A:B,2,0)</f>
        <v>45398.678472222222</v>
      </c>
      <c r="C783" s="12">
        <f>VLOOKUP(A783,'Datos generales'!A:H,8,0)</f>
        <v>732.68999999999994</v>
      </c>
      <c r="D783" s="12" t="str">
        <f t="shared" si="24"/>
        <v>abril</v>
      </c>
      <c r="E783" s="33">
        <f t="shared" si="25"/>
        <v>2024</v>
      </c>
    </row>
    <row r="784" spans="1:5" x14ac:dyDescent="0.25">
      <c r="A784" t="s">
        <v>194</v>
      </c>
      <c r="B784" s="10">
        <f>VLOOKUP(A784,'Datos generales'!A:B,2,0)</f>
        <v>44949.395833333343</v>
      </c>
      <c r="C784" s="12">
        <f>VLOOKUP(A784,'Datos generales'!A:H,8,0)</f>
        <v>736.92</v>
      </c>
      <c r="D784" s="12" t="str">
        <f t="shared" si="24"/>
        <v>enero</v>
      </c>
      <c r="E784" s="33">
        <f t="shared" si="25"/>
        <v>2023</v>
      </c>
    </row>
    <row r="785" spans="1:5" x14ac:dyDescent="0.25">
      <c r="A785" t="s">
        <v>195</v>
      </c>
      <c r="B785" s="10">
        <f>VLOOKUP(A785,'Datos generales'!A:B,2,0)</f>
        <v>45560.538194444453</v>
      </c>
      <c r="C785" s="12">
        <f>VLOOKUP(A785,'Datos generales'!A:H,8,0)</f>
        <v>1501.34</v>
      </c>
      <c r="D785" s="12" t="str">
        <f t="shared" si="24"/>
        <v>septiembre</v>
      </c>
      <c r="E785" s="33">
        <f t="shared" si="25"/>
        <v>2024</v>
      </c>
    </row>
    <row r="786" spans="1:5" x14ac:dyDescent="0.25">
      <c r="A786" t="s">
        <v>196</v>
      </c>
      <c r="B786" s="10">
        <f>VLOOKUP(A786,'Datos generales'!A:B,2,0)</f>
        <v>45636.231249999997</v>
      </c>
      <c r="C786" s="12">
        <f>VLOOKUP(A786,'Datos generales'!A:H,8,0)</f>
        <v>3980.72</v>
      </c>
      <c r="D786" s="12" t="str">
        <f t="shared" si="24"/>
        <v>diciembre</v>
      </c>
      <c r="E786" s="33">
        <f t="shared" si="25"/>
        <v>2024</v>
      </c>
    </row>
    <row r="787" spans="1:5" x14ac:dyDescent="0.25">
      <c r="A787" t="s">
        <v>197</v>
      </c>
      <c r="B787" s="10">
        <f>VLOOKUP(A787,'Datos generales'!A:B,2,0)</f>
        <v>45218.252083333333</v>
      </c>
      <c r="C787" s="12">
        <f>VLOOKUP(A787,'Datos generales'!A:H,8,0)</f>
        <v>3669.44</v>
      </c>
      <c r="D787" s="12" t="str">
        <f t="shared" si="24"/>
        <v>octubre</v>
      </c>
      <c r="E787" s="33">
        <f t="shared" si="25"/>
        <v>2023</v>
      </c>
    </row>
    <row r="788" spans="1:5" x14ac:dyDescent="0.25">
      <c r="A788" t="s">
        <v>198</v>
      </c>
      <c r="B788" s="10">
        <f>VLOOKUP(A788,'Datos generales'!A:B,2,0)</f>
        <v>45615.827777777777</v>
      </c>
      <c r="C788" s="12">
        <f>VLOOKUP(A788,'Datos generales'!A:H,8,0)</f>
        <v>3884.62</v>
      </c>
      <c r="D788" s="12" t="str">
        <f t="shared" si="24"/>
        <v>noviembre</v>
      </c>
      <c r="E788" s="33">
        <f t="shared" si="25"/>
        <v>2024</v>
      </c>
    </row>
    <row r="789" spans="1:5" x14ac:dyDescent="0.25">
      <c r="A789" t="s">
        <v>199</v>
      </c>
      <c r="B789" s="10">
        <f>VLOOKUP(A789,'Datos generales'!A:B,2,0)</f>
        <v>45755.705555555563</v>
      </c>
      <c r="C789" s="12">
        <f>VLOOKUP(A789,'Datos generales'!A:H,8,0)</f>
        <v>3076.71</v>
      </c>
      <c r="D789" s="12" t="str">
        <f t="shared" si="24"/>
        <v>abril</v>
      </c>
      <c r="E789" s="33">
        <f t="shared" si="25"/>
        <v>2025</v>
      </c>
    </row>
    <row r="790" spans="1:5" x14ac:dyDescent="0.25">
      <c r="A790" t="s">
        <v>200</v>
      </c>
      <c r="B790" s="10">
        <f>VLOOKUP(A790,'Datos generales'!A:B,2,0)</f>
        <v>44962.009722222218</v>
      </c>
      <c r="C790" s="12">
        <f>VLOOKUP(A790,'Datos generales'!A:H,8,0)</f>
        <v>2220.7600000000002</v>
      </c>
      <c r="D790" s="12" t="str">
        <f t="shared" si="24"/>
        <v>febrero</v>
      </c>
      <c r="E790" s="33">
        <f t="shared" si="25"/>
        <v>2023</v>
      </c>
    </row>
    <row r="791" spans="1:5" x14ac:dyDescent="0.25">
      <c r="A791" t="s">
        <v>201</v>
      </c>
      <c r="B791" s="10">
        <f>VLOOKUP(A791,'Datos generales'!A:B,2,0)</f>
        <v>45194.675000000003</v>
      </c>
      <c r="C791" s="12">
        <f>VLOOKUP(A791,'Datos generales'!A:H,8,0)</f>
        <v>3754.1</v>
      </c>
      <c r="D791" s="12" t="str">
        <f t="shared" si="24"/>
        <v>septiembre</v>
      </c>
      <c r="E791" s="33">
        <f t="shared" si="25"/>
        <v>2023</v>
      </c>
    </row>
    <row r="792" spans="1:5" x14ac:dyDescent="0.25">
      <c r="A792" t="s">
        <v>202</v>
      </c>
      <c r="B792" s="10">
        <f>VLOOKUP(A792,'Datos generales'!A:B,2,0)</f>
        <v>45818.179861111108</v>
      </c>
      <c r="C792" s="12">
        <f>VLOOKUP(A792,'Datos generales'!A:H,8,0)</f>
        <v>3219.8</v>
      </c>
      <c r="D792" s="12" t="str">
        <f t="shared" si="24"/>
        <v>junio</v>
      </c>
      <c r="E792" s="33">
        <f t="shared" si="25"/>
        <v>2025</v>
      </c>
    </row>
    <row r="793" spans="1:5" x14ac:dyDescent="0.25">
      <c r="A793" t="s">
        <v>203</v>
      </c>
      <c r="B793" s="10">
        <f>VLOOKUP(A793,'Datos generales'!A:B,2,0)</f>
        <v>45755.011111111111</v>
      </c>
      <c r="C793" s="12">
        <f>VLOOKUP(A793,'Datos generales'!A:H,8,0)</f>
        <v>83.67</v>
      </c>
      <c r="D793" s="12" t="str">
        <f t="shared" si="24"/>
        <v>abril</v>
      </c>
      <c r="E793" s="33">
        <f t="shared" si="25"/>
        <v>2025</v>
      </c>
    </row>
    <row r="794" spans="1:5" x14ac:dyDescent="0.25">
      <c r="A794" t="s">
        <v>204</v>
      </c>
      <c r="B794" s="10">
        <f>VLOOKUP(A794,'Datos generales'!A:B,2,0)</f>
        <v>45862.584722222222</v>
      </c>
      <c r="C794" s="12">
        <f>VLOOKUP(A794,'Datos generales'!A:H,8,0)</f>
        <v>1700.54</v>
      </c>
      <c r="D794" s="12" t="str">
        <f t="shared" si="24"/>
        <v>julio</v>
      </c>
      <c r="E794" s="33">
        <f t="shared" si="25"/>
        <v>2025</v>
      </c>
    </row>
    <row r="795" spans="1:5" x14ac:dyDescent="0.25">
      <c r="A795" t="s">
        <v>205</v>
      </c>
      <c r="B795" s="10">
        <f>VLOOKUP(A795,'Datos generales'!A:B,2,0)</f>
        <v>45802.370833333327</v>
      </c>
      <c r="C795" s="12">
        <f>VLOOKUP(A795,'Datos generales'!A:H,8,0)</f>
        <v>1420.2</v>
      </c>
      <c r="D795" s="12" t="str">
        <f t="shared" si="24"/>
        <v>mayo</v>
      </c>
      <c r="E795" s="33">
        <f t="shared" si="25"/>
        <v>2025</v>
      </c>
    </row>
    <row r="796" spans="1:5" x14ac:dyDescent="0.25">
      <c r="A796" t="s">
        <v>206</v>
      </c>
      <c r="B796" s="10">
        <f>VLOOKUP(A796,'Datos generales'!A:B,2,0)</f>
        <v>45178.038888888892</v>
      </c>
      <c r="C796" s="12">
        <f>VLOOKUP(A796,'Datos generales'!A:H,8,0)</f>
        <v>521.32000000000005</v>
      </c>
      <c r="D796" s="12" t="str">
        <f t="shared" si="24"/>
        <v>septiembre</v>
      </c>
      <c r="E796" s="33">
        <f t="shared" si="25"/>
        <v>2023</v>
      </c>
    </row>
    <row r="797" spans="1:5" x14ac:dyDescent="0.25">
      <c r="A797" t="s">
        <v>207</v>
      </c>
      <c r="B797" s="10">
        <f>VLOOKUP(A797,'Datos generales'!A:B,2,0)</f>
        <v>45748.34097222222</v>
      </c>
      <c r="C797" s="12">
        <f>VLOOKUP(A797,'Datos generales'!A:H,8,0)</f>
        <v>1067.6400000000001</v>
      </c>
      <c r="D797" s="12" t="str">
        <f t="shared" si="24"/>
        <v>abril</v>
      </c>
      <c r="E797" s="33">
        <f t="shared" si="25"/>
        <v>2025</v>
      </c>
    </row>
    <row r="798" spans="1:5" x14ac:dyDescent="0.25">
      <c r="A798" t="s">
        <v>208</v>
      </c>
      <c r="B798" s="10">
        <f>VLOOKUP(A798,'Datos generales'!A:B,2,0)</f>
        <v>45055.556250000001</v>
      </c>
      <c r="C798" s="12">
        <f>VLOOKUP(A798,'Datos generales'!A:H,8,0)</f>
        <v>1903.64</v>
      </c>
      <c r="D798" s="12" t="str">
        <f t="shared" si="24"/>
        <v>mayo</v>
      </c>
      <c r="E798" s="33">
        <f t="shared" si="25"/>
        <v>2023</v>
      </c>
    </row>
    <row r="799" spans="1:5" x14ac:dyDescent="0.25">
      <c r="A799" t="s">
        <v>209</v>
      </c>
      <c r="B799" s="10">
        <f>VLOOKUP(A799,'Datos generales'!A:B,2,0)</f>
        <v>44958.773611111108</v>
      </c>
      <c r="C799" s="12">
        <f>VLOOKUP(A799,'Datos generales'!A:H,8,0)</f>
        <v>2920.32</v>
      </c>
      <c r="D799" s="12" t="str">
        <f t="shared" si="24"/>
        <v>febrero</v>
      </c>
      <c r="E799" s="33">
        <f t="shared" si="25"/>
        <v>2023</v>
      </c>
    </row>
    <row r="800" spans="1:5" x14ac:dyDescent="0.25">
      <c r="A800" t="s">
        <v>210</v>
      </c>
      <c r="B800" s="10">
        <f>VLOOKUP(A800,'Datos generales'!A:B,2,0)</f>
        <v>45816.563888888893</v>
      </c>
      <c r="C800" s="12">
        <f>VLOOKUP(A800,'Datos generales'!A:H,8,0)</f>
        <v>3388</v>
      </c>
      <c r="D800" s="12" t="str">
        <f t="shared" si="24"/>
        <v>junio</v>
      </c>
      <c r="E800" s="33">
        <f t="shared" si="25"/>
        <v>2025</v>
      </c>
    </row>
    <row r="801" spans="1:5" x14ac:dyDescent="0.25">
      <c r="A801" t="s">
        <v>211</v>
      </c>
      <c r="B801" s="10">
        <f>VLOOKUP(A801,'Datos generales'!A:B,2,0)</f>
        <v>45089.396527777782</v>
      </c>
      <c r="C801" s="12">
        <f>VLOOKUP(A801,'Datos generales'!A:H,8,0)</f>
        <v>2486.6799999999998</v>
      </c>
      <c r="D801" s="12" t="str">
        <f t="shared" si="24"/>
        <v>junio</v>
      </c>
      <c r="E801" s="33">
        <f t="shared" si="25"/>
        <v>2023</v>
      </c>
    </row>
    <row r="802" spans="1:5" x14ac:dyDescent="0.25">
      <c r="A802" t="s">
        <v>12</v>
      </c>
      <c r="B802" s="10">
        <f>VLOOKUP(A802,'Datos generales'!A:B,2,0)</f>
        <v>45280.478472222218</v>
      </c>
      <c r="C802" s="12">
        <f>VLOOKUP(A802,'Datos generales'!A:H,8,0)</f>
        <v>7486.2</v>
      </c>
      <c r="D802" s="12" t="str">
        <f t="shared" si="24"/>
        <v>diciembre</v>
      </c>
      <c r="E802" s="33">
        <f t="shared" si="25"/>
        <v>2023</v>
      </c>
    </row>
    <row r="803" spans="1:5" x14ac:dyDescent="0.25">
      <c r="A803" t="s">
        <v>13</v>
      </c>
      <c r="B803" s="10">
        <f>VLOOKUP(A803,'Datos generales'!A:B,2,0)</f>
        <v>45008.840277777781</v>
      </c>
      <c r="C803" s="12">
        <f>VLOOKUP(A803,'Datos generales'!A:H,8,0)</f>
        <v>1687.54</v>
      </c>
      <c r="D803" s="12" t="str">
        <f t="shared" si="24"/>
        <v>marzo</v>
      </c>
      <c r="E803" s="33">
        <f t="shared" si="25"/>
        <v>2023</v>
      </c>
    </row>
    <row r="804" spans="1:5" x14ac:dyDescent="0.25">
      <c r="A804" t="s">
        <v>14</v>
      </c>
      <c r="B804" s="10">
        <f>VLOOKUP(A804,'Datos generales'!A:B,2,0)</f>
        <v>45355.443749999999</v>
      </c>
      <c r="C804" s="12">
        <f>VLOOKUP(A804,'Datos generales'!A:H,8,0)</f>
        <v>2306.4</v>
      </c>
      <c r="D804" s="12" t="str">
        <f t="shared" si="24"/>
        <v>marzo</v>
      </c>
      <c r="E804" s="33">
        <f t="shared" si="25"/>
        <v>2024</v>
      </c>
    </row>
    <row r="805" spans="1:5" x14ac:dyDescent="0.25">
      <c r="A805" t="s">
        <v>15</v>
      </c>
      <c r="B805" s="10">
        <f>VLOOKUP(A805,'Datos generales'!A:B,2,0)</f>
        <v>45704.374305555553</v>
      </c>
      <c r="C805" s="12">
        <f>VLOOKUP(A805,'Datos generales'!A:H,8,0)</f>
        <v>1532.67</v>
      </c>
      <c r="D805" s="12" t="str">
        <f t="shared" si="24"/>
        <v>febrero</v>
      </c>
      <c r="E805" s="33">
        <f t="shared" si="25"/>
        <v>2025</v>
      </c>
    </row>
    <row r="806" spans="1:5" x14ac:dyDescent="0.25">
      <c r="A806" t="s">
        <v>16</v>
      </c>
      <c r="B806" s="10">
        <f>VLOOKUP(A806,'Datos generales'!A:B,2,0)</f>
        <v>45772.848611111112</v>
      </c>
      <c r="C806" s="12">
        <f>VLOOKUP(A806,'Datos generales'!A:H,8,0)</f>
        <v>5128.41</v>
      </c>
      <c r="D806" s="12" t="str">
        <f t="shared" si="24"/>
        <v>abril</v>
      </c>
      <c r="E806" s="33">
        <f t="shared" si="25"/>
        <v>2025</v>
      </c>
    </row>
    <row r="807" spans="1:5" x14ac:dyDescent="0.25">
      <c r="A807" t="s">
        <v>17</v>
      </c>
      <c r="B807" s="10">
        <f>VLOOKUP(A807,'Datos generales'!A:B,2,0)</f>
        <v>45101.225694444453</v>
      </c>
      <c r="C807" s="12">
        <f>VLOOKUP(A807,'Datos generales'!A:H,8,0)</f>
        <v>892.62000000000012</v>
      </c>
      <c r="D807" s="12" t="str">
        <f t="shared" si="24"/>
        <v>junio</v>
      </c>
      <c r="E807" s="33">
        <f t="shared" si="25"/>
        <v>2023</v>
      </c>
    </row>
    <row r="808" spans="1:5" x14ac:dyDescent="0.25">
      <c r="A808" t="s">
        <v>18</v>
      </c>
      <c r="B808" s="10">
        <f>VLOOKUP(A808,'Datos generales'!A:B,2,0)</f>
        <v>45694.432638888888</v>
      </c>
      <c r="C808" s="12">
        <f>VLOOKUP(A808,'Datos generales'!A:H,8,0)</f>
        <v>6186.6</v>
      </c>
      <c r="D808" s="12" t="str">
        <f t="shared" si="24"/>
        <v>febrero</v>
      </c>
      <c r="E808" s="33">
        <f t="shared" si="25"/>
        <v>2025</v>
      </c>
    </row>
    <row r="809" spans="1:5" x14ac:dyDescent="0.25">
      <c r="A809" t="s">
        <v>19</v>
      </c>
      <c r="B809" s="10">
        <f>VLOOKUP(A809,'Datos generales'!A:B,2,0)</f>
        <v>45798.69027777778</v>
      </c>
      <c r="C809" s="12">
        <f>VLOOKUP(A809,'Datos generales'!A:H,8,0)</f>
        <v>1575.18</v>
      </c>
      <c r="D809" s="12" t="str">
        <f t="shared" si="24"/>
        <v>mayo</v>
      </c>
      <c r="E809" s="33">
        <f t="shared" si="25"/>
        <v>2025</v>
      </c>
    </row>
    <row r="810" spans="1:5" x14ac:dyDescent="0.25">
      <c r="A810" t="s">
        <v>20</v>
      </c>
      <c r="B810" s="10">
        <f>VLOOKUP(A810,'Datos generales'!A:B,2,0)</f>
        <v>45425.797222222223</v>
      </c>
      <c r="C810" s="12">
        <f>VLOOKUP(A810,'Datos generales'!A:H,8,0)</f>
        <v>9079.2999999999993</v>
      </c>
      <c r="D810" s="12" t="str">
        <f t="shared" si="24"/>
        <v>mayo</v>
      </c>
      <c r="E810" s="33">
        <f t="shared" si="25"/>
        <v>2024</v>
      </c>
    </row>
    <row r="811" spans="1:5" x14ac:dyDescent="0.25">
      <c r="A811" t="s">
        <v>21</v>
      </c>
      <c r="B811" s="10">
        <f>VLOOKUP(A811,'Datos generales'!A:B,2,0)</f>
        <v>45525.152083333327</v>
      </c>
      <c r="C811" s="12">
        <f>VLOOKUP(A811,'Datos generales'!A:H,8,0)</f>
        <v>564.11</v>
      </c>
      <c r="D811" s="12" t="str">
        <f t="shared" si="24"/>
        <v>agosto</v>
      </c>
      <c r="E811" s="33">
        <f t="shared" si="25"/>
        <v>2024</v>
      </c>
    </row>
    <row r="812" spans="1:5" x14ac:dyDescent="0.25">
      <c r="A812" t="s">
        <v>22</v>
      </c>
      <c r="B812" s="10">
        <f>VLOOKUP(A812,'Datos generales'!A:B,2,0)</f>
        <v>45580.043749999997</v>
      </c>
      <c r="C812" s="12">
        <f>VLOOKUP(A812,'Datos generales'!A:H,8,0)</f>
        <v>454.9</v>
      </c>
      <c r="D812" s="12" t="str">
        <f t="shared" si="24"/>
        <v>octubre</v>
      </c>
      <c r="E812" s="33">
        <f t="shared" si="25"/>
        <v>2024</v>
      </c>
    </row>
    <row r="813" spans="1:5" x14ac:dyDescent="0.25">
      <c r="A813" t="s">
        <v>23</v>
      </c>
      <c r="B813" s="10">
        <f>VLOOKUP(A813,'Datos generales'!A:B,2,0)</f>
        <v>45551.151388888888</v>
      </c>
      <c r="C813" s="12">
        <f>VLOOKUP(A813,'Datos generales'!A:H,8,0)</f>
        <v>3832.53</v>
      </c>
      <c r="D813" s="12" t="str">
        <f t="shared" si="24"/>
        <v>septiembre</v>
      </c>
      <c r="E813" s="33">
        <f t="shared" si="25"/>
        <v>2024</v>
      </c>
    </row>
    <row r="814" spans="1:5" x14ac:dyDescent="0.25">
      <c r="A814" t="s">
        <v>24</v>
      </c>
      <c r="B814" s="10">
        <f>VLOOKUP(A814,'Datos generales'!A:B,2,0)</f>
        <v>45230.395833333343</v>
      </c>
      <c r="C814" s="12">
        <f>VLOOKUP(A814,'Datos generales'!A:H,8,0)</f>
        <v>3741.9</v>
      </c>
      <c r="D814" s="12" t="str">
        <f t="shared" si="24"/>
        <v>octubre</v>
      </c>
      <c r="E814" s="33">
        <f t="shared" si="25"/>
        <v>2023</v>
      </c>
    </row>
    <row r="815" spans="1:5" x14ac:dyDescent="0.25">
      <c r="A815" t="s">
        <v>25</v>
      </c>
      <c r="B815" s="10">
        <f>VLOOKUP(A815,'Datos generales'!A:B,2,0)</f>
        <v>45234.645833333343</v>
      </c>
      <c r="C815" s="12">
        <f>VLOOKUP(A815,'Datos generales'!A:H,8,0)</f>
        <v>4908.92</v>
      </c>
      <c r="D815" s="12" t="str">
        <f t="shared" si="24"/>
        <v>noviembre</v>
      </c>
      <c r="E815" s="33">
        <f t="shared" si="25"/>
        <v>2023</v>
      </c>
    </row>
    <row r="816" spans="1:5" x14ac:dyDescent="0.25">
      <c r="A816" t="s">
        <v>26</v>
      </c>
      <c r="B816" s="10">
        <f>VLOOKUP(A816,'Datos generales'!A:B,2,0)</f>
        <v>45464.76666666667</v>
      </c>
      <c r="C816" s="12">
        <f>VLOOKUP(A816,'Datos generales'!A:H,8,0)</f>
        <v>1329.6</v>
      </c>
      <c r="D816" s="12" t="str">
        <f t="shared" si="24"/>
        <v>junio</v>
      </c>
      <c r="E816" s="33">
        <f t="shared" si="25"/>
        <v>2024</v>
      </c>
    </row>
    <row r="817" spans="1:5" x14ac:dyDescent="0.25">
      <c r="A817" t="s">
        <v>27</v>
      </c>
      <c r="B817" s="10">
        <f>VLOOKUP(A817,'Datos generales'!A:B,2,0)</f>
        <v>45138.240277777782</v>
      </c>
      <c r="C817" s="12">
        <f>VLOOKUP(A817,'Datos generales'!A:H,8,0)</f>
        <v>5202.3599999999997</v>
      </c>
      <c r="D817" s="12" t="str">
        <f t="shared" si="24"/>
        <v>julio</v>
      </c>
      <c r="E817" s="33">
        <f t="shared" si="25"/>
        <v>2023</v>
      </c>
    </row>
    <row r="818" spans="1:5" x14ac:dyDescent="0.25">
      <c r="A818" t="s">
        <v>28</v>
      </c>
      <c r="B818" s="10">
        <f>VLOOKUP(A818,'Datos generales'!A:B,2,0)</f>
        <v>45455.688888888893</v>
      </c>
      <c r="C818" s="12">
        <f>VLOOKUP(A818,'Datos generales'!A:H,8,0)</f>
        <v>1209.6199999999999</v>
      </c>
      <c r="D818" s="12" t="str">
        <f t="shared" si="24"/>
        <v>junio</v>
      </c>
      <c r="E818" s="33">
        <f t="shared" si="25"/>
        <v>2024</v>
      </c>
    </row>
    <row r="819" spans="1:5" x14ac:dyDescent="0.25">
      <c r="A819" t="s">
        <v>29</v>
      </c>
      <c r="B819" s="10">
        <f>VLOOKUP(A819,'Datos generales'!A:B,2,0)</f>
        <v>45301.151388888888</v>
      </c>
      <c r="C819" s="12">
        <f>VLOOKUP(A819,'Datos generales'!A:H,8,0)</f>
        <v>2766.99</v>
      </c>
      <c r="D819" s="12" t="str">
        <f t="shared" si="24"/>
        <v>enero</v>
      </c>
      <c r="E819" s="33">
        <f t="shared" si="25"/>
        <v>2024</v>
      </c>
    </row>
    <row r="820" spans="1:5" x14ac:dyDescent="0.25">
      <c r="A820" t="s">
        <v>30</v>
      </c>
      <c r="B820" s="10">
        <f>VLOOKUP(A820,'Datos generales'!A:B,2,0)</f>
        <v>45677.761111111111</v>
      </c>
      <c r="C820" s="12">
        <f>VLOOKUP(A820,'Datos generales'!A:H,8,0)</f>
        <v>217.68</v>
      </c>
      <c r="D820" s="12" t="str">
        <f t="shared" si="24"/>
        <v>enero</v>
      </c>
      <c r="E820" s="33">
        <f t="shared" si="25"/>
        <v>2025</v>
      </c>
    </row>
    <row r="821" spans="1:5" x14ac:dyDescent="0.25">
      <c r="A821" t="s">
        <v>31</v>
      </c>
      <c r="B821" s="10">
        <f>VLOOKUP(A821,'Datos generales'!A:B,2,0)</f>
        <v>45238.713888888888</v>
      </c>
      <c r="C821" s="12">
        <f>VLOOKUP(A821,'Datos generales'!A:H,8,0)</f>
        <v>3134.36</v>
      </c>
      <c r="D821" s="12" t="str">
        <f t="shared" si="24"/>
        <v>noviembre</v>
      </c>
      <c r="E821" s="33">
        <f t="shared" si="25"/>
        <v>2023</v>
      </c>
    </row>
    <row r="822" spans="1:5" x14ac:dyDescent="0.25">
      <c r="A822" t="s">
        <v>32</v>
      </c>
      <c r="B822" s="10">
        <f>VLOOKUP(A822,'Datos generales'!A:B,2,0)</f>
        <v>45231.386111111111</v>
      </c>
      <c r="C822" s="12">
        <f>VLOOKUP(A822,'Datos generales'!A:H,8,0)</f>
        <v>1039.5999999999999</v>
      </c>
      <c r="D822" s="12" t="str">
        <f t="shared" si="24"/>
        <v>noviembre</v>
      </c>
      <c r="E822" s="33">
        <f t="shared" si="25"/>
        <v>2023</v>
      </c>
    </row>
    <row r="823" spans="1:5" x14ac:dyDescent="0.25">
      <c r="A823" t="s">
        <v>33</v>
      </c>
      <c r="B823" s="10">
        <f>VLOOKUP(A823,'Datos generales'!A:B,2,0)</f>
        <v>45421.563888888893</v>
      </c>
      <c r="C823" s="12">
        <f>VLOOKUP(A823,'Datos generales'!A:H,8,0)</f>
        <v>1267.01</v>
      </c>
      <c r="D823" s="12" t="str">
        <f t="shared" si="24"/>
        <v>mayo</v>
      </c>
      <c r="E823" s="33">
        <f t="shared" si="25"/>
        <v>2024</v>
      </c>
    </row>
    <row r="824" spans="1:5" x14ac:dyDescent="0.25">
      <c r="A824" t="s">
        <v>34</v>
      </c>
      <c r="B824" s="10">
        <f>VLOOKUP(A824,'Datos generales'!A:B,2,0)</f>
        <v>45437.592361111107</v>
      </c>
      <c r="C824" s="12">
        <f>VLOOKUP(A824,'Datos generales'!A:H,8,0)</f>
        <v>4111.24</v>
      </c>
      <c r="D824" s="12" t="str">
        <f t="shared" si="24"/>
        <v>mayo</v>
      </c>
      <c r="E824" s="33">
        <f t="shared" si="25"/>
        <v>2024</v>
      </c>
    </row>
    <row r="825" spans="1:5" x14ac:dyDescent="0.25">
      <c r="A825" t="s">
        <v>35</v>
      </c>
      <c r="B825" s="10">
        <f>VLOOKUP(A825,'Datos generales'!A:B,2,0)</f>
        <v>45355.487500000003</v>
      </c>
      <c r="C825" s="12">
        <f>VLOOKUP(A825,'Datos generales'!A:H,8,0)</f>
        <v>2776.86</v>
      </c>
      <c r="D825" s="12" t="str">
        <f t="shared" si="24"/>
        <v>marzo</v>
      </c>
      <c r="E825" s="33">
        <f t="shared" si="25"/>
        <v>2024</v>
      </c>
    </row>
    <row r="826" spans="1:5" x14ac:dyDescent="0.25">
      <c r="A826" t="s">
        <v>36</v>
      </c>
      <c r="B826" s="10">
        <f>VLOOKUP(A826,'Datos generales'!A:B,2,0)</f>
        <v>45924.43472222222</v>
      </c>
      <c r="C826" s="12">
        <f>VLOOKUP(A826,'Datos generales'!A:H,8,0)</f>
        <v>641.13</v>
      </c>
      <c r="D826" s="12" t="str">
        <f t="shared" si="24"/>
        <v>septiembre</v>
      </c>
      <c r="E826" s="33">
        <f t="shared" si="25"/>
        <v>2025</v>
      </c>
    </row>
    <row r="827" spans="1:5" x14ac:dyDescent="0.25">
      <c r="A827" t="s">
        <v>37</v>
      </c>
      <c r="B827" s="10">
        <f>VLOOKUP(A827,'Datos generales'!A:B,2,0)</f>
        <v>45471.931250000001</v>
      </c>
      <c r="C827" s="12">
        <f>VLOOKUP(A827,'Datos generales'!A:H,8,0)</f>
        <v>2293.5</v>
      </c>
      <c r="D827" s="12" t="str">
        <f t="shared" si="24"/>
        <v>junio</v>
      </c>
      <c r="E827" s="33">
        <f t="shared" si="25"/>
        <v>2024</v>
      </c>
    </row>
    <row r="828" spans="1:5" x14ac:dyDescent="0.25">
      <c r="A828" t="s">
        <v>38</v>
      </c>
      <c r="B828" s="10">
        <f>VLOOKUP(A828,'Datos generales'!A:B,2,0)</f>
        <v>45003.59097222222</v>
      </c>
      <c r="C828" s="12">
        <f>VLOOKUP(A828,'Datos generales'!A:H,8,0)</f>
        <v>4536.3999999999996</v>
      </c>
      <c r="D828" s="12" t="str">
        <f t="shared" si="24"/>
        <v>marzo</v>
      </c>
      <c r="E828" s="33">
        <f t="shared" si="25"/>
        <v>2023</v>
      </c>
    </row>
    <row r="829" spans="1:5" x14ac:dyDescent="0.25">
      <c r="A829" t="s">
        <v>39</v>
      </c>
      <c r="B829" s="10">
        <f>VLOOKUP(A829,'Datos generales'!A:B,2,0)</f>
        <v>45206.394444444442</v>
      </c>
      <c r="C829" s="12">
        <f>VLOOKUP(A829,'Datos generales'!A:H,8,0)</f>
        <v>3468.88</v>
      </c>
      <c r="D829" s="12" t="str">
        <f t="shared" si="24"/>
        <v>octubre</v>
      </c>
      <c r="E829" s="33">
        <f t="shared" si="25"/>
        <v>2023</v>
      </c>
    </row>
    <row r="830" spans="1:5" x14ac:dyDescent="0.25">
      <c r="A830" t="s">
        <v>40</v>
      </c>
      <c r="B830" s="10">
        <f>VLOOKUP(A830,'Datos generales'!A:B,2,0)</f>
        <v>45595.773611111108</v>
      </c>
      <c r="C830" s="12">
        <f>VLOOKUP(A830,'Datos generales'!A:H,8,0)</f>
        <v>424.35</v>
      </c>
      <c r="D830" s="12" t="str">
        <f t="shared" si="24"/>
        <v>octubre</v>
      </c>
      <c r="E830" s="33">
        <f t="shared" si="25"/>
        <v>2024</v>
      </c>
    </row>
    <row r="831" spans="1:5" x14ac:dyDescent="0.25">
      <c r="A831" t="s">
        <v>41</v>
      </c>
      <c r="B831" s="10">
        <f>VLOOKUP(A831,'Datos generales'!A:B,2,0)</f>
        <v>45888.736805555563</v>
      </c>
      <c r="C831" s="12">
        <f>VLOOKUP(A831,'Datos generales'!A:H,8,0)</f>
        <v>252.57</v>
      </c>
      <c r="D831" s="12" t="str">
        <f t="shared" si="24"/>
        <v>agosto</v>
      </c>
      <c r="E831" s="33">
        <f t="shared" si="25"/>
        <v>2025</v>
      </c>
    </row>
    <row r="832" spans="1:5" x14ac:dyDescent="0.25">
      <c r="A832" t="s">
        <v>42</v>
      </c>
      <c r="B832" s="10">
        <f>VLOOKUP(A832,'Datos generales'!A:B,2,0)</f>
        <v>45478.06527777778</v>
      </c>
      <c r="C832" s="12">
        <f>VLOOKUP(A832,'Datos generales'!A:H,8,0)</f>
        <v>64.679999999999993</v>
      </c>
      <c r="D832" s="12" t="str">
        <f t="shared" si="24"/>
        <v>julio</v>
      </c>
      <c r="E832" s="33">
        <f t="shared" si="25"/>
        <v>2024</v>
      </c>
    </row>
    <row r="833" spans="1:5" x14ac:dyDescent="0.25">
      <c r="A833" t="s">
        <v>43</v>
      </c>
      <c r="B833" s="10">
        <f>VLOOKUP(A833,'Datos generales'!A:B,2,0)</f>
        <v>45402.668749999997</v>
      </c>
      <c r="C833" s="12">
        <f>VLOOKUP(A833,'Datos generales'!A:H,8,0)</f>
        <v>446.81</v>
      </c>
      <c r="D833" s="12" t="str">
        <f t="shared" si="24"/>
        <v>abril</v>
      </c>
      <c r="E833" s="33">
        <f t="shared" si="25"/>
        <v>2024</v>
      </c>
    </row>
    <row r="834" spans="1:5" x14ac:dyDescent="0.25">
      <c r="A834" t="s">
        <v>44</v>
      </c>
      <c r="B834" s="10">
        <f>VLOOKUP(A834,'Datos generales'!A:B,2,0)</f>
        <v>45033.806944444441</v>
      </c>
      <c r="C834" s="12">
        <f>VLOOKUP(A834,'Datos generales'!A:H,8,0)</f>
        <v>129.34</v>
      </c>
      <c r="D834" s="12" t="str">
        <f t="shared" si="24"/>
        <v>abril</v>
      </c>
      <c r="E834" s="33">
        <f t="shared" si="25"/>
        <v>2023</v>
      </c>
    </row>
    <row r="835" spans="1:5" x14ac:dyDescent="0.25">
      <c r="A835" t="s">
        <v>45</v>
      </c>
      <c r="B835" s="10">
        <f>VLOOKUP(A835,'Datos generales'!A:B,2,0)</f>
        <v>45432.781944444447</v>
      </c>
      <c r="C835" s="12">
        <f>VLOOKUP(A835,'Datos generales'!A:H,8,0)</f>
        <v>5841.75</v>
      </c>
      <c r="D835" s="12" t="str">
        <f t="shared" ref="D835:D898" si="26">TEXT(B835,"mmmm")</f>
        <v>mayo</v>
      </c>
      <c r="E835" s="33">
        <f t="shared" ref="E835:E898" si="27">YEAR(B835)</f>
        <v>2024</v>
      </c>
    </row>
    <row r="836" spans="1:5" x14ac:dyDescent="0.25">
      <c r="A836" t="s">
        <v>46</v>
      </c>
      <c r="B836" s="10">
        <f>VLOOKUP(A836,'Datos generales'!A:B,2,0)</f>
        <v>45746.083333333343</v>
      </c>
      <c r="C836" s="12">
        <f>VLOOKUP(A836,'Datos generales'!A:H,8,0)</f>
        <v>698.6</v>
      </c>
      <c r="D836" s="12" t="str">
        <f t="shared" si="26"/>
        <v>marzo</v>
      </c>
      <c r="E836" s="33">
        <f t="shared" si="27"/>
        <v>2025</v>
      </c>
    </row>
    <row r="837" spans="1:5" x14ac:dyDescent="0.25">
      <c r="A837" t="s">
        <v>47</v>
      </c>
      <c r="B837" s="10">
        <f>VLOOKUP(A837,'Datos generales'!A:B,2,0)</f>
        <v>45515.355555555558</v>
      </c>
      <c r="C837" s="12">
        <f>VLOOKUP(A837,'Datos generales'!A:H,8,0)</f>
        <v>3462.18</v>
      </c>
      <c r="D837" s="12" t="str">
        <f t="shared" si="26"/>
        <v>agosto</v>
      </c>
      <c r="E837" s="33">
        <f t="shared" si="27"/>
        <v>2024</v>
      </c>
    </row>
    <row r="838" spans="1:5" x14ac:dyDescent="0.25">
      <c r="A838" t="s">
        <v>48</v>
      </c>
      <c r="B838" s="10">
        <f>VLOOKUP(A838,'Datos generales'!A:B,2,0)</f>
        <v>45730.554861111108</v>
      </c>
      <c r="C838" s="12">
        <f>VLOOKUP(A838,'Datos generales'!A:H,8,0)</f>
        <v>6265.48</v>
      </c>
      <c r="D838" s="12" t="str">
        <f t="shared" si="26"/>
        <v>marzo</v>
      </c>
      <c r="E838" s="33">
        <f t="shared" si="27"/>
        <v>2025</v>
      </c>
    </row>
    <row r="839" spans="1:5" x14ac:dyDescent="0.25">
      <c r="A839" t="s">
        <v>49</v>
      </c>
      <c r="B839" s="10">
        <f>VLOOKUP(A839,'Datos generales'!A:B,2,0)</f>
        <v>45603.252083333333</v>
      </c>
      <c r="C839" s="12">
        <f>VLOOKUP(A839,'Datos generales'!A:H,8,0)</f>
        <v>1348.96</v>
      </c>
      <c r="D839" s="12" t="str">
        <f t="shared" si="26"/>
        <v>noviembre</v>
      </c>
      <c r="E839" s="33">
        <f t="shared" si="27"/>
        <v>2024</v>
      </c>
    </row>
    <row r="840" spans="1:5" x14ac:dyDescent="0.25">
      <c r="A840" t="s">
        <v>50</v>
      </c>
      <c r="B840" s="10">
        <f>VLOOKUP(A840,'Datos generales'!A:B,2,0)</f>
        <v>45420.054861111108</v>
      </c>
      <c r="C840" s="12">
        <f>VLOOKUP(A840,'Datos generales'!A:H,8,0)</f>
        <v>3087.96</v>
      </c>
      <c r="D840" s="12" t="str">
        <f t="shared" si="26"/>
        <v>mayo</v>
      </c>
      <c r="E840" s="33">
        <f t="shared" si="27"/>
        <v>2024</v>
      </c>
    </row>
    <row r="841" spans="1:5" x14ac:dyDescent="0.25">
      <c r="A841" t="s">
        <v>51</v>
      </c>
      <c r="B841" s="10">
        <f>VLOOKUP(A841,'Datos generales'!A:B,2,0)</f>
        <v>44931.743055555547</v>
      </c>
      <c r="C841" s="12">
        <f>VLOOKUP(A841,'Datos generales'!A:H,8,0)</f>
        <v>4586.5499999999993</v>
      </c>
      <c r="D841" s="12" t="str">
        <f t="shared" si="26"/>
        <v>enero</v>
      </c>
      <c r="E841" s="33">
        <f t="shared" si="27"/>
        <v>2023</v>
      </c>
    </row>
    <row r="842" spans="1:5" x14ac:dyDescent="0.25">
      <c r="A842" t="s">
        <v>52</v>
      </c>
      <c r="B842" s="10">
        <f>VLOOKUP(A842,'Datos generales'!A:B,2,0)</f>
        <v>45326.684027777781</v>
      </c>
      <c r="C842" s="12">
        <f>VLOOKUP(A842,'Datos generales'!A:H,8,0)</f>
        <v>1801.44</v>
      </c>
      <c r="D842" s="12" t="str">
        <f t="shared" si="26"/>
        <v>febrero</v>
      </c>
      <c r="E842" s="33">
        <f t="shared" si="27"/>
        <v>2024</v>
      </c>
    </row>
    <row r="843" spans="1:5" x14ac:dyDescent="0.25">
      <c r="A843" t="s">
        <v>53</v>
      </c>
      <c r="B843" s="10">
        <f>VLOOKUP(A843,'Datos generales'!A:B,2,0)</f>
        <v>45146.872916666667</v>
      </c>
      <c r="C843" s="12">
        <f>VLOOKUP(A843,'Datos generales'!A:H,8,0)</f>
        <v>1510.96</v>
      </c>
      <c r="D843" s="12" t="str">
        <f t="shared" si="26"/>
        <v>agosto</v>
      </c>
      <c r="E843" s="33">
        <f t="shared" si="27"/>
        <v>2023</v>
      </c>
    </row>
    <row r="844" spans="1:5" x14ac:dyDescent="0.25">
      <c r="A844" t="s">
        <v>54</v>
      </c>
      <c r="B844" s="10">
        <f>VLOOKUP(A844,'Datos generales'!A:B,2,0)</f>
        <v>45464.595833333333</v>
      </c>
      <c r="C844" s="12">
        <f>VLOOKUP(A844,'Datos generales'!A:H,8,0)</f>
        <v>5566.65</v>
      </c>
      <c r="D844" s="12" t="str">
        <f t="shared" si="26"/>
        <v>junio</v>
      </c>
      <c r="E844" s="33">
        <f t="shared" si="27"/>
        <v>2024</v>
      </c>
    </row>
    <row r="845" spans="1:5" x14ac:dyDescent="0.25">
      <c r="A845" t="s">
        <v>55</v>
      </c>
      <c r="B845" s="10">
        <f>VLOOKUP(A845,'Datos generales'!A:B,2,0)</f>
        <v>45171.9</v>
      </c>
      <c r="C845" s="12">
        <f>VLOOKUP(A845,'Datos generales'!A:H,8,0)</f>
        <v>5058.75</v>
      </c>
      <c r="D845" s="12" t="str">
        <f t="shared" si="26"/>
        <v>septiembre</v>
      </c>
      <c r="E845" s="33">
        <f t="shared" si="27"/>
        <v>2023</v>
      </c>
    </row>
    <row r="846" spans="1:5" x14ac:dyDescent="0.25">
      <c r="A846" t="s">
        <v>56</v>
      </c>
      <c r="B846" s="10">
        <f>VLOOKUP(A846,'Datos generales'!A:B,2,0)</f>
        <v>44992.136111111111</v>
      </c>
      <c r="C846" s="12">
        <f>VLOOKUP(A846,'Datos generales'!A:H,8,0)</f>
        <v>6091.7</v>
      </c>
      <c r="D846" s="12" t="str">
        <f t="shared" si="26"/>
        <v>marzo</v>
      </c>
      <c r="E846" s="33">
        <f t="shared" si="27"/>
        <v>2023</v>
      </c>
    </row>
    <row r="847" spans="1:5" x14ac:dyDescent="0.25">
      <c r="A847" t="s">
        <v>57</v>
      </c>
      <c r="B847" s="10">
        <f>VLOOKUP(A847,'Datos generales'!A:B,2,0)</f>
        <v>44927.061111111107</v>
      </c>
      <c r="C847" s="12">
        <f>VLOOKUP(A847,'Datos generales'!A:H,8,0)</f>
        <v>723.18</v>
      </c>
      <c r="D847" s="12" t="str">
        <f t="shared" si="26"/>
        <v>enero</v>
      </c>
      <c r="E847" s="33">
        <f t="shared" si="27"/>
        <v>2023</v>
      </c>
    </row>
    <row r="848" spans="1:5" x14ac:dyDescent="0.25">
      <c r="A848" t="s">
        <v>58</v>
      </c>
      <c r="B848" s="10">
        <f>VLOOKUP(A848,'Datos generales'!A:B,2,0)</f>
        <v>45097.359027777777</v>
      </c>
      <c r="C848" s="12">
        <f>VLOOKUP(A848,'Datos generales'!A:H,8,0)</f>
        <v>4794</v>
      </c>
      <c r="D848" s="12" t="str">
        <f t="shared" si="26"/>
        <v>junio</v>
      </c>
      <c r="E848" s="33">
        <f t="shared" si="27"/>
        <v>2023</v>
      </c>
    </row>
    <row r="849" spans="1:5" x14ac:dyDescent="0.25">
      <c r="A849" t="s">
        <v>59</v>
      </c>
      <c r="B849" s="10">
        <f>VLOOKUP(A849,'Datos generales'!A:B,2,0)</f>
        <v>45755.288194444453</v>
      </c>
      <c r="C849" s="12">
        <f>VLOOKUP(A849,'Datos generales'!A:H,8,0)</f>
        <v>8884.3499999999985</v>
      </c>
      <c r="D849" s="12" t="str">
        <f t="shared" si="26"/>
        <v>abril</v>
      </c>
      <c r="E849" s="33">
        <f t="shared" si="27"/>
        <v>2025</v>
      </c>
    </row>
    <row r="850" spans="1:5" x14ac:dyDescent="0.25">
      <c r="A850" t="s">
        <v>60</v>
      </c>
      <c r="B850" s="10">
        <f>VLOOKUP(A850,'Datos generales'!A:B,2,0)</f>
        <v>45782.866666666669</v>
      </c>
      <c r="C850" s="12">
        <f>VLOOKUP(A850,'Datos generales'!A:H,8,0)</f>
        <v>1467.34</v>
      </c>
      <c r="D850" s="12" t="str">
        <f t="shared" si="26"/>
        <v>mayo</v>
      </c>
      <c r="E850" s="33">
        <f t="shared" si="27"/>
        <v>2025</v>
      </c>
    </row>
    <row r="851" spans="1:5" x14ac:dyDescent="0.25">
      <c r="A851" t="s">
        <v>61</v>
      </c>
      <c r="B851" s="10">
        <f>VLOOKUP(A851,'Datos generales'!A:B,2,0)</f>
        <v>45819.341666666667</v>
      </c>
      <c r="C851" s="12">
        <f>VLOOKUP(A851,'Datos generales'!A:H,8,0)</f>
        <v>2051.73</v>
      </c>
      <c r="D851" s="12" t="str">
        <f t="shared" si="26"/>
        <v>junio</v>
      </c>
      <c r="E851" s="33">
        <f t="shared" si="27"/>
        <v>2025</v>
      </c>
    </row>
    <row r="852" spans="1:5" x14ac:dyDescent="0.25">
      <c r="A852" t="s">
        <v>62</v>
      </c>
      <c r="B852" s="10">
        <f>VLOOKUP(A852,'Datos generales'!A:B,2,0)</f>
        <v>45441.993055555547</v>
      </c>
      <c r="C852" s="12">
        <f>VLOOKUP(A852,'Datos generales'!A:H,8,0)</f>
        <v>1083.8599999999999</v>
      </c>
      <c r="D852" s="12" t="str">
        <f t="shared" si="26"/>
        <v>mayo</v>
      </c>
      <c r="E852" s="33">
        <f t="shared" si="27"/>
        <v>2024</v>
      </c>
    </row>
    <row r="853" spans="1:5" x14ac:dyDescent="0.25">
      <c r="A853" t="s">
        <v>63</v>
      </c>
      <c r="B853" s="10">
        <f>VLOOKUP(A853,'Datos generales'!A:B,2,0)</f>
        <v>45180.999305555553</v>
      </c>
      <c r="C853" s="12">
        <f>VLOOKUP(A853,'Datos generales'!A:H,8,0)</f>
        <v>3103.7</v>
      </c>
      <c r="D853" s="12" t="str">
        <f t="shared" si="26"/>
        <v>septiembre</v>
      </c>
      <c r="E853" s="33">
        <f t="shared" si="27"/>
        <v>2023</v>
      </c>
    </row>
    <row r="854" spans="1:5" x14ac:dyDescent="0.25">
      <c r="A854" t="s">
        <v>64</v>
      </c>
      <c r="B854" s="10">
        <f>VLOOKUP(A854,'Datos generales'!A:B,2,0)</f>
        <v>45624.619444444441</v>
      </c>
      <c r="C854" s="12">
        <f>VLOOKUP(A854,'Datos generales'!A:H,8,0)</f>
        <v>6841.35</v>
      </c>
      <c r="D854" s="12" t="str">
        <f t="shared" si="26"/>
        <v>noviembre</v>
      </c>
      <c r="E854" s="33">
        <f t="shared" si="27"/>
        <v>2024</v>
      </c>
    </row>
    <row r="855" spans="1:5" x14ac:dyDescent="0.25">
      <c r="A855" t="s">
        <v>65</v>
      </c>
      <c r="B855" s="10">
        <f>VLOOKUP(A855,'Datos generales'!A:B,2,0)</f>
        <v>45447.955555555563</v>
      </c>
      <c r="C855" s="12">
        <f>VLOOKUP(A855,'Datos generales'!A:H,8,0)</f>
        <v>7275.52</v>
      </c>
      <c r="D855" s="12" t="str">
        <f t="shared" si="26"/>
        <v>junio</v>
      </c>
      <c r="E855" s="33">
        <f t="shared" si="27"/>
        <v>2024</v>
      </c>
    </row>
    <row r="856" spans="1:5" x14ac:dyDescent="0.25">
      <c r="A856" t="s">
        <v>66</v>
      </c>
      <c r="B856" s="10">
        <f>VLOOKUP(A856,'Datos generales'!A:B,2,0)</f>
        <v>45051.74722222222</v>
      </c>
      <c r="C856" s="12">
        <f>VLOOKUP(A856,'Datos generales'!A:H,8,0)</f>
        <v>6405.28</v>
      </c>
      <c r="D856" s="12" t="str">
        <f t="shared" si="26"/>
        <v>mayo</v>
      </c>
      <c r="E856" s="33">
        <f t="shared" si="27"/>
        <v>2023</v>
      </c>
    </row>
    <row r="857" spans="1:5" x14ac:dyDescent="0.25">
      <c r="A857" t="s">
        <v>67</v>
      </c>
      <c r="B857" s="10">
        <f>VLOOKUP(A857,'Datos generales'!A:B,2,0)</f>
        <v>45019.26666666667</v>
      </c>
      <c r="C857" s="12">
        <f>VLOOKUP(A857,'Datos generales'!A:H,8,0)</f>
        <v>711.16</v>
      </c>
      <c r="D857" s="12" t="str">
        <f t="shared" si="26"/>
        <v>abril</v>
      </c>
      <c r="E857" s="33">
        <f t="shared" si="27"/>
        <v>2023</v>
      </c>
    </row>
    <row r="858" spans="1:5" x14ac:dyDescent="0.25">
      <c r="A858" t="s">
        <v>68</v>
      </c>
      <c r="B858" s="10">
        <f>VLOOKUP(A858,'Datos generales'!A:B,2,0)</f>
        <v>44969.094444444447</v>
      </c>
      <c r="C858" s="12">
        <f>VLOOKUP(A858,'Datos generales'!A:H,8,0)</f>
        <v>83.48</v>
      </c>
      <c r="D858" s="12" t="str">
        <f t="shared" si="26"/>
        <v>febrero</v>
      </c>
      <c r="E858" s="33">
        <f t="shared" si="27"/>
        <v>2023</v>
      </c>
    </row>
    <row r="859" spans="1:5" x14ac:dyDescent="0.25">
      <c r="A859" t="s">
        <v>69</v>
      </c>
      <c r="B859" s="10">
        <f>VLOOKUP(A859,'Datos generales'!A:B,2,0)</f>
        <v>45091.519444444442</v>
      </c>
      <c r="C859" s="12">
        <f>VLOOKUP(A859,'Datos generales'!A:H,8,0)</f>
        <v>1372.72</v>
      </c>
      <c r="D859" s="12" t="str">
        <f t="shared" si="26"/>
        <v>junio</v>
      </c>
      <c r="E859" s="33">
        <f t="shared" si="27"/>
        <v>2023</v>
      </c>
    </row>
    <row r="860" spans="1:5" x14ac:dyDescent="0.25">
      <c r="A860" t="s">
        <v>70</v>
      </c>
      <c r="B860" s="10">
        <f>VLOOKUP(A860,'Datos generales'!A:B,2,0)</f>
        <v>45494</v>
      </c>
      <c r="C860" s="12">
        <f>VLOOKUP(A860,'Datos generales'!A:H,8,0)</f>
        <v>1618.91</v>
      </c>
      <c r="D860" s="12" t="str">
        <f t="shared" si="26"/>
        <v>julio</v>
      </c>
      <c r="E860" s="33">
        <f t="shared" si="27"/>
        <v>2024</v>
      </c>
    </row>
    <row r="861" spans="1:5" x14ac:dyDescent="0.25">
      <c r="A861" t="s">
        <v>71</v>
      </c>
      <c r="B861" s="10">
        <f>VLOOKUP(A861,'Datos generales'!A:B,2,0)</f>
        <v>45364.463194444441</v>
      </c>
      <c r="C861" s="12">
        <f>VLOOKUP(A861,'Datos generales'!A:H,8,0)</f>
        <v>2122.6</v>
      </c>
      <c r="D861" s="12" t="str">
        <f t="shared" si="26"/>
        <v>marzo</v>
      </c>
      <c r="E861" s="33">
        <f t="shared" si="27"/>
        <v>2024</v>
      </c>
    </row>
    <row r="862" spans="1:5" x14ac:dyDescent="0.25">
      <c r="A862" t="s">
        <v>72</v>
      </c>
      <c r="B862" s="10">
        <f>VLOOKUP(A862,'Datos generales'!A:B,2,0)</f>
        <v>45583.023611111108</v>
      </c>
      <c r="C862" s="12">
        <f>VLOOKUP(A862,'Datos generales'!A:H,8,0)</f>
        <v>2094.15</v>
      </c>
      <c r="D862" s="12" t="str">
        <f t="shared" si="26"/>
        <v>octubre</v>
      </c>
      <c r="E862" s="33">
        <f t="shared" si="27"/>
        <v>2024</v>
      </c>
    </row>
    <row r="863" spans="1:5" x14ac:dyDescent="0.25">
      <c r="A863" t="s">
        <v>73</v>
      </c>
      <c r="B863" s="10">
        <f>VLOOKUP(A863,'Datos generales'!A:B,2,0)</f>
        <v>45779.546527777777</v>
      </c>
      <c r="C863" s="12">
        <f>VLOOKUP(A863,'Datos generales'!A:H,8,0)</f>
        <v>1994.94</v>
      </c>
      <c r="D863" s="12" t="str">
        <f t="shared" si="26"/>
        <v>mayo</v>
      </c>
      <c r="E863" s="33">
        <f t="shared" si="27"/>
        <v>2025</v>
      </c>
    </row>
    <row r="864" spans="1:5" x14ac:dyDescent="0.25">
      <c r="A864" t="s">
        <v>74</v>
      </c>
      <c r="B864" s="10">
        <f>VLOOKUP(A864,'Datos generales'!A:B,2,0)</f>
        <v>45516.480555555558</v>
      </c>
      <c r="C864" s="12">
        <f>VLOOKUP(A864,'Datos generales'!A:H,8,0)</f>
        <v>1322.41</v>
      </c>
      <c r="D864" s="12" t="str">
        <f t="shared" si="26"/>
        <v>agosto</v>
      </c>
      <c r="E864" s="33">
        <f t="shared" si="27"/>
        <v>2024</v>
      </c>
    </row>
    <row r="865" spans="1:5" x14ac:dyDescent="0.25">
      <c r="A865" t="s">
        <v>75</v>
      </c>
      <c r="B865" s="10">
        <f>VLOOKUP(A865,'Datos generales'!A:B,2,0)</f>
        <v>45285.25277777778</v>
      </c>
      <c r="C865" s="12">
        <f>VLOOKUP(A865,'Datos generales'!A:H,8,0)</f>
        <v>5869.08</v>
      </c>
      <c r="D865" s="12" t="str">
        <f t="shared" si="26"/>
        <v>diciembre</v>
      </c>
      <c r="E865" s="33">
        <f t="shared" si="27"/>
        <v>2023</v>
      </c>
    </row>
    <row r="866" spans="1:5" x14ac:dyDescent="0.25">
      <c r="A866" t="s">
        <v>76</v>
      </c>
      <c r="B866" s="10">
        <f>VLOOKUP(A866,'Datos generales'!A:B,2,0)</f>
        <v>45297.965277777781</v>
      </c>
      <c r="C866" s="12">
        <f>VLOOKUP(A866,'Datos generales'!A:H,8,0)</f>
        <v>7216.48</v>
      </c>
      <c r="D866" s="12" t="str">
        <f t="shared" si="26"/>
        <v>enero</v>
      </c>
      <c r="E866" s="33">
        <f t="shared" si="27"/>
        <v>2024</v>
      </c>
    </row>
    <row r="867" spans="1:5" x14ac:dyDescent="0.25">
      <c r="A867" t="s">
        <v>77</v>
      </c>
      <c r="B867" s="10">
        <f>VLOOKUP(A867,'Datos generales'!A:B,2,0)</f>
        <v>45434.519444444442</v>
      </c>
      <c r="C867" s="12">
        <f>VLOOKUP(A867,'Datos generales'!A:H,8,0)</f>
        <v>1172.72</v>
      </c>
      <c r="D867" s="12" t="str">
        <f t="shared" si="26"/>
        <v>mayo</v>
      </c>
      <c r="E867" s="33">
        <f t="shared" si="27"/>
        <v>2024</v>
      </c>
    </row>
    <row r="868" spans="1:5" x14ac:dyDescent="0.25">
      <c r="A868" t="s">
        <v>78</v>
      </c>
      <c r="B868" s="10">
        <f>VLOOKUP(A868,'Datos generales'!A:B,2,0)</f>
        <v>45290.050694444442</v>
      </c>
      <c r="C868" s="12">
        <f>VLOOKUP(A868,'Datos generales'!A:H,8,0)</f>
        <v>725.07</v>
      </c>
      <c r="D868" s="12" t="str">
        <f t="shared" si="26"/>
        <v>diciembre</v>
      </c>
      <c r="E868" s="33">
        <f t="shared" si="27"/>
        <v>2023</v>
      </c>
    </row>
    <row r="869" spans="1:5" x14ac:dyDescent="0.25">
      <c r="A869" t="s">
        <v>79</v>
      </c>
      <c r="B869" s="10">
        <f>VLOOKUP(A869,'Datos generales'!A:B,2,0)</f>
        <v>45684.334027777782</v>
      </c>
      <c r="C869" s="12">
        <f>VLOOKUP(A869,'Datos generales'!A:H,8,0)</f>
        <v>2818.45</v>
      </c>
      <c r="D869" s="12" t="str">
        <f t="shared" si="26"/>
        <v>enero</v>
      </c>
      <c r="E869" s="33">
        <f t="shared" si="27"/>
        <v>2025</v>
      </c>
    </row>
    <row r="870" spans="1:5" x14ac:dyDescent="0.25">
      <c r="A870" t="s">
        <v>80</v>
      </c>
      <c r="B870" s="10">
        <f>VLOOKUP(A870,'Datos generales'!A:B,2,0)</f>
        <v>45222.202777777777</v>
      </c>
      <c r="C870" s="12">
        <f>VLOOKUP(A870,'Datos generales'!A:H,8,0)</f>
        <v>7737.05</v>
      </c>
      <c r="D870" s="12" t="str">
        <f t="shared" si="26"/>
        <v>octubre</v>
      </c>
      <c r="E870" s="33">
        <f t="shared" si="27"/>
        <v>2023</v>
      </c>
    </row>
    <row r="871" spans="1:5" x14ac:dyDescent="0.25">
      <c r="A871" t="s">
        <v>81</v>
      </c>
      <c r="B871" s="10">
        <f>VLOOKUP(A871,'Datos generales'!A:B,2,0)</f>
        <v>45274.597916666673</v>
      </c>
      <c r="C871" s="12">
        <f>VLOOKUP(A871,'Datos generales'!A:H,8,0)</f>
        <v>3807.3</v>
      </c>
      <c r="D871" s="12" t="str">
        <f t="shared" si="26"/>
        <v>diciembre</v>
      </c>
      <c r="E871" s="33">
        <f t="shared" si="27"/>
        <v>2023</v>
      </c>
    </row>
    <row r="872" spans="1:5" x14ac:dyDescent="0.25">
      <c r="A872" t="s">
        <v>82</v>
      </c>
      <c r="B872" s="10">
        <f>VLOOKUP(A872,'Datos generales'!A:B,2,0)</f>
        <v>45358.874305555553</v>
      </c>
      <c r="C872" s="12">
        <f>VLOOKUP(A872,'Datos generales'!A:H,8,0)</f>
        <v>2396.4</v>
      </c>
      <c r="D872" s="12" t="str">
        <f t="shared" si="26"/>
        <v>marzo</v>
      </c>
      <c r="E872" s="33">
        <f t="shared" si="27"/>
        <v>2024</v>
      </c>
    </row>
    <row r="873" spans="1:5" x14ac:dyDescent="0.25">
      <c r="A873" t="s">
        <v>83</v>
      </c>
      <c r="B873" s="10">
        <f>VLOOKUP(A873,'Datos generales'!A:B,2,0)</f>
        <v>45850.171527777777</v>
      </c>
      <c r="C873" s="12">
        <f>VLOOKUP(A873,'Datos generales'!A:H,8,0)</f>
        <v>1631.16</v>
      </c>
      <c r="D873" s="12" t="str">
        <f t="shared" si="26"/>
        <v>julio</v>
      </c>
      <c r="E873" s="33">
        <f t="shared" si="27"/>
        <v>2025</v>
      </c>
    </row>
    <row r="874" spans="1:5" x14ac:dyDescent="0.25">
      <c r="A874" t="s">
        <v>84</v>
      </c>
      <c r="B874" s="10">
        <f>VLOOKUP(A874,'Datos generales'!A:B,2,0)</f>
        <v>45041.884027777778</v>
      </c>
      <c r="C874" s="12">
        <f>VLOOKUP(A874,'Datos generales'!A:H,8,0)</f>
        <v>2899.06</v>
      </c>
      <c r="D874" s="12" t="str">
        <f t="shared" si="26"/>
        <v>abril</v>
      </c>
      <c r="E874" s="33">
        <f t="shared" si="27"/>
        <v>2023</v>
      </c>
    </row>
    <row r="875" spans="1:5" x14ac:dyDescent="0.25">
      <c r="A875" t="s">
        <v>85</v>
      </c>
      <c r="B875" s="10">
        <f>VLOOKUP(A875,'Datos generales'!A:B,2,0)</f>
        <v>45564.772916666669</v>
      </c>
      <c r="C875" s="12">
        <f>VLOOKUP(A875,'Datos generales'!A:H,8,0)</f>
        <v>2362.1</v>
      </c>
      <c r="D875" s="12" t="str">
        <f t="shared" si="26"/>
        <v>septiembre</v>
      </c>
      <c r="E875" s="33">
        <f t="shared" si="27"/>
        <v>2024</v>
      </c>
    </row>
    <row r="876" spans="1:5" x14ac:dyDescent="0.25">
      <c r="A876" t="s">
        <v>86</v>
      </c>
      <c r="B876" s="10">
        <f>VLOOKUP(A876,'Datos generales'!A:B,2,0)</f>
        <v>45118.247916666667</v>
      </c>
      <c r="C876" s="12">
        <f>VLOOKUP(A876,'Datos generales'!A:H,8,0)</f>
        <v>1103.7</v>
      </c>
      <c r="D876" s="12" t="str">
        <f t="shared" si="26"/>
        <v>julio</v>
      </c>
      <c r="E876" s="33">
        <f t="shared" si="27"/>
        <v>2023</v>
      </c>
    </row>
    <row r="877" spans="1:5" x14ac:dyDescent="0.25">
      <c r="A877" t="s">
        <v>87</v>
      </c>
      <c r="B877" s="10">
        <f>VLOOKUP(A877,'Datos generales'!A:B,2,0)</f>
        <v>45717.986111111109</v>
      </c>
      <c r="C877" s="12">
        <f>VLOOKUP(A877,'Datos generales'!A:H,8,0)</f>
        <v>3697.55</v>
      </c>
      <c r="D877" s="12" t="str">
        <f t="shared" si="26"/>
        <v>marzo</v>
      </c>
      <c r="E877" s="33">
        <f t="shared" si="27"/>
        <v>2025</v>
      </c>
    </row>
    <row r="878" spans="1:5" x14ac:dyDescent="0.25">
      <c r="A878" t="s">
        <v>88</v>
      </c>
      <c r="B878" s="10">
        <f>VLOOKUP(A878,'Datos generales'!A:B,2,0)</f>
        <v>45162.795138888891</v>
      </c>
      <c r="C878" s="12">
        <f>VLOOKUP(A878,'Datos generales'!A:H,8,0)</f>
        <v>2178.2600000000002</v>
      </c>
      <c r="D878" s="12" t="str">
        <f t="shared" si="26"/>
        <v>agosto</v>
      </c>
      <c r="E878" s="33">
        <f t="shared" si="27"/>
        <v>2023</v>
      </c>
    </row>
    <row r="879" spans="1:5" x14ac:dyDescent="0.25">
      <c r="A879" t="s">
        <v>89</v>
      </c>
      <c r="B879" s="10">
        <f>VLOOKUP(A879,'Datos generales'!A:B,2,0)</f>
        <v>45517.353472222218</v>
      </c>
      <c r="C879" s="12">
        <f>VLOOKUP(A879,'Datos generales'!A:H,8,0)</f>
        <v>8163.75</v>
      </c>
      <c r="D879" s="12" t="str">
        <f t="shared" si="26"/>
        <v>agosto</v>
      </c>
      <c r="E879" s="33">
        <f t="shared" si="27"/>
        <v>2024</v>
      </c>
    </row>
    <row r="880" spans="1:5" x14ac:dyDescent="0.25">
      <c r="A880" t="s">
        <v>90</v>
      </c>
      <c r="B880" s="10">
        <f>VLOOKUP(A880,'Datos generales'!A:B,2,0)</f>
        <v>45245.664583333331</v>
      </c>
      <c r="C880" s="12">
        <f>VLOOKUP(A880,'Datos generales'!A:H,8,0)</f>
        <v>2452.0500000000002</v>
      </c>
      <c r="D880" s="12" t="str">
        <f t="shared" si="26"/>
        <v>noviembre</v>
      </c>
      <c r="E880" s="33">
        <f t="shared" si="27"/>
        <v>2023</v>
      </c>
    </row>
    <row r="881" spans="1:5" x14ac:dyDescent="0.25">
      <c r="A881" t="s">
        <v>91</v>
      </c>
      <c r="B881" s="10">
        <f>VLOOKUP(A881,'Datos generales'!A:B,2,0)</f>
        <v>45603.368055555547</v>
      </c>
      <c r="C881" s="12">
        <f>VLOOKUP(A881,'Datos generales'!A:H,8,0)</f>
        <v>2373.16</v>
      </c>
      <c r="D881" s="12" t="str">
        <f t="shared" si="26"/>
        <v>noviembre</v>
      </c>
      <c r="E881" s="33">
        <f t="shared" si="27"/>
        <v>2024</v>
      </c>
    </row>
    <row r="882" spans="1:5" x14ac:dyDescent="0.25">
      <c r="A882" t="s">
        <v>92</v>
      </c>
      <c r="B882" s="10">
        <f>VLOOKUP(A882,'Datos generales'!A:B,2,0)</f>
        <v>44990.597916666673</v>
      </c>
      <c r="C882" s="12">
        <f>VLOOKUP(A882,'Datos generales'!A:H,8,0)</f>
        <v>3745.6</v>
      </c>
      <c r="D882" s="12" t="str">
        <f t="shared" si="26"/>
        <v>marzo</v>
      </c>
      <c r="E882" s="33">
        <f t="shared" si="27"/>
        <v>2023</v>
      </c>
    </row>
    <row r="883" spans="1:5" x14ac:dyDescent="0.25">
      <c r="A883" t="s">
        <v>93</v>
      </c>
      <c r="B883" s="10">
        <f>VLOOKUP(A883,'Datos generales'!A:B,2,0)</f>
        <v>45273.106249999997</v>
      </c>
      <c r="C883" s="12">
        <f>VLOOKUP(A883,'Datos generales'!A:H,8,0)</f>
        <v>2040.57</v>
      </c>
      <c r="D883" s="12" t="str">
        <f t="shared" si="26"/>
        <v>diciembre</v>
      </c>
      <c r="E883" s="33">
        <f t="shared" si="27"/>
        <v>2023</v>
      </c>
    </row>
    <row r="884" spans="1:5" x14ac:dyDescent="0.25">
      <c r="A884" t="s">
        <v>94</v>
      </c>
      <c r="B884" s="10">
        <f>VLOOKUP(A884,'Datos generales'!A:B,2,0)</f>
        <v>45022.271527777782</v>
      </c>
      <c r="C884" s="12">
        <f>VLOOKUP(A884,'Datos generales'!A:H,8,0)</f>
        <v>1051.28</v>
      </c>
      <c r="D884" s="12" t="str">
        <f t="shared" si="26"/>
        <v>abril</v>
      </c>
      <c r="E884" s="33">
        <f t="shared" si="27"/>
        <v>2023</v>
      </c>
    </row>
    <row r="885" spans="1:5" x14ac:dyDescent="0.25">
      <c r="A885" t="s">
        <v>95</v>
      </c>
      <c r="B885" s="10">
        <f>VLOOKUP(A885,'Datos generales'!A:B,2,0)</f>
        <v>45682.68472222222</v>
      </c>
      <c r="C885" s="12">
        <f>VLOOKUP(A885,'Datos generales'!A:H,8,0)</f>
        <v>6127</v>
      </c>
      <c r="D885" s="12" t="str">
        <f t="shared" si="26"/>
        <v>enero</v>
      </c>
      <c r="E885" s="33">
        <f t="shared" si="27"/>
        <v>2025</v>
      </c>
    </row>
    <row r="886" spans="1:5" x14ac:dyDescent="0.25">
      <c r="A886" t="s">
        <v>96</v>
      </c>
      <c r="B886" s="10">
        <f>VLOOKUP(A886,'Datos generales'!A:B,2,0)</f>
        <v>45099.143750000003</v>
      </c>
      <c r="C886" s="12">
        <f>VLOOKUP(A886,'Datos generales'!A:H,8,0)</f>
        <v>503.84</v>
      </c>
      <c r="D886" s="12" t="str">
        <f t="shared" si="26"/>
        <v>junio</v>
      </c>
      <c r="E886" s="33">
        <f t="shared" si="27"/>
        <v>2023</v>
      </c>
    </row>
    <row r="887" spans="1:5" x14ac:dyDescent="0.25">
      <c r="A887" t="s">
        <v>97</v>
      </c>
      <c r="B887" s="10">
        <f>VLOOKUP(A887,'Datos generales'!A:B,2,0)</f>
        <v>45546.810416666667</v>
      </c>
      <c r="C887" s="12">
        <f>VLOOKUP(A887,'Datos generales'!A:H,8,0)</f>
        <v>7633.64</v>
      </c>
      <c r="D887" s="12" t="str">
        <f t="shared" si="26"/>
        <v>septiembre</v>
      </c>
      <c r="E887" s="33">
        <f t="shared" si="27"/>
        <v>2024</v>
      </c>
    </row>
    <row r="888" spans="1:5" x14ac:dyDescent="0.25">
      <c r="A888" t="s">
        <v>98</v>
      </c>
      <c r="B888" s="10">
        <f>VLOOKUP(A888,'Datos generales'!A:B,2,0)</f>
        <v>45451.106249999997</v>
      </c>
      <c r="C888" s="12">
        <f>VLOOKUP(A888,'Datos generales'!A:H,8,0)</f>
        <v>229.2</v>
      </c>
      <c r="D888" s="12" t="str">
        <f t="shared" si="26"/>
        <v>junio</v>
      </c>
      <c r="E888" s="33">
        <f t="shared" si="27"/>
        <v>2024</v>
      </c>
    </row>
    <row r="889" spans="1:5" x14ac:dyDescent="0.25">
      <c r="A889" t="s">
        <v>99</v>
      </c>
      <c r="B889" s="10">
        <f>VLOOKUP(A889,'Datos generales'!A:B,2,0)</f>
        <v>45101.551388888889</v>
      </c>
      <c r="C889" s="12">
        <f>VLOOKUP(A889,'Datos generales'!A:H,8,0)</f>
        <v>1191.56</v>
      </c>
      <c r="D889" s="12" t="str">
        <f t="shared" si="26"/>
        <v>junio</v>
      </c>
      <c r="E889" s="33">
        <f t="shared" si="27"/>
        <v>2023</v>
      </c>
    </row>
    <row r="890" spans="1:5" x14ac:dyDescent="0.25">
      <c r="A890" t="s">
        <v>100</v>
      </c>
      <c r="B890" s="10">
        <f>VLOOKUP(A890,'Datos generales'!A:B,2,0)</f>
        <v>45405.413194444453</v>
      </c>
      <c r="C890" s="12">
        <f>VLOOKUP(A890,'Datos generales'!A:H,8,0)</f>
        <v>150.04</v>
      </c>
      <c r="D890" s="12" t="str">
        <f t="shared" si="26"/>
        <v>abril</v>
      </c>
      <c r="E890" s="33">
        <f t="shared" si="27"/>
        <v>2024</v>
      </c>
    </row>
    <row r="891" spans="1:5" x14ac:dyDescent="0.25">
      <c r="A891" t="s">
        <v>101</v>
      </c>
      <c r="B891" s="10">
        <f>VLOOKUP(A891,'Datos generales'!A:B,2,0)</f>
        <v>45465.332638888889</v>
      </c>
      <c r="C891" s="12">
        <f>VLOOKUP(A891,'Datos generales'!A:H,8,0)</f>
        <v>2704.6</v>
      </c>
      <c r="D891" s="12" t="str">
        <f t="shared" si="26"/>
        <v>junio</v>
      </c>
      <c r="E891" s="33">
        <f t="shared" si="27"/>
        <v>2024</v>
      </c>
    </row>
    <row r="892" spans="1:5" x14ac:dyDescent="0.25">
      <c r="A892" t="s">
        <v>102</v>
      </c>
      <c r="B892" s="10">
        <f>VLOOKUP(A892,'Datos generales'!A:B,2,0)</f>
        <v>45863.330555555563</v>
      </c>
      <c r="C892" s="12">
        <f>VLOOKUP(A892,'Datos generales'!A:H,8,0)</f>
        <v>713.82</v>
      </c>
      <c r="D892" s="12" t="str">
        <f t="shared" si="26"/>
        <v>julio</v>
      </c>
      <c r="E892" s="33">
        <f t="shared" si="27"/>
        <v>2025</v>
      </c>
    </row>
    <row r="893" spans="1:5" x14ac:dyDescent="0.25">
      <c r="A893" t="s">
        <v>103</v>
      </c>
      <c r="B893" s="10">
        <f>VLOOKUP(A893,'Datos generales'!A:B,2,0)</f>
        <v>45727.712500000001</v>
      </c>
      <c r="C893" s="12">
        <f>VLOOKUP(A893,'Datos generales'!A:H,8,0)</f>
        <v>3407.01</v>
      </c>
      <c r="D893" s="12" t="str">
        <f t="shared" si="26"/>
        <v>marzo</v>
      </c>
      <c r="E893" s="33">
        <f t="shared" si="27"/>
        <v>2025</v>
      </c>
    </row>
    <row r="894" spans="1:5" x14ac:dyDescent="0.25">
      <c r="A894" t="s">
        <v>104</v>
      </c>
      <c r="B894" s="10">
        <f>VLOOKUP(A894,'Datos generales'!A:B,2,0)</f>
        <v>45676.398611111108</v>
      </c>
      <c r="C894" s="12">
        <f>VLOOKUP(A894,'Datos generales'!A:H,8,0)</f>
        <v>2417.0700000000002</v>
      </c>
      <c r="D894" s="12" t="str">
        <f t="shared" si="26"/>
        <v>enero</v>
      </c>
      <c r="E894" s="33">
        <f t="shared" si="27"/>
        <v>2025</v>
      </c>
    </row>
    <row r="895" spans="1:5" x14ac:dyDescent="0.25">
      <c r="A895" t="s">
        <v>105</v>
      </c>
      <c r="B895" s="10">
        <f>VLOOKUP(A895,'Datos generales'!A:B,2,0)</f>
        <v>45289.026388888888</v>
      </c>
      <c r="C895" s="12">
        <f>VLOOKUP(A895,'Datos generales'!A:H,8,0)</f>
        <v>2518.14</v>
      </c>
      <c r="D895" s="12" t="str">
        <f t="shared" si="26"/>
        <v>diciembre</v>
      </c>
      <c r="E895" s="33">
        <f t="shared" si="27"/>
        <v>2023</v>
      </c>
    </row>
    <row r="896" spans="1:5" x14ac:dyDescent="0.25">
      <c r="A896" t="s">
        <v>106</v>
      </c>
      <c r="B896" s="10">
        <f>VLOOKUP(A896,'Datos generales'!A:B,2,0)</f>
        <v>45473.418749999997</v>
      </c>
      <c r="C896" s="12">
        <f>VLOOKUP(A896,'Datos generales'!A:H,8,0)</f>
        <v>1801.2</v>
      </c>
      <c r="D896" s="12" t="str">
        <f t="shared" si="26"/>
        <v>junio</v>
      </c>
      <c r="E896" s="33">
        <f t="shared" si="27"/>
        <v>2024</v>
      </c>
    </row>
    <row r="897" spans="1:5" x14ac:dyDescent="0.25">
      <c r="A897" t="s">
        <v>107</v>
      </c>
      <c r="B897" s="10">
        <f>VLOOKUP(A897,'Datos generales'!A:B,2,0)</f>
        <v>45499.757638888892</v>
      </c>
      <c r="C897" s="12">
        <f>VLOOKUP(A897,'Datos generales'!A:H,8,0)</f>
        <v>959.62</v>
      </c>
      <c r="D897" s="12" t="str">
        <f t="shared" si="26"/>
        <v>julio</v>
      </c>
      <c r="E897" s="33">
        <f t="shared" si="27"/>
        <v>2024</v>
      </c>
    </row>
    <row r="898" spans="1:5" x14ac:dyDescent="0.25">
      <c r="A898" t="s">
        <v>108</v>
      </c>
      <c r="B898" s="10">
        <f>VLOOKUP(A898,'Datos generales'!A:B,2,0)</f>
        <v>45541.331250000003</v>
      </c>
      <c r="C898" s="12">
        <f>VLOOKUP(A898,'Datos generales'!A:H,8,0)</f>
        <v>1888.86</v>
      </c>
      <c r="D898" s="12" t="str">
        <f t="shared" si="26"/>
        <v>septiembre</v>
      </c>
      <c r="E898" s="33">
        <f t="shared" si="27"/>
        <v>2024</v>
      </c>
    </row>
    <row r="899" spans="1:5" x14ac:dyDescent="0.25">
      <c r="A899" t="s">
        <v>109</v>
      </c>
      <c r="B899" s="10">
        <f>VLOOKUP(A899,'Datos generales'!A:B,2,0)</f>
        <v>45542.574305555558</v>
      </c>
      <c r="C899" s="12">
        <f>VLOOKUP(A899,'Datos generales'!A:H,8,0)</f>
        <v>7284.2</v>
      </c>
      <c r="D899" s="12" t="str">
        <f t="shared" ref="D899:D962" si="28">TEXT(B899,"mmmm")</f>
        <v>septiembre</v>
      </c>
      <c r="E899" s="33">
        <f t="shared" ref="E899:E962" si="29">YEAR(B899)</f>
        <v>2024</v>
      </c>
    </row>
    <row r="900" spans="1:5" x14ac:dyDescent="0.25">
      <c r="A900" t="s">
        <v>110</v>
      </c>
      <c r="B900" s="10">
        <f>VLOOKUP(A900,'Datos generales'!A:B,2,0)</f>
        <v>45846.336805555547</v>
      </c>
      <c r="C900" s="12">
        <f>VLOOKUP(A900,'Datos generales'!A:H,8,0)</f>
        <v>4611.6900000000014</v>
      </c>
      <c r="D900" s="12" t="str">
        <f t="shared" si="28"/>
        <v>julio</v>
      </c>
      <c r="E900" s="33">
        <f t="shared" si="29"/>
        <v>2025</v>
      </c>
    </row>
    <row r="901" spans="1:5" x14ac:dyDescent="0.25">
      <c r="A901" t="s">
        <v>111</v>
      </c>
      <c r="B901" s="10">
        <f>VLOOKUP(A901,'Datos generales'!A:B,2,0)</f>
        <v>45318.705555555563</v>
      </c>
      <c r="C901" s="12">
        <f>VLOOKUP(A901,'Datos generales'!A:H,8,0)</f>
        <v>934.98</v>
      </c>
      <c r="D901" s="12" t="str">
        <f t="shared" si="28"/>
        <v>enero</v>
      </c>
      <c r="E901" s="33">
        <f t="shared" si="29"/>
        <v>2024</v>
      </c>
    </row>
    <row r="902" spans="1:5" x14ac:dyDescent="0.25">
      <c r="A902" t="s">
        <v>112</v>
      </c>
      <c r="B902" s="10">
        <f>VLOOKUP(A902,'Datos generales'!A:B,2,0)</f>
        <v>45595.668055555558</v>
      </c>
      <c r="C902" s="12">
        <f>VLOOKUP(A902,'Datos generales'!A:H,8,0)</f>
        <v>745.45</v>
      </c>
      <c r="D902" s="12" t="str">
        <f t="shared" si="28"/>
        <v>octubre</v>
      </c>
      <c r="E902" s="33">
        <f t="shared" si="29"/>
        <v>2024</v>
      </c>
    </row>
    <row r="903" spans="1:5" x14ac:dyDescent="0.25">
      <c r="A903" t="s">
        <v>113</v>
      </c>
      <c r="B903" s="10">
        <f>VLOOKUP(A903,'Datos generales'!A:B,2,0)</f>
        <v>44984.418055555558</v>
      </c>
      <c r="C903" s="12">
        <f>VLOOKUP(A903,'Datos generales'!A:H,8,0)</f>
        <v>9427.4</v>
      </c>
      <c r="D903" s="12" t="str">
        <f t="shared" si="28"/>
        <v>febrero</v>
      </c>
      <c r="E903" s="33">
        <f t="shared" si="29"/>
        <v>2023</v>
      </c>
    </row>
    <row r="904" spans="1:5" x14ac:dyDescent="0.25">
      <c r="A904" t="s">
        <v>114</v>
      </c>
      <c r="B904" s="10">
        <f>VLOOKUP(A904,'Datos generales'!A:B,2,0)</f>
        <v>45153.455555555563</v>
      </c>
      <c r="C904" s="12">
        <f>VLOOKUP(A904,'Datos generales'!A:H,8,0)</f>
        <v>4775.76</v>
      </c>
      <c r="D904" s="12" t="str">
        <f t="shared" si="28"/>
        <v>agosto</v>
      </c>
      <c r="E904" s="33">
        <f t="shared" si="29"/>
        <v>2023</v>
      </c>
    </row>
    <row r="905" spans="1:5" x14ac:dyDescent="0.25">
      <c r="A905" t="s">
        <v>115</v>
      </c>
      <c r="B905" s="10">
        <f>VLOOKUP(A905,'Datos generales'!A:B,2,0)</f>
        <v>45919.24722222222</v>
      </c>
      <c r="C905" s="12">
        <f>VLOOKUP(A905,'Datos generales'!A:H,8,0)</f>
        <v>6916.65</v>
      </c>
      <c r="D905" s="12" t="str">
        <f t="shared" si="28"/>
        <v>septiembre</v>
      </c>
      <c r="E905" s="33">
        <f t="shared" si="29"/>
        <v>2025</v>
      </c>
    </row>
    <row r="906" spans="1:5" x14ac:dyDescent="0.25">
      <c r="A906" t="s">
        <v>116</v>
      </c>
      <c r="B906" s="10">
        <f>VLOOKUP(A906,'Datos generales'!A:B,2,0)</f>
        <v>45815.543055555558</v>
      </c>
      <c r="C906" s="12">
        <f>VLOOKUP(A906,'Datos generales'!A:H,8,0)</f>
        <v>2102.46</v>
      </c>
      <c r="D906" s="12" t="str">
        <f t="shared" si="28"/>
        <v>junio</v>
      </c>
      <c r="E906" s="33">
        <f t="shared" si="29"/>
        <v>2025</v>
      </c>
    </row>
    <row r="907" spans="1:5" x14ac:dyDescent="0.25">
      <c r="A907" t="s">
        <v>117</v>
      </c>
      <c r="B907" s="10">
        <f>VLOOKUP(A907,'Datos generales'!A:B,2,0)</f>
        <v>45255.4</v>
      </c>
      <c r="C907" s="12">
        <f>VLOOKUP(A907,'Datos generales'!A:H,8,0)</f>
        <v>5097.84</v>
      </c>
      <c r="D907" s="12" t="str">
        <f t="shared" si="28"/>
        <v>noviembre</v>
      </c>
      <c r="E907" s="33">
        <f t="shared" si="29"/>
        <v>2023</v>
      </c>
    </row>
    <row r="908" spans="1:5" x14ac:dyDescent="0.25">
      <c r="A908" t="s">
        <v>118</v>
      </c>
      <c r="B908" s="10">
        <f>VLOOKUP(A908,'Datos generales'!A:B,2,0)</f>
        <v>45754.797222222223</v>
      </c>
      <c r="C908" s="12">
        <f>VLOOKUP(A908,'Datos generales'!A:H,8,0)</f>
        <v>1251.08</v>
      </c>
      <c r="D908" s="12" t="str">
        <f t="shared" si="28"/>
        <v>abril</v>
      </c>
      <c r="E908" s="33">
        <f t="shared" si="29"/>
        <v>2025</v>
      </c>
    </row>
    <row r="909" spans="1:5" x14ac:dyDescent="0.25">
      <c r="A909" t="s">
        <v>119</v>
      </c>
      <c r="B909" s="10">
        <f>VLOOKUP(A909,'Datos generales'!A:B,2,0)</f>
        <v>45764.185416666667</v>
      </c>
      <c r="C909" s="12">
        <f>VLOOKUP(A909,'Datos generales'!A:H,8,0)</f>
        <v>7911</v>
      </c>
      <c r="D909" s="12" t="str">
        <f t="shared" si="28"/>
        <v>abril</v>
      </c>
      <c r="E909" s="33">
        <f t="shared" si="29"/>
        <v>2025</v>
      </c>
    </row>
    <row r="910" spans="1:5" x14ac:dyDescent="0.25">
      <c r="A910" t="s">
        <v>120</v>
      </c>
      <c r="B910" s="10">
        <f>VLOOKUP(A910,'Datos generales'!A:B,2,0)</f>
        <v>45240.82916666667</v>
      </c>
      <c r="C910" s="12">
        <f>VLOOKUP(A910,'Datos generales'!A:H,8,0)</f>
        <v>81.92</v>
      </c>
      <c r="D910" s="12" t="str">
        <f t="shared" si="28"/>
        <v>noviembre</v>
      </c>
      <c r="E910" s="33">
        <f t="shared" si="29"/>
        <v>2023</v>
      </c>
    </row>
    <row r="911" spans="1:5" x14ac:dyDescent="0.25">
      <c r="A911" t="s">
        <v>121</v>
      </c>
      <c r="B911" s="10">
        <f>VLOOKUP(A911,'Datos generales'!A:B,2,0)</f>
        <v>45634.470138888893</v>
      </c>
      <c r="C911" s="12">
        <f>VLOOKUP(A911,'Datos generales'!A:H,8,0)</f>
        <v>1153.31</v>
      </c>
      <c r="D911" s="12" t="str">
        <f t="shared" si="28"/>
        <v>diciembre</v>
      </c>
      <c r="E911" s="33">
        <f t="shared" si="29"/>
        <v>2024</v>
      </c>
    </row>
    <row r="912" spans="1:5" x14ac:dyDescent="0.25">
      <c r="A912" t="s">
        <v>122</v>
      </c>
      <c r="B912" s="10">
        <f>VLOOKUP(A912,'Datos generales'!A:B,2,0)</f>
        <v>45913.939583333333</v>
      </c>
      <c r="C912" s="12">
        <f>VLOOKUP(A912,'Datos generales'!A:H,8,0)</f>
        <v>3234.24</v>
      </c>
      <c r="D912" s="12" t="str">
        <f t="shared" si="28"/>
        <v>septiembre</v>
      </c>
      <c r="E912" s="33">
        <f t="shared" si="29"/>
        <v>2025</v>
      </c>
    </row>
    <row r="913" spans="1:5" x14ac:dyDescent="0.25">
      <c r="A913" t="s">
        <v>123</v>
      </c>
      <c r="B913" s="10">
        <f>VLOOKUP(A913,'Datos generales'!A:B,2,0)</f>
        <v>45526.149305555547</v>
      </c>
      <c r="C913" s="12">
        <f>VLOOKUP(A913,'Datos generales'!A:H,8,0)</f>
        <v>201.91</v>
      </c>
      <c r="D913" s="12" t="str">
        <f t="shared" si="28"/>
        <v>agosto</v>
      </c>
      <c r="E913" s="33">
        <f t="shared" si="29"/>
        <v>2024</v>
      </c>
    </row>
    <row r="914" spans="1:5" x14ac:dyDescent="0.25">
      <c r="A914" t="s">
        <v>124</v>
      </c>
      <c r="B914" s="10">
        <f>VLOOKUP(A914,'Datos generales'!A:B,2,0)</f>
        <v>45487.067361111112</v>
      </c>
      <c r="C914" s="12">
        <f>VLOOKUP(A914,'Datos generales'!A:H,8,0)</f>
        <v>2182.08</v>
      </c>
      <c r="D914" s="12" t="str">
        <f t="shared" si="28"/>
        <v>julio</v>
      </c>
      <c r="E914" s="33">
        <f t="shared" si="29"/>
        <v>2024</v>
      </c>
    </row>
    <row r="915" spans="1:5" x14ac:dyDescent="0.25">
      <c r="A915" t="s">
        <v>125</v>
      </c>
      <c r="B915" s="10">
        <f>VLOOKUP(A915,'Datos generales'!A:B,2,0)</f>
        <v>45281.986805555563</v>
      </c>
      <c r="C915" s="12">
        <f>VLOOKUP(A915,'Datos generales'!A:H,8,0)</f>
        <v>4936.29</v>
      </c>
      <c r="D915" s="12" t="str">
        <f t="shared" si="28"/>
        <v>diciembre</v>
      </c>
      <c r="E915" s="33">
        <f t="shared" si="29"/>
        <v>2023</v>
      </c>
    </row>
    <row r="916" spans="1:5" x14ac:dyDescent="0.25">
      <c r="A916" t="s">
        <v>126</v>
      </c>
      <c r="B916" s="10">
        <f>VLOOKUP(A916,'Datos generales'!A:B,2,0)</f>
        <v>45468.378472222219</v>
      </c>
      <c r="C916" s="12">
        <f>VLOOKUP(A916,'Datos generales'!A:H,8,0)</f>
        <v>1260.1500000000001</v>
      </c>
      <c r="D916" s="12" t="str">
        <f t="shared" si="28"/>
        <v>junio</v>
      </c>
      <c r="E916" s="33">
        <f t="shared" si="29"/>
        <v>2024</v>
      </c>
    </row>
    <row r="917" spans="1:5" x14ac:dyDescent="0.25">
      <c r="A917" t="s">
        <v>127</v>
      </c>
      <c r="B917" s="10">
        <f>VLOOKUP(A917,'Datos generales'!A:B,2,0)</f>
        <v>45529.436805555553</v>
      </c>
      <c r="C917" s="12">
        <f>VLOOKUP(A917,'Datos generales'!A:H,8,0)</f>
        <v>1987.6</v>
      </c>
      <c r="D917" s="12" t="str">
        <f t="shared" si="28"/>
        <v>agosto</v>
      </c>
      <c r="E917" s="33">
        <f t="shared" si="29"/>
        <v>2024</v>
      </c>
    </row>
    <row r="918" spans="1:5" x14ac:dyDescent="0.25">
      <c r="A918" t="s">
        <v>128</v>
      </c>
      <c r="B918" s="10">
        <f>VLOOKUP(A918,'Datos generales'!A:B,2,0)</f>
        <v>44961.01666666667</v>
      </c>
      <c r="C918" s="12">
        <f>VLOOKUP(A918,'Datos generales'!A:H,8,0)</f>
        <v>1443.12</v>
      </c>
      <c r="D918" s="12" t="str">
        <f t="shared" si="28"/>
        <v>febrero</v>
      </c>
      <c r="E918" s="33">
        <f t="shared" si="29"/>
        <v>2023</v>
      </c>
    </row>
    <row r="919" spans="1:5" x14ac:dyDescent="0.25">
      <c r="A919" t="s">
        <v>129</v>
      </c>
      <c r="B919" s="10">
        <f>VLOOKUP(A919,'Datos generales'!A:B,2,0)</f>
        <v>45041.746527777781</v>
      </c>
      <c r="C919" s="12">
        <f>VLOOKUP(A919,'Datos generales'!A:H,8,0)</f>
        <v>5415.6</v>
      </c>
      <c r="D919" s="12" t="str">
        <f t="shared" si="28"/>
        <v>abril</v>
      </c>
      <c r="E919" s="33">
        <f t="shared" si="29"/>
        <v>2023</v>
      </c>
    </row>
    <row r="920" spans="1:5" x14ac:dyDescent="0.25">
      <c r="A920" t="s">
        <v>130</v>
      </c>
      <c r="B920" s="10">
        <f>VLOOKUP(A920,'Datos generales'!A:B,2,0)</f>
        <v>45400.756249999999</v>
      </c>
      <c r="C920" s="12">
        <f>VLOOKUP(A920,'Datos generales'!A:H,8,0)</f>
        <v>859.04</v>
      </c>
      <c r="D920" s="12" t="str">
        <f t="shared" si="28"/>
        <v>abril</v>
      </c>
      <c r="E920" s="33">
        <f t="shared" si="29"/>
        <v>2024</v>
      </c>
    </row>
    <row r="921" spans="1:5" x14ac:dyDescent="0.25">
      <c r="A921" t="s">
        <v>131</v>
      </c>
      <c r="B921" s="10">
        <f>VLOOKUP(A921,'Datos generales'!A:B,2,0)</f>
        <v>45465.772916666669</v>
      </c>
      <c r="C921" s="12">
        <f>VLOOKUP(A921,'Datos generales'!A:H,8,0)</f>
        <v>3649.92</v>
      </c>
      <c r="D921" s="12" t="str">
        <f t="shared" si="28"/>
        <v>junio</v>
      </c>
      <c r="E921" s="33">
        <f t="shared" si="29"/>
        <v>2024</v>
      </c>
    </row>
    <row r="922" spans="1:5" x14ac:dyDescent="0.25">
      <c r="A922" t="s">
        <v>132</v>
      </c>
      <c r="B922" s="10">
        <f>VLOOKUP(A922,'Datos generales'!A:B,2,0)</f>
        <v>45316.202777777777</v>
      </c>
      <c r="C922" s="12">
        <f>VLOOKUP(A922,'Datos generales'!A:H,8,0)</f>
        <v>5299.0499999999993</v>
      </c>
      <c r="D922" s="12" t="str">
        <f t="shared" si="28"/>
        <v>enero</v>
      </c>
      <c r="E922" s="33">
        <f t="shared" si="29"/>
        <v>2024</v>
      </c>
    </row>
    <row r="923" spans="1:5" x14ac:dyDescent="0.25">
      <c r="A923" t="s">
        <v>133</v>
      </c>
      <c r="B923" s="10">
        <f>VLOOKUP(A923,'Datos generales'!A:B,2,0)</f>
        <v>45118.634722222218</v>
      </c>
      <c r="C923" s="12">
        <f>VLOOKUP(A923,'Datos generales'!A:H,8,0)</f>
        <v>185.56</v>
      </c>
      <c r="D923" s="12" t="str">
        <f t="shared" si="28"/>
        <v>julio</v>
      </c>
      <c r="E923" s="33">
        <f t="shared" si="29"/>
        <v>2023</v>
      </c>
    </row>
    <row r="924" spans="1:5" x14ac:dyDescent="0.25">
      <c r="A924" t="s">
        <v>134</v>
      </c>
      <c r="B924" s="10">
        <f>VLOOKUP(A924,'Datos generales'!A:B,2,0)</f>
        <v>45232.75</v>
      </c>
      <c r="C924" s="12">
        <f>VLOOKUP(A924,'Datos generales'!A:H,8,0)</f>
        <v>754.07</v>
      </c>
      <c r="D924" s="12" t="str">
        <f t="shared" si="28"/>
        <v>noviembre</v>
      </c>
      <c r="E924" s="33">
        <f t="shared" si="29"/>
        <v>2023</v>
      </c>
    </row>
    <row r="925" spans="1:5" x14ac:dyDescent="0.25">
      <c r="A925" t="s">
        <v>135</v>
      </c>
      <c r="B925" s="10">
        <f>VLOOKUP(A925,'Datos generales'!A:B,2,0)</f>
        <v>45745.421527777777</v>
      </c>
      <c r="C925" s="12">
        <f>VLOOKUP(A925,'Datos generales'!A:H,8,0)</f>
        <v>1681.02</v>
      </c>
      <c r="D925" s="12" t="str">
        <f t="shared" si="28"/>
        <v>marzo</v>
      </c>
      <c r="E925" s="33">
        <f t="shared" si="29"/>
        <v>2025</v>
      </c>
    </row>
    <row r="926" spans="1:5" x14ac:dyDescent="0.25">
      <c r="A926" t="s">
        <v>136</v>
      </c>
      <c r="B926" s="10">
        <f>VLOOKUP(A926,'Datos generales'!A:B,2,0)</f>
        <v>45802.370833333327</v>
      </c>
      <c r="C926" s="12">
        <f>VLOOKUP(A926,'Datos generales'!A:H,8,0)</f>
        <v>2397.44</v>
      </c>
      <c r="D926" s="12" t="str">
        <f t="shared" si="28"/>
        <v>mayo</v>
      </c>
      <c r="E926" s="33">
        <f t="shared" si="29"/>
        <v>2025</v>
      </c>
    </row>
    <row r="927" spans="1:5" x14ac:dyDescent="0.25">
      <c r="A927" t="s">
        <v>137</v>
      </c>
      <c r="B927" s="10">
        <f>VLOOKUP(A927,'Datos generales'!A:B,2,0)</f>
        <v>45249.604861111111</v>
      </c>
      <c r="C927" s="12">
        <f>VLOOKUP(A927,'Datos generales'!A:H,8,0)</f>
        <v>2080.4</v>
      </c>
      <c r="D927" s="12" t="str">
        <f t="shared" si="28"/>
        <v>noviembre</v>
      </c>
      <c r="E927" s="33">
        <f t="shared" si="29"/>
        <v>2023</v>
      </c>
    </row>
    <row r="928" spans="1:5" x14ac:dyDescent="0.25">
      <c r="A928" t="s">
        <v>138</v>
      </c>
      <c r="B928" s="10">
        <f>VLOOKUP(A928,'Datos generales'!A:B,2,0)</f>
        <v>45854.013194444437</v>
      </c>
      <c r="C928" s="12">
        <f>VLOOKUP(A928,'Datos generales'!A:H,8,0)</f>
        <v>322.58999999999997</v>
      </c>
      <c r="D928" s="12" t="str">
        <f t="shared" si="28"/>
        <v>julio</v>
      </c>
      <c r="E928" s="33">
        <f t="shared" si="29"/>
        <v>2025</v>
      </c>
    </row>
    <row r="929" spans="1:5" x14ac:dyDescent="0.25">
      <c r="A929" t="s">
        <v>139</v>
      </c>
      <c r="B929" s="10">
        <f>VLOOKUP(A929,'Datos generales'!A:B,2,0)</f>
        <v>45828.018055555563</v>
      </c>
      <c r="C929" s="12">
        <f>VLOOKUP(A929,'Datos generales'!A:H,8,0)</f>
        <v>1522.64</v>
      </c>
      <c r="D929" s="12" t="str">
        <f t="shared" si="28"/>
        <v>junio</v>
      </c>
      <c r="E929" s="33">
        <f t="shared" si="29"/>
        <v>2025</v>
      </c>
    </row>
    <row r="930" spans="1:5" x14ac:dyDescent="0.25">
      <c r="A930" t="s">
        <v>140</v>
      </c>
      <c r="B930" s="10">
        <f>VLOOKUP(A930,'Datos generales'!A:B,2,0)</f>
        <v>45673.40902777778</v>
      </c>
      <c r="C930" s="12">
        <f>VLOOKUP(A930,'Datos generales'!A:H,8,0)</f>
        <v>1400.22</v>
      </c>
      <c r="D930" s="12" t="str">
        <f t="shared" si="28"/>
        <v>enero</v>
      </c>
      <c r="E930" s="33">
        <f t="shared" si="29"/>
        <v>2025</v>
      </c>
    </row>
    <row r="931" spans="1:5" x14ac:dyDescent="0.25">
      <c r="A931" t="s">
        <v>141</v>
      </c>
      <c r="B931" s="10">
        <f>VLOOKUP(A931,'Datos generales'!A:B,2,0)</f>
        <v>44932.951388888891</v>
      </c>
      <c r="C931" s="12">
        <f>VLOOKUP(A931,'Datos generales'!A:H,8,0)</f>
        <v>1792.4</v>
      </c>
      <c r="D931" s="12" t="str">
        <f t="shared" si="28"/>
        <v>enero</v>
      </c>
      <c r="E931" s="33">
        <f t="shared" si="29"/>
        <v>2023</v>
      </c>
    </row>
    <row r="932" spans="1:5" x14ac:dyDescent="0.25">
      <c r="A932" t="s">
        <v>142</v>
      </c>
      <c r="B932" s="10">
        <f>VLOOKUP(A932,'Datos generales'!A:B,2,0)</f>
        <v>45381.871527777781</v>
      </c>
      <c r="C932" s="12">
        <f>VLOOKUP(A932,'Datos generales'!A:H,8,0)</f>
        <v>2986.4</v>
      </c>
      <c r="D932" s="12" t="str">
        <f t="shared" si="28"/>
        <v>marzo</v>
      </c>
      <c r="E932" s="33">
        <f t="shared" si="29"/>
        <v>2024</v>
      </c>
    </row>
    <row r="933" spans="1:5" x14ac:dyDescent="0.25">
      <c r="A933" t="s">
        <v>143</v>
      </c>
      <c r="B933" s="10">
        <f>VLOOKUP(A933,'Datos generales'!A:B,2,0)</f>
        <v>45450.97152777778</v>
      </c>
      <c r="C933" s="12">
        <f>VLOOKUP(A933,'Datos generales'!A:H,8,0)</f>
        <v>751.43</v>
      </c>
      <c r="D933" s="12" t="str">
        <f t="shared" si="28"/>
        <v>junio</v>
      </c>
      <c r="E933" s="33">
        <f t="shared" si="29"/>
        <v>2024</v>
      </c>
    </row>
    <row r="934" spans="1:5" x14ac:dyDescent="0.25">
      <c r="A934" t="s">
        <v>144</v>
      </c>
      <c r="B934" s="10">
        <f>VLOOKUP(A934,'Datos generales'!A:B,2,0)</f>
        <v>45122.813888888893</v>
      </c>
      <c r="C934" s="12">
        <f>VLOOKUP(A934,'Datos generales'!A:H,8,0)</f>
        <v>5545.4</v>
      </c>
      <c r="D934" s="12" t="str">
        <f t="shared" si="28"/>
        <v>julio</v>
      </c>
      <c r="E934" s="33">
        <f t="shared" si="29"/>
        <v>2023</v>
      </c>
    </row>
    <row r="935" spans="1:5" x14ac:dyDescent="0.25">
      <c r="A935" t="s">
        <v>145</v>
      </c>
      <c r="B935" s="10">
        <f>VLOOKUP(A935,'Datos generales'!A:B,2,0)</f>
        <v>45329.842361111107</v>
      </c>
      <c r="C935" s="12">
        <f>VLOOKUP(A935,'Datos generales'!A:H,8,0)</f>
        <v>3213.7</v>
      </c>
      <c r="D935" s="12" t="str">
        <f t="shared" si="28"/>
        <v>febrero</v>
      </c>
      <c r="E935" s="33">
        <f t="shared" si="29"/>
        <v>2024</v>
      </c>
    </row>
    <row r="936" spans="1:5" x14ac:dyDescent="0.25">
      <c r="A936" t="s">
        <v>146</v>
      </c>
      <c r="B936" s="10">
        <f>VLOOKUP(A936,'Datos generales'!A:B,2,0)</f>
        <v>45615.539583333331</v>
      </c>
      <c r="C936" s="12">
        <f>VLOOKUP(A936,'Datos generales'!A:H,8,0)</f>
        <v>1228.6500000000001</v>
      </c>
      <c r="D936" s="12" t="str">
        <f t="shared" si="28"/>
        <v>noviembre</v>
      </c>
      <c r="E936" s="33">
        <f t="shared" si="29"/>
        <v>2024</v>
      </c>
    </row>
    <row r="937" spans="1:5" x14ac:dyDescent="0.25">
      <c r="A937" t="s">
        <v>147</v>
      </c>
      <c r="B937" s="10">
        <f>VLOOKUP(A937,'Datos generales'!A:B,2,0)</f>
        <v>45222.775694444441</v>
      </c>
      <c r="C937" s="12">
        <f>VLOOKUP(A937,'Datos generales'!A:H,8,0)</f>
        <v>5346.39</v>
      </c>
      <c r="D937" s="12" t="str">
        <f t="shared" si="28"/>
        <v>octubre</v>
      </c>
      <c r="E937" s="33">
        <f t="shared" si="29"/>
        <v>2023</v>
      </c>
    </row>
    <row r="938" spans="1:5" x14ac:dyDescent="0.25">
      <c r="A938" t="s">
        <v>148</v>
      </c>
      <c r="B938" s="10">
        <f>VLOOKUP(A938,'Datos generales'!A:B,2,0)</f>
        <v>45525.048611111109</v>
      </c>
      <c r="C938" s="12">
        <f>VLOOKUP(A938,'Datos generales'!A:H,8,0)</f>
        <v>5685.7000000000007</v>
      </c>
      <c r="D938" s="12" t="str">
        <f t="shared" si="28"/>
        <v>agosto</v>
      </c>
      <c r="E938" s="33">
        <f t="shared" si="29"/>
        <v>2024</v>
      </c>
    </row>
    <row r="939" spans="1:5" x14ac:dyDescent="0.25">
      <c r="A939" t="s">
        <v>149</v>
      </c>
      <c r="B939" s="10">
        <f>VLOOKUP(A939,'Datos generales'!A:B,2,0)</f>
        <v>45520.686111111107</v>
      </c>
      <c r="C939" s="12">
        <f>VLOOKUP(A939,'Datos generales'!A:H,8,0)</f>
        <v>3866.88</v>
      </c>
      <c r="D939" s="12" t="str">
        <f t="shared" si="28"/>
        <v>agosto</v>
      </c>
      <c r="E939" s="33">
        <f t="shared" si="29"/>
        <v>2024</v>
      </c>
    </row>
    <row r="940" spans="1:5" x14ac:dyDescent="0.25">
      <c r="A940" t="s">
        <v>150</v>
      </c>
      <c r="B940" s="10">
        <f>VLOOKUP(A940,'Datos generales'!A:B,2,0)</f>
        <v>45484.331944444442</v>
      </c>
      <c r="C940" s="12">
        <f>VLOOKUP(A940,'Datos generales'!A:H,8,0)</f>
        <v>3774.4</v>
      </c>
      <c r="D940" s="12" t="str">
        <f t="shared" si="28"/>
        <v>julio</v>
      </c>
      <c r="E940" s="33">
        <f t="shared" si="29"/>
        <v>2024</v>
      </c>
    </row>
    <row r="941" spans="1:5" x14ac:dyDescent="0.25">
      <c r="A941" t="s">
        <v>151</v>
      </c>
      <c r="B941" s="10">
        <f>VLOOKUP(A941,'Datos generales'!A:B,2,0)</f>
        <v>45842.433333333327</v>
      </c>
      <c r="C941" s="12">
        <f>VLOOKUP(A941,'Datos generales'!A:H,8,0)</f>
        <v>3610</v>
      </c>
      <c r="D941" s="12" t="str">
        <f t="shared" si="28"/>
        <v>julio</v>
      </c>
      <c r="E941" s="33">
        <f t="shared" si="29"/>
        <v>2025</v>
      </c>
    </row>
    <row r="942" spans="1:5" x14ac:dyDescent="0.25">
      <c r="A942" t="s">
        <v>152</v>
      </c>
      <c r="B942" s="10">
        <f>VLOOKUP(A942,'Datos generales'!A:B,2,0)</f>
        <v>45697.842361111107</v>
      </c>
      <c r="C942" s="12">
        <f>VLOOKUP(A942,'Datos generales'!A:H,8,0)</f>
        <v>156.36000000000001</v>
      </c>
      <c r="D942" s="12" t="str">
        <f t="shared" si="28"/>
        <v>febrero</v>
      </c>
      <c r="E942" s="33">
        <f t="shared" si="29"/>
        <v>2025</v>
      </c>
    </row>
    <row r="943" spans="1:5" x14ac:dyDescent="0.25">
      <c r="A943" t="s">
        <v>153</v>
      </c>
      <c r="B943" s="10">
        <f>VLOOKUP(A943,'Datos generales'!A:B,2,0)</f>
        <v>45927.180555555547</v>
      </c>
      <c r="C943" s="12">
        <f>VLOOKUP(A943,'Datos generales'!A:H,8,0)</f>
        <v>3230.82</v>
      </c>
      <c r="D943" s="12" t="str">
        <f t="shared" si="28"/>
        <v>septiembre</v>
      </c>
      <c r="E943" s="33">
        <f t="shared" si="29"/>
        <v>2025</v>
      </c>
    </row>
    <row r="944" spans="1:5" x14ac:dyDescent="0.25">
      <c r="A944" t="s">
        <v>154</v>
      </c>
      <c r="B944" s="10">
        <f>VLOOKUP(A944,'Datos generales'!A:B,2,0)</f>
        <v>45511.748611111107</v>
      </c>
      <c r="C944" s="12">
        <f>VLOOKUP(A944,'Datos generales'!A:H,8,0)</f>
        <v>747.69999999999993</v>
      </c>
      <c r="D944" s="12" t="str">
        <f t="shared" si="28"/>
        <v>agosto</v>
      </c>
      <c r="E944" s="33">
        <f t="shared" si="29"/>
        <v>2024</v>
      </c>
    </row>
    <row r="945" spans="1:5" x14ac:dyDescent="0.25">
      <c r="A945" t="s">
        <v>155</v>
      </c>
      <c r="B945" s="10">
        <f>VLOOKUP(A945,'Datos generales'!A:B,2,0)</f>
        <v>45867.710416666669</v>
      </c>
      <c r="C945" s="12">
        <f>VLOOKUP(A945,'Datos generales'!A:H,8,0)</f>
        <v>4776.95</v>
      </c>
      <c r="D945" s="12" t="str">
        <f t="shared" si="28"/>
        <v>julio</v>
      </c>
      <c r="E945" s="33">
        <f t="shared" si="29"/>
        <v>2025</v>
      </c>
    </row>
    <row r="946" spans="1:5" x14ac:dyDescent="0.25">
      <c r="A946" t="s">
        <v>156</v>
      </c>
      <c r="B946" s="10">
        <f>VLOOKUP(A946,'Datos generales'!A:B,2,0)</f>
        <v>45339.555555555547</v>
      </c>
      <c r="C946" s="12">
        <f>VLOOKUP(A946,'Datos generales'!A:H,8,0)</f>
        <v>3927.26</v>
      </c>
      <c r="D946" s="12" t="str">
        <f t="shared" si="28"/>
        <v>febrero</v>
      </c>
      <c r="E946" s="33">
        <f t="shared" si="29"/>
        <v>2024</v>
      </c>
    </row>
    <row r="947" spans="1:5" x14ac:dyDescent="0.25">
      <c r="A947" t="s">
        <v>157</v>
      </c>
      <c r="B947" s="10">
        <f>VLOOKUP(A947,'Datos generales'!A:B,2,0)</f>
        <v>45538.998611111107</v>
      </c>
      <c r="C947" s="12">
        <f>VLOOKUP(A947,'Datos generales'!A:H,8,0)</f>
        <v>7200.7000000000007</v>
      </c>
      <c r="D947" s="12" t="str">
        <f t="shared" si="28"/>
        <v>septiembre</v>
      </c>
      <c r="E947" s="33">
        <f t="shared" si="29"/>
        <v>2024</v>
      </c>
    </row>
    <row r="948" spans="1:5" x14ac:dyDescent="0.25">
      <c r="A948" t="s">
        <v>158</v>
      </c>
      <c r="B948" s="10">
        <f>VLOOKUP(A948,'Datos generales'!A:B,2,0)</f>
        <v>45105.837500000001</v>
      </c>
      <c r="C948" s="12">
        <f>VLOOKUP(A948,'Datos generales'!A:H,8,0)</f>
        <v>1134.8</v>
      </c>
      <c r="D948" s="12" t="str">
        <f t="shared" si="28"/>
        <v>junio</v>
      </c>
      <c r="E948" s="33">
        <f t="shared" si="29"/>
        <v>2023</v>
      </c>
    </row>
    <row r="949" spans="1:5" x14ac:dyDescent="0.25">
      <c r="A949" t="s">
        <v>159</v>
      </c>
      <c r="B949" s="10">
        <f>VLOOKUP(A949,'Datos generales'!A:B,2,0)</f>
        <v>45470.283333333333</v>
      </c>
      <c r="C949" s="12">
        <f>VLOOKUP(A949,'Datos generales'!A:H,8,0)</f>
        <v>2062.5300000000002</v>
      </c>
      <c r="D949" s="12" t="str">
        <f t="shared" si="28"/>
        <v>junio</v>
      </c>
      <c r="E949" s="33">
        <f t="shared" si="29"/>
        <v>2024</v>
      </c>
    </row>
    <row r="950" spans="1:5" x14ac:dyDescent="0.25">
      <c r="A950" t="s">
        <v>160</v>
      </c>
      <c r="B950" s="10">
        <f>VLOOKUP(A950,'Datos generales'!A:B,2,0)</f>
        <v>45122.511805555558</v>
      </c>
      <c r="C950" s="12">
        <f>VLOOKUP(A950,'Datos generales'!A:H,8,0)</f>
        <v>564</v>
      </c>
      <c r="D950" s="12" t="str">
        <f t="shared" si="28"/>
        <v>julio</v>
      </c>
      <c r="E950" s="33">
        <f t="shared" si="29"/>
        <v>2023</v>
      </c>
    </row>
    <row r="951" spans="1:5" x14ac:dyDescent="0.25">
      <c r="A951" t="s">
        <v>161</v>
      </c>
      <c r="B951" s="10">
        <f>VLOOKUP(A951,'Datos generales'!A:B,2,0)</f>
        <v>45878.351388888892</v>
      </c>
      <c r="C951" s="12">
        <f>VLOOKUP(A951,'Datos generales'!A:H,8,0)</f>
        <v>5885.52</v>
      </c>
      <c r="D951" s="12" t="str">
        <f t="shared" si="28"/>
        <v>agosto</v>
      </c>
      <c r="E951" s="33">
        <f t="shared" si="29"/>
        <v>2025</v>
      </c>
    </row>
    <row r="952" spans="1:5" x14ac:dyDescent="0.25">
      <c r="A952" t="s">
        <v>162</v>
      </c>
      <c r="B952" s="10">
        <f>VLOOKUP(A952,'Datos generales'!A:B,2,0)</f>
        <v>45894.257638888892</v>
      </c>
      <c r="C952" s="12">
        <f>VLOOKUP(A952,'Datos generales'!A:H,8,0)</f>
        <v>1463.91</v>
      </c>
      <c r="D952" s="12" t="str">
        <f t="shared" si="28"/>
        <v>agosto</v>
      </c>
      <c r="E952" s="33">
        <f t="shared" si="29"/>
        <v>2025</v>
      </c>
    </row>
    <row r="953" spans="1:5" x14ac:dyDescent="0.25">
      <c r="A953" t="s">
        <v>163</v>
      </c>
      <c r="B953" s="10">
        <f>VLOOKUP(A953,'Datos generales'!A:B,2,0)</f>
        <v>45321.105555555558</v>
      </c>
      <c r="C953" s="12">
        <f>VLOOKUP(A953,'Datos generales'!A:H,8,0)</f>
        <v>6341.96</v>
      </c>
      <c r="D953" s="12" t="str">
        <f t="shared" si="28"/>
        <v>enero</v>
      </c>
      <c r="E953" s="33">
        <f t="shared" si="29"/>
        <v>2024</v>
      </c>
    </row>
    <row r="954" spans="1:5" x14ac:dyDescent="0.25">
      <c r="A954" t="s">
        <v>164</v>
      </c>
      <c r="B954" s="10">
        <f>VLOOKUP(A954,'Datos generales'!A:B,2,0)</f>
        <v>45571.035416666673</v>
      </c>
      <c r="C954" s="12">
        <f>VLOOKUP(A954,'Datos generales'!A:H,8,0)</f>
        <v>662.17</v>
      </c>
      <c r="D954" s="12" t="str">
        <f t="shared" si="28"/>
        <v>octubre</v>
      </c>
      <c r="E954" s="33">
        <f t="shared" si="29"/>
        <v>2024</v>
      </c>
    </row>
    <row r="955" spans="1:5" x14ac:dyDescent="0.25">
      <c r="A955" t="s">
        <v>165</v>
      </c>
      <c r="B955" s="10">
        <f>VLOOKUP(A955,'Datos generales'!A:B,2,0)</f>
        <v>45442.757638888892</v>
      </c>
      <c r="C955" s="12">
        <f>VLOOKUP(A955,'Datos generales'!A:H,8,0)</f>
        <v>273.36</v>
      </c>
      <c r="D955" s="12" t="str">
        <f t="shared" si="28"/>
        <v>mayo</v>
      </c>
      <c r="E955" s="33">
        <f t="shared" si="29"/>
        <v>2024</v>
      </c>
    </row>
    <row r="956" spans="1:5" x14ac:dyDescent="0.25">
      <c r="A956" t="s">
        <v>166</v>
      </c>
      <c r="B956" s="10">
        <f>VLOOKUP(A956,'Datos generales'!A:B,2,0)</f>
        <v>45889.054166666669</v>
      </c>
      <c r="C956" s="12">
        <f>VLOOKUP(A956,'Datos generales'!A:H,8,0)</f>
        <v>474.56</v>
      </c>
      <c r="D956" s="12" t="str">
        <f t="shared" si="28"/>
        <v>agosto</v>
      </c>
      <c r="E956" s="33">
        <f t="shared" si="29"/>
        <v>2025</v>
      </c>
    </row>
    <row r="957" spans="1:5" x14ac:dyDescent="0.25">
      <c r="A957" t="s">
        <v>167</v>
      </c>
      <c r="B957" s="10">
        <f>VLOOKUP(A957,'Datos generales'!A:B,2,0)</f>
        <v>45468.727083333331</v>
      </c>
      <c r="C957" s="12">
        <f>VLOOKUP(A957,'Datos generales'!A:H,8,0)</f>
        <v>2800.47</v>
      </c>
      <c r="D957" s="12" t="str">
        <f t="shared" si="28"/>
        <v>junio</v>
      </c>
      <c r="E957" s="33">
        <f t="shared" si="29"/>
        <v>2024</v>
      </c>
    </row>
    <row r="958" spans="1:5" x14ac:dyDescent="0.25">
      <c r="A958" t="s">
        <v>168</v>
      </c>
      <c r="B958" s="10">
        <f>VLOOKUP(A958,'Datos generales'!A:B,2,0)</f>
        <v>45202.955555555563</v>
      </c>
      <c r="C958" s="12">
        <f>VLOOKUP(A958,'Datos generales'!A:H,8,0)</f>
        <v>2070.1799999999998</v>
      </c>
      <c r="D958" s="12" t="str">
        <f t="shared" si="28"/>
        <v>octubre</v>
      </c>
      <c r="E958" s="33">
        <f t="shared" si="29"/>
        <v>2023</v>
      </c>
    </row>
    <row r="959" spans="1:5" x14ac:dyDescent="0.25">
      <c r="A959" t="s">
        <v>169</v>
      </c>
      <c r="B959" s="10">
        <f>VLOOKUP(A959,'Datos generales'!A:B,2,0)</f>
        <v>45323.202777777777</v>
      </c>
      <c r="C959" s="12">
        <f>VLOOKUP(A959,'Datos generales'!A:H,8,0)</f>
        <v>2650.02</v>
      </c>
      <c r="D959" s="12" t="str">
        <f t="shared" si="28"/>
        <v>febrero</v>
      </c>
      <c r="E959" s="33">
        <f t="shared" si="29"/>
        <v>2024</v>
      </c>
    </row>
    <row r="960" spans="1:5" x14ac:dyDescent="0.25">
      <c r="A960" t="s">
        <v>170</v>
      </c>
      <c r="B960" s="10">
        <f>VLOOKUP(A960,'Datos generales'!A:B,2,0)</f>
        <v>45288.395833333343</v>
      </c>
      <c r="C960" s="12">
        <f>VLOOKUP(A960,'Datos generales'!A:H,8,0)</f>
        <v>2843.36</v>
      </c>
      <c r="D960" s="12" t="str">
        <f t="shared" si="28"/>
        <v>diciembre</v>
      </c>
      <c r="E960" s="33">
        <f t="shared" si="29"/>
        <v>2023</v>
      </c>
    </row>
    <row r="961" spans="1:5" x14ac:dyDescent="0.25">
      <c r="A961" t="s">
        <v>171</v>
      </c>
      <c r="B961" s="10">
        <f>VLOOKUP(A961,'Datos generales'!A:B,2,0)</f>
        <v>45900.337500000001</v>
      </c>
      <c r="C961" s="12">
        <f>VLOOKUP(A961,'Datos generales'!A:H,8,0)</f>
        <v>291.81</v>
      </c>
      <c r="D961" s="12" t="str">
        <f t="shared" si="28"/>
        <v>agosto</v>
      </c>
      <c r="E961" s="33">
        <f t="shared" si="29"/>
        <v>2025</v>
      </c>
    </row>
    <row r="962" spans="1:5" x14ac:dyDescent="0.25">
      <c r="A962" t="s">
        <v>172</v>
      </c>
      <c r="B962" s="10">
        <f>VLOOKUP(A962,'Datos generales'!A:B,2,0)</f>
        <v>45576.732638888891</v>
      </c>
      <c r="C962" s="12">
        <f>VLOOKUP(A962,'Datos generales'!A:H,8,0)</f>
        <v>2491.8000000000002</v>
      </c>
      <c r="D962" s="12" t="str">
        <f t="shared" si="28"/>
        <v>octubre</v>
      </c>
      <c r="E962" s="33">
        <f t="shared" si="29"/>
        <v>2024</v>
      </c>
    </row>
    <row r="963" spans="1:5" x14ac:dyDescent="0.25">
      <c r="A963" t="s">
        <v>173</v>
      </c>
      <c r="B963" s="10">
        <f>VLOOKUP(A963,'Datos generales'!A:B,2,0)</f>
        <v>45392.97152777778</v>
      </c>
      <c r="C963" s="12">
        <f>VLOOKUP(A963,'Datos generales'!A:H,8,0)</f>
        <v>4904.45</v>
      </c>
      <c r="D963" s="12" t="str">
        <f t="shared" ref="D963:D1026" si="30">TEXT(B963,"mmmm")</f>
        <v>abril</v>
      </c>
      <c r="E963" s="33">
        <f t="shared" ref="E963:E1026" si="31">YEAR(B963)</f>
        <v>2024</v>
      </c>
    </row>
    <row r="964" spans="1:5" x14ac:dyDescent="0.25">
      <c r="A964" t="s">
        <v>174</v>
      </c>
      <c r="B964" s="10">
        <f>VLOOKUP(A964,'Datos generales'!A:B,2,0)</f>
        <v>45584.049305555563</v>
      </c>
      <c r="C964" s="12">
        <f>VLOOKUP(A964,'Datos generales'!A:H,8,0)</f>
        <v>1390.33</v>
      </c>
      <c r="D964" s="12" t="str">
        <f t="shared" si="30"/>
        <v>octubre</v>
      </c>
      <c r="E964" s="33">
        <f t="shared" si="31"/>
        <v>2024</v>
      </c>
    </row>
    <row r="965" spans="1:5" x14ac:dyDescent="0.25">
      <c r="A965" t="s">
        <v>175</v>
      </c>
      <c r="B965" s="10">
        <f>VLOOKUP(A965,'Datos generales'!A:B,2,0)</f>
        <v>44941.657638888893</v>
      </c>
      <c r="C965" s="12">
        <f>VLOOKUP(A965,'Datos generales'!A:H,8,0)</f>
        <v>8540.4499999999989</v>
      </c>
      <c r="D965" s="12" t="str">
        <f t="shared" si="30"/>
        <v>enero</v>
      </c>
      <c r="E965" s="33">
        <f t="shared" si="31"/>
        <v>2023</v>
      </c>
    </row>
    <row r="966" spans="1:5" x14ac:dyDescent="0.25">
      <c r="A966" t="s">
        <v>176</v>
      </c>
      <c r="B966" s="10">
        <f>VLOOKUP(A966,'Datos generales'!A:B,2,0)</f>
        <v>45238.718055555553</v>
      </c>
      <c r="C966" s="12">
        <f>VLOOKUP(A966,'Datos generales'!A:H,8,0)</f>
        <v>1378.2</v>
      </c>
      <c r="D966" s="12" t="str">
        <f t="shared" si="30"/>
        <v>noviembre</v>
      </c>
      <c r="E966" s="33">
        <f t="shared" si="31"/>
        <v>2023</v>
      </c>
    </row>
    <row r="967" spans="1:5" x14ac:dyDescent="0.25">
      <c r="A967" t="s">
        <v>177</v>
      </c>
      <c r="B967" s="10">
        <f>VLOOKUP(A967,'Datos generales'!A:B,2,0)</f>
        <v>44973.59652777778</v>
      </c>
      <c r="C967" s="12">
        <f>VLOOKUP(A967,'Datos generales'!A:H,8,0)</f>
        <v>1578.33</v>
      </c>
      <c r="D967" s="12" t="str">
        <f t="shared" si="30"/>
        <v>febrero</v>
      </c>
      <c r="E967" s="33">
        <f t="shared" si="31"/>
        <v>2023</v>
      </c>
    </row>
    <row r="968" spans="1:5" x14ac:dyDescent="0.25">
      <c r="A968" t="s">
        <v>178</v>
      </c>
      <c r="B968" s="10">
        <f>VLOOKUP(A968,'Datos generales'!A:B,2,0)</f>
        <v>45445.690972222219</v>
      </c>
      <c r="C968" s="12">
        <f>VLOOKUP(A968,'Datos generales'!A:H,8,0)</f>
        <v>8011.9500000000007</v>
      </c>
      <c r="D968" s="12" t="str">
        <f t="shared" si="30"/>
        <v>junio</v>
      </c>
      <c r="E968" s="33">
        <f t="shared" si="31"/>
        <v>2024</v>
      </c>
    </row>
    <row r="969" spans="1:5" x14ac:dyDescent="0.25">
      <c r="A969" t="s">
        <v>179</v>
      </c>
      <c r="B969" s="10">
        <f>VLOOKUP(A969,'Datos generales'!A:B,2,0)</f>
        <v>45035.472916666673</v>
      </c>
      <c r="C969" s="12">
        <f>VLOOKUP(A969,'Datos generales'!A:H,8,0)</f>
        <v>1429.1</v>
      </c>
      <c r="D969" s="12" t="str">
        <f t="shared" si="30"/>
        <v>abril</v>
      </c>
      <c r="E969" s="33">
        <f t="shared" si="31"/>
        <v>2023</v>
      </c>
    </row>
    <row r="970" spans="1:5" x14ac:dyDescent="0.25">
      <c r="A970" t="s">
        <v>180</v>
      </c>
      <c r="B970" s="10">
        <f>VLOOKUP(A970,'Datos generales'!A:B,2,0)</f>
        <v>45836.104166666657</v>
      </c>
      <c r="C970" s="12">
        <f>VLOOKUP(A970,'Datos generales'!A:H,8,0)</f>
        <v>281.08</v>
      </c>
      <c r="D970" s="12" t="str">
        <f t="shared" si="30"/>
        <v>junio</v>
      </c>
      <c r="E970" s="33">
        <f t="shared" si="31"/>
        <v>2025</v>
      </c>
    </row>
    <row r="971" spans="1:5" x14ac:dyDescent="0.25">
      <c r="A971" t="s">
        <v>181</v>
      </c>
      <c r="B971" s="10">
        <f>VLOOKUP(A971,'Datos generales'!A:B,2,0)</f>
        <v>45584.553472222222</v>
      </c>
      <c r="C971" s="12">
        <f>VLOOKUP(A971,'Datos generales'!A:H,8,0)</f>
        <v>1434.35</v>
      </c>
      <c r="D971" s="12" t="str">
        <f t="shared" si="30"/>
        <v>octubre</v>
      </c>
      <c r="E971" s="33">
        <f t="shared" si="31"/>
        <v>2024</v>
      </c>
    </row>
    <row r="972" spans="1:5" x14ac:dyDescent="0.25">
      <c r="A972" t="s">
        <v>182</v>
      </c>
      <c r="B972" s="10">
        <f>VLOOKUP(A972,'Datos generales'!A:B,2,0)</f>
        <v>45338.585416666669</v>
      </c>
      <c r="C972" s="12">
        <f>VLOOKUP(A972,'Datos generales'!A:H,8,0)</f>
        <v>9489.85</v>
      </c>
      <c r="D972" s="12" t="str">
        <f t="shared" si="30"/>
        <v>febrero</v>
      </c>
      <c r="E972" s="33">
        <f t="shared" si="31"/>
        <v>2024</v>
      </c>
    </row>
    <row r="973" spans="1:5" x14ac:dyDescent="0.25">
      <c r="A973" t="s">
        <v>183</v>
      </c>
      <c r="B973" s="10">
        <f>VLOOKUP(A973,'Datos generales'!A:B,2,0)</f>
        <v>45625.480555555558</v>
      </c>
      <c r="C973" s="12">
        <f>VLOOKUP(A973,'Datos generales'!A:H,8,0)</f>
        <v>1175.42</v>
      </c>
      <c r="D973" s="12" t="str">
        <f t="shared" si="30"/>
        <v>noviembre</v>
      </c>
      <c r="E973" s="33">
        <f t="shared" si="31"/>
        <v>2024</v>
      </c>
    </row>
    <row r="974" spans="1:5" x14ac:dyDescent="0.25">
      <c r="A974" t="s">
        <v>184</v>
      </c>
      <c r="B974" s="10">
        <f>VLOOKUP(A974,'Datos generales'!A:B,2,0)</f>
        <v>45291</v>
      </c>
      <c r="C974" s="12">
        <f>VLOOKUP(A974,'Datos generales'!A:H,8,0)</f>
        <v>3580.52</v>
      </c>
      <c r="D974" s="12" t="str">
        <f t="shared" si="30"/>
        <v>diciembre</v>
      </c>
      <c r="E974" s="33">
        <f t="shared" si="31"/>
        <v>2023</v>
      </c>
    </row>
    <row r="975" spans="1:5" x14ac:dyDescent="0.25">
      <c r="A975" t="s">
        <v>185</v>
      </c>
      <c r="B975" s="10">
        <f>VLOOKUP(A975,'Datos generales'!A:B,2,0)</f>
        <v>45548.488194444442</v>
      </c>
      <c r="C975" s="12">
        <f>VLOOKUP(A975,'Datos generales'!A:H,8,0)</f>
        <v>4372.0499999999993</v>
      </c>
      <c r="D975" s="12" t="str">
        <f t="shared" si="30"/>
        <v>septiembre</v>
      </c>
      <c r="E975" s="33">
        <f t="shared" si="31"/>
        <v>2024</v>
      </c>
    </row>
    <row r="976" spans="1:5" x14ac:dyDescent="0.25">
      <c r="A976" t="s">
        <v>186</v>
      </c>
      <c r="B976" s="10">
        <f>VLOOKUP(A976,'Datos generales'!A:B,2,0)</f>
        <v>45540.261805555558</v>
      </c>
      <c r="C976" s="12">
        <f>VLOOKUP(A976,'Datos generales'!A:H,8,0)</f>
        <v>3249.96</v>
      </c>
      <c r="D976" s="12" t="str">
        <f t="shared" si="30"/>
        <v>septiembre</v>
      </c>
      <c r="E976" s="33">
        <f t="shared" si="31"/>
        <v>2024</v>
      </c>
    </row>
    <row r="977" spans="1:5" x14ac:dyDescent="0.25">
      <c r="A977" t="s">
        <v>187</v>
      </c>
      <c r="B977" s="10">
        <f>VLOOKUP(A977,'Datos generales'!A:B,2,0)</f>
        <v>45783.684027777781</v>
      </c>
      <c r="C977" s="12">
        <f>VLOOKUP(A977,'Datos generales'!A:H,8,0)</f>
        <v>4628.13</v>
      </c>
      <c r="D977" s="12" t="str">
        <f t="shared" si="30"/>
        <v>mayo</v>
      </c>
      <c r="E977" s="33">
        <f t="shared" si="31"/>
        <v>2025</v>
      </c>
    </row>
    <row r="978" spans="1:5" x14ac:dyDescent="0.25">
      <c r="A978" t="s">
        <v>188</v>
      </c>
      <c r="B978" s="10">
        <f>VLOOKUP(A978,'Datos generales'!A:B,2,0)</f>
        <v>45692.470138888893</v>
      </c>
      <c r="C978" s="12">
        <f>VLOOKUP(A978,'Datos generales'!A:H,8,0)</f>
        <v>3619</v>
      </c>
      <c r="D978" s="12" t="str">
        <f t="shared" si="30"/>
        <v>febrero</v>
      </c>
      <c r="E978" s="33">
        <f t="shared" si="31"/>
        <v>2025</v>
      </c>
    </row>
    <row r="979" spans="1:5" x14ac:dyDescent="0.25">
      <c r="A979" t="s">
        <v>189</v>
      </c>
      <c r="B979" s="10">
        <f>VLOOKUP(A979,'Datos generales'!A:B,2,0)</f>
        <v>45186.410416666673</v>
      </c>
      <c r="C979" s="12">
        <f>VLOOKUP(A979,'Datos generales'!A:H,8,0)</f>
        <v>899.85</v>
      </c>
      <c r="D979" s="12" t="str">
        <f t="shared" si="30"/>
        <v>septiembre</v>
      </c>
      <c r="E979" s="33">
        <f t="shared" si="31"/>
        <v>2023</v>
      </c>
    </row>
    <row r="980" spans="1:5" x14ac:dyDescent="0.25">
      <c r="A980" t="s">
        <v>190</v>
      </c>
      <c r="B980" s="10">
        <f>VLOOKUP(A980,'Datos generales'!A:B,2,0)</f>
        <v>45539.616666666669</v>
      </c>
      <c r="C980" s="12">
        <f>VLOOKUP(A980,'Datos generales'!A:H,8,0)</f>
        <v>1318.43</v>
      </c>
      <c r="D980" s="12" t="str">
        <f t="shared" si="30"/>
        <v>septiembre</v>
      </c>
      <c r="E980" s="33">
        <f t="shared" si="31"/>
        <v>2024</v>
      </c>
    </row>
    <row r="981" spans="1:5" x14ac:dyDescent="0.25">
      <c r="A981" t="s">
        <v>191</v>
      </c>
      <c r="B981" s="10">
        <f>VLOOKUP(A981,'Datos generales'!A:B,2,0)</f>
        <v>45073.392361111109</v>
      </c>
      <c r="C981" s="12">
        <f>VLOOKUP(A981,'Datos generales'!A:H,8,0)</f>
        <v>614.74</v>
      </c>
      <c r="D981" s="12" t="str">
        <f t="shared" si="30"/>
        <v>mayo</v>
      </c>
      <c r="E981" s="33">
        <f t="shared" si="31"/>
        <v>2023</v>
      </c>
    </row>
    <row r="982" spans="1:5" x14ac:dyDescent="0.25">
      <c r="A982" t="s">
        <v>192</v>
      </c>
      <c r="B982" s="10">
        <f>VLOOKUP(A982,'Datos generales'!A:B,2,0)</f>
        <v>45287.277777777781</v>
      </c>
      <c r="C982" s="12">
        <f>VLOOKUP(A982,'Datos generales'!A:H,8,0)</f>
        <v>1364.97</v>
      </c>
      <c r="D982" s="12" t="str">
        <f t="shared" si="30"/>
        <v>diciembre</v>
      </c>
      <c r="E982" s="33">
        <f t="shared" si="31"/>
        <v>2023</v>
      </c>
    </row>
    <row r="983" spans="1:5" x14ac:dyDescent="0.25">
      <c r="A983" t="s">
        <v>193</v>
      </c>
      <c r="B983" s="10">
        <f>VLOOKUP(A983,'Datos generales'!A:B,2,0)</f>
        <v>45398.678472222222</v>
      </c>
      <c r="C983" s="12">
        <f>VLOOKUP(A983,'Datos generales'!A:H,8,0)</f>
        <v>732.68999999999994</v>
      </c>
      <c r="D983" s="12" t="str">
        <f t="shared" si="30"/>
        <v>abril</v>
      </c>
      <c r="E983" s="33">
        <f t="shared" si="31"/>
        <v>2024</v>
      </c>
    </row>
    <row r="984" spans="1:5" x14ac:dyDescent="0.25">
      <c r="A984" t="s">
        <v>194</v>
      </c>
      <c r="B984" s="10">
        <f>VLOOKUP(A984,'Datos generales'!A:B,2,0)</f>
        <v>44949.395833333343</v>
      </c>
      <c r="C984" s="12">
        <f>VLOOKUP(A984,'Datos generales'!A:H,8,0)</f>
        <v>736.92</v>
      </c>
      <c r="D984" s="12" t="str">
        <f t="shared" si="30"/>
        <v>enero</v>
      </c>
      <c r="E984" s="33">
        <f t="shared" si="31"/>
        <v>2023</v>
      </c>
    </row>
    <row r="985" spans="1:5" x14ac:dyDescent="0.25">
      <c r="A985" t="s">
        <v>195</v>
      </c>
      <c r="B985" s="10">
        <f>VLOOKUP(A985,'Datos generales'!A:B,2,0)</f>
        <v>45560.538194444453</v>
      </c>
      <c r="C985" s="12">
        <f>VLOOKUP(A985,'Datos generales'!A:H,8,0)</f>
        <v>1501.34</v>
      </c>
      <c r="D985" s="12" t="str">
        <f t="shared" si="30"/>
        <v>septiembre</v>
      </c>
      <c r="E985" s="33">
        <f t="shared" si="31"/>
        <v>2024</v>
      </c>
    </row>
    <row r="986" spans="1:5" x14ac:dyDescent="0.25">
      <c r="A986" t="s">
        <v>196</v>
      </c>
      <c r="B986" s="10">
        <f>VLOOKUP(A986,'Datos generales'!A:B,2,0)</f>
        <v>45636.231249999997</v>
      </c>
      <c r="C986" s="12">
        <f>VLOOKUP(A986,'Datos generales'!A:H,8,0)</f>
        <v>3980.72</v>
      </c>
      <c r="D986" s="12" t="str">
        <f t="shared" si="30"/>
        <v>diciembre</v>
      </c>
      <c r="E986" s="33">
        <f t="shared" si="31"/>
        <v>2024</v>
      </c>
    </row>
    <row r="987" spans="1:5" x14ac:dyDescent="0.25">
      <c r="A987" t="s">
        <v>197</v>
      </c>
      <c r="B987" s="10">
        <f>VLOOKUP(A987,'Datos generales'!A:B,2,0)</f>
        <v>45218.252083333333</v>
      </c>
      <c r="C987" s="12">
        <f>VLOOKUP(A987,'Datos generales'!A:H,8,0)</f>
        <v>3669.44</v>
      </c>
      <c r="D987" s="12" t="str">
        <f t="shared" si="30"/>
        <v>octubre</v>
      </c>
      <c r="E987" s="33">
        <f t="shared" si="31"/>
        <v>2023</v>
      </c>
    </row>
    <row r="988" spans="1:5" x14ac:dyDescent="0.25">
      <c r="A988" t="s">
        <v>198</v>
      </c>
      <c r="B988" s="10">
        <f>VLOOKUP(A988,'Datos generales'!A:B,2,0)</f>
        <v>45615.827777777777</v>
      </c>
      <c r="C988" s="12">
        <f>VLOOKUP(A988,'Datos generales'!A:H,8,0)</f>
        <v>3884.62</v>
      </c>
      <c r="D988" s="12" t="str">
        <f t="shared" si="30"/>
        <v>noviembre</v>
      </c>
      <c r="E988" s="33">
        <f t="shared" si="31"/>
        <v>2024</v>
      </c>
    </row>
    <row r="989" spans="1:5" x14ac:dyDescent="0.25">
      <c r="A989" t="s">
        <v>199</v>
      </c>
      <c r="B989" s="10">
        <f>VLOOKUP(A989,'Datos generales'!A:B,2,0)</f>
        <v>45755.705555555563</v>
      </c>
      <c r="C989" s="12">
        <f>VLOOKUP(A989,'Datos generales'!A:H,8,0)</f>
        <v>3076.71</v>
      </c>
      <c r="D989" s="12" t="str">
        <f t="shared" si="30"/>
        <v>abril</v>
      </c>
      <c r="E989" s="33">
        <f t="shared" si="31"/>
        <v>2025</v>
      </c>
    </row>
    <row r="990" spans="1:5" x14ac:dyDescent="0.25">
      <c r="A990" t="s">
        <v>200</v>
      </c>
      <c r="B990" s="10">
        <f>VLOOKUP(A990,'Datos generales'!A:B,2,0)</f>
        <v>44962.009722222218</v>
      </c>
      <c r="C990" s="12">
        <f>VLOOKUP(A990,'Datos generales'!A:H,8,0)</f>
        <v>2220.7600000000002</v>
      </c>
      <c r="D990" s="12" t="str">
        <f t="shared" si="30"/>
        <v>febrero</v>
      </c>
      <c r="E990" s="33">
        <f t="shared" si="31"/>
        <v>2023</v>
      </c>
    </row>
    <row r="991" spans="1:5" x14ac:dyDescent="0.25">
      <c r="A991" t="s">
        <v>201</v>
      </c>
      <c r="B991" s="10">
        <f>VLOOKUP(A991,'Datos generales'!A:B,2,0)</f>
        <v>45194.675000000003</v>
      </c>
      <c r="C991" s="12">
        <f>VLOOKUP(A991,'Datos generales'!A:H,8,0)</f>
        <v>3754.1</v>
      </c>
      <c r="D991" s="12" t="str">
        <f t="shared" si="30"/>
        <v>septiembre</v>
      </c>
      <c r="E991" s="33">
        <f t="shared" si="31"/>
        <v>2023</v>
      </c>
    </row>
    <row r="992" spans="1:5" x14ac:dyDescent="0.25">
      <c r="A992" t="s">
        <v>202</v>
      </c>
      <c r="B992" s="10">
        <f>VLOOKUP(A992,'Datos generales'!A:B,2,0)</f>
        <v>45818.179861111108</v>
      </c>
      <c r="C992" s="12">
        <f>VLOOKUP(A992,'Datos generales'!A:H,8,0)</f>
        <v>3219.8</v>
      </c>
      <c r="D992" s="12" t="str">
        <f t="shared" si="30"/>
        <v>junio</v>
      </c>
      <c r="E992" s="33">
        <f t="shared" si="31"/>
        <v>2025</v>
      </c>
    </row>
    <row r="993" spans="1:5" x14ac:dyDescent="0.25">
      <c r="A993" t="s">
        <v>203</v>
      </c>
      <c r="B993" s="10">
        <f>VLOOKUP(A993,'Datos generales'!A:B,2,0)</f>
        <v>45755.011111111111</v>
      </c>
      <c r="C993" s="12">
        <f>VLOOKUP(A993,'Datos generales'!A:H,8,0)</f>
        <v>83.67</v>
      </c>
      <c r="D993" s="12" t="str">
        <f t="shared" si="30"/>
        <v>abril</v>
      </c>
      <c r="E993" s="33">
        <f t="shared" si="31"/>
        <v>2025</v>
      </c>
    </row>
    <row r="994" spans="1:5" x14ac:dyDescent="0.25">
      <c r="A994" t="s">
        <v>204</v>
      </c>
      <c r="B994" s="10">
        <f>VLOOKUP(A994,'Datos generales'!A:B,2,0)</f>
        <v>45862.584722222222</v>
      </c>
      <c r="C994" s="12">
        <f>VLOOKUP(A994,'Datos generales'!A:H,8,0)</f>
        <v>1700.54</v>
      </c>
      <c r="D994" s="12" t="str">
        <f t="shared" si="30"/>
        <v>julio</v>
      </c>
      <c r="E994" s="33">
        <f t="shared" si="31"/>
        <v>2025</v>
      </c>
    </row>
    <row r="995" spans="1:5" x14ac:dyDescent="0.25">
      <c r="A995" t="s">
        <v>205</v>
      </c>
      <c r="B995" s="10">
        <f>VLOOKUP(A995,'Datos generales'!A:B,2,0)</f>
        <v>45802.370833333327</v>
      </c>
      <c r="C995" s="12">
        <f>VLOOKUP(A995,'Datos generales'!A:H,8,0)</f>
        <v>1420.2</v>
      </c>
      <c r="D995" s="12" t="str">
        <f t="shared" si="30"/>
        <v>mayo</v>
      </c>
      <c r="E995" s="33">
        <f t="shared" si="31"/>
        <v>2025</v>
      </c>
    </row>
    <row r="996" spans="1:5" x14ac:dyDescent="0.25">
      <c r="A996" t="s">
        <v>206</v>
      </c>
      <c r="B996" s="10">
        <f>VLOOKUP(A996,'Datos generales'!A:B,2,0)</f>
        <v>45178.038888888892</v>
      </c>
      <c r="C996" s="12">
        <f>VLOOKUP(A996,'Datos generales'!A:H,8,0)</f>
        <v>521.32000000000005</v>
      </c>
      <c r="D996" s="12" t="str">
        <f t="shared" si="30"/>
        <v>septiembre</v>
      </c>
      <c r="E996" s="33">
        <f t="shared" si="31"/>
        <v>2023</v>
      </c>
    </row>
    <row r="997" spans="1:5" x14ac:dyDescent="0.25">
      <c r="A997" t="s">
        <v>207</v>
      </c>
      <c r="B997" s="10">
        <f>VLOOKUP(A997,'Datos generales'!A:B,2,0)</f>
        <v>45748.34097222222</v>
      </c>
      <c r="C997" s="12">
        <f>VLOOKUP(A997,'Datos generales'!A:H,8,0)</f>
        <v>1067.6400000000001</v>
      </c>
      <c r="D997" s="12" t="str">
        <f t="shared" si="30"/>
        <v>abril</v>
      </c>
      <c r="E997" s="33">
        <f t="shared" si="31"/>
        <v>2025</v>
      </c>
    </row>
    <row r="998" spans="1:5" x14ac:dyDescent="0.25">
      <c r="A998" t="s">
        <v>208</v>
      </c>
      <c r="B998" s="10">
        <f>VLOOKUP(A998,'Datos generales'!A:B,2,0)</f>
        <v>45055.556250000001</v>
      </c>
      <c r="C998" s="12">
        <f>VLOOKUP(A998,'Datos generales'!A:H,8,0)</f>
        <v>1903.64</v>
      </c>
      <c r="D998" s="12" t="str">
        <f t="shared" si="30"/>
        <v>mayo</v>
      </c>
      <c r="E998" s="33">
        <f t="shared" si="31"/>
        <v>2023</v>
      </c>
    </row>
    <row r="999" spans="1:5" x14ac:dyDescent="0.25">
      <c r="A999" t="s">
        <v>209</v>
      </c>
      <c r="B999" s="10">
        <f>VLOOKUP(A999,'Datos generales'!A:B,2,0)</f>
        <v>44958.773611111108</v>
      </c>
      <c r="C999" s="12">
        <f>VLOOKUP(A999,'Datos generales'!A:H,8,0)</f>
        <v>2920.32</v>
      </c>
      <c r="D999" s="12" t="str">
        <f t="shared" si="30"/>
        <v>febrero</v>
      </c>
      <c r="E999" s="33">
        <f t="shared" si="31"/>
        <v>2023</v>
      </c>
    </row>
    <row r="1000" spans="1:5" x14ac:dyDescent="0.25">
      <c r="A1000" t="s">
        <v>210</v>
      </c>
      <c r="B1000" s="10">
        <f>VLOOKUP(A1000,'Datos generales'!A:B,2,0)</f>
        <v>45816.563888888893</v>
      </c>
      <c r="C1000" s="12">
        <f>VLOOKUP(A1000,'Datos generales'!A:H,8,0)</f>
        <v>3388</v>
      </c>
      <c r="D1000" s="12" t="str">
        <f t="shared" si="30"/>
        <v>junio</v>
      </c>
      <c r="E1000" s="33">
        <f t="shared" si="31"/>
        <v>2025</v>
      </c>
    </row>
    <row r="1001" spans="1:5" x14ac:dyDescent="0.25">
      <c r="A1001" t="s">
        <v>211</v>
      </c>
      <c r="B1001" s="10">
        <f>VLOOKUP(A1001,'Datos generales'!A:B,2,0)</f>
        <v>45089.396527777782</v>
      </c>
      <c r="C1001" s="12">
        <f>VLOOKUP(A1001,'Datos generales'!A:H,8,0)</f>
        <v>2486.6799999999998</v>
      </c>
      <c r="D1001" s="12" t="str">
        <f t="shared" si="30"/>
        <v>junio</v>
      </c>
      <c r="E1001" s="33">
        <f t="shared" si="31"/>
        <v>2023</v>
      </c>
    </row>
    <row r="1002" spans="1:5" x14ac:dyDescent="0.25">
      <c r="A1002" t="s">
        <v>12</v>
      </c>
      <c r="B1002" s="10">
        <f>VLOOKUP(A1002,'Datos generales'!A:B,2,0)</f>
        <v>45280.478472222218</v>
      </c>
      <c r="C1002" s="12">
        <f>VLOOKUP(A1002,'Datos generales'!A:H,8,0)</f>
        <v>7486.2</v>
      </c>
      <c r="D1002" s="12" t="str">
        <f t="shared" si="30"/>
        <v>diciembre</v>
      </c>
      <c r="E1002" s="33">
        <f t="shared" si="31"/>
        <v>2023</v>
      </c>
    </row>
    <row r="1003" spans="1:5" x14ac:dyDescent="0.25">
      <c r="A1003" t="s">
        <v>13</v>
      </c>
      <c r="B1003" s="10">
        <f>VLOOKUP(A1003,'Datos generales'!A:B,2,0)</f>
        <v>45008.840277777781</v>
      </c>
      <c r="C1003" s="12">
        <f>VLOOKUP(A1003,'Datos generales'!A:H,8,0)</f>
        <v>1687.54</v>
      </c>
      <c r="D1003" s="12" t="str">
        <f t="shared" si="30"/>
        <v>marzo</v>
      </c>
      <c r="E1003" s="33">
        <f t="shared" si="31"/>
        <v>2023</v>
      </c>
    </row>
    <row r="1004" spans="1:5" x14ac:dyDescent="0.25">
      <c r="A1004" t="s">
        <v>14</v>
      </c>
      <c r="B1004" s="10">
        <f>VLOOKUP(A1004,'Datos generales'!A:B,2,0)</f>
        <v>45355.443749999999</v>
      </c>
      <c r="C1004" s="12">
        <f>VLOOKUP(A1004,'Datos generales'!A:H,8,0)</f>
        <v>2306.4</v>
      </c>
      <c r="D1004" s="12" t="str">
        <f t="shared" si="30"/>
        <v>marzo</v>
      </c>
      <c r="E1004" s="33">
        <f t="shared" si="31"/>
        <v>2024</v>
      </c>
    </row>
    <row r="1005" spans="1:5" x14ac:dyDescent="0.25">
      <c r="A1005" t="s">
        <v>15</v>
      </c>
      <c r="B1005" s="10">
        <f>VLOOKUP(A1005,'Datos generales'!A:B,2,0)</f>
        <v>45704.374305555553</v>
      </c>
      <c r="C1005" s="12">
        <f>VLOOKUP(A1005,'Datos generales'!A:H,8,0)</f>
        <v>1532.67</v>
      </c>
      <c r="D1005" s="12" t="str">
        <f t="shared" si="30"/>
        <v>febrero</v>
      </c>
      <c r="E1005" s="33">
        <f t="shared" si="31"/>
        <v>2025</v>
      </c>
    </row>
    <row r="1006" spans="1:5" x14ac:dyDescent="0.25">
      <c r="A1006" t="s">
        <v>16</v>
      </c>
      <c r="B1006" s="10">
        <f>VLOOKUP(A1006,'Datos generales'!A:B,2,0)</f>
        <v>45772.848611111112</v>
      </c>
      <c r="C1006" s="12">
        <f>VLOOKUP(A1006,'Datos generales'!A:H,8,0)</f>
        <v>5128.41</v>
      </c>
      <c r="D1006" s="12" t="str">
        <f t="shared" si="30"/>
        <v>abril</v>
      </c>
      <c r="E1006" s="33">
        <f t="shared" si="31"/>
        <v>2025</v>
      </c>
    </row>
    <row r="1007" spans="1:5" x14ac:dyDescent="0.25">
      <c r="A1007" t="s">
        <v>17</v>
      </c>
      <c r="B1007" s="10">
        <f>VLOOKUP(A1007,'Datos generales'!A:B,2,0)</f>
        <v>45101.225694444453</v>
      </c>
      <c r="C1007" s="12">
        <f>VLOOKUP(A1007,'Datos generales'!A:H,8,0)</f>
        <v>892.62000000000012</v>
      </c>
      <c r="D1007" s="12" t="str">
        <f t="shared" si="30"/>
        <v>junio</v>
      </c>
      <c r="E1007" s="33">
        <f t="shared" si="31"/>
        <v>2023</v>
      </c>
    </row>
    <row r="1008" spans="1:5" x14ac:dyDescent="0.25">
      <c r="A1008" t="s">
        <v>18</v>
      </c>
      <c r="B1008" s="10">
        <f>VLOOKUP(A1008,'Datos generales'!A:B,2,0)</f>
        <v>45694.432638888888</v>
      </c>
      <c r="C1008" s="12">
        <f>VLOOKUP(A1008,'Datos generales'!A:H,8,0)</f>
        <v>6186.6</v>
      </c>
      <c r="D1008" s="12" t="str">
        <f t="shared" si="30"/>
        <v>febrero</v>
      </c>
      <c r="E1008" s="33">
        <f t="shared" si="31"/>
        <v>2025</v>
      </c>
    </row>
    <row r="1009" spans="1:5" x14ac:dyDescent="0.25">
      <c r="A1009" t="s">
        <v>19</v>
      </c>
      <c r="B1009" s="10">
        <f>VLOOKUP(A1009,'Datos generales'!A:B,2,0)</f>
        <v>45798.69027777778</v>
      </c>
      <c r="C1009" s="12">
        <f>VLOOKUP(A1009,'Datos generales'!A:H,8,0)</f>
        <v>1575.18</v>
      </c>
      <c r="D1009" s="12" t="str">
        <f t="shared" si="30"/>
        <v>mayo</v>
      </c>
      <c r="E1009" s="33">
        <f t="shared" si="31"/>
        <v>2025</v>
      </c>
    </row>
    <row r="1010" spans="1:5" x14ac:dyDescent="0.25">
      <c r="A1010" t="s">
        <v>20</v>
      </c>
      <c r="B1010" s="10">
        <f>VLOOKUP(A1010,'Datos generales'!A:B,2,0)</f>
        <v>45425.797222222223</v>
      </c>
      <c r="C1010" s="12">
        <f>VLOOKUP(A1010,'Datos generales'!A:H,8,0)</f>
        <v>9079.2999999999993</v>
      </c>
      <c r="D1010" s="12" t="str">
        <f t="shared" si="30"/>
        <v>mayo</v>
      </c>
      <c r="E1010" s="33">
        <f t="shared" si="31"/>
        <v>2024</v>
      </c>
    </row>
    <row r="1011" spans="1:5" x14ac:dyDescent="0.25">
      <c r="A1011" t="s">
        <v>21</v>
      </c>
      <c r="B1011" s="10">
        <f>VLOOKUP(A1011,'Datos generales'!A:B,2,0)</f>
        <v>45525.152083333327</v>
      </c>
      <c r="C1011" s="12">
        <f>VLOOKUP(A1011,'Datos generales'!A:H,8,0)</f>
        <v>564.11</v>
      </c>
      <c r="D1011" s="12" t="str">
        <f t="shared" si="30"/>
        <v>agosto</v>
      </c>
      <c r="E1011" s="33">
        <f t="shared" si="31"/>
        <v>2024</v>
      </c>
    </row>
    <row r="1012" spans="1:5" x14ac:dyDescent="0.25">
      <c r="A1012" t="s">
        <v>22</v>
      </c>
      <c r="B1012" s="10">
        <f>VLOOKUP(A1012,'Datos generales'!A:B,2,0)</f>
        <v>45580.043749999997</v>
      </c>
      <c r="C1012" s="12">
        <f>VLOOKUP(A1012,'Datos generales'!A:H,8,0)</f>
        <v>454.9</v>
      </c>
      <c r="D1012" s="12" t="str">
        <f t="shared" si="30"/>
        <v>octubre</v>
      </c>
      <c r="E1012" s="33">
        <f t="shared" si="31"/>
        <v>2024</v>
      </c>
    </row>
    <row r="1013" spans="1:5" x14ac:dyDescent="0.25">
      <c r="A1013" t="s">
        <v>23</v>
      </c>
      <c r="B1013" s="10">
        <f>VLOOKUP(A1013,'Datos generales'!A:B,2,0)</f>
        <v>45551.151388888888</v>
      </c>
      <c r="C1013" s="12">
        <f>VLOOKUP(A1013,'Datos generales'!A:H,8,0)</f>
        <v>3832.53</v>
      </c>
      <c r="D1013" s="12" t="str">
        <f t="shared" si="30"/>
        <v>septiembre</v>
      </c>
      <c r="E1013" s="33">
        <f t="shared" si="31"/>
        <v>2024</v>
      </c>
    </row>
    <row r="1014" spans="1:5" x14ac:dyDescent="0.25">
      <c r="A1014" t="s">
        <v>24</v>
      </c>
      <c r="B1014" s="10">
        <f>VLOOKUP(A1014,'Datos generales'!A:B,2,0)</f>
        <v>45230.395833333343</v>
      </c>
      <c r="C1014" s="12">
        <f>VLOOKUP(A1014,'Datos generales'!A:H,8,0)</f>
        <v>3741.9</v>
      </c>
      <c r="D1014" s="12" t="str">
        <f t="shared" si="30"/>
        <v>octubre</v>
      </c>
      <c r="E1014" s="33">
        <f t="shared" si="31"/>
        <v>2023</v>
      </c>
    </row>
    <row r="1015" spans="1:5" x14ac:dyDescent="0.25">
      <c r="A1015" t="s">
        <v>25</v>
      </c>
      <c r="B1015" s="10">
        <f>VLOOKUP(A1015,'Datos generales'!A:B,2,0)</f>
        <v>45234.645833333343</v>
      </c>
      <c r="C1015" s="12">
        <f>VLOOKUP(A1015,'Datos generales'!A:H,8,0)</f>
        <v>4908.92</v>
      </c>
      <c r="D1015" s="12" t="str">
        <f t="shared" si="30"/>
        <v>noviembre</v>
      </c>
      <c r="E1015" s="33">
        <f t="shared" si="31"/>
        <v>2023</v>
      </c>
    </row>
    <row r="1016" spans="1:5" x14ac:dyDescent="0.25">
      <c r="A1016" t="s">
        <v>26</v>
      </c>
      <c r="B1016" s="10">
        <f>VLOOKUP(A1016,'Datos generales'!A:B,2,0)</f>
        <v>45464.76666666667</v>
      </c>
      <c r="C1016" s="12">
        <f>VLOOKUP(A1016,'Datos generales'!A:H,8,0)</f>
        <v>1329.6</v>
      </c>
      <c r="D1016" s="12" t="str">
        <f t="shared" si="30"/>
        <v>junio</v>
      </c>
      <c r="E1016" s="33">
        <f t="shared" si="31"/>
        <v>2024</v>
      </c>
    </row>
    <row r="1017" spans="1:5" x14ac:dyDescent="0.25">
      <c r="A1017" t="s">
        <v>27</v>
      </c>
      <c r="B1017" s="10">
        <f>VLOOKUP(A1017,'Datos generales'!A:B,2,0)</f>
        <v>45138.240277777782</v>
      </c>
      <c r="C1017" s="12">
        <f>VLOOKUP(A1017,'Datos generales'!A:H,8,0)</f>
        <v>5202.3599999999997</v>
      </c>
      <c r="D1017" s="12" t="str">
        <f t="shared" si="30"/>
        <v>julio</v>
      </c>
      <c r="E1017" s="33">
        <f t="shared" si="31"/>
        <v>2023</v>
      </c>
    </row>
    <row r="1018" spans="1:5" x14ac:dyDescent="0.25">
      <c r="A1018" t="s">
        <v>28</v>
      </c>
      <c r="B1018" s="10">
        <f>VLOOKUP(A1018,'Datos generales'!A:B,2,0)</f>
        <v>45455.688888888893</v>
      </c>
      <c r="C1018" s="12">
        <f>VLOOKUP(A1018,'Datos generales'!A:H,8,0)</f>
        <v>1209.6199999999999</v>
      </c>
      <c r="D1018" s="12" t="str">
        <f t="shared" si="30"/>
        <v>junio</v>
      </c>
      <c r="E1018" s="33">
        <f t="shared" si="31"/>
        <v>2024</v>
      </c>
    </row>
    <row r="1019" spans="1:5" x14ac:dyDescent="0.25">
      <c r="A1019" t="s">
        <v>29</v>
      </c>
      <c r="B1019" s="10">
        <f>VLOOKUP(A1019,'Datos generales'!A:B,2,0)</f>
        <v>45301.151388888888</v>
      </c>
      <c r="C1019" s="12">
        <f>VLOOKUP(A1019,'Datos generales'!A:H,8,0)</f>
        <v>2766.99</v>
      </c>
      <c r="D1019" s="12" t="str">
        <f t="shared" si="30"/>
        <v>enero</v>
      </c>
      <c r="E1019" s="33">
        <f t="shared" si="31"/>
        <v>2024</v>
      </c>
    </row>
    <row r="1020" spans="1:5" x14ac:dyDescent="0.25">
      <c r="A1020" t="s">
        <v>30</v>
      </c>
      <c r="B1020" s="10">
        <f>VLOOKUP(A1020,'Datos generales'!A:B,2,0)</f>
        <v>45677.761111111111</v>
      </c>
      <c r="C1020" s="12">
        <f>VLOOKUP(A1020,'Datos generales'!A:H,8,0)</f>
        <v>217.68</v>
      </c>
      <c r="D1020" s="12" t="str">
        <f t="shared" si="30"/>
        <v>enero</v>
      </c>
      <c r="E1020" s="33">
        <f t="shared" si="31"/>
        <v>2025</v>
      </c>
    </row>
    <row r="1021" spans="1:5" x14ac:dyDescent="0.25">
      <c r="A1021" t="s">
        <v>31</v>
      </c>
      <c r="B1021" s="10">
        <f>VLOOKUP(A1021,'Datos generales'!A:B,2,0)</f>
        <v>45238.713888888888</v>
      </c>
      <c r="C1021" s="12">
        <f>VLOOKUP(A1021,'Datos generales'!A:H,8,0)</f>
        <v>3134.36</v>
      </c>
      <c r="D1021" s="12" t="str">
        <f t="shared" si="30"/>
        <v>noviembre</v>
      </c>
      <c r="E1021" s="33">
        <f t="shared" si="31"/>
        <v>2023</v>
      </c>
    </row>
    <row r="1022" spans="1:5" x14ac:dyDescent="0.25">
      <c r="A1022" t="s">
        <v>32</v>
      </c>
      <c r="B1022" s="10">
        <f>VLOOKUP(A1022,'Datos generales'!A:B,2,0)</f>
        <v>45231.386111111111</v>
      </c>
      <c r="C1022" s="12">
        <f>VLOOKUP(A1022,'Datos generales'!A:H,8,0)</f>
        <v>1039.5999999999999</v>
      </c>
      <c r="D1022" s="12" t="str">
        <f t="shared" si="30"/>
        <v>noviembre</v>
      </c>
      <c r="E1022" s="33">
        <f t="shared" si="31"/>
        <v>2023</v>
      </c>
    </row>
    <row r="1023" spans="1:5" x14ac:dyDescent="0.25">
      <c r="A1023" t="s">
        <v>33</v>
      </c>
      <c r="B1023" s="10">
        <f>VLOOKUP(A1023,'Datos generales'!A:B,2,0)</f>
        <v>45421.563888888893</v>
      </c>
      <c r="C1023" s="12">
        <f>VLOOKUP(A1023,'Datos generales'!A:H,8,0)</f>
        <v>1267.01</v>
      </c>
      <c r="D1023" s="12" t="str">
        <f t="shared" si="30"/>
        <v>mayo</v>
      </c>
      <c r="E1023" s="33">
        <f t="shared" si="31"/>
        <v>2024</v>
      </c>
    </row>
    <row r="1024" spans="1:5" x14ac:dyDescent="0.25">
      <c r="A1024" t="s">
        <v>34</v>
      </c>
      <c r="B1024" s="10">
        <f>VLOOKUP(A1024,'Datos generales'!A:B,2,0)</f>
        <v>45437.592361111107</v>
      </c>
      <c r="C1024" s="12">
        <f>VLOOKUP(A1024,'Datos generales'!A:H,8,0)</f>
        <v>4111.24</v>
      </c>
      <c r="D1024" s="12" t="str">
        <f t="shared" si="30"/>
        <v>mayo</v>
      </c>
      <c r="E1024" s="33">
        <f t="shared" si="31"/>
        <v>2024</v>
      </c>
    </row>
    <row r="1025" spans="1:5" x14ac:dyDescent="0.25">
      <c r="A1025" t="s">
        <v>35</v>
      </c>
      <c r="B1025" s="10">
        <f>VLOOKUP(A1025,'Datos generales'!A:B,2,0)</f>
        <v>45355.487500000003</v>
      </c>
      <c r="C1025" s="12">
        <f>VLOOKUP(A1025,'Datos generales'!A:H,8,0)</f>
        <v>2776.86</v>
      </c>
      <c r="D1025" s="12" t="str">
        <f t="shared" si="30"/>
        <v>marzo</v>
      </c>
      <c r="E1025" s="33">
        <f t="shared" si="31"/>
        <v>2024</v>
      </c>
    </row>
    <row r="1026" spans="1:5" x14ac:dyDescent="0.25">
      <c r="A1026" t="s">
        <v>36</v>
      </c>
      <c r="B1026" s="10">
        <f>VLOOKUP(A1026,'Datos generales'!A:B,2,0)</f>
        <v>45924.43472222222</v>
      </c>
      <c r="C1026" s="12">
        <f>VLOOKUP(A1026,'Datos generales'!A:H,8,0)</f>
        <v>641.13</v>
      </c>
      <c r="D1026" s="12" t="str">
        <f t="shared" si="30"/>
        <v>septiembre</v>
      </c>
      <c r="E1026" s="33">
        <f t="shared" si="31"/>
        <v>2025</v>
      </c>
    </row>
    <row r="1027" spans="1:5" x14ac:dyDescent="0.25">
      <c r="A1027" t="s">
        <v>37</v>
      </c>
      <c r="B1027" s="10">
        <f>VLOOKUP(A1027,'Datos generales'!A:B,2,0)</f>
        <v>45471.931250000001</v>
      </c>
      <c r="C1027" s="12">
        <f>VLOOKUP(A1027,'Datos generales'!A:H,8,0)</f>
        <v>2293.5</v>
      </c>
      <c r="D1027" s="12" t="str">
        <f t="shared" ref="D1027:D1090" si="32">TEXT(B1027,"mmmm")</f>
        <v>junio</v>
      </c>
      <c r="E1027" s="33">
        <f t="shared" ref="E1027:E1090" si="33">YEAR(B1027)</f>
        <v>2024</v>
      </c>
    </row>
    <row r="1028" spans="1:5" x14ac:dyDescent="0.25">
      <c r="A1028" t="s">
        <v>38</v>
      </c>
      <c r="B1028" s="10">
        <f>VLOOKUP(A1028,'Datos generales'!A:B,2,0)</f>
        <v>45003.59097222222</v>
      </c>
      <c r="C1028" s="12">
        <f>VLOOKUP(A1028,'Datos generales'!A:H,8,0)</f>
        <v>4536.3999999999996</v>
      </c>
      <c r="D1028" s="12" t="str">
        <f t="shared" si="32"/>
        <v>marzo</v>
      </c>
      <c r="E1028" s="33">
        <f t="shared" si="33"/>
        <v>2023</v>
      </c>
    </row>
    <row r="1029" spans="1:5" x14ac:dyDescent="0.25">
      <c r="A1029" t="s">
        <v>39</v>
      </c>
      <c r="B1029" s="10">
        <f>VLOOKUP(A1029,'Datos generales'!A:B,2,0)</f>
        <v>45206.394444444442</v>
      </c>
      <c r="C1029" s="12">
        <f>VLOOKUP(A1029,'Datos generales'!A:H,8,0)</f>
        <v>3468.88</v>
      </c>
      <c r="D1029" s="12" t="str">
        <f t="shared" si="32"/>
        <v>octubre</v>
      </c>
      <c r="E1029" s="33">
        <f t="shared" si="33"/>
        <v>2023</v>
      </c>
    </row>
    <row r="1030" spans="1:5" x14ac:dyDescent="0.25">
      <c r="A1030" t="s">
        <v>40</v>
      </c>
      <c r="B1030" s="10">
        <f>VLOOKUP(A1030,'Datos generales'!A:B,2,0)</f>
        <v>45595.773611111108</v>
      </c>
      <c r="C1030" s="12">
        <f>VLOOKUP(A1030,'Datos generales'!A:H,8,0)</f>
        <v>424.35</v>
      </c>
      <c r="D1030" s="12" t="str">
        <f t="shared" si="32"/>
        <v>octubre</v>
      </c>
      <c r="E1030" s="33">
        <f t="shared" si="33"/>
        <v>2024</v>
      </c>
    </row>
    <row r="1031" spans="1:5" x14ac:dyDescent="0.25">
      <c r="A1031" t="s">
        <v>41</v>
      </c>
      <c r="B1031" s="10">
        <f>VLOOKUP(A1031,'Datos generales'!A:B,2,0)</f>
        <v>45888.736805555563</v>
      </c>
      <c r="C1031" s="12">
        <f>VLOOKUP(A1031,'Datos generales'!A:H,8,0)</f>
        <v>252.57</v>
      </c>
      <c r="D1031" s="12" t="str">
        <f t="shared" si="32"/>
        <v>agosto</v>
      </c>
      <c r="E1031" s="33">
        <f t="shared" si="33"/>
        <v>2025</v>
      </c>
    </row>
    <row r="1032" spans="1:5" x14ac:dyDescent="0.25">
      <c r="A1032" t="s">
        <v>42</v>
      </c>
      <c r="B1032" s="10">
        <f>VLOOKUP(A1032,'Datos generales'!A:B,2,0)</f>
        <v>45478.06527777778</v>
      </c>
      <c r="C1032" s="12">
        <f>VLOOKUP(A1032,'Datos generales'!A:H,8,0)</f>
        <v>64.679999999999993</v>
      </c>
      <c r="D1032" s="12" t="str">
        <f t="shared" si="32"/>
        <v>julio</v>
      </c>
      <c r="E1032" s="33">
        <f t="shared" si="33"/>
        <v>2024</v>
      </c>
    </row>
    <row r="1033" spans="1:5" x14ac:dyDescent="0.25">
      <c r="A1033" t="s">
        <v>43</v>
      </c>
      <c r="B1033" s="10">
        <f>VLOOKUP(A1033,'Datos generales'!A:B,2,0)</f>
        <v>45402.668749999997</v>
      </c>
      <c r="C1033" s="12">
        <f>VLOOKUP(A1033,'Datos generales'!A:H,8,0)</f>
        <v>446.81</v>
      </c>
      <c r="D1033" s="12" t="str">
        <f t="shared" si="32"/>
        <v>abril</v>
      </c>
      <c r="E1033" s="33">
        <f t="shared" si="33"/>
        <v>2024</v>
      </c>
    </row>
    <row r="1034" spans="1:5" x14ac:dyDescent="0.25">
      <c r="A1034" t="s">
        <v>44</v>
      </c>
      <c r="B1034" s="10">
        <f>VLOOKUP(A1034,'Datos generales'!A:B,2,0)</f>
        <v>45033.806944444441</v>
      </c>
      <c r="C1034" s="12">
        <f>VLOOKUP(A1034,'Datos generales'!A:H,8,0)</f>
        <v>129.34</v>
      </c>
      <c r="D1034" s="12" t="str">
        <f t="shared" si="32"/>
        <v>abril</v>
      </c>
      <c r="E1034" s="33">
        <f t="shared" si="33"/>
        <v>2023</v>
      </c>
    </row>
    <row r="1035" spans="1:5" x14ac:dyDescent="0.25">
      <c r="A1035" t="s">
        <v>45</v>
      </c>
      <c r="B1035" s="10">
        <f>VLOOKUP(A1035,'Datos generales'!A:B,2,0)</f>
        <v>45432.781944444447</v>
      </c>
      <c r="C1035" s="12">
        <f>VLOOKUP(A1035,'Datos generales'!A:H,8,0)</f>
        <v>5841.75</v>
      </c>
      <c r="D1035" s="12" t="str">
        <f t="shared" si="32"/>
        <v>mayo</v>
      </c>
      <c r="E1035" s="33">
        <f t="shared" si="33"/>
        <v>2024</v>
      </c>
    </row>
    <row r="1036" spans="1:5" x14ac:dyDescent="0.25">
      <c r="A1036" t="s">
        <v>46</v>
      </c>
      <c r="B1036" s="10">
        <f>VLOOKUP(A1036,'Datos generales'!A:B,2,0)</f>
        <v>45746.083333333343</v>
      </c>
      <c r="C1036" s="12">
        <f>VLOOKUP(A1036,'Datos generales'!A:H,8,0)</f>
        <v>698.6</v>
      </c>
      <c r="D1036" s="12" t="str">
        <f t="shared" si="32"/>
        <v>marzo</v>
      </c>
      <c r="E1036" s="33">
        <f t="shared" si="33"/>
        <v>2025</v>
      </c>
    </row>
    <row r="1037" spans="1:5" x14ac:dyDescent="0.25">
      <c r="A1037" t="s">
        <v>47</v>
      </c>
      <c r="B1037" s="10">
        <f>VLOOKUP(A1037,'Datos generales'!A:B,2,0)</f>
        <v>45515.355555555558</v>
      </c>
      <c r="C1037" s="12">
        <f>VLOOKUP(A1037,'Datos generales'!A:H,8,0)</f>
        <v>3462.18</v>
      </c>
      <c r="D1037" s="12" t="str">
        <f t="shared" si="32"/>
        <v>agosto</v>
      </c>
      <c r="E1037" s="33">
        <f t="shared" si="33"/>
        <v>2024</v>
      </c>
    </row>
    <row r="1038" spans="1:5" x14ac:dyDescent="0.25">
      <c r="A1038" t="s">
        <v>48</v>
      </c>
      <c r="B1038" s="10">
        <f>VLOOKUP(A1038,'Datos generales'!A:B,2,0)</f>
        <v>45730.554861111108</v>
      </c>
      <c r="C1038" s="12">
        <f>VLOOKUP(A1038,'Datos generales'!A:H,8,0)</f>
        <v>6265.48</v>
      </c>
      <c r="D1038" s="12" t="str">
        <f t="shared" si="32"/>
        <v>marzo</v>
      </c>
      <c r="E1038" s="33">
        <f t="shared" si="33"/>
        <v>2025</v>
      </c>
    </row>
    <row r="1039" spans="1:5" x14ac:dyDescent="0.25">
      <c r="A1039" t="s">
        <v>49</v>
      </c>
      <c r="B1039" s="10">
        <f>VLOOKUP(A1039,'Datos generales'!A:B,2,0)</f>
        <v>45603.252083333333</v>
      </c>
      <c r="C1039" s="12">
        <f>VLOOKUP(A1039,'Datos generales'!A:H,8,0)</f>
        <v>1348.96</v>
      </c>
      <c r="D1039" s="12" t="str">
        <f t="shared" si="32"/>
        <v>noviembre</v>
      </c>
      <c r="E1039" s="33">
        <f t="shared" si="33"/>
        <v>2024</v>
      </c>
    </row>
    <row r="1040" spans="1:5" x14ac:dyDescent="0.25">
      <c r="A1040" t="s">
        <v>50</v>
      </c>
      <c r="B1040" s="10">
        <f>VLOOKUP(A1040,'Datos generales'!A:B,2,0)</f>
        <v>45420.054861111108</v>
      </c>
      <c r="C1040" s="12">
        <f>VLOOKUP(A1040,'Datos generales'!A:H,8,0)</f>
        <v>3087.96</v>
      </c>
      <c r="D1040" s="12" t="str">
        <f t="shared" si="32"/>
        <v>mayo</v>
      </c>
      <c r="E1040" s="33">
        <f t="shared" si="33"/>
        <v>2024</v>
      </c>
    </row>
    <row r="1041" spans="1:5" x14ac:dyDescent="0.25">
      <c r="A1041" t="s">
        <v>51</v>
      </c>
      <c r="B1041" s="10">
        <f>VLOOKUP(A1041,'Datos generales'!A:B,2,0)</f>
        <v>44931.743055555547</v>
      </c>
      <c r="C1041" s="12">
        <f>VLOOKUP(A1041,'Datos generales'!A:H,8,0)</f>
        <v>4586.5499999999993</v>
      </c>
      <c r="D1041" s="12" t="str">
        <f t="shared" si="32"/>
        <v>enero</v>
      </c>
      <c r="E1041" s="33">
        <f t="shared" si="33"/>
        <v>2023</v>
      </c>
    </row>
    <row r="1042" spans="1:5" x14ac:dyDescent="0.25">
      <c r="A1042" t="s">
        <v>52</v>
      </c>
      <c r="B1042" s="10">
        <f>VLOOKUP(A1042,'Datos generales'!A:B,2,0)</f>
        <v>45326.684027777781</v>
      </c>
      <c r="C1042" s="12">
        <f>VLOOKUP(A1042,'Datos generales'!A:H,8,0)</f>
        <v>1801.44</v>
      </c>
      <c r="D1042" s="12" t="str">
        <f t="shared" si="32"/>
        <v>febrero</v>
      </c>
      <c r="E1042" s="33">
        <f t="shared" si="33"/>
        <v>2024</v>
      </c>
    </row>
    <row r="1043" spans="1:5" x14ac:dyDescent="0.25">
      <c r="A1043" t="s">
        <v>53</v>
      </c>
      <c r="B1043" s="10">
        <f>VLOOKUP(A1043,'Datos generales'!A:B,2,0)</f>
        <v>45146.872916666667</v>
      </c>
      <c r="C1043" s="12">
        <f>VLOOKUP(A1043,'Datos generales'!A:H,8,0)</f>
        <v>1510.96</v>
      </c>
      <c r="D1043" s="12" t="str">
        <f t="shared" si="32"/>
        <v>agosto</v>
      </c>
      <c r="E1043" s="33">
        <f t="shared" si="33"/>
        <v>2023</v>
      </c>
    </row>
    <row r="1044" spans="1:5" x14ac:dyDescent="0.25">
      <c r="A1044" t="s">
        <v>54</v>
      </c>
      <c r="B1044" s="10">
        <f>VLOOKUP(A1044,'Datos generales'!A:B,2,0)</f>
        <v>45464.595833333333</v>
      </c>
      <c r="C1044" s="12">
        <f>VLOOKUP(A1044,'Datos generales'!A:H,8,0)</f>
        <v>5566.65</v>
      </c>
      <c r="D1044" s="12" t="str">
        <f t="shared" si="32"/>
        <v>junio</v>
      </c>
      <c r="E1044" s="33">
        <f t="shared" si="33"/>
        <v>2024</v>
      </c>
    </row>
    <row r="1045" spans="1:5" x14ac:dyDescent="0.25">
      <c r="A1045" t="s">
        <v>55</v>
      </c>
      <c r="B1045" s="10">
        <f>VLOOKUP(A1045,'Datos generales'!A:B,2,0)</f>
        <v>45171.9</v>
      </c>
      <c r="C1045" s="12">
        <f>VLOOKUP(A1045,'Datos generales'!A:H,8,0)</f>
        <v>5058.75</v>
      </c>
      <c r="D1045" s="12" t="str">
        <f t="shared" si="32"/>
        <v>septiembre</v>
      </c>
      <c r="E1045" s="33">
        <f t="shared" si="33"/>
        <v>2023</v>
      </c>
    </row>
    <row r="1046" spans="1:5" x14ac:dyDescent="0.25">
      <c r="A1046" t="s">
        <v>56</v>
      </c>
      <c r="B1046" s="10">
        <f>VLOOKUP(A1046,'Datos generales'!A:B,2,0)</f>
        <v>44992.136111111111</v>
      </c>
      <c r="C1046" s="12">
        <f>VLOOKUP(A1046,'Datos generales'!A:H,8,0)</f>
        <v>6091.7</v>
      </c>
      <c r="D1046" s="12" t="str">
        <f t="shared" si="32"/>
        <v>marzo</v>
      </c>
      <c r="E1046" s="33">
        <f t="shared" si="33"/>
        <v>2023</v>
      </c>
    </row>
    <row r="1047" spans="1:5" x14ac:dyDescent="0.25">
      <c r="A1047" t="s">
        <v>57</v>
      </c>
      <c r="B1047" s="10">
        <f>VLOOKUP(A1047,'Datos generales'!A:B,2,0)</f>
        <v>44927.061111111107</v>
      </c>
      <c r="C1047" s="12">
        <f>VLOOKUP(A1047,'Datos generales'!A:H,8,0)</f>
        <v>723.18</v>
      </c>
      <c r="D1047" s="12" t="str">
        <f t="shared" si="32"/>
        <v>enero</v>
      </c>
      <c r="E1047" s="33">
        <f t="shared" si="33"/>
        <v>2023</v>
      </c>
    </row>
    <row r="1048" spans="1:5" x14ac:dyDescent="0.25">
      <c r="A1048" t="s">
        <v>58</v>
      </c>
      <c r="B1048" s="10">
        <f>VLOOKUP(A1048,'Datos generales'!A:B,2,0)</f>
        <v>45097.359027777777</v>
      </c>
      <c r="C1048" s="12">
        <f>VLOOKUP(A1048,'Datos generales'!A:H,8,0)</f>
        <v>4794</v>
      </c>
      <c r="D1048" s="12" t="str">
        <f t="shared" si="32"/>
        <v>junio</v>
      </c>
      <c r="E1048" s="33">
        <f t="shared" si="33"/>
        <v>2023</v>
      </c>
    </row>
    <row r="1049" spans="1:5" x14ac:dyDescent="0.25">
      <c r="A1049" t="s">
        <v>59</v>
      </c>
      <c r="B1049" s="10">
        <f>VLOOKUP(A1049,'Datos generales'!A:B,2,0)</f>
        <v>45755.288194444453</v>
      </c>
      <c r="C1049" s="12">
        <f>VLOOKUP(A1049,'Datos generales'!A:H,8,0)</f>
        <v>8884.3499999999985</v>
      </c>
      <c r="D1049" s="12" t="str">
        <f t="shared" si="32"/>
        <v>abril</v>
      </c>
      <c r="E1049" s="33">
        <f t="shared" si="33"/>
        <v>2025</v>
      </c>
    </row>
    <row r="1050" spans="1:5" x14ac:dyDescent="0.25">
      <c r="A1050" t="s">
        <v>60</v>
      </c>
      <c r="B1050" s="10">
        <f>VLOOKUP(A1050,'Datos generales'!A:B,2,0)</f>
        <v>45782.866666666669</v>
      </c>
      <c r="C1050" s="12">
        <f>VLOOKUP(A1050,'Datos generales'!A:H,8,0)</f>
        <v>1467.34</v>
      </c>
      <c r="D1050" s="12" t="str">
        <f t="shared" si="32"/>
        <v>mayo</v>
      </c>
      <c r="E1050" s="33">
        <f t="shared" si="33"/>
        <v>2025</v>
      </c>
    </row>
    <row r="1051" spans="1:5" x14ac:dyDescent="0.25">
      <c r="A1051" t="s">
        <v>61</v>
      </c>
      <c r="B1051" s="10">
        <f>VLOOKUP(A1051,'Datos generales'!A:B,2,0)</f>
        <v>45819.341666666667</v>
      </c>
      <c r="C1051" s="12">
        <f>VLOOKUP(A1051,'Datos generales'!A:H,8,0)</f>
        <v>2051.73</v>
      </c>
      <c r="D1051" s="12" t="str">
        <f t="shared" si="32"/>
        <v>junio</v>
      </c>
      <c r="E1051" s="33">
        <f t="shared" si="33"/>
        <v>2025</v>
      </c>
    </row>
    <row r="1052" spans="1:5" x14ac:dyDescent="0.25">
      <c r="A1052" t="s">
        <v>62</v>
      </c>
      <c r="B1052" s="10">
        <f>VLOOKUP(A1052,'Datos generales'!A:B,2,0)</f>
        <v>45441.993055555547</v>
      </c>
      <c r="C1052" s="12">
        <f>VLOOKUP(A1052,'Datos generales'!A:H,8,0)</f>
        <v>1083.8599999999999</v>
      </c>
      <c r="D1052" s="12" t="str">
        <f t="shared" si="32"/>
        <v>mayo</v>
      </c>
      <c r="E1052" s="33">
        <f t="shared" si="33"/>
        <v>2024</v>
      </c>
    </row>
    <row r="1053" spans="1:5" x14ac:dyDescent="0.25">
      <c r="A1053" t="s">
        <v>63</v>
      </c>
      <c r="B1053" s="10">
        <f>VLOOKUP(A1053,'Datos generales'!A:B,2,0)</f>
        <v>45180.999305555553</v>
      </c>
      <c r="C1053" s="12">
        <f>VLOOKUP(A1053,'Datos generales'!A:H,8,0)</f>
        <v>3103.7</v>
      </c>
      <c r="D1053" s="12" t="str">
        <f t="shared" si="32"/>
        <v>septiembre</v>
      </c>
      <c r="E1053" s="33">
        <f t="shared" si="33"/>
        <v>2023</v>
      </c>
    </row>
    <row r="1054" spans="1:5" x14ac:dyDescent="0.25">
      <c r="A1054" t="s">
        <v>64</v>
      </c>
      <c r="B1054" s="10">
        <f>VLOOKUP(A1054,'Datos generales'!A:B,2,0)</f>
        <v>45624.619444444441</v>
      </c>
      <c r="C1054" s="12">
        <f>VLOOKUP(A1054,'Datos generales'!A:H,8,0)</f>
        <v>6841.35</v>
      </c>
      <c r="D1054" s="12" t="str">
        <f t="shared" si="32"/>
        <v>noviembre</v>
      </c>
      <c r="E1054" s="33">
        <f t="shared" si="33"/>
        <v>2024</v>
      </c>
    </row>
    <row r="1055" spans="1:5" x14ac:dyDescent="0.25">
      <c r="A1055" t="s">
        <v>65</v>
      </c>
      <c r="B1055" s="10">
        <f>VLOOKUP(A1055,'Datos generales'!A:B,2,0)</f>
        <v>45447.955555555563</v>
      </c>
      <c r="C1055" s="12">
        <f>VLOOKUP(A1055,'Datos generales'!A:H,8,0)</f>
        <v>7275.52</v>
      </c>
      <c r="D1055" s="12" t="str">
        <f t="shared" si="32"/>
        <v>junio</v>
      </c>
      <c r="E1055" s="33">
        <f t="shared" si="33"/>
        <v>2024</v>
      </c>
    </row>
    <row r="1056" spans="1:5" x14ac:dyDescent="0.25">
      <c r="A1056" t="s">
        <v>66</v>
      </c>
      <c r="B1056" s="10">
        <f>VLOOKUP(A1056,'Datos generales'!A:B,2,0)</f>
        <v>45051.74722222222</v>
      </c>
      <c r="C1056" s="12">
        <f>VLOOKUP(A1056,'Datos generales'!A:H,8,0)</f>
        <v>6405.28</v>
      </c>
      <c r="D1056" s="12" t="str">
        <f t="shared" si="32"/>
        <v>mayo</v>
      </c>
      <c r="E1056" s="33">
        <f t="shared" si="33"/>
        <v>2023</v>
      </c>
    </row>
    <row r="1057" spans="1:5" x14ac:dyDescent="0.25">
      <c r="A1057" t="s">
        <v>67</v>
      </c>
      <c r="B1057" s="10">
        <f>VLOOKUP(A1057,'Datos generales'!A:B,2,0)</f>
        <v>45019.26666666667</v>
      </c>
      <c r="C1057" s="12">
        <f>VLOOKUP(A1057,'Datos generales'!A:H,8,0)</f>
        <v>711.16</v>
      </c>
      <c r="D1057" s="12" t="str">
        <f t="shared" si="32"/>
        <v>abril</v>
      </c>
      <c r="E1057" s="33">
        <f t="shared" si="33"/>
        <v>2023</v>
      </c>
    </row>
    <row r="1058" spans="1:5" x14ac:dyDescent="0.25">
      <c r="A1058" t="s">
        <v>68</v>
      </c>
      <c r="B1058" s="10">
        <f>VLOOKUP(A1058,'Datos generales'!A:B,2,0)</f>
        <v>44969.094444444447</v>
      </c>
      <c r="C1058" s="12">
        <f>VLOOKUP(A1058,'Datos generales'!A:H,8,0)</f>
        <v>83.48</v>
      </c>
      <c r="D1058" s="12" t="str">
        <f t="shared" si="32"/>
        <v>febrero</v>
      </c>
      <c r="E1058" s="33">
        <f t="shared" si="33"/>
        <v>2023</v>
      </c>
    </row>
    <row r="1059" spans="1:5" x14ac:dyDescent="0.25">
      <c r="A1059" t="s">
        <v>69</v>
      </c>
      <c r="B1059" s="10">
        <f>VLOOKUP(A1059,'Datos generales'!A:B,2,0)</f>
        <v>45091.519444444442</v>
      </c>
      <c r="C1059" s="12">
        <f>VLOOKUP(A1059,'Datos generales'!A:H,8,0)</f>
        <v>1372.72</v>
      </c>
      <c r="D1059" s="12" t="str">
        <f t="shared" si="32"/>
        <v>junio</v>
      </c>
      <c r="E1059" s="33">
        <f t="shared" si="33"/>
        <v>2023</v>
      </c>
    </row>
    <row r="1060" spans="1:5" x14ac:dyDescent="0.25">
      <c r="A1060" t="s">
        <v>70</v>
      </c>
      <c r="B1060" s="10">
        <f>VLOOKUP(A1060,'Datos generales'!A:B,2,0)</f>
        <v>45494</v>
      </c>
      <c r="C1060" s="12">
        <f>VLOOKUP(A1060,'Datos generales'!A:H,8,0)</f>
        <v>1618.91</v>
      </c>
      <c r="D1060" s="12" t="str">
        <f t="shared" si="32"/>
        <v>julio</v>
      </c>
      <c r="E1060" s="33">
        <f t="shared" si="33"/>
        <v>2024</v>
      </c>
    </row>
    <row r="1061" spans="1:5" x14ac:dyDescent="0.25">
      <c r="A1061" t="s">
        <v>71</v>
      </c>
      <c r="B1061" s="10">
        <f>VLOOKUP(A1061,'Datos generales'!A:B,2,0)</f>
        <v>45364.463194444441</v>
      </c>
      <c r="C1061" s="12">
        <f>VLOOKUP(A1061,'Datos generales'!A:H,8,0)</f>
        <v>2122.6</v>
      </c>
      <c r="D1061" s="12" t="str">
        <f t="shared" si="32"/>
        <v>marzo</v>
      </c>
      <c r="E1061" s="33">
        <f t="shared" si="33"/>
        <v>2024</v>
      </c>
    </row>
    <row r="1062" spans="1:5" x14ac:dyDescent="0.25">
      <c r="A1062" t="s">
        <v>72</v>
      </c>
      <c r="B1062" s="10">
        <f>VLOOKUP(A1062,'Datos generales'!A:B,2,0)</f>
        <v>45583.023611111108</v>
      </c>
      <c r="C1062" s="12">
        <f>VLOOKUP(A1062,'Datos generales'!A:H,8,0)</f>
        <v>2094.15</v>
      </c>
      <c r="D1062" s="12" t="str">
        <f t="shared" si="32"/>
        <v>octubre</v>
      </c>
      <c r="E1062" s="33">
        <f t="shared" si="33"/>
        <v>2024</v>
      </c>
    </row>
    <row r="1063" spans="1:5" x14ac:dyDescent="0.25">
      <c r="A1063" t="s">
        <v>73</v>
      </c>
      <c r="B1063" s="10">
        <f>VLOOKUP(A1063,'Datos generales'!A:B,2,0)</f>
        <v>45779.546527777777</v>
      </c>
      <c r="C1063" s="12">
        <f>VLOOKUP(A1063,'Datos generales'!A:H,8,0)</f>
        <v>1994.94</v>
      </c>
      <c r="D1063" s="12" t="str">
        <f t="shared" si="32"/>
        <v>mayo</v>
      </c>
      <c r="E1063" s="33">
        <f t="shared" si="33"/>
        <v>2025</v>
      </c>
    </row>
    <row r="1064" spans="1:5" x14ac:dyDescent="0.25">
      <c r="A1064" t="s">
        <v>74</v>
      </c>
      <c r="B1064" s="10">
        <f>VLOOKUP(A1064,'Datos generales'!A:B,2,0)</f>
        <v>45516.480555555558</v>
      </c>
      <c r="C1064" s="12">
        <f>VLOOKUP(A1064,'Datos generales'!A:H,8,0)</f>
        <v>1322.41</v>
      </c>
      <c r="D1064" s="12" t="str">
        <f t="shared" si="32"/>
        <v>agosto</v>
      </c>
      <c r="E1064" s="33">
        <f t="shared" si="33"/>
        <v>2024</v>
      </c>
    </row>
    <row r="1065" spans="1:5" x14ac:dyDescent="0.25">
      <c r="A1065" t="s">
        <v>75</v>
      </c>
      <c r="B1065" s="10">
        <f>VLOOKUP(A1065,'Datos generales'!A:B,2,0)</f>
        <v>45285.25277777778</v>
      </c>
      <c r="C1065" s="12">
        <f>VLOOKUP(A1065,'Datos generales'!A:H,8,0)</f>
        <v>5869.08</v>
      </c>
      <c r="D1065" s="12" t="str">
        <f t="shared" si="32"/>
        <v>diciembre</v>
      </c>
      <c r="E1065" s="33">
        <f t="shared" si="33"/>
        <v>2023</v>
      </c>
    </row>
    <row r="1066" spans="1:5" x14ac:dyDescent="0.25">
      <c r="A1066" t="s">
        <v>76</v>
      </c>
      <c r="B1066" s="10">
        <f>VLOOKUP(A1066,'Datos generales'!A:B,2,0)</f>
        <v>45297.965277777781</v>
      </c>
      <c r="C1066" s="12">
        <f>VLOOKUP(A1066,'Datos generales'!A:H,8,0)</f>
        <v>7216.48</v>
      </c>
      <c r="D1066" s="12" t="str">
        <f t="shared" si="32"/>
        <v>enero</v>
      </c>
      <c r="E1066" s="33">
        <f t="shared" si="33"/>
        <v>2024</v>
      </c>
    </row>
    <row r="1067" spans="1:5" x14ac:dyDescent="0.25">
      <c r="A1067" t="s">
        <v>77</v>
      </c>
      <c r="B1067" s="10">
        <f>VLOOKUP(A1067,'Datos generales'!A:B,2,0)</f>
        <v>45434.519444444442</v>
      </c>
      <c r="C1067" s="12">
        <f>VLOOKUP(A1067,'Datos generales'!A:H,8,0)</f>
        <v>1172.72</v>
      </c>
      <c r="D1067" s="12" t="str">
        <f t="shared" si="32"/>
        <v>mayo</v>
      </c>
      <c r="E1067" s="33">
        <f t="shared" si="33"/>
        <v>2024</v>
      </c>
    </row>
    <row r="1068" spans="1:5" x14ac:dyDescent="0.25">
      <c r="A1068" t="s">
        <v>78</v>
      </c>
      <c r="B1068" s="10">
        <f>VLOOKUP(A1068,'Datos generales'!A:B,2,0)</f>
        <v>45290.050694444442</v>
      </c>
      <c r="C1068" s="12">
        <f>VLOOKUP(A1068,'Datos generales'!A:H,8,0)</f>
        <v>725.07</v>
      </c>
      <c r="D1068" s="12" t="str">
        <f t="shared" si="32"/>
        <v>diciembre</v>
      </c>
      <c r="E1068" s="33">
        <f t="shared" si="33"/>
        <v>2023</v>
      </c>
    </row>
    <row r="1069" spans="1:5" x14ac:dyDescent="0.25">
      <c r="A1069" t="s">
        <v>79</v>
      </c>
      <c r="B1069" s="10">
        <f>VLOOKUP(A1069,'Datos generales'!A:B,2,0)</f>
        <v>45684.334027777782</v>
      </c>
      <c r="C1069" s="12">
        <f>VLOOKUP(A1069,'Datos generales'!A:H,8,0)</f>
        <v>2818.45</v>
      </c>
      <c r="D1069" s="12" t="str">
        <f t="shared" si="32"/>
        <v>enero</v>
      </c>
      <c r="E1069" s="33">
        <f t="shared" si="33"/>
        <v>2025</v>
      </c>
    </row>
    <row r="1070" spans="1:5" x14ac:dyDescent="0.25">
      <c r="A1070" t="s">
        <v>80</v>
      </c>
      <c r="B1070" s="10">
        <f>VLOOKUP(A1070,'Datos generales'!A:B,2,0)</f>
        <v>45222.202777777777</v>
      </c>
      <c r="C1070" s="12">
        <f>VLOOKUP(A1070,'Datos generales'!A:H,8,0)</f>
        <v>7737.05</v>
      </c>
      <c r="D1070" s="12" t="str">
        <f t="shared" si="32"/>
        <v>octubre</v>
      </c>
      <c r="E1070" s="33">
        <f t="shared" si="33"/>
        <v>2023</v>
      </c>
    </row>
    <row r="1071" spans="1:5" x14ac:dyDescent="0.25">
      <c r="A1071" t="s">
        <v>81</v>
      </c>
      <c r="B1071" s="10">
        <f>VLOOKUP(A1071,'Datos generales'!A:B,2,0)</f>
        <v>45274.597916666673</v>
      </c>
      <c r="C1071" s="12">
        <f>VLOOKUP(A1071,'Datos generales'!A:H,8,0)</f>
        <v>3807.3</v>
      </c>
      <c r="D1071" s="12" t="str">
        <f t="shared" si="32"/>
        <v>diciembre</v>
      </c>
      <c r="E1071" s="33">
        <f t="shared" si="33"/>
        <v>2023</v>
      </c>
    </row>
    <row r="1072" spans="1:5" x14ac:dyDescent="0.25">
      <c r="A1072" t="s">
        <v>82</v>
      </c>
      <c r="B1072" s="10">
        <f>VLOOKUP(A1072,'Datos generales'!A:B,2,0)</f>
        <v>45358.874305555553</v>
      </c>
      <c r="C1072" s="12">
        <f>VLOOKUP(A1072,'Datos generales'!A:H,8,0)</f>
        <v>2396.4</v>
      </c>
      <c r="D1072" s="12" t="str">
        <f t="shared" si="32"/>
        <v>marzo</v>
      </c>
      <c r="E1072" s="33">
        <f t="shared" si="33"/>
        <v>2024</v>
      </c>
    </row>
    <row r="1073" spans="1:5" x14ac:dyDescent="0.25">
      <c r="A1073" t="s">
        <v>83</v>
      </c>
      <c r="B1073" s="10">
        <f>VLOOKUP(A1073,'Datos generales'!A:B,2,0)</f>
        <v>45850.171527777777</v>
      </c>
      <c r="C1073" s="12">
        <f>VLOOKUP(A1073,'Datos generales'!A:H,8,0)</f>
        <v>1631.16</v>
      </c>
      <c r="D1073" s="12" t="str">
        <f t="shared" si="32"/>
        <v>julio</v>
      </c>
      <c r="E1073" s="33">
        <f t="shared" si="33"/>
        <v>2025</v>
      </c>
    </row>
    <row r="1074" spans="1:5" x14ac:dyDescent="0.25">
      <c r="A1074" t="s">
        <v>84</v>
      </c>
      <c r="B1074" s="10">
        <f>VLOOKUP(A1074,'Datos generales'!A:B,2,0)</f>
        <v>45041.884027777778</v>
      </c>
      <c r="C1074" s="12">
        <f>VLOOKUP(A1074,'Datos generales'!A:H,8,0)</f>
        <v>2899.06</v>
      </c>
      <c r="D1074" s="12" t="str">
        <f t="shared" si="32"/>
        <v>abril</v>
      </c>
      <c r="E1074" s="33">
        <f t="shared" si="33"/>
        <v>2023</v>
      </c>
    </row>
    <row r="1075" spans="1:5" x14ac:dyDescent="0.25">
      <c r="A1075" t="s">
        <v>85</v>
      </c>
      <c r="B1075" s="10">
        <f>VLOOKUP(A1075,'Datos generales'!A:B,2,0)</f>
        <v>45564.772916666669</v>
      </c>
      <c r="C1075" s="12">
        <f>VLOOKUP(A1075,'Datos generales'!A:H,8,0)</f>
        <v>2362.1</v>
      </c>
      <c r="D1075" s="12" t="str">
        <f t="shared" si="32"/>
        <v>septiembre</v>
      </c>
      <c r="E1075" s="33">
        <f t="shared" si="33"/>
        <v>2024</v>
      </c>
    </row>
    <row r="1076" spans="1:5" x14ac:dyDescent="0.25">
      <c r="A1076" t="s">
        <v>86</v>
      </c>
      <c r="B1076" s="10">
        <f>VLOOKUP(A1076,'Datos generales'!A:B,2,0)</f>
        <v>45118.247916666667</v>
      </c>
      <c r="C1076" s="12">
        <f>VLOOKUP(A1076,'Datos generales'!A:H,8,0)</f>
        <v>1103.7</v>
      </c>
      <c r="D1076" s="12" t="str">
        <f t="shared" si="32"/>
        <v>julio</v>
      </c>
      <c r="E1076" s="33">
        <f t="shared" si="33"/>
        <v>2023</v>
      </c>
    </row>
    <row r="1077" spans="1:5" x14ac:dyDescent="0.25">
      <c r="A1077" t="s">
        <v>87</v>
      </c>
      <c r="B1077" s="10">
        <f>VLOOKUP(A1077,'Datos generales'!A:B,2,0)</f>
        <v>45717.986111111109</v>
      </c>
      <c r="C1077" s="12">
        <f>VLOOKUP(A1077,'Datos generales'!A:H,8,0)</f>
        <v>3697.55</v>
      </c>
      <c r="D1077" s="12" t="str">
        <f t="shared" si="32"/>
        <v>marzo</v>
      </c>
      <c r="E1077" s="33">
        <f t="shared" si="33"/>
        <v>2025</v>
      </c>
    </row>
    <row r="1078" spans="1:5" x14ac:dyDescent="0.25">
      <c r="A1078" t="s">
        <v>88</v>
      </c>
      <c r="B1078" s="10">
        <f>VLOOKUP(A1078,'Datos generales'!A:B,2,0)</f>
        <v>45162.795138888891</v>
      </c>
      <c r="C1078" s="12">
        <f>VLOOKUP(A1078,'Datos generales'!A:H,8,0)</f>
        <v>2178.2600000000002</v>
      </c>
      <c r="D1078" s="12" t="str">
        <f t="shared" si="32"/>
        <v>agosto</v>
      </c>
      <c r="E1078" s="33">
        <f t="shared" si="33"/>
        <v>2023</v>
      </c>
    </row>
    <row r="1079" spans="1:5" x14ac:dyDescent="0.25">
      <c r="A1079" t="s">
        <v>89</v>
      </c>
      <c r="B1079" s="10">
        <f>VLOOKUP(A1079,'Datos generales'!A:B,2,0)</f>
        <v>45517.353472222218</v>
      </c>
      <c r="C1079" s="12">
        <f>VLOOKUP(A1079,'Datos generales'!A:H,8,0)</f>
        <v>8163.75</v>
      </c>
      <c r="D1079" s="12" t="str">
        <f t="shared" si="32"/>
        <v>agosto</v>
      </c>
      <c r="E1079" s="33">
        <f t="shared" si="33"/>
        <v>2024</v>
      </c>
    </row>
    <row r="1080" spans="1:5" x14ac:dyDescent="0.25">
      <c r="A1080" t="s">
        <v>90</v>
      </c>
      <c r="B1080" s="10">
        <f>VLOOKUP(A1080,'Datos generales'!A:B,2,0)</f>
        <v>45245.664583333331</v>
      </c>
      <c r="C1080" s="12">
        <f>VLOOKUP(A1080,'Datos generales'!A:H,8,0)</f>
        <v>2452.0500000000002</v>
      </c>
      <c r="D1080" s="12" t="str">
        <f t="shared" si="32"/>
        <v>noviembre</v>
      </c>
      <c r="E1080" s="33">
        <f t="shared" si="33"/>
        <v>2023</v>
      </c>
    </row>
    <row r="1081" spans="1:5" x14ac:dyDescent="0.25">
      <c r="A1081" t="s">
        <v>91</v>
      </c>
      <c r="B1081" s="10">
        <f>VLOOKUP(A1081,'Datos generales'!A:B,2,0)</f>
        <v>45603.368055555547</v>
      </c>
      <c r="C1081" s="12">
        <f>VLOOKUP(A1081,'Datos generales'!A:H,8,0)</f>
        <v>2373.16</v>
      </c>
      <c r="D1081" s="12" t="str">
        <f t="shared" si="32"/>
        <v>noviembre</v>
      </c>
      <c r="E1081" s="33">
        <f t="shared" si="33"/>
        <v>2024</v>
      </c>
    </row>
    <row r="1082" spans="1:5" x14ac:dyDescent="0.25">
      <c r="A1082" t="s">
        <v>92</v>
      </c>
      <c r="B1082" s="10">
        <f>VLOOKUP(A1082,'Datos generales'!A:B,2,0)</f>
        <v>44990.597916666673</v>
      </c>
      <c r="C1082" s="12">
        <f>VLOOKUP(A1082,'Datos generales'!A:H,8,0)</f>
        <v>3745.6</v>
      </c>
      <c r="D1082" s="12" t="str">
        <f t="shared" si="32"/>
        <v>marzo</v>
      </c>
      <c r="E1082" s="33">
        <f t="shared" si="33"/>
        <v>2023</v>
      </c>
    </row>
    <row r="1083" spans="1:5" x14ac:dyDescent="0.25">
      <c r="A1083" t="s">
        <v>93</v>
      </c>
      <c r="B1083" s="10">
        <f>VLOOKUP(A1083,'Datos generales'!A:B,2,0)</f>
        <v>45273.106249999997</v>
      </c>
      <c r="C1083" s="12">
        <f>VLOOKUP(A1083,'Datos generales'!A:H,8,0)</f>
        <v>2040.57</v>
      </c>
      <c r="D1083" s="12" t="str">
        <f t="shared" si="32"/>
        <v>diciembre</v>
      </c>
      <c r="E1083" s="33">
        <f t="shared" si="33"/>
        <v>2023</v>
      </c>
    </row>
    <row r="1084" spans="1:5" x14ac:dyDescent="0.25">
      <c r="A1084" t="s">
        <v>94</v>
      </c>
      <c r="B1084" s="10">
        <f>VLOOKUP(A1084,'Datos generales'!A:B,2,0)</f>
        <v>45022.271527777782</v>
      </c>
      <c r="C1084" s="12">
        <f>VLOOKUP(A1084,'Datos generales'!A:H,8,0)</f>
        <v>1051.28</v>
      </c>
      <c r="D1084" s="12" t="str">
        <f t="shared" si="32"/>
        <v>abril</v>
      </c>
      <c r="E1084" s="33">
        <f t="shared" si="33"/>
        <v>2023</v>
      </c>
    </row>
    <row r="1085" spans="1:5" x14ac:dyDescent="0.25">
      <c r="A1085" t="s">
        <v>95</v>
      </c>
      <c r="B1085" s="10">
        <f>VLOOKUP(A1085,'Datos generales'!A:B,2,0)</f>
        <v>45682.68472222222</v>
      </c>
      <c r="C1085" s="12">
        <f>VLOOKUP(A1085,'Datos generales'!A:H,8,0)</f>
        <v>6127</v>
      </c>
      <c r="D1085" s="12" t="str">
        <f t="shared" si="32"/>
        <v>enero</v>
      </c>
      <c r="E1085" s="33">
        <f t="shared" si="33"/>
        <v>2025</v>
      </c>
    </row>
    <row r="1086" spans="1:5" x14ac:dyDescent="0.25">
      <c r="A1086" t="s">
        <v>96</v>
      </c>
      <c r="B1086" s="10">
        <f>VLOOKUP(A1086,'Datos generales'!A:B,2,0)</f>
        <v>45099.143750000003</v>
      </c>
      <c r="C1086" s="12">
        <f>VLOOKUP(A1086,'Datos generales'!A:H,8,0)</f>
        <v>503.84</v>
      </c>
      <c r="D1086" s="12" t="str">
        <f t="shared" si="32"/>
        <v>junio</v>
      </c>
      <c r="E1086" s="33">
        <f t="shared" si="33"/>
        <v>2023</v>
      </c>
    </row>
    <row r="1087" spans="1:5" x14ac:dyDescent="0.25">
      <c r="A1087" t="s">
        <v>97</v>
      </c>
      <c r="B1087" s="10">
        <f>VLOOKUP(A1087,'Datos generales'!A:B,2,0)</f>
        <v>45546.810416666667</v>
      </c>
      <c r="C1087" s="12">
        <f>VLOOKUP(A1087,'Datos generales'!A:H,8,0)</f>
        <v>7633.64</v>
      </c>
      <c r="D1087" s="12" t="str">
        <f t="shared" si="32"/>
        <v>septiembre</v>
      </c>
      <c r="E1087" s="33">
        <f t="shared" si="33"/>
        <v>2024</v>
      </c>
    </row>
    <row r="1088" spans="1:5" x14ac:dyDescent="0.25">
      <c r="A1088" t="s">
        <v>98</v>
      </c>
      <c r="B1088" s="10">
        <f>VLOOKUP(A1088,'Datos generales'!A:B,2,0)</f>
        <v>45451.106249999997</v>
      </c>
      <c r="C1088" s="12">
        <f>VLOOKUP(A1088,'Datos generales'!A:H,8,0)</f>
        <v>229.2</v>
      </c>
      <c r="D1088" s="12" t="str">
        <f t="shared" si="32"/>
        <v>junio</v>
      </c>
      <c r="E1088" s="33">
        <f t="shared" si="33"/>
        <v>2024</v>
      </c>
    </row>
    <row r="1089" spans="1:5" x14ac:dyDescent="0.25">
      <c r="A1089" t="s">
        <v>99</v>
      </c>
      <c r="B1089" s="10">
        <f>VLOOKUP(A1089,'Datos generales'!A:B,2,0)</f>
        <v>45101.551388888889</v>
      </c>
      <c r="C1089" s="12">
        <f>VLOOKUP(A1089,'Datos generales'!A:H,8,0)</f>
        <v>1191.56</v>
      </c>
      <c r="D1089" s="12" t="str">
        <f t="shared" si="32"/>
        <v>junio</v>
      </c>
      <c r="E1089" s="33">
        <f t="shared" si="33"/>
        <v>2023</v>
      </c>
    </row>
    <row r="1090" spans="1:5" x14ac:dyDescent="0.25">
      <c r="A1090" t="s">
        <v>100</v>
      </c>
      <c r="B1090" s="10">
        <f>VLOOKUP(A1090,'Datos generales'!A:B,2,0)</f>
        <v>45405.413194444453</v>
      </c>
      <c r="C1090" s="12">
        <f>VLOOKUP(A1090,'Datos generales'!A:H,8,0)</f>
        <v>150.04</v>
      </c>
      <c r="D1090" s="12" t="str">
        <f t="shared" si="32"/>
        <v>abril</v>
      </c>
      <c r="E1090" s="33">
        <f t="shared" si="33"/>
        <v>2024</v>
      </c>
    </row>
    <row r="1091" spans="1:5" x14ac:dyDescent="0.25">
      <c r="A1091" t="s">
        <v>101</v>
      </c>
      <c r="B1091" s="10">
        <f>VLOOKUP(A1091,'Datos generales'!A:B,2,0)</f>
        <v>45465.332638888889</v>
      </c>
      <c r="C1091" s="12">
        <f>VLOOKUP(A1091,'Datos generales'!A:H,8,0)</f>
        <v>2704.6</v>
      </c>
      <c r="D1091" s="12" t="str">
        <f t="shared" ref="D1091:D1154" si="34">TEXT(B1091,"mmmm")</f>
        <v>junio</v>
      </c>
      <c r="E1091" s="33">
        <f t="shared" ref="E1091:E1154" si="35">YEAR(B1091)</f>
        <v>2024</v>
      </c>
    </row>
    <row r="1092" spans="1:5" x14ac:dyDescent="0.25">
      <c r="A1092" t="s">
        <v>102</v>
      </c>
      <c r="B1092" s="10">
        <f>VLOOKUP(A1092,'Datos generales'!A:B,2,0)</f>
        <v>45863.330555555563</v>
      </c>
      <c r="C1092" s="12">
        <f>VLOOKUP(A1092,'Datos generales'!A:H,8,0)</f>
        <v>713.82</v>
      </c>
      <c r="D1092" s="12" t="str">
        <f t="shared" si="34"/>
        <v>julio</v>
      </c>
      <c r="E1092" s="33">
        <f t="shared" si="35"/>
        <v>2025</v>
      </c>
    </row>
    <row r="1093" spans="1:5" x14ac:dyDescent="0.25">
      <c r="A1093" t="s">
        <v>103</v>
      </c>
      <c r="B1093" s="10">
        <f>VLOOKUP(A1093,'Datos generales'!A:B,2,0)</f>
        <v>45727.712500000001</v>
      </c>
      <c r="C1093" s="12">
        <f>VLOOKUP(A1093,'Datos generales'!A:H,8,0)</f>
        <v>3407.01</v>
      </c>
      <c r="D1093" s="12" t="str">
        <f t="shared" si="34"/>
        <v>marzo</v>
      </c>
      <c r="E1093" s="33">
        <f t="shared" si="35"/>
        <v>2025</v>
      </c>
    </row>
    <row r="1094" spans="1:5" x14ac:dyDescent="0.25">
      <c r="A1094" t="s">
        <v>104</v>
      </c>
      <c r="B1094" s="10">
        <f>VLOOKUP(A1094,'Datos generales'!A:B,2,0)</f>
        <v>45676.398611111108</v>
      </c>
      <c r="C1094" s="12">
        <f>VLOOKUP(A1094,'Datos generales'!A:H,8,0)</f>
        <v>2417.0700000000002</v>
      </c>
      <c r="D1094" s="12" t="str">
        <f t="shared" si="34"/>
        <v>enero</v>
      </c>
      <c r="E1094" s="33">
        <f t="shared" si="35"/>
        <v>2025</v>
      </c>
    </row>
    <row r="1095" spans="1:5" x14ac:dyDescent="0.25">
      <c r="A1095" t="s">
        <v>105</v>
      </c>
      <c r="B1095" s="10">
        <f>VLOOKUP(A1095,'Datos generales'!A:B,2,0)</f>
        <v>45289.026388888888</v>
      </c>
      <c r="C1095" s="12">
        <f>VLOOKUP(A1095,'Datos generales'!A:H,8,0)</f>
        <v>2518.14</v>
      </c>
      <c r="D1095" s="12" t="str">
        <f t="shared" si="34"/>
        <v>diciembre</v>
      </c>
      <c r="E1095" s="33">
        <f t="shared" si="35"/>
        <v>2023</v>
      </c>
    </row>
    <row r="1096" spans="1:5" x14ac:dyDescent="0.25">
      <c r="A1096" t="s">
        <v>106</v>
      </c>
      <c r="B1096" s="10">
        <f>VLOOKUP(A1096,'Datos generales'!A:B,2,0)</f>
        <v>45473.418749999997</v>
      </c>
      <c r="C1096" s="12">
        <f>VLOOKUP(A1096,'Datos generales'!A:H,8,0)</f>
        <v>1801.2</v>
      </c>
      <c r="D1096" s="12" t="str">
        <f t="shared" si="34"/>
        <v>junio</v>
      </c>
      <c r="E1096" s="33">
        <f t="shared" si="35"/>
        <v>2024</v>
      </c>
    </row>
    <row r="1097" spans="1:5" x14ac:dyDescent="0.25">
      <c r="A1097" t="s">
        <v>107</v>
      </c>
      <c r="B1097" s="10">
        <f>VLOOKUP(A1097,'Datos generales'!A:B,2,0)</f>
        <v>45499.757638888892</v>
      </c>
      <c r="C1097" s="12">
        <f>VLOOKUP(A1097,'Datos generales'!A:H,8,0)</f>
        <v>959.62</v>
      </c>
      <c r="D1097" s="12" t="str">
        <f t="shared" si="34"/>
        <v>julio</v>
      </c>
      <c r="E1097" s="33">
        <f t="shared" si="35"/>
        <v>2024</v>
      </c>
    </row>
    <row r="1098" spans="1:5" x14ac:dyDescent="0.25">
      <c r="A1098" t="s">
        <v>108</v>
      </c>
      <c r="B1098" s="10">
        <f>VLOOKUP(A1098,'Datos generales'!A:B,2,0)</f>
        <v>45541.331250000003</v>
      </c>
      <c r="C1098" s="12">
        <f>VLOOKUP(A1098,'Datos generales'!A:H,8,0)</f>
        <v>1888.86</v>
      </c>
      <c r="D1098" s="12" t="str">
        <f t="shared" si="34"/>
        <v>septiembre</v>
      </c>
      <c r="E1098" s="33">
        <f t="shared" si="35"/>
        <v>2024</v>
      </c>
    </row>
    <row r="1099" spans="1:5" x14ac:dyDescent="0.25">
      <c r="A1099" t="s">
        <v>109</v>
      </c>
      <c r="B1099" s="10">
        <f>VLOOKUP(A1099,'Datos generales'!A:B,2,0)</f>
        <v>45542.574305555558</v>
      </c>
      <c r="C1099" s="12">
        <f>VLOOKUP(A1099,'Datos generales'!A:H,8,0)</f>
        <v>7284.2</v>
      </c>
      <c r="D1099" s="12" t="str">
        <f t="shared" si="34"/>
        <v>septiembre</v>
      </c>
      <c r="E1099" s="33">
        <f t="shared" si="35"/>
        <v>2024</v>
      </c>
    </row>
    <row r="1100" spans="1:5" x14ac:dyDescent="0.25">
      <c r="A1100" t="s">
        <v>110</v>
      </c>
      <c r="B1100" s="10">
        <f>VLOOKUP(A1100,'Datos generales'!A:B,2,0)</f>
        <v>45846.336805555547</v>
      </c>
      <c r="C1100" s="12">
        <f>VLOOKUP(A1100,'Datos generales'!A:H,8,0)</f>
        <v>4611.6900000000014</v>
      </c>
      <c r="D1100" s="12" t="str">
        <f t="shared" si="34"/>
        <v>julio</v>
      </c>
      <c r="E1100" s="33">
        <f t="shared" si="35"/>
        <v>2025</v>
      </c>
    </row>
    <row r="1101" spans="1:5" x14ac:dyDescent="0.25">
      <c r="A1101" t="s">
        <v>111</v>
      </c>
      <c r="B1101" s="10">
        <f>VLOOKUP(A1101,'Datos generales'!A:B,2,0)</f>
        <v>45318.705555555563</v>
      </c>
      <c r="C1101" s="12">
        <f>VLOOKUP(A1101,'Datos generales'!A:H,8,0)</f>
        <v>934.98</v>
      </c>
      <c r="D1101" s="12" t="str">
        <f t="shared" si="34"/>
        <v>enero</v>
      </c>
      <c r="E1101" s="33">
        <f t="shared" si="35"/>
        <v>2024</v>
      </c>
    </row>
    <row r="1102" spans="1:5" x14ac:dyDescent="0.25">
      <c r="A1102" t="s">
        <v>112</v>
      </c>
      <c r="B1102" s="10">
        <f>VLOOKUP(A1102,'Datos generales'!A:B,2,0)</f>
        <v>45595.668055555558</v>
      </c>
      <c r="C1102" s="12">
        <f>VLOOKUP(A1102,'Datos generales'!A:H,8,0)</f>
        <v>745.45</v>
      </c>
      <c r="D1102" s="12" t="str">
        <f t="shared" si="34"/>
        <v>octubre</v>
      </c>
      <c r="E1102" s="33">
        <f t="shared" si="35"/>
        <v>2024</v>
      </c>
    </row>
    <row r="1103" spans="1:5" x14ac:dyDescent="0.25">
      <c r="A1103" t="s">
        <v>113</v>
      </c>
      <c r="B1103" s="10">
        <f>VLOOKUP(A1103,'Datos generales'!A:B,2,0)</f>
        <v>44984.418055555558</v>
      </c>
      <c r="C1103" s="12">
        <f>VLOOKUP(A1103,'Datos generales'!A:H,8,0)</f>
        <v>9427.4</v>
      </c>
      <c r="D1103" s="12" t="str">
        <f t="shared" si="34"/>
        <v>febrero</v>
      </c>
      <c r="E1103" s="33">
        <f t="shared" si="35"/>
        <v>2023</v>
      </c>
    </row>
    <row r="1104" spans="1:5" x14ac:dyDescent="0.25">
      <c r="A1104" t="s">
        <v>114</v>
      </c>
      <c r="B1104" s="10">
        <f>VLOOKUP(A1104,'Datos generales'!A:B,2,0)</f>
        <v>45153.455555555563</v>
      </c>
      <c r="C1104" s="12">
        <f>VLOOKUP(A1104,'Datos generales'!A:H,8,0)</f>
        <v>4775.76</v>
      </c>
      <c r="D1104" s="12" t="str">
        <f t="shared" si="34"/>
        <v>agosto</v>
      </c>
      <c r="E1104" s="33">
        <f t="shared" si="35"/>
        <v>2023</v>
      </c>
    </row>
    <row r="1105" spans="1:5" x14ac:dyDescent="0.25">
      <c r="A1105" t="s">
        <v>115</v>
      </c>
      <c r="B1105" s="10">
        <f>VLOOKUP(A1105,'Datos generales'!A:B,2,0)</f>
        <v>45919.24722222222</v>
      </c>
      <c r="C1105" s="12">
        <f>VLOOKUP(A1105,'Datos generales'!A:H,8,0)</f>
        <v>6916.65</v>
      </c>
      <c r="D1105" s="12" t="str">
        <f t="shared" si="34"/>
        <v>septiembre</v>
      </c>
      <c r="E1105" s="33">
        <f t="shared" si="35"/>
        <v>2025</v>
      </c>
    </row>
    <row r="1106" spans="1:5" x14ac:dyDescent="0.25">
      <c r="A1106" t="s">
        <v>116</v>
      </c>
      <c r="B1106" s="10">
        <f>VLOOKUP(A1106,'Datos generales'!A:B,2,0)</f>
        <v>45815.543055555558</v>
      </c>
      <c r="C1106" s="12">
        <f>VLOOKUP(A1106,'Datos generales'!A:H,8,0)</f>
        <v>2102.46</v>
      </c>
      <c r="D1106" s="12" t="str">
        <f t="shared" si="34"/>
        <v>junio</v>
      </c>
      <c r="E1106" s="33">
        <f t="shared" si="35"/>
        <v>2025</v>
      </c>
    </row>
    <row r="1107" spans="1:5" x14ac:dyDescent="0.25">
      <c r="A1107" t="s">
        <v>117</v>
      </c>
      <c r="B1107" s="10">
        <f>VLOOKUP(A1107,'Datos generales'!A:B,2,0)</f>
        <v>45255.4</v>
      </c>
      <c r="C1107" s="12">
        <f>VLOOKUP(A1107,'Datos generales'!A:H,8,0)</f>
        <v>5097.84</v>
      </c>
      <c r="D1107" s="12" t="str">
        <f t="shared" si="34"/>
        <v>noviembre</v>
      </c>
      <c r="E1107" s="33">
        <f t="shared" si="35"/>
        <v>2023</v>
      </c>
    </row>
    <row r="1108" spans="1:5" x14ac:dyDescent="0.25">
      <c r="A1108" t="s">
        <v>118</v>
      </c>
      <c r="B1108" s="10">
        <f>VLOOKUP(A1108,'Datos generales'!A:B,2,0)</f>
        <v>45754.797222222223</v>
      </c>
      <c r="C1108" s="12">
        <f>VLOOKUP(A1108,'Datos generales'!A:H,8,0)</f>
        <v>1251.08</v>
      </c>
      <c r="D1108" s="12" t="str">
        <f t="shared" si="34"/>
        <v>abril</v>
      </c>
      <c r="E1108" s="33">
        <f t="shared" si="35"/>
        <v>2025</v>
      </c>
    </row>
    <row r="1109" spans="1:5" x14ac:dyDescent="0.25">
      <c r="A1109" t="s">
        <v>119</v>
      </c>
      <c r="B1109" s="10">
        <f>VLOOKUP(A1109,'Datos generales'!A:B,2,0)</f>
        <v>45764.185416666667</v>
      </c>
      <c r="C1109" s="12">
        <f>VLOOKUP(A1109,'Datos generales'!A:H,8,0)</f>
        <v>7911</v>
      </c>
      <c r="D1109" s="12" t="str">
        <f t="shared" si="34"/>
        <v>abril</v>
      </c>
      <c r="E1109" s="33">
        <f t="shared" si="35"/>
        <v>2025</v>
      </c>
    </row>
    <row r="1110" spans="1:5" x14ac:dyDescent="0.25">
      <c r="A1110" t="s">
        <v>120</v>
      </c>
      <c r="B1110" s="10">
        <f>VLOOKUP(A1110,'Datos generales'!A:B,2,0)</f>
        <v>45240.82916666667</v>
      </c>
      <c r="C1110" s="12">
        <f>VLOOKUP(A1110,'Datos generales'!A:H,8,0)</f>
        <v>81.92</v>
      </c>
      <c r="D1110" s="12" t="str">
        <f t="shared" si="34"/>
        <v>noviembre</v>
      </c>
      <c r="E1110" s="33">
        <f t="shared" si="35"/>
        <v>2023</v>
      </c>
    </row>
    <row r="1111" spans="1:5" x14ac:dyDescent="0.25">
      <c r="A1111" t="s">
        <v>121</v>
      </c>
      <c r="B1111" s="10">
        <f>VLOOKUP(A1111,'Datos generales'!A:B,2,0)</f>
        <v>45634.470138888893</v>
      </c>
      <c r="C1111" s="12">
        <f>VLOOKUP(A1111,'Datos generales'!A:H,8,0)</f>
        <v>1153.31</v>
      </c>
      <c r="D1111" s="12" t="str">
        <f t="shared" si="34"/>
        <v>diciembre</v>
      </c>
      <c r="E1111" s="33">
        <f t="shared" si="35"/>
        <v>2024</v>
      </c>
    </row>
    <row r="1112" spans="1:5" x14ac:dyDescent="0.25">
      <c r="A1112" t="s">
        <v>122</v>
      </c>
      <c r="B1112" s="10">
        <f>VLOOKUP(A1112,'Datos generales'!A:B,2,0)</f>
        <v>45913.939583333333</v>
      </c>
      <c r="C1112" s="12">
        <f>VLOOKUP(A1112,'Datos generales'!A:H,8,0)</f>
        <v>3234.24</v>
      </c>
      <c r="D1112" s="12" t="str">
        <f t="shared" si="34"/>
        <v>septiembre</v>
      </c>
      <c r="E1112" s="33">
        <f t="shared" si="35"/>
        <v>2025</v>
      </c>
    </row>
    <row r="1113" spans="1:5" x14ac:dyDescent="0.25">
      <c r="A1113" t="s">
        <v>123</v>
      </c>
      <c r="B1113" s="10">
        <f>VLOOKUP(A1113,'Datos generales'!A:B,2,0)</f>
        <v>45526.149305555547</v>
      </c>
      <c r="C1113" s="12">
        <f>VLOOKUP(A1113,'Datos generales'!A:H,8,0)</f>
        <v>201.91</v>
      </c>
      <c r="D1113" s="12" t="str">
        <f t="shared" si="34"/>
        <v>agosto</v>
      </c>
      <c r="E1113" s="33">
        <f t="shared" si="35"/>
        <v>2024</v>
      </c>
    </row>
    <row r="1114" spans="1:5" x14ac:dyDescent="0.25">
      <c r="A1114" t="s">
        <v>124</v>
      </c>
      <c r="B1114" s="10">
        <f>VLOOKUP(A1114,'Datos generales'!A:B,2,0)</f>
        <v>45487.067361111112</v>
      </c>
      <c r="C1114" s="12">
        <f>VLOOKUP(A1114,'Datos generales'!A:H,8,0)</f>
        <v>2182.08</v>
      </c>
      <c r="D1114" s="12" t="str">
        <f t="shared" si="34"/>
        <v>julio</v>
      </c>
      <c r="E1114" s="33">
        <f t="shared" si="35"/>
        <v>2024</v>
      </c>
    </row>
    <row r="1115" spans="1:5" x14ac:dyDescent="0.25">
      <c r="A1115" t="s">
        <v>125</v>
      </c>
      <c r="B1115" s="10">
        <f>VLOOKUP(A1115,'Datos generales'!A:B,2,0)</f>
        <v>45281.986805555563</v>
      </c>
      <c r="C1115" s="12">
        <f>VLOOKUP(A1115,'Datos generales'!A:H,8,0)</f>
        <v>4936.29</v>
      </c>
      <c r="D1115" s="12" t="str">
        <f t="shared" si="34"/>
        <v>diciembre</v>
      </c>
      <c r="E1115" s="33">
        <f t="shared" si="35"/>
        <v>2023</v>
      </c>
    </row>
    <row r="1116" spans="1:5" x14ac:dyDescent="0.25">
      <c r="A1116" t="s">
        <v>126</v>
      </c>
      <c r="B1116" s="10">
        <f>VLOOKUP(A1116,'Datos generales'!A:B,2,0)</f>
        <v>45468.378472222219</v>
      </c>
      <c r="C1116" s="12">
        <f>VLOOKUP(A1116,'Datos generales'!A:H,8,0)</f>
        <v>1260.1500000000001</v>
      </c>
      <c r="D1116" s="12" t="str">
        <f t="shared" si="34"/>
        <v>junio</v>
      </c>
      <c r="E1116" s="33">
        <f t="shared" si="35"/>
        <v>2024</v>
      </c>
    </row>
    <row r="1117" spans="1:5" x14ac:dyDescent="0.25">
      <c r="A1117" t="s">
        <v>127</v>
      </c>
      <c r="B1117" s="10">
        <f>VLOOKUP(A1117,'Datos generales'!A:B,2,0)</f>
        <v>45529.436805555553</v>
      </c>
      <c r="C1117" s="12">
        <f>VLOOKUP(A1117,'Datos generales'!A:H,8,0)</f>
        <v>1987.6</v>
      </c>
      <c r="D1117" s="12" t="str">
        <f t="shared" si="34"/>
        <v>agosto</v>
      </c>
      <c r="E1117" s="33">
        <f t="shared" si="35"/>
        <v>2024</v>
      </c>
    </row>
    <row r="1118" spans="1:5" x14ac:dyDescent="0.25">
      <c r="A1118" t="s">
        <v>128</v>
      </c>
      <c r="B1118" s="10">
        <f>VLOOKUP(A1118,'Datos generales'!A:B,2,0)</f>
        <v>44961.01666666667</v>
      </c>
      <c r="C1118" s="12">
        <f>VLOOKUP(A1118,'Datos generales'!A:H,8,0)</f>
        <v>1443.12</v>
      </c>
      <c r="D1118" s="12" t="str">
        <f t="shared" si="34"/>
        <v>febrero</v>
      </c>
      <c r="E1118" s="33">
        <f t="shared" si="35"/>
        <v>2023</v>
      </c>
    </row>
    <row r="1119" spans="1:5" x14ac:dyDescent="0.25">
      <c r="A1119" t="s">
        <v>129</v>
      </c>
      <c r="B1119" s="10">
        <f>VLOOKUP(A1119,'Datos generales'!A:B,2,0)</f>
        <v>45041.746527777781</v>
      </c>
      <c r="C1119" s="12">
        <f>VLOOKUP(A1119,'Datos generales'!A:H,8,0)</f>
        <v>5415.6</v>
      </c>
      <c r="D1119" s="12" t="str">
        <f t="shared" si="34"/>
        <v>abril</v>
      </c>
      <c r="E1119" s="33">
        <f t="shared" si="35"/>
        <v>2023</v>
      </c>
    </row>
    <row r="1120" spans="1:5" x14ac:dyDescent="0.25">
      <c r="A1120" t="s">
        <v>130</v>
      </c>
      <c r="B1120" s="10">
        <f>VLOOKUP(A1120,'Datos generales'!A:B,2,0)</f>
        <v>45400.756249999999</v>
      </c>
      <c r="C1120" s="12">
        <f>VLOOKUP(A1120,'Datos generales'!A:H,8,0)</f>
        <v>859.04</v>
      </c>
      <c r="D1120" s="12" t="str">
        <f t="shared" si="34"/>
        <v>abril</v>
      </c>
      <c r="E1120" s="33">
        <f t="shared" si="35"/>
        <v>2024</v>
      </c>
    </row>
    <row r="1121" spans="1:5" x14ac:dyDescent="0.25">
      <c r="A1121" t="s">
        <v>131</v>
      </c>
      <c r="B1121" s="10">
        <f>VLOOKUP(A1121,'Datos generales'!A:B,2,0)</f>
        <v>45465.772916666669</v>
      </c>
      <c r="C1121" s="12">
        <f>VLOOKUP(A1121,'Datos generales'!A:H,8,0)</f>
        <v>3649.92</v>
      </c>
      <c r="D1121" s="12" t="str">
        <f t="shared" si="34"/>
        <v>junio</v>
      </c>
      <c r="E1121" s="33">
        <f t="shared" si="35"/>
        <v>2024</v>
      </c>
    </row>
    <row r="1122" spans="1:5" x14ac:dyDescent="0.25">
      <c r="A1122" t="s">
        <v>132</v>
      </c>
      <c r="B1122" s="10">
        <f>VLOOKUP(A1122,'Datos generales'!A:B,2,0)</f>
        <v>45316.202777777777</v>
      </c>
      <c r="C1122" s="12">
        <f>VLOOKUP(A1122,'Datos generales'!A:H,8,0)</f>
        <v>5299.0499999999993</v>
      </c>
      <c r="D1122" s="12" t="str">
        <f t="shared" si="34"/>
        <v>enero</v>
      </c>
      <c r="E1122" s="33">
        <f t="shared" si="35"/>
        <v>2024</v>
      </c>
    </row>
    <row r="1123" spans="1:5" x14ac:dyDescent="0.25">
      <c r="A1123" t="s">
        <v>133</v>
      </c>
      <c r="B1123" s="10">
        <f>VLOOKUP(A1123,'Datos generales'!A:B,2,0)</f>
        <v>45118.634722222218</v>
      </c>
      <c r="C1123" s="12">
        <f>VLOOKUP(A1123,'Datos generales'!A:H,8,0)</f>
        <v>185.56</v>
      </c>
      <c r="D1123" s="12" t="str">
        <f t="shared" si="34"/>
        <v>julio</v>
      </c>
      <c r="E1123" s="33">
        <f t="shared" si="35"/>
        <v>2023</v>
      </c>
    </row>
    <row r="1124" spans="1:5" x14ac:dyDescent="0.25">
      <c r="A1124" t="s">
        <v>134</v>
      </c>
      <c r="B1124" s="10">
        <f>VLOOKUP(A1124,'Datos generales'!A:B,2,0)</f>
        <v>45232.75</v>
      </c>
      <c r="C1124" s="12">
        <f>VLOOKUP(A1124,'Datos generales'!A:H,8,0)</f>
        <v>754.07</v>
      </c>
      <c r="D1124" s="12" t="str">
        <f t="shared" si="34"/>
        <v>noviembre</v>
      </c>
      <c r="E1124" s="33">
        <f t="shared" si="35"/>
        <v>2023</v>
      </c>
    </row>
    <row r="1125" spans="1:5" x14ac:dyDescent="0.25">
      <c r="A1125" t="s">
        <v>135</v>
      </c>
      <c r="B1125" s="10">
        <f>VLOOKUP(A1125,'Datos generales'!A:B,2,0)</f>
        <v>45745.421527777777</v>
      </c>
      <c r="C1125" s="12">
        <f>VLOOKUP(A1125,'Datos generales'!A:H,8,0)</f>
        <v>1681.02</v>
      </c>
      <c r="D1125" s="12" t="str">
        <f t="shared" si="34"/>
        <v>marzo</v>
      </c>
      <c r="E1125" s="33">
        <f t="shared" si="35"/>
        <v>2025</v>
      </c>
    </row>
    <row r="1126" spans="1:5" x14ac:dyDescent="0.25">
      <c r="A1126" t="s">
        <v>136</v>
      </c>
      <c r="B1126" s="10">
        <f>VLOOKUP(A1126,'Datos generales'!A:B,2,0)</f>
        <v>45802.370833333327</v>
      </c>
      <c r="C1126" s="12">
        <f>VLOOKUP(A1126,'Datos generales'!A:H,8,0)</f>
        <v>2397.44</v>
      </c>
      <c r="D1126" s="12" t="str">
        <f t="shared" si="34"/>
        <v>mayo</v>
      </c>
      <c r="E1126" s="33">
        <f t="shared" si="35"/>
        <v>2025</v>
      </c>
    </row>
    <row r="1127" spans="1:5" x14ac:dyDescent="0.25">
      <c r="A1127" t="s">
        <v>137</v>
      </c>
      <c r="B1127" s="10">
        <f>VLOOKUP(A1127,'Datos generales'!A:B,2,0)</f>
        <v>45249.604861111111</v>
      </c>
      <c r="C1127" s="12">
        <f>VLOOKUP(A1127,'Datos generales'!A:H,8,0)</f>
        <v>2080.4</v>
      </c>
      <c r="D1127" s="12" t="str">
        <f t="shared" si="34"/>
        <v>noviembre</v>
      </c>
      <c r="E1127" s="33">
        <f t="shared" si="35"/>
        <v>2023</v>
      </c>
    </row>
    <row r="1128" spans="1:5" x14ac:dyDescent="0.25">
      <c r="A1128" t="s">
        <v>138</v>
      </c>
      <c r="B1128" s="10">
        <f>VLOOKUP(A1128,'Datos generales'!A:B,2,0)</f>
        <v>45854.013194444437</v>
      </c>
      <c r="C1128" s="12">
        <f>VLOOKUP(A1128,'Datos generales'!A:H,8,0)</f>
        <v>322.58999999999997</v>
      </c>
      <c r="D1128" s="12" t="str">
        <f t="shared" si="34"/>
        <v>julio</v>
      </c>
      <c r="E1128" s="33">
        <f t="shared" si="35"/>
        <v>2025</v>
      </c>
    </row>
    <row r="1129" spans="1:5" x14ac:dyDescent="0.25">
      <c r="A1129" t="s">
        <v>139</v>
      </c>
      <c r="B1129" s="10">
        <f>VLOOKUP(A1129,'Datos generales'!A:B,2,0)</f>
        <v>45828.018055555563</v>
      </c>
      <c r="C1129" s="12">
        <f>VLOOKUP(A1129,'Datos generales'!A:H,8,0)</f>
        <v>1522.64</v>
      </c>
      <c r="D1129" s="12" t="str">
        <f t="shared" si="34"/>
        <v>junio</v>
      </c>
      <c r="E1129" s="33">
        <f t="shared" si="35"/>
        <v>2025</v>
      </c>
    </row>
    <row r="1130" spans="1:5" x14ac:dyDescent="0.25">
      <c r="A1130" t="s">
        <v>140</v>
      </c>
      <c r="B1130" s="10">
        <f>VLOOKUP(A1130,'Datos generales'!A:B,2,0)</f>
        <v>45673.40902777778</v>
      </c>
      <c r="C1130" s="12">
        <f>VLOOKUP(A1130,'Datos generales'!A:H,8,0)</f>
        <v>1400.22</v>
      </c>
      <c r="D1130" s="12" t="str">
        <f t="shared" si="34"/>
        <v>enero</v>
      </c>
      <c r="E1130" s="33">
        <f t="shared" si="35"/>
        <v>2025</v>
      </c>
    </row>
    <row r="1131" spans="1:5" x14ac:dyDescent="0.25">
      <c r="A1131" t="s">
        <v>141</v>
      </c>
      <c r="B1131" s="10">
        <f>VLOOKUP(A1131,'Datos generales'!A:B,2,0)</f>
        <v>44932.951388888891</v>
      </c>
      <c r="C1131" s="12">
        <f>VLOOKUP(A1131,'Datos generales'!A:H,8,0)</f>
        <v>1792.4</v>
      </c>
      <c r="D1131" s="12" t="str">
        <f t="shared" si="34"/>
        <v>enero</v>
      </c>
      <c r="E1131" s="33">
        <f t="shared" si="35"/>
        <v>2023</v>
      </c>
    </row>
    <row r="1132" spans="1:5" x14ac:dyDescent="0.25">
      <c r="A1132" t="s">
        <v>142</v>
      </c>
      <c r="B1132" s="10">
        <f>VLOOKUP(A1132,'Datos generales'!A:B,2,0)</f>
        <v>45381.871527777781</v>
      </c>
      <c r="C1132" s="12">
        <f>VLOOKUP(A1132,'Datos generales'!A:H,8,0)</f>
        <v>2986.4</v>
      </c>
      <c r="D1132" s="12" t="str">
        <f t="shared" si="34"/>
        <v>marzo</v>
      </c>
      <c r="E1132" s="33">
        <f t="shared" si="35"/>
        <v>2024</v>
      </c>
    </row>
    <row r="1133" spans="1:5" x14ac:dyDescent="0.25">
      <c r="A1133" t="s">
        <v>143</v>
      </c>
      <c r="B1133" s="10">
        <f>VLOOKUP(A1133,'Datos generales'!A:B,2,0)</f>
        <v>45450.97152777778</v>
      </c>
      <c r="C1133" s="12">
        <f>VLOOKUP(A1133,'Datos generales'!A:H,8,0)</f>
        <v>751.43</v>
      </c>
      <c r="D1133" s="12" t="str">
        <f t="shared" si="34"/>
        <v>junio</v>
      </c>
      <c r="E1133" s="33">
        <f t="shared" si="35"/>
        <v>2024</v>
      </c>
    </row>
    <row r="1134" spans="1:5" x14ac:dyDescent="0.25">
      <c r="A1134" t="s">
        <v>144</v>
      </c>
      <c r="B1134" s="10">
        <f>VLOOKUP(A1134,'Datos generales'!A:B,2,0)</f>
        <v>45122.813888888893</v>
      </c>
      <c r="C1134" s="12">
        <f>VLOOKUP(A1134,'Datos generales'!A:H,8,0)</f>
        <v>5545.4</v>
      </c>
      <c r="D1134" s="12" t="str">
        <f t="shared" si="34"/>
        <v>julio</v>
      </c>
      <c r="E1134" s="33">
        <f t="shared" si="35"/>
        <v>2023</v>
      </c>
    </row>
    <row r="1135" spans="1:5" x14ac:dyDescent="0.25">
      <c r="A1135" t="s">
        <v>145</v>
      </c>
      <c r="B1135" s="10">
        <f>VLOOKUP(A1135,'Datos generales'!A:B,2,0)</f>
        <v>45329.842361111107</v>
      </c>
      <c r="C1135" s="12">
        <f>VLOOKUP(A1135,'Datos generales'!A:H,8,0)</f>
        <v>3213.7</v>
      </c>
      <c r="D1135" s="12" t="str">
        <f t="shared" si="34"/>
        <v>febrero</v>
      </c>
      <c r="E1135" s="33">
        <f t="shared" si="35"/>
        <v>2024</v>
      </c>
    </row>
    <row r="1136" spans="1:5" x14ac:dyDescent="0.25">
      <c r="A1136" t="s">
        <v>146</v>
      </c>
      <c r="B1136" s="10">
        <f>VLOOKUP(A1136,'Datos generales'!A:B,2,0)</f>
        <v>45615.539583333331</v>
      </c>
      <c r="C1136" s="12">
        <f>VLOOKUP(A1136,'Datos generales'!A:H,8,0)</f>
        <v>1228.6500000000001</v>
      </c>
      <c r="D1136" s="12" t="str">
        <f t="shared" si="34"/>
        <v>noviembre</v>
      </c>
      <c r="E1136" s="33">
        <f t="shared" si="35"/>
        <v>2024</v>
      </c>
    </row>
    <row r="1137" spans="1:5" x14ac:dyDescent="0.25">
      <c r="A1137" t="s">
        <v>147</v>
      </c>
      <c r="B1137" s="10">
        <f>VLOOKUP(A1137,'Datos generales'!A:B,2,0)</f>
        <v>45222.775694444441</v>
      </c>
      <c r="C1137" s="12">
        <f>VLOOKUP(A1137,'Datos generales'!A:H,8,0)</f>
        <v>5346.39</v>
      </c>
      <c r="D1137" s="12" t="str">
        <f t="shared" si="34"/>
        <v>octubre</v>
      </c>
      <c r="E1137" s="33">
        <f t="shared" si="35"/>
        <v>2023</v>
      </c>
    </row>
    <row r="1138" spans="1:5" x14ac:dyDescent="0.25">
      <c r="A1138" t="s">
        <v>148</v>
      </c>
      <c r="B1138" s="10">
        <f>VLOOKUP(A1138,'Datos generales'!A:B,2,0)</f>
        <v>45525.048611111109</v>
      </c>
      <c r="C1138" s="12">
        <f>VLOOKUP(A1138,'Datos generales'!A:H,8,0)</f>
        <v>5685.7000000000007</v>
      </c>
      <c r="D1138" s="12" t="str">
        <f t="shared" si="34"/>
        <v>agosto</v>
      </c>
      <c r="E1138" s="33">
        <f t="shared" si="35"/>
        <v>2024</v>
      </c>
    </row>
    <row r="1139" spans="1:5" x14ac:dyDescent="0.25">
      <c r="A1139" t="s">
        <v>149</v>
      </c>
      <c r="B1139" s="10">
        <f>VLOOKUP(A1139,'Datos generales'!A:B,2,0)</f>
        <v>45520.686111111107</v>
      </c>
      <c r="C1139" s="12">
        <f>VLOOKUP(A1139,'Datos generales'!A:H,8,0)</f>
        <v>3866.88</v>
      </c>
      <c r="D1139" s="12" t="str">
        <f t="shared" si="34"/>
        <v>agosto</v>
      </c>
      <c r="E1139" s="33">
        <f t="shared" si="35"/>
        <v>2024</v>
      </c>
    </row>
    <row r="1140" spans="1:5" x14ac:dyDescent="0.25">
      <c r="A1140" t="s">
        <v>150</v>
      </c>
      <c r="B1140" s="10">
        <f>VLOOKUP(A1140,'Datos generales'!A:B,2,0)</f>
        <v>45484.331944444442</v>
      </c>
      <c r="C1140" s="12">
        <f>VLOOKUP(A1140,'Datos generales'!A:H,8,0)</f>
        <v>3774.4</v>
      </c>
      <c r="D1140" s="12" t="str">
        <f t="shared" si="34"/>
        <v>julio</v>
      </c>
      <c r="E1140" s="33">
        <f t="shared" si="35"/>
        <v>2024</v>
      </c>
    </row>
    <row r="1141" spans="1:5" x14ac:dyDescent="0.25">
      <c r="A1141" t="s">
        <v>151</v>
      </c>
      <c r="B1141" s="10">
        <f>VLOOKUP(A1141,'Datos generales'!A:B,2,0)</f>
        <v>45842.433333333327</v>
      </c>
      <c r="C1141" s="12">
        <f>VLOOKUP(A1141,'Datos generales'!A:H,8,0)</f>
        <v>3610</v>
      </c>
      <c r="D1141" s="12" t="str">
        <f t="shared" si="34"/>
        <v>julio</v>
      </c>
      <c r="E1141" s="33">
        <f t="shared" si="35"/>
        <v>2025</v>
      </c>
    </row>
    <row r="1142" spans="1:5" x14ac:dyDescent="0.25">
      <c r="A1142" t="s">
        <v>152</v>
      </c>
      <c r="B1142" s="10">
        <f>VLOOKUP(A1142,'Datos generales'!A:B,2,0)</f>
        <v>45697.842361111107</v>
      </c>
      <c r="C1142" s="12">
        <f>VLOOKUP(A1142,'Datos generales'!A:H,8,0)</f>
        <v>156.36000000000001</v>
      </c>
      <c r="D1142" s="12" t="str">
        <f t="shared" si="34"/>
        <v>febrero</v>
      </c>
      <c r="E1142" s="33">
        <f t="shared" si="35"/>
        <v>2025</v>
      </c>
    </row>
    <row r="1143" spans="1:5" x14ac:dyDescent="0.25">
      <c r="A1143" t="s">
        <v>153</v>
      </c>
      <c r="B1143" s="10">
        <f>VLOOKUP(A1143,'Datos generales'!A:B,2,0)</f>
        <v>45927.180555555547</v>
      </c>
      <c r="C1143" s="12">
        <f>VLOOKUP(A1143,'Datos generales'!A:H,8,0)</f>
        <v>3230.82</v>
      </c>
      <c r="D1143" s="12" t="str">
        <f t="shared" si="34"/>
        <v>septiembre</v>
      </c>
      <c r="E1143" s="33">
        <f t="shared" si="35"/>
        <v>2025</v>
      </c>
    </row>
    <row r="1144" spans="1:5" x14ac:dyDescent="0.25">
      <c r="A1144" t="s">
        <v>154</v>
      </c>
      <c r="B1144" s="10">
        <f>VLOOKUP(A1144,'Datos generales'!A:B,2,0)</f>
        <v>45511.748611111107</v>
      </c>
      <c r="C1144" s="12">
        <f>VLOOKUP(A1144,'Datos generales'!A:H,8,0)</f>
        <v>747.69999999999993</v>
      </c>
      <c r="D1144" s="12" t="str">
        <f t="shared" si="34"/>
        <v>agosto</v>
      </c>
      <c r="E1144" s="33">
        <f t="shared" si="35"/>
        <v>2024</v>
      </c>
    </row>
    <row r="1145" spans="1:5" x14ac:dyDescent="0.25">
      <c r="A1145" t="s">
        <v>155</v>
      </c>
      <c r="B1145" s="10">
        <f>VLOOKUP(A1145,'Datos generales'!A:B,2,0)</f>
        <v>45867.710416666669</v>
      </c>
      <c r="C1145" s="12">
        <f>VLOOKUP(A1145,'Datos generales'!A:H,8,0)</f>
        <v>4776.95</v>
      </c>
      <c r="D1145" s="12" t="str">
        <f t="shared" si="34"/>
        <v>julio</v>
      </c>
      <c r="E1145" s="33">
        <f t="shared" si="35"/>
        <v>2025</v>
      </c>
    </row>
    <row r="1146" spans="1:5" x14ac:dyDescent="0.25">
      <c r="A1146" t="s">
        <v>156</v>
      </c>
      <c r="B1146" s="10">
        <f>VLOOKUP(A1146,'Datos generales'!A:B,2,0)</f>
        <v>45339.555555555547</v>
      </c>
      <c r="C1146" s="12">
        <f>VLOOKUP(A1146,'Datos generales'!A:H,8,0)</f>
        <v>3927.26</v>
      </c>
      <c r="D1146" s="12" t="str">
        <f t="shared" si="34"/>
        <v>febrero</v>
      </c>
      <c r="E1146" s="33">
        <f t="shared" si="35"/>
        <v>2024</v>
      </c>
    </row>
    <row r="1147" spans="1:5" x14ac:dyDescent="0.25">
      <c r="A1147" t="s">
        <v>157</v>
      </c>
      <c r="B1147" s="10">
        <f>VLOOKUP(A1147,'Datos generales'!A:B,2,0)</f>
        <v>45538.998611111107</v>
      </c>
      <c r="C1147" s="12">
        <f>VLOOKUP(A1147,'Datos generales'!A:H,8,0)</f>
        <v>7200.7000000000007</v>
      </c>
      <c r="D1147" s="12" t="str">
        <f t="shared" si="34"/>
        <v>septiembre</v>
      </c>
      <c r="E1147" s="33">
        <f t="shared" si="35"/>
        <v>2024</v>
      </c>
    </row>
    <row r="1148" spans="1:5" x14ac:dyDescent="0.25">
      <c r="A1148" t="s">
        <v>158</v>
      </c>
      <c r="B1148" s="10">
        <f>VLOOKUP(A1148,'Datos generales'!A:B,2,0)</f>
        <v>45105.837500000001</v>
      </c>
      <c r="C1148" s="12">
        <f>VLOOKUP(A1148,'Datos generales'!A:H,8,0)</f>
        <v>1134.8</v>
      </c>
      <c r="D1148" s="12" t="str">
        <f t="shared" si="34"/>
        <v>junio</v>
      </c>
      <c r="E1148" s="33">
        <f t="shared" si="35"/>
        <v>2023</v>
      </c>
    </row>
    <row r="1149" spans="1:5" x14ac:dyDescent="0.25">
      <c r="A1149" t="s">
        <v>159</v>
      </c>
      <c r="B1149" s="10">
        <f>VLOOKUP(A1149,'Datos generales'!A:B,2,0)</f>
        <v>45470.283333333333</v>
      </c>
      <c r="C1149" s="12">
        <f>VLOOKUP(A1149,'Datos generales'!A:H,8,0)</f>
        <v>2062.5300000000002</v>
      </c>
      <c r="D1149" s="12" t="str">
        <f t="shared" si="34"/>
        <v>junio</v>
      </c>
      <c r="E1149" s="33">
        <f t="shared" si="35"/>
        <v>2024</v>
      </c>
    </row>
    <row r="1150" spans="1:5" x14ac:dyDescent="0.25">
      <c r="A1150" t="s">
        <v>160</v>
      </c>
      <c r="B1150" s="10">
        <f>VLOOKUP(A1150,'Datos generales'!A:B,2,0)</f>
        <v>45122.511805555558</v>
      </c>
      <c r="C1150" s="12">
        <f>VLOOKUP(A1150,'Datos generales'!A:H,8,0)</f>
        <v>564</v>
      </c>
      <c r="D1150" s="12" t="str">
        <f t="shared" si="34"/>
        <v>julio</v>
      </c>
      <c r="E1150" s="33">
        <f t="shared" si="35"/>
        <v>2023</v>
      </c>
    </row>
    <row r="1151" spans="1:5" x14ac:dyDescent="0.25">
      <c r="A1151" t="s">
        <v>161</v>
      </c>
      <c r="B1151" s="10">
        <f>VLOOKUP(A1151,'Datos generales'!A:B,2,0)</f>
        <v>45878.351388888892</v>
      </c>
      <c r="C1151" s="12">
        <f>VLOOKUP(A1151,'Datos generales'!A:H,8,0)</f>
        <v>5885.52</v>
      </c>
      <c r="D1151" s="12" t="str">
        <f t="shared" si="34"/>
        <v>agosto</v>
      </c>
      <c r="E1151" s="33">
        <f t="shared" si="35"/>
        <v>2025</v>
      </c>
    </row>
    <row r="1152" spans="1:5" x14ac:dyDescent="0.25">
      <c r="A1152" t="s">
        <v>162</v>
      </c>
      <c r="B1152" s="10">
        <f>VLOOKUP(A1152,'Datos generales'!A:B,2,0)</f>
        <v>45894.257638888892</v>
      </c>
      <c r="C1152" s="12">
        <f>VLOOKUP(A1152,'Datos generales'!A:H,8,0)</f>
        <v>1463.91</v>
      </c>
      <c r="D1152" s="12" t="str">
        <f t="shared" si="34"/>
        <v>agosto</v>
      </c>
      <c r="E1152" s="33">
        <f t="shared" si="35"/>
        <v>2025</v>
      </c>
    </row>
    <row r="1153" spans="1:5" x14ac:dyDescent="0.25">
      <c r="A1153" t="s">
        <v>163</v>
      </c>
      <c r="B1153" s="10">
        <f>VLOOKUP(A1153,'Datos generales'!A:B,2,0)</f>
        <v>45321.105555555558</v>
      </c>
      <c r="C1153" s="12">
        <f>VLOOKUP(A1153,'Datos generales'!A:H,8,0)</f>
        <v>6341.96</v>
      </c>
      <c r="D1153" s="12" t="str">
        <f t="shared" si="34"/>
        <v>enero</v>
      </c>
      <c r="E1153" s="33">
        <f t="shared" si="35"/>
        <v>2024</v>
      </c>
    </row>
    <row r="1154" spans="1:5" x14ac:dyDescent="0.25">
      <c r="A1154" t="s">
        <v>164</v>
      </c>
      <c r="B1154" s="10">
        <f>VLOOKUP(A1154,'Datos generales'!A:B,2,0)</f>
        <v>45571.035416666673</v>
      </c>
      <c r="C1154" s="12">
        <f>VLOOKUP(A1154,'Datos generales'!A:H,8,0)</f>
        <v>662.17</v>
      </c>
      <c r="D1154" s="12" t="str">
        <f t="shared" si="34"/>
        <v>octubre</v>
      </c>
      <c r="E1154" s="33">
        <f t="shared" si="35"/>
        <v>2024</v>
      </c>
    </row>
    <row r="1155" spans="1:5" x14ac:dyDescent="0.25">
      <c r="A1155" t="s">
        <v>165</v>
      </c>
      <c r="B1155" s="10">
        <f>VLOOKUP(A1155,'Datos generales'!A:B,2,0)</f>
        <v>45442.757638888892</v>
      </c>
      <c r="C1155" s="12">
        <f>VLOOKUP(A1155,'Datos generales'!A:H,8,0)</f>
        <v>273.36</v>
      </c>
      <c r="D1155" s="12" t="str">
        <f t="shared" ref="D1155:D1218" si="36">TEXT(B1155,"mmmm")</f>
        <v>mayo</v>
      </c>
      <c r="E1155" s="33">
        <f t="shared" ref="E1155:E1218" si="37">YEAR(B1155)</f>
        <v>2024</v>
      </c>
    </row>
    <row r="1156" spans="1:5" x14ac:dyDescent="0.25">
      <c r="A1156" t="s">
        <v>166</v>
      </c>
      <c r="B1156" s="10">
        <f>VLOOKUP(A1156,'Datos generales'!A:B,2,0)</f>
        <v>45889.054166666669</v>
      </c>
      <c r="C1156" s="12">
        <f>VLOOKUP(A1156,'Datos generales'!A:H,8,0)</f>
        <v>474.56</v>
      </c>
      <c r="D1156" s="12" t="str">
        <f t="shared" si="36"/>
        <v>agosto</v>
      </c>
      <c r="E1156" s="33">
        <f t="shared" si="37"/>
        <v>2025</v>
      </c>
    </row>
    <row r="1157" spans="1:5" x14ac:dyDescent="0.25">
      <c r="A1157" t="s">
        <v>167</v>
      </c>
      <c r="B1157" s="10">
        <f>VLOOKUP(A1157,'Datos generales'!A:B,2,0)</f>
        <v>45468.727083333331</v>
      </c>
      <c r="C1157" s="12">
        <f>VLOOKUP(A1157,'Datos generales'!A:H,8,0)</f>
        <v>2800.47</v>
      </c>
      <c r="D1157" s="12" t="str">
        <f t="shared" si="36"/>
        <v>junio</v>
      </c>
      <c r="E1157" s="33">
        <f t="shared" si="37"/>
        <v>2024</v>
      </c>
    </row>
    <row r="1158" spans="1:5" x14ac:dyDescent="0.25">
      <c r="A1158" t="s">
        <v>168</v>
      </c>
      <c r="B1158" s="10">
        <f>VLOOKUP(A1158,'Datos generales'!A:B,2,0)</f>
        <v>45202.955555555563</v>
      </c>
      <c r="C1158" s="12">
        <f>VLOOKUP(A1158,'Datos generales'!A:H,8,0)</f>
        <v>2070.1799999999998</v>
      </c>
      <c r="D1158" s="12" t="str">
        <f t="shared" si="36"/>
        <v>octubre</v>
      </c>
      <c r="E1158" s="33">
        <f t="shared" si="37"/>
        <v>2023</v>
      </c>
    </row>
    <row r="1159" spans="1:5" x14ac:dyDescent="0.25">
      <c r="A1159" t="s">
        <v>169</v>
      </c>
      <c r="B1159" s="10">
        <f>VLOOKUP(A1159,'Datos generales'!A:B,2,0)</f>
        <v>45323.202777777777</v>
      </c>
      <c r="C1159" s="12">
        <f>VLOOKUP(A1159,'Datos generales'!A:H,8,0)</f>
        <v>2650.02</v>
      </c>
      <c r="D1159" s="12" t="str">
        <f t="shared" si="36"/>
        <v>febrero</v>
      </c>
      <c r="E1159" s="33">
        <f t="shared" si="37"/>
        <v>2024</v>
      </c>
    </row>
    <row r="1160" spans="1:5" x14ac:dyDescent="0.25">
      <c r="A1160" t="s">
        <v>170</v>
      </c>
      <c r="B1160" s="10">
        <f>VLOOKUP(A1160,'Datos generales'!A:B,2,0)</f>
        <v>45288.395833333343</v>
      </c>
      <c r="C1160" s="12">
        <f>VLOOKUP(A1160,'Datos generales'!A:H,8,0)</f>
        <v>2843.36</v>
      </c>
      <c r="D1160" s="12" t="str">
        <f t="shared" si="36"/>
        <v>diciembre</v>
      </c>
      <c r="E1160" s="33">
        <f t="shared" si="37"/>
        <v>2023</v>
      </c>
    </row>
    <row r="1161" spans="1:5" x14ac:dyDescent="0.25">
      <c r="A1161" t="s">
        <v>171</v>
      </c>
      <c r="B1161" s="10">
        <f>VLOOKUP(A1161,'Datos generales'!A:B,2,0)</f>
        <v>45900.337500000001</v>
      </c>
      <c r="C1161" s="12">
        <f>VLOOKUP(A1161,'Datos generales'!A:H,8,0)</f>
        <v>291.81</v>
      </c>
      <c r="D1161" s="12" t="str">
        <f t="shared" si="36"/>
        <v>agosto</v>
      </c>
      <c r="E1161" s="33">
        <f t="shared" si="37"/>
        <v>2025</v>
      </c>
    </row>
    <row r="1162" spans="1:5" x14ac:dyDescent="0.25">
      <c r="A1162" t="s">
        <v>172</v>
      </c>
      <c r="B1162" s="10">
        <f>VLOOKUP(A1162,'Datos generales'!A:B,2,0)</f>
        <v>45576.732638888891</v>
      </c>
      <c r="C1162" s="12">
        <f>VLOOKUP(A1162,'Datos generales'!A:H,8,0)</f>
        <v>2491.8000000000002</v>
      </c>
      <c r="D1162" s="12" t="str">
        <f t="shared" si="36"/>
        <v>octubre</v>
      </c>
      <c r="E1162" s="33">
        <f t="shared" si="37"/>
        <v>2024</v>
      </c>
    </row>
    <row r="1163" spans="1:5" x14ac:dyDescent="0.25">
      <c r="A1163" t="s">
        <v>173</v>
      </c>
      <c r="B1163" s="10">
        <f>VLOOKUP(A1163,'Datos generales'!A:B,2,0)</f>
        <v>45392.97152777778</v>
      </c>
      <c r="C1163" s="12">
        <f>VLOOKUP(A1163,'Datos generales'!A:H,8,0)</f>
        <v>4904.45</v>
      </c>
      <c r="D1163" s="12" t="str">
        <f t="shared" si="36"/>
        <v>abril</v>
      </c>
      <c r="E1163" s="33">
        <f t="shared" si="37"/>
        <v>2024</v>
      </c>
    </row>
    <row r="1164" spans="1:5" x14ac:dyDescent="0.25">
      <c r="A1164" t="s">
        <v>174</v>
      </c>
      <c r="B1164" s="10">
        <f>VLOOKUP(A1164,'Datos generales'!A:B,2,0)</f>
        <v>45584.049305555563</v>
      </c>
      <c r="C1164" s="12">
        <f>VLOOKUP(A1164,'Datos generales'!A:H,8,0)</f>
        <v>1390.33</v>
      </c>
      <c r="D1164" s="12" t="str">
        <f t="shared" si="36"/>
        <v>octubre</v>
      </c>
      <c r="E1164" s="33">
        <f t="shared" si="37"/>
        <v>2024</v>
      </c>
    </row>
    <row r="1165" spans="1:5" x14ac:dyDescent="0.25">
      <c r="A1165" t="s">
        <v>175</v>
      </c>
      <c r="B1165" s="10">
        <f>VLOOKUP(A1165,'Datos generales'!A:B,2,0)</f>
        <v>44941.657638888893</v>
      </c>
      <c r="C1165" s="12">
        <f>VLOOKUP(A1165,'Datos generales'!A:H,8,0)</f>
        <v>8540.4499999999989</v>
      </c>
      <c r="D1165" s="12" t="str">
        <f t="shared" si="36"/>
        <v>enero</v>
      </c>
      <c r="E1165" s="33">
        <f t="shared" si="37"/>
        <v>2023</v>
      </c>
    </row>
    <row r="1166" spans="1:5" x14ac:dyDescent="0.25">
      <c r="A1166" t="s">
        <v>176</v>
      </c>
      <c r="B1166" s="10">
        <f>VLOOKUP(A1166,'Datos generales'!A:B,2,0)</f>
        <v>45238.718055555553</v>
      </c>
      <c r="C1166" s="12">
        <f>VLOOKUP(A1166,'Datos generales'!A:H,8,0)</f>
        <v>1378.2</v>
      </c>
      <c r="D1166" s="12" t="str">
        <f t="shared" si="36"/>
        <v>noviembre</v>
      </c>
      <c r="E1166" s="33">
        <f t="shared" si="37"/>
        <v>2023</v>
      </c>
    </row>
    <row r="1167" spans="1:5" x14ac:dyDescent="0.25">
      <c r="A1167" t="s">
        <v>177</v>
      </c>
      <c r="B1167" s="10">
        <f>VLOOKUP(A1167,'Datos generales'!A:B,2,0)</f>
        <v>44973.59652777778</v>
      </c>
      <c r="C1167" s="12">
        <f>VLOOKUP(A1167,'Datos generales'!A:H,8,0)</f>
        <v>1578.33</v>
      </c>
      <c r="D1167" s="12" t="str">
        <f t="shared" si="36"/>
        <v>febrero</v>
      </c>
      <c r="E1167" s="33">
        <f t="shared" si="37"/>
        <v>2023</v>
      </c>
    </row>
    <row r="1168" spans="1:5" x14ac:dyDescent="0.25">
      <c r="A1168" t="s">
        <v>178</v>
      </c>
      <c r="B1168" s="10">
        <f>VLOOKUP(A1168,'Datos generales'!A:B,2,0)</f>
        <v>45445.690972222219</v>
      </c>
      <c r="C1168" s="12">
        <f>VLOOKUP(A1168,'Datos generales'!A:H,8,0)</f>
        <v>8011.9500000000007</v>
      </c>
      <c r="D1168" s="12" t="str">
        <f t="shared" si="36"/>
        <v>junio</v>
      </c>
      <c r="E1168" s="33">
        <f t="shared" si="37"/>
        <v>2024</v>
      </c>
    </row>
    <row r="1169" spans="1:5" x14ac:dyDescent="0.25">
      <c r="A1169" t="s">
        <v>179</v>
      </c>
      <c r="B1169" s="10">
        <f>VLOOKUP(A1169,'Datos generales'!A:B,2,0)</f>
        <v>45035.472916666673</v>
      </c>
      <c r="C1169" s="12">
        <f>VLOOKUP(A1169,'Datos generales'!A:H,8,0)</f>
        <v>1429.1</v>
      </c>
      <c r="D1169" s="12" t="str">
        <f t="shared" si="36"/>
        <v>abril</v>
      </c>
      <c r="E1169" s="33">
        <f t="shared" si="37"/>
        <v>2023</v>
      </c>
    </row>
    <row r="1170" spans="1:5" x14ac:dyDescent="0.25">
      <c r="A1170" t="s">
        <v>180</v>
      </c>
      <c r="B1170" s="10">
        <f>VLOOKUP(A1170,'Datos generales'!A:B,2,0)</f>
        <v>45836.104166666657</v>
      </c>
      <c r="C1170" s="12">
        <f>VLOOKUP(A1170,'Datos generales'!A:H,8,0)</f>
        <v>281.08</v>
      </c>
      <c r="D1170" s="12" t="str">
        <f t="shared" si="36"/>
        <v>junio</v>
      </c>
      <c r="E1170" s="33">
        <f t="shared" si="37"/>
        <v>2025</v>
      </c>
    </row>
    <row r="1171" spans="1:5" x14ac:dyDescent="0.25">
      <c r="A1171" t="s">
        <v>181</v>
      </c>
      <c r="B1171" s="10">
        <f>VLOOKUP(A1171,'Datos generales'!A:B,2,0)</f>
        <v>45584.553472222222</v>
      </c>
      <c r="C1171" s="12">
        <f>VLOOKUP(A1171,'Datos generales'!A:H,8,0)</f>
        <v>1434.35</v>
      </c>
      <c r="D1171" s="12" t="str">
        <f t="shared" si="36"/>
        <v>octubre</v>
      </c>
      <c r="E1171" s="33">
        <f t="shared" si="37"/>
        <v>2024</v>
      </c>
    </row>
    <row r="1172" spans="1:5" x14ac:dyDescent="0.25">
      <c r="A1172" t="s">
        <v>182</v>
      </c>
      <c r="B1172" s="10">
        <f>VLOOKUP(A1172,'Datos generales'!A:B,2,0)</f>
        <v>45338.585416666669</v>
      </c>
      <c r="C1172" s="12">
        <f>VLOOKUP(A1172,'Datos generales'!A:H,8,0)</f>
        <v>9489.85</v>
      </c>
      <c r="D1172" s="12" t="str">
        <f t="shared" si="36"/>
        <v>febrero</v>
      </c>
      <c r="E1172" s="33">
        <f t="shared" si="37"/>
        <v>2024</v>
      </c>
    </row>
    <row r="1173" spans="1:5" x14ac:dyDescent="0.25">
      <c r="A1173" t="s">
        <v>183</v>
      </c>
      <c r="B1173" s="10">
        <f>VLOOKUP(A1173,'Datos generales'!A:B,2,0)</f>
        <v>45625.480555555558</v>
      </c>
      <c r="C1173" s="12">
        <f>VLOOKUP(A1173,'Datos generales'!A:H,8,0)</f>
        <v>1175.42</v>
      </c>
      <c r="D1173" s="12" t="str">
        <f t="shared" si="36"/>
        <v>noviembre</v>
      </c>
      <c r="E1173" s="33">
        <f t="shared" si="37"/>
        <v>2024</v>
      </c>
    </row>
    <row r="1174" spans="1:5" x14ac:dyDescent="0.25">
      <c r="A1174" t="s">
        <v>184</v>
      </c>
      <c r="B1174" s="10">
        <f>VLOOKUP(A1174,'Datos generales'!A:B,2,0)</f>
        <v>45291</v>
      </c>
      <c r="C1174" s="12">
        <f>VLOOKUP(A1174,'Datos generales'!A:H,8,0)</f>
        <v>3580.52</v>
      </c>
      <c r="D1174" s="12" t="str">
        <f t="shared" si="36"/>
        <v>diciembre</v>
      </c>
      <c r="E1174" s="33">
        <f t="shared" si="37"/>
        <v>2023</v>
      </c>
    </row>
    <row r="1175" spans="1:5" x14ac:dyDescent="0.25">
      <c r="A1175" t="s">
        <v>185</v>
      </c>
      <c r="B1175" s="10">
        <f>VLOOKUP(A1175,'Datos generales'!A:B,2,0)</f>
        <v>45548.488194444442</v>
      </c>
      <c r="C1175" s="12">
        <f>VLOOKUP(A1175,'Datos generales'!A:H,8,0)</f>
        <v>4372.0499999999993</v>
      </c>
      <c r="D1175" s="12" t="str">
        <f t="shared" si="36"/>
        <v>septiembre</v>
      </c>
      <c r="E1175" s="33">
        <f t="shared" si="37"/>
        <v>2024</v>
      </c>
    </row>
    <row r="1176" spans="1:5" x14ac:dyDescent="0.25">
      <c r="A1176" t="s">
        <v>186</v>
      </c>
      <c r="B1176" s="10">
        <f>VLOOKUP(A1176,'Datos generales'!A:B,2,0)</f>
        <v>45540.261805555558</v>
      </c>
      <c r="C1176" s="12">
        <f>VLOOKUP(A1176,'Datos generales'!A:H,8,0)</f>
        <v>3249.96</v>
      </c>
      <c r="D1176" s="12" t="str">
        <f t="shared" si="36"/>
        <v>septiembre</v>
      </c>
      <c r="E1176" s="33">
        <f t="shared" si="37"/>
        <v>2024</v>
      </c>
    </row>
    <row r="1177" spans="1:5" x14ac:dyDescent="0.25">
      <c r="A1177" t="s">
        <v>187</v>
      </c>
      <c r="B1177" s="10">
        <f>VLOOKUP(A1177,'Datos generales'!A:B,2,0)</f>
        <v>45783.684027777781</v>
      </c>
      <c r="C1177" s="12">
        <f>VLOOKUP(A1177,'Datos generales'!A:H,8,0)</f>
        <v>4628.13</v>
      </c>
      <c r="D1177" s="12" t="str">
        <f t="shared" si="36"/>
        <v>mayo</v>
      </c>
      <c r="E1177" s="33">
        <f t="shared" si="37"/>
        <v>2025</v>
      </c>
    </row>
    <row r="1178" spans="1:5" x14ac:dyDescent="0.25">
      <c r="A1178" t="s">
        <v>188</v>
      </c>
      <c r="B1178" s="10">
        <f>VLOOKUP(A1178,'Datos generales'!A:B,2,0)</f>
        <v>45692.470138888893</v>
      </c>
      <c r="C1178" s="12">
        <f>VLOOKUP(A1178,'Datos generales'!A:H,8,0)</f>
        <v>3619</v>
      </c>
      <c r="D1178" s="12" t="str">
        <f t="shared" si="36"/>
        <v>febrero</v>
      </c>
      <c r="E1178" s="33">
        <f t="shared" si="37"/>
        <v>2025</v>
      </c>
    </row>
    <row r="1179" spans="1:5" x14ac:dyDescent="0.25">
      <c r="A1179" t="s">
        <v>189</v>
      </c>
      <c r="B1179" s="10">
        <f>VLOOKUP(A1179,'Datos generales'!A:B,2,0)</f>
        <v>45186.410416666673</v>
      </c>
      <c r="C1179" s="12">
        <f>VLOOKUP(A1179,'Datos generales'!A:H,8,0)</f>
        <v>899.85</v>
      </c>
      <c r="D1179" s="12" t="str">
        <f t="shared" si="36"/>
        <v>septiembre</v>
      </c>
      <c r="E1179" s="33">
        <f t="shared" si="37"/>
        <v>2023</v>
      </c>
    </row>
    <row r="1180" spans="1:5" x14ac:dyDescent="0.25">
      <c r="A1180" t="s">
        <v>190</v>
      </c>
      <c r="B1180" s="10">
        <f>VLOOKUP(A1180,'Datos generales'!A:B,2,0)</f>
        <v>45539.616666666669</v>
      </c>
      <c r="C1180" s="12">
        <f>VLOOKUP(A1180,'Datos generales'!A:H,8,0)</f>
        <v>1318.43</v>
      </c>
      <c r="D1180" s="12" t="str">
        <f t="shared" si="36"/>
        <v>septiembre</v>
      </c>
      <c r="E1180" s="33">
        <f t="shared" si="37"/>
        <v>2024</v>
      </c>
    </row>
    <row r="1181" spans="1:5" x14ac:dyDescent="0.25">
      <c r="A1181" t="s">
        <v>191</v>
      </c>
      <c r="B1181" s="10">
        <f>VLOOKUP(A1181,'Datos generales'!A:B,2,0)</f>
        <v>45073.392361111109</v>
      </c>
      <c r="C1181" s="12">
        <f>VLOOKUP(A1181,'Datos generales'!A:H,8,0)</f>
        <v>614.74</v>
      </c>
      <c r="D1181" s="12" t="str">
        <f t="shared" si="36"/>
        <v>mayo</v>
      </c>
      <c r="E1181" s="33">
        <f t="shared" si="37"/>
        <v>2023</v>
      </c>
    </row>
    <row r="1182" spans="1:5" x14ac:dyDescent="0.25">
      <c r="A1182" t="s">
        <v>192</v>
      </c>
      <c r="B1182" s="10">
        <f>VLOOKUP(A1182,'Datos generales'!A:B,2,0)</f>
        <v>45287.277777777781</v>
      </c>
      <c r="C1182" s="12">
        <f>VLOOKUP(A1182,'Datos generales'!A:H,8,0)</f>
        <v>1364.97</v>
      </c>
      <c r="D1182" s="12" t="str">
        <f t="shared" si="36"/>
        <v>diciembre</v>
      </c>
      <c r="E1182" s="33">
        <f t="shared" si="37"/>
        <v>2023</v>
      </c>
    </row>
    <row r="1183" spans="1:5" x14ac:dyDescent="0.25">
      <c r="A1183" t="s">
        <v>193</v>
      </c>
      <c r="B1183" s="10">
        <f>VLOOKUP(A1183,'Datos generales'!A:B,2,0)</f>
        <v>45398.678472222222</v>
      </c>
      <c r="C1183" s="12">
        <f>VLOOKUP(A1183,'Datos generales'!A:H,8,0)</f>
        <v>732.68999999999994</v>
      </c>
      <c r="D1183" s="12" t="str">
        <f t="shared" si="36"/>
        <v>abril</v>
      </c>
      <c r="E1183" s="33">
        <f t="shared" si="37"/>
        <v>2024</v>
      </c>
    </row>
    <row r="1184" spans="1:5" x14ac:dyDescent="0.25">
      <c r="A1184" t="s">
        <v>194</v>
      </c>
      <c r="B1184" s="10">
        <f>VLOOKUP(A1184,'Datos generales'!A:B,2,0)</f>
        <v>44949.395833333343</v>
      </c>
      <c r="C1184" s="12">
        <f>VLOOKUP(A1184,'Datos generales'!A:H,8,0)</f>
        <v>736.92</v>
      </c>
      <c r="D1184" s="12" t="str">
        <f t="shared" si="36"/>
        <v>enero</v>
      </c>
      <c r="E1184" s="33">
        <f t="shared" si="37"/>
        <v>2023</v>
      </c>
    </row>
    <row r="1185" spans="1:5" x14ac:dyDescent="0.25">
      <c r="A1185" t="s">
        <v>195</v>
      </c>
      <c r="B1185" s="10">
        <f>VLOOKUP(A1185,'Datos generales'!A:B,2,0)</f>
        <v>45560.538194444453</v>
      </c>
      <c r="C1185" s="12">
        <f>VLOOKUP(A1185,'Datos generales'!A:H,8,0)</f>
        <v>1501.34</v>
      </c>
      <c r="D1185" s="12" t="str">
        <f t="shared" si="36"/>
        <v>septiembre</v>
      </c>
      <c r="E1185" s="33">
        <f t="shared" si="37"/>
        <v>2024</v>
      </c>
    </row>
    <row r="1186" spans="1:5" x14ac:dyDescent="0.25">
      <c r="A1186" t="s">
        <v>196</v>
      </c>
      <c r="B1186" s="10">
        <f>VLOOKUP(A1186,'Datos generales'!A:B,2,0)</f>
        <v>45636.231249999997</v>
      </c>
      <c r="C1186" s="12">
        <f>VLOOKUP(A1186,'Datos generales'!A:H,8,0)</f>
        <v>3980.72</v>
      </c>
      <c r="D1186" s="12" t="str">
        <f t="shared" si="36"/>
        <v>diciembre</v>
      </c>
      <c r="E1186" s="33">
        <f t="shared" si="37"/>
        <v>2024</v>
      </c>
    </row>
    <row r="1187" spans="1:5" x14ac:dyDescent="0.25">
      <c r="A1187" t="s">
        <v>197</v>
      </c>
      <c r="B1187" s="10">
        <f>VLOOKUP(A1187,'Datos generales'!A:B,2,0)</f>
        <v>45218.252083333333</v>
      </c>
      <c r="C1187" s="12">
        <f>VLOOKUP(A1187,'Datos generales'!A:H,8,0)</f>
        <v>3669.44</v>
      </c>
      <c r="D1187" s="12" t="str">
        <f t="shared" si="36"/>
        <v>octubre</v>
      </c>
      <c r="E1187" s="33">
        <f t="shared" si="37"/>
        <v>2023</v>
      </c>
    </row>
    <row r="1188" spans="1:5" x14ac:dyDescent="0.25">
      <c r="A1188" t="s">
        <v>198</v>
      </c>
      <c r="B1188" s="10">
        <f>VLOOKUP(A1188,'Datos generales'!A:B,2,0)</f>
        <v>45615.827777777777</v>
      </c>
      <c r="C1188" s="12">
        <f>VLOOKUP(A1188,'Datos generales'!A:H,8,0)</f>
        <v>3884.62</v>
      </c>
      <c r="D1188" s="12" t="str">
        <f t="shared" si="36"/>
        <v>noviembre</v>
      </c>
      <c r="E1188" s="33">
        <f t="shared" si="37"/>
        <v>2024</v>
      </c>
    </row>
    <row r="1189" spans="1:5" x14ac:dyDescent="0.25">
      <c r="A1189" t="s">
        <v>199</v>
      </c>
      <c r="B1189" s="10">
        <f>VLOOKUP(A1189,'Datos generales'!A:B,2,0)</f>
        <v>45755.705555555563</v>
      </c>
      <c r="C1189" s="12">
        <f>VLOOKUP(A1189,'Datos generales'!A:H,8,0)</f>
        <v>3076.71</v>
      </c>
      <c r="D1189" s="12" t="str">
        <f t="shared" si="36"/>
        <v>abril</v>
      </c>
      <c r="E1189" s="33">
        <f t="shared" si="37"/>
        <v>2025</v>
      </c>
    </row>
    <row r="1190" spans="1:5" x14ac:dyDescent="0.25">
      <c r="A1190" t="s">
        <v>200</v>
      </c>
      <c r="B1190" s="10">
        <f>VLOOKUP(A1190,'Datos generales'!A:B,2,0)</f>
        <v>44962.009722222218</v>
      </c>
      <c r="C1190" s="12">
        <f>VLOOKUP(A1190,'Datos generales'!A:H,8,0)</f>
        <v>2220.7600000000002</v>
      </c>
      <c r="D1190" s="12" t="str">
        <f t="shared" si="36"/>
        <v>febrero</v>
      </c>
      <c r="E1190" s="33">
        <f t="shared" si="37"/>
        <v>2023</v>
      </c>
    </row>
    <row r="1191" spans="1:5" x14ac:dyDescent="0.25">
      <c r="A1191" t="s">
        <v>201</v>
      </c>
      <c r="B1191" s="10">
        <f>VLOOKUP(A1191,'Datos generales'!A:B,2,0)</f>
        <v>45194.675000000003</v>
      </c>
      <c r="C1191" s="12">
        <f>VLOOKUP(A1191,'Datos generales'!A:H,8,0)</f>
        <v>3754.1</v>
      </c>
      <c r="D1191" s="12" t="str">
        <f t="shared" si="36"/>
        <v>septiembre</v>
      </c>
      <c r="E1191" s="33">
        <f t="shared" si="37"/>
        <v>2023</v>
      </c>
    </row>
    <row r="1192" spans="1:5" x14ac:dyDescent="0.25">
      <c r="A1192" t="s">
        <v>202</v>
      </c>
      <c r="B1192" s="10">
        <f>VLOOKUP(A1192,'Datos generales'!A:B,2,0)</f>
        <v>45818.179861111108</v>
      </c>
      <c r="C1192" s="12">
        <f>VLOOKUP(A1192,'Datos generales'!A:H,8,0)</f>
        <v>3219.8</v>
      </c>
      <c r="D1192" s="12" t="str">
        <f t="shared" si="36"/>
        <v>junio</v>
      </c>
      <c r="E1192" s="33">
        <f t="shared" si="37"/>
        <v>2025</v>
      </c>
    </row>
    <row r="1193" spans="1:5" x14ac:dyDescent="0.25">
      <c r="A1193" t="s">
        <v>203</v>
      </c>
      <c r="B1193" s="10">
        <f>VLOOKUP(A1193,'Datos generales'!A:B,2,0)</f>
        <v>45755.011111111111</v>
      </c>
      <c r="C1193" s="12">
        <f>VLOOKUP(A1193,'Datos generales'!A:H,8,0)</f>
        <v>83.67</v>
      </c>
      <c r="D1193" s="12" t="str">
        <f t="shared" si="36"/>
        <v>abril</v>
      </c>
      <c r="E1193" s="33">
        <f t="shared" si="37"/>
        <v>2025</v>
      </c>
    </row>
    <row r="1194" spans="1:5" x14ac:dyDescent="0.25">
      <c r="A1194" t="s">
        <v>204</v>
      </c>
      <c r="B1194" s="10">
        <f>VLOOKUP(A1194,'Datos generales'!A:B,2,0)</f>
        <v>45862.584722222222</v>
      </c>
      <c r="C1194" s="12">
        <f>VLOOKUP(A1194,'Datos generales'!A:H,8,0)</f>
        <v>1700.54</v>
      </c>
      <c r="D1194" s="12" t="str">
        <f t="shared" si="36"/>
        <v>julio</v>
      </c>
      <c r="E1194" s="33">
        <f t="shared" si="37"/>
        <v>2025</v>
      </c>
    </row>
    <row r="1195" spans="1:5" x14ac:dyDescent="0.25">
      <c r="A1195" t="s">
        <v>205</v>
      </c>
      <c r="B1195" s="10">
        <f>VLOOKUP(A1195,'Datos generales'!A:B,2,0)</f>
        <v>45802.370833333327</v>
      </c>
      <c r="C1195" s="12">
        <f>VLOOKUP(A1195,'Datos generales'!A:H,8,0)</f>
        <v>1420.2</v>
      </c>
      <c r="D1195" s="12" t="str">
        <f t="shared" si="36"/>
        <v>mayo</v>
      </c>
      <c r="E1195" s="33">
        <f t="shared" si="37"/>
        <v>2025</v>
      </c>
    </row>
    <row r="1196" spans="1:5" x14ac:dyDescent="0.25">
      <c r="A1196" t="s">
        <v>206</v>
      </c>
      <c r="B1196" s="10">
        <f>VLOOKUP(A1196,'Datos generales'!A:B,2,0)</f>
        <v>45178.038888888892</v>
      </c>
      <c r="C1196" s="12">
        <f>VLOOKUP(A1196,'Datos generales'!A:H,8,0)</f>
        <v>521.32000000000005</v>
      </c>
      <c r="D1196" s="12" t="str">
        <f t="shared" si="36"/>
        <v>septiembre</v>
      </c>
      <c r="E1196" s="33">
        <f t="shared" si="37"/>
        <v>2023</v>
      </c>
    </row>
    <row r="1197" spans="1:5" x14ac:dyDescent="0.25">
      <c r="A1197" t="s">
        <v>207</v>
      </c>
      <c r="B1197" s="10">
        <f>VLOOKUP(A1197,'Datos generales'!A:B,2,0)</f>
        <v>45748.34097222222</v>
      </c>
      <c r="C1197" s="12">
        <f>VLOOKUP(A1197,'Datos generales'!A:H,8,0)</f>
        <v>1067.6400000000001</v>
      </c>
      <c r="D1197" s="12" t="str">
        <f t="shared" si="36"/>
        <v>abril</v>
      </c>
      <c r="E1197" s="33">
        <f t="shared" si="37"/>
        <v>2025</v>
      </c>
    </row>
    <row r="1198" spans="1:5" x14ac:dyDescent="0.25">
      <c r="A1198" t="s">
        <v>208</v>
      </c>
      <c r="B1198" s="10">
        <f>VLOOKUP(A1198,'Datos generales'!A:B,2,0)</f>
        <v>45055.556250000001</v>
      </c>
      <c r="C1198" s="12">
        <f>VLOOKUP(A1198,'Datos generales'!A:H,8,0)</f>
        <v>1903.64</v>
      </c>
      <c r="D1198" s="12" t="str">
        <f t="shared" si="36"/>
        <v>mayo</v>
      </c>
      <c r="E1198" s="33">
        <f t="shared" si="37"/>
        <v>2023</v>
      </c>
    </row>
    <row r="1199" spans="1:5" x14ac:dyDescent="0.25">
      <c r="A1199" t="s">
        <v>209</v>
      </c>
      <c r="B1199" s="10">
        <f>VLOOKUP(A1199,'Datos generales'!A:B,2,0)</f>
        <v>44958.773611111108</v>
      </c>
      <c r="C1199" s="12">
        <f>VLOOKUP(A1199,'Datos generales'!A:H,8,0)</f>
        <v>2920.32</v>
      </c>
      <c r="D1199" s="12" t="str">
        <f t="shared" si="36"/>
        <v>febrero</v>
      </c>
      <c r="E1199" s="33">
        <f t="shared" si="37"/>
        <v>2023</v>
      </c>
    </row>
    <row r="1200" spans="1:5" x14ac:dyDescent="0.25">
      <c r="A1200" t="s">
        <v>210</v>
      </c>
      <c r="B1200" s="10">
        <f>VLOOKUP(A1200,'Datos generales'!A:B,2,0)</f>
        <v>45816.563888888893</v>
      </c>
      <c r="C1200" s="12">
        <f>VLOOKUP(A1200,'Datos generales'!A:H,8,0)</f>
        <v>3388</v>
      </c>
      <c r="D1200" s="12" t="str">
        <f t="shared" si="36"/>
        <v>junio</v>
      </c>
      <c r="E1200" s="33">
        <f t="shared" si="37"/>
        <v>2025</v>
      </c>
    </row>
    <row r="1201" spans="1:5" x14ac:dyDescent="0.25">
      <c r="A1201" t="s">
        <v>211</v>
      </c>
      <c r="B1201" s="10">
        <f>VLOOKUP(A1201,'Datos generales'!A:B,2,0)</f>
        <v>45089.396527777782</v>
      </c>
      <c r="C1201" s="12">
        <f>VLOOKUP(A1201,'Datos generales'!A:H,8,0)</f>
        <v>2486.6799999999998</v>
      </c>
      <c r="D1201" s="12" t="str">
        <f t="shared" si="36"/>
        <v>junio</v>
      </c>
      <c r="E1201" s="33">
        <f t="shared" si="37"/>
        <v>2023</v>
      </c>
    </row>
    <row r="1202" spans="1:5" x14ac:dyDescent="0.25">
      <c r="A1202" t="s">
        <v>12</v>
      </c>
      <c r="B1202" s="10">
        <f>VLOOKUP(A1202,'Datos generales'!A:B,2,0)</f>
        <v>45280.478472222218</v>
      </c>
      <c r="C1202" s="12">
        <f>VLOOKUP(A1202,'Datos generales'!A:H,8,0)</f>
        <v>7486.2</v>
      </c>
      <c r="D1202" s="12" t="str">
        <f t="shared" si="36"/>
        <v>diciembre</v>
      </c>
      <c r="E1202" s="33">
        <f t="shared" si="37"/>
        <v>2023</v>
      </c>
    </row>
    <row r="1203" spans="1:5" x14ac:dyDescent="0.25">
      <c r="A1203" t="s">
        <v>13</v>
      </c>
      <c r="B1203" s="10">
        <f>VLOOKUP(A1203,'Datos generales'!A:B,2,0)</f>
        <v>45008.840277777781</v>
      </c>
      <c r="C1203" s="12">
        <f>VLOOKUP(A1203,'Datos generales'!A:H,8,0)</f>
        <v>1687.54</v>
      </c>
      <c r="D1203" s="12" t="str">
        <f t="shared" si="36"/>
        <v>marzo</v>
      </c>
      <c r="E1203" s="33">
        <f t="shared" si="37"/>
        <v>2023</v>
      </c>
    </row>
    <row r="1204" spans="1:5" x14ac:dyDescent="0.25">
      <c r="A1204" t="s">
        <v>14</v>
      </c>
      <c r="B1204" s="10">
        <f>VLOOKUP(A1204,'Datos generales'!A:B,2,0)</f>
        <v>45355.443749999999</v>
      </c>
      <c r="C1204" s="12">
        <f>VLOOKUP(A1204,'Datos generales'!A:H,8,0)</f>
        <v>2306.4</v>
      </c>
      <c r="D1204" s="12" t="str">
        <f t="shared" si="36"/>
        <v>marzo</v>
      </c>
      <c r="E1204" s="33">
        <f t="shared" si="37"/>
        <v>2024</v>
      </c>
    </row>
    <row r="1205" spans="1:5" x14ac:dyDescent="0.25">
      <c r="A1205" t="s">
        <v>15</v>
      </c>
      <c r="B1205" s="10">
        <f>VLOOKUP(A1205,'Datos generales'!A:B,2,0)</f>
        <v>45704.374305555553</v>
      </c>
      <c r="C1205" s="12">
        <f>VLOOKUP(A1205,'Datos generales'!A:H,8,0)</f>
        <v>1532.67</v>
      </c>
      <c r="D1205" s="12" t="str">
        <f t="shared" si="36"/>
        <v>febrero</v>
      </c>
      <c r="E1205" s="33">
        <f t="shared" si="37"/>
        <v>2025</v>
      </c>
    </row>
    <row r="1206" spans="1:5" x14ac:dyDescent="0.25">
      <c r="A1206" t="s">
        <v>16</v>
      </c>
      <c r="B1206" s="10">
        <f>VLOOKUP(A1206,'Datos generales'!A:B,2,0)</f>
        <v>45772.848611111112</v>
      </c>
      <c r="C1206" s="12">
        <f>VLOOKUP(A1206,'Datos generales'!A:H,8,0)</f>
        <v>5128.41</v>
      </c>
      <c r="D1206" s="12" t="str">
        <f t="shared" si="36"/>
        <v>abril</v>
      </c>
      <c r="E1206" s="33">
        <f t="shared" si="37"/>
        <v>2025</v>
      </c>
    </row>
    <row r="1207" spans="1:5" x14ac:dyDescent="0.25">
      <c r="A1207" t="s">
        <v>17</v>
      </c>
      <c r="B1207" s="10">
        <f>VLOOKUP(A1207,'Datos generales'!A:B,2,0)</f>
        <v>45101.225694444453</v>
      </c>
      <c r="C1207" s="12">
        <f>VLOOKUP(A1207,'Datos generales'!A:H,8,0)</f>
        <v>892.62000000000012</v>
      </c>
      <c r="D1207" s="12" t="str">
        <f t="shared" si="36"/>
        <v>junio</v>
      </c>
      <c r="E1207" s="33">
        <f t="shared" si="37"/>
        <v>2023</v>
      </c>
    </row>
    <row r="1208" spans="1:5" x14ac:dyDescent="0.25">
      <c r="A1208" t="s">
        <v>18</v>
      </c>
      <c r="B1208" s="10">
        <f>VLOOKUP(A1208,'Datos generales'!A:B,2,0)</f>
        <v>45694.432638888888</v>
      </c>
      <c r="C1208" s="12">
        <f>VLOOKUP(A1208,'Datos generales'!A:H,8,0)</f>
        <v>6186.6</v>
      </c>
      <c r="D1208" s="12" t="str">
        <f t="shared" si="36"/>
        <v>febrero</v>
      </c>
      <c r="E1208" s="33">
        <f t="shared" si="37"/>
        <v>2025</v>
      </c>
    </row>
    <row r="1209" spans="1:5" x14ac:dyDescent="0.25">
      <c r="A1209" t="s">
        <v>19</v>
      </c>
      <c r="B1209" s="10">
        <f>VLOOKUP(A1209,'Datos generales'!A:B,2,0)</f>
        <v>45798.69027777778</v>
      </c>
      <c r="C1209" s="12">
        <f>VLOOKUP(A1209,'Datos generales'!A:H,8,0)</f>
        <v>1575.18</v>
      </c>
      <c r="D1209" s="12" t="str">
        <f t="shared" si="36"/>
        <v>mayo</v>
      </c>
      <c r="E1209" s="33">
        <f t="shared" si="37"/>
        <v>2025</v>
      </c>
    </row>
    <row r="1210" spans="1:5" x14ac:dyDescent="0.25">
      <c r="A1210" t="s">
        <v>20</v>
      </c>
      <c r="B1210" s="10">
        <f>VLOOKUP(A1210,'Datos generales'!A:B,2,0)</f>
        <v>45425.797222222223</v>
      </c>
      <c r="C1210" s="12">
        <f>VLOOKUP(A1210,'Datos generales'!A:H,8,0)</f>
        <v>9079.2999999999993</v>
      </c>
      <c r="D1210" s="12" t="str">
        <f t="shared" si="36"/>
        <v>mayo</v>
      </c>
      <c r="E1210" s="33">
        <f t="shared" si="37"/>
        <v>2024</v>
      </c>
    </row>
    <row r="1211" spans="1:5" x14ac:dyDescent="0.25">
      <c r="A1211" t="s">
        <v>21</v>
      </c>
      <c r="B1211" s="10">
        <f>VLOOKUP(A1211,'Datos generales'!A:B,2,0)</f>
        <v>45525.152083333327</v>
      </c>
      <c r="C1211" s="12">
        <f>VLOOKUP(A1211,'Datos generales'!A:H,8,0)</f>
        <v>564.11</v>
      </c>
      <c r="D1211" s="12" t="str">
        <f t="shared" si="36"/>
        <v>agosto</v>
      </c>
      <c r="E1211" s="33">
        <f t="shared" si="37"/>
        <v>2024</v>
      </c>
    </row>
    <row r="1212" spans="1:5" x14ac:dyDescent="0.25">
      <c r="A1212" t="s">
        <v>22</v>
      </c>
      <c r="B1212" s="10">
        <f>VLOOKUP(A1212,'Datos generales'!A:B,2,0)</f>
        <v>45580.043749999997</v>
      </c>
      <c r="C1212" s="12">
        <f>VLOOKUP(A1212,'Datos generales'!A:H,8,0)</f>
        <v>454.9</v>
      </c>
      <c r="D1212" s="12" t="str">
        <f t="shared" si="36"/>
        <v>octubre</v>
      </c>
      <c r="E1212" s="33">
        <f t="shared" si="37"/>
        <v>2024</v>
      </c>
    </row>
    <row r="1213" spans="1:5" x14ac:dyDescent="0.25">
      <c r="A1213" t="s">
        <v>23</v>
      </c>
      <c r="B1213" s="10">
        <f>VLOOKUP(A1213,'Datos generales'!A:B,2,0)</f>
        <v>45551.151388888888</v>
      </c>
      <c r="C1213" s="12">
        <f>VLOOKUP(A1213,'Datos generales'!A:H,8,0)</f>
        <v>3832.53</v>
      </c>
      <c r="D1213" s="12" t="str">
        <f t="shared" si="36"/>
        <v>septiembre</v>
      </c>
      <c r="E1213" s="33">
        <f t="shared" si="37"/>
        <v>2024</v>
      </c>
    </row>
    <row r="1214" spans="1:5" x14ac:dyDescent="0.25">
      <c r="A1214" t="s">
        <v>24</v>
      </c>
      <c r="B1214" s="10">
        <f>VLOOKUP(A1214,'Datos generales'!A:B,2,0)</f>
        <v>45230.395833333343</v>
      </c>
      <c r="C1214" s="12">
        <f>VLOOKUP(A1214,'Datos generales'!A:H,8,0)</f>
        <v>3741.9</v>
      </c>
      <c r="D1214" s="12" t="str">
        <f t="shared" si="36"/>
        <v>octubre</v>
      </c>
      <c r="E1214" s="33">
        <f t="shared" si="37"/>
        <v>2023</v>
      </c>
    </row>
    <row r="1215" spans="1:5" x14ac:dyDescent="0.25">
      <c r="A1215" t="s">
        <v>25</v>
      </c>
      <c r="B1215" s="10">
        <f>VLOOKUP(A1215,'Datos generales'!A:B,2,0)</f>
        <v>45234.645833333343</v>
      </c>
      <c r="C1215" s="12">
        <f>VLOOKUP(A1215,'Datos generales'!A:H,8,0)</f>
        <v>4908.92</v>
      </c>
      <c r="D1215" s="12" t="str">
        <f t="shared" si="36"/>
        <v>noviembre</v>
      </c>
      <c r="E1215" s="33">
        <f t="shared" si="37"/>
        <v>2023</v>
      </c>
    </row>
    <row r="1216" spans="1:5" x14ac:dyDescent="0.25">
      <c r="A1216" t="s">
        <v>26</v>
      </c>
      <c r="B1216" s="10">
        <f>VLOOKUP(A1216,'Datos generales'!A:B,2,0)</f>
        <v>45464.76666666667</v>
      </c>
      <c r="C1216" s="12">
        <f>VLOOKUP(A1216,'Datos generales'!A:H,8,0)</f>
        <v>1329.6</v>
      </c>
      <c r="D1216" s="12" t="str">
        <f t="shared" si="36"/>
        <v>junio</v>
      </c>
      <c r="E1216" s="33">
        <f t="shared" si="37"/>
        <v>2024</v>
      </c>
    </row>
    <row r="1217" spans="1:5" x14ac:dyDescent="0.25">
      <c r="A1217" t="s">
        <v>27</v>
      </c>
      <c r="B1217" s="10">
        <f>VLOOKUP(A1217,'Datos generales'!A:B,2,0)</f>
        <v>45138.240277777782</v>
      </c>
      <c r="C1217" s="12">
        <f>VLOOKUP(A1217,'Datos generales'!A:H,8,0)</f>
        <v>5202.3599999999997</v>
      </c>
      <c r="D1217" s="12" t="str">
        <f t="shared" si="36"/>
        <v>julio</v>
      </c>
      <c r="E1217" s="33">
        <f t="shared" si="37"/>
        <v>2023</v>
      </c>
    </row>
    <row r="1218" spans="1:5" x14ac:dyDescent="0.25">
      <c r="A1218" t="s">
        <v>28</v>
      </c>
      <c r="B1218" s="10">
        <f>VLOOKUP(A1218,'Datos generales'!A:B,2,0)</f>
        <v>45455.688888888893</v>
      </c>
      <c r="C1218" s="12">
        <f>VLOOKUP(A1218,'Datos generales'!A:H,8,0)</f>
        <v>1209.6199999999999</v>
      </c>
      <c r="D1218" s="12" t="str">
        <f t="shared" si="36"/>
        <v>junio</v>
      </c>
      <c r="E1218" s="33">
        <f t="shared" si="37"/>
        <v>2024</v>
      </c>
    </row>
    <row r="1219" spans="1:5" x14ac:dyDescent="0.25">
      <c r="A1219" t="s">
        <v>29</v>
      </c>
      <c r="B1219" s="10">
        <f>VLOOKUP(A1219,'Datos generales'!A:B,2,0)</f>
        <v>45301.151388888888</v>
      </c>
      <c r="C1219" s="12">
        <f>VLOOKUP(A1219,'Datos generales'!A:H,8,0)</f>
        <v>2766.99</v>
      </c>
      <c r="D1219" s="12" t="str">
        <f t="shared" ref="D1219:D1282" si="38">TEXT(B1219,"mmmm")</f>
        <v>enero</v>
      </c>
      <c r="E1219" s="33">
        <f t="shared" ref="E1219:E1282" si="39">YEAR(B1219)</f>
        <v>2024</v>
      </c>
    </row>
    <row r="1220" spans="1:5" x14ac:dyDescent="0.25">
      <c r="A1220" t="s">
        <v>30</v>
      </c>
      <c r="B1220" s="10">
        <f>VLOOKUP(A1220,'Datos generales'!A:B,2,0)</f>
        <v>45677.761111111111</v>
      </c>
      <c r="C1220" s="12">
        <f>VLOOKUP(A1220,'Datos generales'!A:H,8,0)</f>
        <v>217.68</v>
      </c>
      <c r="D1220" s="12" t="str">
        <f t="shared" si="38"/>
        <v>enero</v>
      </c>
      <c r="E1220" s="33">
        <f t="shared" si="39"/>
        <v>2025</v>
      </c>
    </row>
    <row r="1221" spans="1:5" x14ac:dyDescent="0.25">
      <c r="A1221" t="s">
        <v>31</v>
      </c>
      <c r="B1221" s="10">
        <f>VLOOKUP(A1221,'Datos generales'!A:B,2,0)</f>
        <v>45238.713888888888</v>
      </c>
      <c r="C1221" s="12">
        <f>VLOOKUP(A1221,'Datos generales'!A:H,8,0)</f>
        <v>3134.36</v>
      </c>
      <c r="D1221" s="12" t="str">
        <f t="shared" si="38"/>
        <v>noviembre</v>
      </c>
      <c r="E1221" s="33">
        <f t="shared" si="39"/>
        <v>2023</v>
      </c>
    </row>
    <row r="1222" spans="1:5" x14ac:dyDescent="0.25">
      <c r="A1222" t="s">
        <v>32</v>
      </c>
      <c r="B1222" s="10">
        <f>VLOOKUP(A1222,'Datos generales'!A:B,2,0)</f>
        <v>45231.386111111111</v>
      </c>
      <c r="C1222" s="12">
        <f>VLOOKUP(A1222,'Datos generales'!A:H,8,0)</f>
        <v>1039.5999999999999</v>
      </c>
      <c r="D1222" s="12" t="str">
        <f t="shared" si="38"/>
        <v>noviembre</v>
      </c>
      <c r="E1222" s="33">
        <f t="shared" si="39"/>
        <v>2023</v>
      </c>
    </row>
    <row r="1223" spans="1:5" x14ac:dyDescent="0.25">
      <c r="A1223" t="s">
        <v>33</v>
      </c>
      <c r="B1223" s="10">
        <f>VLOOKUP(A1223,'Datos generales'!A:B,2,0)</f>
        <v>45421.563888888893</v>
      </c>
      <c r="C1223" s="12">
        <f>VLOOKUP(A1223,'Datos generales'!A:H,8,0)</f>
        <v>1267.01</v>
      </c>
      <c r="D1223" s="12" t="str">
        <f t="shared" si="38"/>
        <v>mayo</v>
      </c>
      <c r="E1223" s="33">
        <f t="shared" si="39"/>
        <v>2024</v>
      </c>
    </row>
    <row r="1224" spans="1:5" x14ac:dyDescent="0.25">
      <c r="A1224" t="s">
        <v>34</v>
      </c>
      <c r="B1224" s="10">
        <f>VLOOKUP(A1224,'Datos generales'!A:B,2,0)</f>
        <v>45437.592361111107</v>
      </c>
      <c r="C1224" s="12">
        <f>VLOOKUP(A1224,'Datos generales'!A:H,8,0)</f>
        <v>4111.24</v>
      </c>
      <c r="D1224" s="12" t="str">
        <f t="shared" si="38"/>
        <v>mayo</v>
      </c>
      <c r="E1224" s="33">
        <f t="shared" si="39"/>
        <v>2024</v>
      </c>
    </row>
    <row r="1225" spans="1:5" x14ac:dyDescent="0.25">
      <c r="A1225" t="s">
        <v>35</v>
      </c>
      <c r="B1225" s="10">
        <f>VLOOKUP(A1225,'Datos generales'!A:B,2,0)</f>
        <v>45355.487500000003</v>
      </c>
      <c r="C1225" s="12">
        <f>VLOOKUP(A1225,'Datos generales'!A:H,8,0)</f>
        <v>2776.86</v>
      </c>
      <c r="D1225" s="12" t="str">
        <f t="shared" si="38"/>
        <v>marzo</v>
      </c>
      <c r="E1225" s="33">
        <f t="shared" si="39"/>
        <v>2024</v>
      </c>
    </row>
    <row r="1226" spans="1:5" x14ac:dyDescent="0.25">
      <c r="A1226" t="s">
        <v>36</v>
      </c>
      <c r="B1226" s="10">
        <f>VLOOKUP(A1226,'Datos generales'!A:B,2,0)</f>
        <v>45924.43472222222</v>
      </c>
      <c r="C1226" s="12">
        <f>VLOOKUP(A1226,'Datos generales'!A:H,8,0)</f>
        <v>641.13</v>
      </c>
      <c r="D1226" s="12" t="str">
        <f t="shared" si="38"/>
        <v>septiembre</v>
      </c>
      <c r="E1226" s="33">
        <f t="shared" si="39"/>
        <v>2025</v>
      </c>
    </row>
    <row r="1227" spans="1:5" x14ac:dyDescent="0.25">
      <c r="A1227" t="s">
        <v>37</v>
      </c>
      <c r="B1227" s="10">
        <f>VLOOKUP(A1227,'Datos generales'!A:B,2,0)</f>
        <v>45471.931250000001</v>
      </c>
      <c r="C1227" s="12">
        <f>VLOOKUP(A1227,'Datos generales'!A:H,8,0)</f>
        <v>2293.5</v>
      </c>
      <c r="D1227" s="12" t="str">
        <f t="shared" si="38"/>
        <v>junio</v>
      </c>
      <c r="E1227" s="33">
        <f t="shared" si="39"/>
        <v>2024</v>
      </c>
    </row>
    <row r="1228" spans="1:5" x14ac:dyDescent="0.25">
      <c r="A1228" t="s">
        <v>38</v>
      </c>
      <c r="B1228" s="10">
        <f>VLOOKUP(A1228,'Datos generales'!A:B,2,0)</f>
        <v>45003.59097222222</v>
      </c>
      <c r="C1228" s="12">
        <f>VLOOKUP(A1228,'Datos generales'!A:H,8,0)</f>
        <v>4536.3999999999996</v>
      </c>
      <c r="D1228" s="12" t="str">
        <f t="shared" si="38"/>
        <v>marzo</v>
      </c>
      <c r="E1228" s="33">
        <f t="shared" si="39"/>
        <v>2023</v>
      </c>
    </row>
    <row r="1229" spans="1:5" x14ac:dyDescent="0.25">
      <c r="A1229" t="s">
        <v>39</v>
      </c>
      <c r="B1229" s="10">
        <f>VLOOKUP(A1229,'Datos generales'!A:B,2,0)</f>
        <v>45206.394444444442</v>
      </c>
      <c r="C1229" s="12">
        <f>VLOOKUP(A1229,'Datos generales'!A:H,8,0)</f>
        <v>3468.88</v>
      </c>
      <c r="D1229" s="12" t="str">
        <f t="shared" si="38"/>
        <v>octubre</v>
      </c>
      <c r="E1229" s="33">
        <f t="shared" si="39"/>
        <v>2023</v>
      </c>
    </row>
    <row r="1230" spans="1:5" x14ac:dyDescent="0.25">
      <c r="A1230" t="s">
        <v>40</v>
      </c>
      <c r="B1230" s="10">
        <f>VLOOKUP(A1230,'Datos generales'!A:B,2,0)</f>
        <v>45595.773611111108</v>
      </c>
      <c r="C1230" s="12">
        <f>VLOOKUP(A1230,'Datos generales'!A:H,8,0)</f>
        <v>424.35</v>
      </c>
      <c r="D1230" s="12" t="str">
        <f t="shared" si="38"/>
        <v>octubre</v>
      </c>
      <c r="E1230" s="33">
        <f t="shared" si="39"/>
        <v>2024</v>
      </c>
    </row>
    <row r="1231" spans="1:5" x14ac:dyDescent="0.25">
      <c r="A1231" t="s">
        <v>41</v>
      </c>
      <c r="B1231" s="10">
        <f>VLOOKUP(A1231,'Datos generales'!A:B,2,0)</f>
        <v>45888.736805555563</v>
      </c>
      <c r="C1231" s="12">
        <f>VLOOKUP(A1231,'Datos generales'!A:H,8,0)</f>
        <v>252.57</v>
      </c>
      <c r="D1231" s="12" t="str">
        <f t="shared" si="38"/>
        <v>agosto</v>
      </c>
      <c r="E1231" s="33">
        <f t="shared" si="39"/>
        <v>2025</v>
      </c>
    </row>
    <row r="1232" spans="1:5" x14ac:dyDescent="0.25">
      <c r="A1232" t="s">
        <v>42</v>
      </c>
      <c r="B1232" s="10">
        <f>VLOOKUP(A1232,'Datos generales'!A:B,2,0)</f>
        <v>45478.06527777778</v>
      </c>
      <c r="C1232" s="12">
        <f>VLOOKUP(A1232,'Datos generales'!A:H,8,0)</f>
        <v>64.679999999999993</v>
      </c>
      <c r="D1232" s="12" t="str">
        <f t="shared" si="38"/>
        <v>julio</v>
      </c>
      <c r="E1232" s="33">
        <f t="shared" si="39"/>
        <v>2024</v>
      </c>
    </row>
    <row r="1233" spans="1:5" x14ac:dyDescent="0.25">
      <c r="A1233" t="s">
        <v>43</v>
      </c>
      <c r="B1233" s="10">
        <f>VLOOKUP(A1233,'Datos generales'!A:B,2,0)</f>
        <v>45402.668749999997</v>
      </c>
      <c r="C1233" s="12">
        <f>VLOOKUP(A1233,'Datos generales'!A:H,8,0)</f>
        <v>446.81</v>
      </c>
      <c r="D1233" s="12" t="str">
        <f t="shared" si="38"/>
        <v>abril</v>
      </c>
      <c r="E1233" s="33">
        <f t="shared" si="39"/>
        <v>2024</v>
      </c>
    </row>
    <row r="1234" spans="1:5" x14ac:dyDescent="0.25">
      <c r="A1234" t="s">
        <v>44</v>
      </c>
      <c r="B1234" s="10">
        <f>VLOOKUP(A1234,'Datos generales'!A:B,2,0)</f>
        <v>45033.806944444441</v>
      </c>
      <c r="C1234" s="12">
        <f>VLOOKUP(A1234,'Datos generales'!A:H,8,0)</f>
        <v>129.34</v>
      </c>
      <c r="D1234" s="12" t="str">
        <f t="shared" si="38"/>
        <v>abril</v>
      </c>
      <c r="E1234" s="33">
        <f t="shared" si="39"/>
        <v>2023</v>
      </c>
    </row>
    <row r="1235" spans="1:5" x14ac:dyDescent="0.25">
      <c r="A1235" t="s">
        <v>45</v>
      </c>
      <c r="B1235" s="10">
        <f>VLOOKUP(A1235,'Datos generales'!A:B,2,0)</f>
        <v>45432.781944444447</v>
      </c>
      <c r="C1235" s="12">
        <f>VLOOKUP(A1235,'Datos generales'!A:H,8,0)</f>
        <v>5841.75</v>
      </c>
      <c r="D1235" s="12" t="str">
        <f t="shared" si="38"/>
        <v>mayo</v>
      </c>
      <c r="E1235" s="33">
        <f t="shared" si="39"/>
        <v>2024</v>
      </c>
    </row>
    <row r="1236" spans="1:5" x14ac:dyDescent="0.25">
      <c r="A1236" t="s">
        <v>46</v>
      </c>
      <c r="B1236" s="10">
        <f>VLOOKUP(A1236,'Datos generales'!A:B,2,0)</f>
        <v>45746.083333333343</v>
      </c>
      <c r="C1236" s="12">
        <f>VLOOKUP(A1236,'Datos generales'!A:H,8,0)</f>
        <v>698.6</v>
      </c>
      <c r="D1236" s="12" t="str">
        <f t="shared" si="38"/>
        <v>marzo</v>
      </c>
      <c r="E1236" s="33">
        <f t="shared" si="39"/>
        <v>2025</v>
      </c>
    </row>
    <row r="1237" spans="1:5" x14ac:dyDescent="0.25">
      <c r="A1237" t="s">
        <v>47</v>
      </c>
      <c r="B1237" s="10">
        <f>VLOOKUP(A1237,'Datos generales'!A:B,2,0)</f>
        <v>45515.355555555558</v>
      </c>
      <c r="C1237" s="12">
        <f>VLOOKUP(A1237,'Datos generales'!A:H,8,0)</f>
        <v>3462.18</v>
      </c>
      <c r="D1237" s="12" t="str">
        <f t="shared" si="38"/>
        <v>agosto</v>
      </c>
      <c r="E1237" s="33">
        <f t="shared" si="39"/>
        <v>2024</v>
      </c>
    </row>
    <row r="1238" spans="1:5" x14ac:dyDescent="0.25">
      <c r="A1238" t="s">
        <v>48</v>
      </c>
      <c r="B1238" s="10">
        <f>VLOOKUP(A1238,'Datos generales'!A:B,2,0)</f>
        <v>45730.554861111108</v>
      </c>
      <c r="C1238" s="12">
        <f>VLOOKUP(A1238,'Datos generales'!A:H,8,0)</f>
        <v>6265.48</v>
      </c>
      <c r="D1238" s="12" t="str">
        <f t="shared" si="38"/>
        <v>marzo</v>
      </c>
      <c r="E1238" s="33">
        <f t="shared" si="39"/>
        <v>2025</v>
      </c>
    </row>
    <row r="1239" spans="1:5" x14ac:dyDescent="0.25">
      <c r="A1239" t="s">
        <v>49</v>
      </c>
      <c r="B1239" s="10">
        <f>VLOOKUP(A1239,'Datos generales'!A:B,2,0)</f>
        <v>45603.252083333333</v>
      </c>
      <c r="C1239" s="12">
        <f>VLOOKUP(A1239,'Datos generales'!A:H,8,0)</f>
        <v>1348.96</v>
      </c>
      <c r="D1239" s="12" t="str">
        <f t="shared" si="38"/>
        <v>noviembre</v>
      </c>
      <c r="E1239" s="33">
        <f t="shared" si="39"/>
        <v>2024</v>
      </c>
    </row>
    <row r="1240" spans="1:5" x14ac:dyDescent="0.25">
      <c r="A1240" t="s">
        <v>50</v>
      </c>
      <c r="B1240" s="10">
        <f>VLOOKUP(A1240,'Datos generales'!A:B,2,0)</f>
        <v>45420.054861111108</v>
      </c>
      <c r="C1240" s="12">
        <f>VLOOKUP(A1240,'Datos generales'!A:H,8,0)</f>
        <v>3087.96</v>
      </c>
      <c r="D1240" s="12" t="str">
        <f t="shared" si="38"/>
        <v>mayo</v>
      </c>
      <c r="E1240" s="33">
        <f t="shared" si="39"/>
        <v>2024</v>
      </c>
    </row>
    <row r="1241" spans="1:5" x14ac:dyDescent="0.25">
      <c r="A1241" t="s">
        <v>51</v>
      </c>
      <c r="B1241" s="10">
        <f>VLOOKUP(A1241,'Datos generales'!A:B,2,0)</f>
        <v>44931.743055555547</v>
      </c>
      <c r="C1241" s="12">
        <f>VLOOKUP(A1241,'Datos generales'!A:H,8,0)</f>
        <v>4586.5499999999993</v>
      </c>
      <c r="D1241" s="12" t="str">
        <f t="shared" si="38"/>
        <v>enero</v>
      </c>
      <c r="E1241" s="33">
        <f t="shared" si="39"/>
        <v>2023</v>
      </c>
    </row>
    <row r="1242" spans="1:5" x14ac:dyDescent="0.25">
      <c r="A1242" t="s">
        <v>52</v>
      </c>
      <c r="B1242" s="10">
        <f>VLOOKUP(A1242,'Datos generales'!A:B,2,0)</f>
        <v>45326.684027777781</v>
      </c>
      <c r="C1242" s="12">
        <f>VLOOKUP(A1242,'Datos generales'!A:H,8,0)</f>
        <v>1801.44</v>
      </c>
      <c r="D1242" s="12" t="str">
        <f t="shared" si="38"/>
        <v>febrero</v>
      </c>
      <c r="E1242" s="33">
        <f t="shared" si="39"/>
        <v>2024</v>
      </c>
    </row>
    <row r="1243" spans="1:5" x14ac:dyDescent="0.25">
      <c r="A1243" t="s">
        <v>53</v>
      </c>
      <c r="B1243" s="10">
        <f>VLOOKUP(A1243,'Datos generales'!A:B,2,0)</f>
        <v>45146.872916666667</v>
      </c>
      <c r="C1243" s="12">
        <f>VLOOKUP(A1243,'Datos generales'!A:H,8,0)</f>
        <v>1510.96</v>
      </c>
      <c r="D1243" s="12" t="str">
        <f t="shared" si="38"/>
        <v>agosto</v>
      </c>
      <c r="E1243" s="33">
        <f t="shared" si="39"/>
        <v>2023</v>
      </c>
    </row>
    <row r="1244" spans="1:5" x14ac:dyDescent="0.25">
      <c r="A1244" t="s">
        <v>54</v>
      </c>
      <c r="B1244" s="10">
        <f>VLOOKUP(A1244,'Datos generales'!A:B,2,0)</f>
        <v>45464.595833333333</v>
      </c>
      <c r="C1244" s="12">
        <f>VLOOKUP(A1244,'Datos generales'!A:H,8,0)</f>
        <v>5566.65</v>
      </c>
      <c r="D1244" s="12" t="str">
        <f t="shared" si="38"/>
        <v>junio</v>
      </c>
      <c r="E1244" s="33">
        <f t="shared" si="39"/>
        <v>2024</v>
      </c>
    </row>
    <row r="1245" spans="1:5" x14ac:dyDescent="0.25">
      <c r="A1245" t="s">
        <v>55</v>
      </c>
      <c r="B1245" s="10">
        <f>VLOOKUP(A1245,'Datos generales'!A:B,2,0)</f>
        <v>45171.9</v>
      </c>
      <c r="C1245" s="12">
        <f>VLOOKUP(A1245,'Datos generales'!A:H,8,0)</f>
        <v>5058.75</v>
      </c>
      <c r="D1245" s="12" t="str">
        <f t="shared" si="38"/>
        <v>septiembre</v>
      </c>
      <c r="E1245" s="33">
        <f t="shared" si="39"/>
        <v>2023</v>
      </c>
    </row>
    <row r="1246" spans="1:5" x14ac:dyDescent="0.25">
      <c r="A1246" t="s">
        <v>56</v>
      </c>
      <c r="B1246" s="10">
        <f>VLOOKUP(A1246,'Datos generales'!A:B,2,0)</f>
        <v>44992.136111111111</v>
      </c>
      <c r="C1246" s="12">
        <f>VLOOKUP(A1246,'Datos generales'!A:H,8,0)</f>
        <v>6091.7</v>
      </c>
      <c r="D1246" s="12" t="str">
        <f t="shared" si="38"/>
        <v>marzo</v>
      </c>
      <c r="E1246" s="33">
        <f t="shared" si="39"/>
        <v>2023</v>
      </c>
    </row>
    <row r="1247" spans="1:5" x14ac:dyDescent="0.25">
      <c r="A1247" t="s">
        <v>57</v>
      </c>
      <c r="B1247" s="10">
        <f>VLOOKUP(A1247,'Datos generales'!A:B,2,0)</f>
        <v>44927.061111111107</v>
      </c>
      <c r="C1247" s="12">
        <f>VLOOKUP(A1247,'Datos generales'!A:H,8,0)</f>
        <v>723.18</v>
      </c>
      <c r="D1247" s="12" t="str">
        <f t="shared" si="38"/>
        <v>enero</v>
      </c>
      <c r="E1247" s="33">
        <f t="shared" si="39"/>
        <v>2023</v>
      </c>
    </row>
    <row r="1248" spans="1:5" x14ac:dyDescent="0.25">
      <c r="A1248" t="s">
        <v>58</v>
      </c>
      <c r="B1248" s="10">
        <f>VLOOKUP(A1248,'Datos generales'!A:B,2,0)</f>
        <v>45097.359027777777</v>
      </c>
      <c r="C1248" s="12">
        <f>VLOOKUP(A1248,'Datos generales'!A:H,8,0)</f>
        <v>4794</v>
      </c>
      <c r="D1248" s="12" t="str">
        <f t="shared" si="38"/>
        <v>junio</v>
      </c>
      <c r="E1248" s="33">
        <f t="shared" si="39"/>
        <v>2023</v>
      </c>
    </row>
    <row r="1249" spans="1:5" x14ac:dyDescent="0.25">
      <c r="A1249" t="s">
        <v>59</v>
      </c>
      <c r="B1249" s="10">
        <f>VLOOKUP(A1249,'Datos generales'!A:B,2,0)</f>
        <v>45755.288194444453</v>
      </c>
      <c r="C1249" s="12">
        <f>VLOOKUP(A1249,'Datos generales'!A:H,8,0)</f>
        <v>8884.3499999999985</v>
      </c>
      <c r="D1249" s="12" t="str">
        <f t="shared" si="38"/>
        <v>abril</v>
      </c>
      <c r="E1249" s="33">
        <f t="shared" si="39"/>
        <v>2025</v>
      </c>
    </row>
    <row r="1250" spans="1:5" x14ac:dyDescent="0.25">
      <c r="A1250" t="s">
        <v>60</v>
      </c>
      <c r="B1250" s="10">
        <f>VLOOKUP(A1250,'Datos generales'!A:B,2,0)</f>
        <v>45782.866666666669</v>
      </c>
      <c r="C1250" s="12">
        <f>VLOOKUP(A1250,'Datos generales'!A:H,8,0)</f>
        <v>1467.34</v>
      </c>
      <c r="D1250" s="12" t="str">
        <f t="shared" si="38"/>
        <v>mayo</v>
      </c>
      <c r="E1250" s="33">
        <f t="shared" si="39"/>
        <v>2025</v>
      </c>
    </row>
    <row r="1251" spans="1:5" x14ac:dyDescent="0.25">
      <c r="A1251" t="s">
        <v>61</v>
      </c>
      <c r="B1251" s="10">
        <f>VLOOKUP(A1251,'Datos generales'!A:B,2,0)</f>
        <v>45819.341666666667</v>
      </c>
      <c r="C1251" s="12">
        <f>VLOOKUP(A1251,'Datos generales'!A:H,8,0)</f>
        <v>2051.73</v>
      </c>
      <c r="D1251" s="12" t="str">
        <f t="shared" si="38"/>
        <v>junio</v>
      </c>
      <c r="E1251" s="33">
        <f t="shared" si="39"/>
        <v>2025</v>
      </c>
    </row>
    <row r="1252" spans="1:5" x14ac:dyDescent="0.25">
      <c r="A1252" t="s">
        <v>62</v>
      </c>
      <c r="B1252" s="10">
        <f>VLOOKUP(A1252,'Datos generales'!A:B,2,0)</f>
        <v>45441.993055555547</v>
      </c>
      <c r="C1252" s="12">
        <f>VLOOKUP(A1252,'Datos generales'!A:H,8,0)</f>
        <v>1083.8599999999999</v>
      </c>
      <c r="D1252" s="12" t="str">
        <f t="shared" si="38"/>
        <v>mayo</v>
      </c>
      <c r="E1252" s="33">
        <f t="shared" si="39"/>
        <v>2024</v>
      </c>
    </row>
    <row r="1253" spans="1:5" x14ac:dyDescent="0.25">
      <c r="A1253" t="s">
        <v>63</v>
      </c>
      <c r="B1253" s="10">
        <f>VLOOKUP(A1253,'Datos generales'!A:B,2,0)</f>
        <v>45180.999305555553</v>
      </c>
      <c r="C1253" s="12">
        <f>VLOOKUP(A1253,'Datos generales'!A:H,8,0)</f>
        <v>3103.7</v>
      </c>
      <c r="D1253" s="12" t="str">
        <f t="shared" si="38"/>
        <v>septiembre</v>
      </c>
      <c r="E1253" s="33">
        <f t="shared" si="39"/>
        <v>2023</v>
      </c>
    </row>
    <row r="1254" spans="1:5" x14ac:dyDescent="0.25">
      <c r="A1254" t="s">
        <v>64</v>
      </c>
      <c r="B1254" s="10">
        <f>VLOOKUP(A1254,'Datos generales'!A:B,2,0)</f>
        <v>45624.619444444441</v>
      </c>
      <c r="C1254" s="12">
        <f>VLOOKUP(A1254,'Datos generales'!A:H,8,0)</f>
        <v>6841.35</v>
      </c>
      <c r="D1254" s="12" t="str">
        <f t="shared" si="38"/>
        <v>noviembre</v>
      </c>
      <c r="E1254" s="33">
        <f t="shared" si="39"/>
        <v>2024</v>
      </c>
    </row>
    <row r="1255" spans="1:5" x14ac:dyDescent="0.25">
      <c r="A1255" t="s">
        <v>65</v>
      </c>
      <c r="B1255" s="10">
        <f>VLOOKUP(A1255,'Datos generales'!A:B,2,0)</f>
        <v>45447.955555555563</v>
      </c>
      <c r="C1255" s="12">
        <f>VLOOKUP(A1255,'Datos generales'!A:H,8,0)</f>
        <v>7275.52</v>
      </c>
      <c r="D1255" s="12" t="str">
        <f t="shared" si="38"/>
        <v>junio</v>
      </c>
      <c r="E1255" s="33">
        <f t="shared" si="39"/>
        <v>2024</v>
      </c>
    </row>
    <row r="1256" spans="1:5" x14ac:dyDescent="0.25">
      <c r="A1256" t="s">
        <v>66</v>
      </c>
      <c r="B1256" s="10">
        <f>VLOOKUP(A1256,'Datos generales'!A:B,2,0)</f>
        <v>45051.74722222222</v>
      </c>
      <c r="C1256" s="12">
        <f>VLOOKUP(A1256,'Datos generales'!A:H,8,0)</f>
        <v>6405.28</v>
      </c>
      <c r="D1256" s="12" t="str">
        <f t="shared" si="38"/>
        <v>mayo</v>
      </c>
      <c r="E1256" s="33">
        <f t="shared" si="39"/>
        <v>2023</v>
      </c>
    </row>
    <row r="1257" spans="1:5" x14ac:dyDescent="0.25">
      <c r="A1257" t="s">
        <v>67</v>
      </c>
      <c r="B1257" s="10">
        <f>VLOOKUP(A1257,'Datos generales'!A:B,2,0)</f>
        <v>45019.26666666667</v>
      </c>
      <c r="C1257" s="12">
        <f>VLOOKUP(A1257,'Datos generales'!A:H,8,0)</f>
        <v>711.16</v>
      </c>
      <c r="D1257" s="12" t="str">
        <f t="shared" si="38"/>
        <v>abril</v>
      </c>
      <c r="E1257" s="33">
        <f t="shared" si="39"/>
        <v>2023</v>
      </c>
    </row>
    <row r="1258" spans="1:5" x14ac:dyDescent="0.25">
      <c r="A1258" t="s">
        <v>68</v>
      </c>
      <c r="B1258" s="10">
        <f>VLOOKUP(A1258,'Datos generales'!A:B,2,0)</f>
        <v>44969.094444444447</v>
      </c>
      <c r="C1258" s="12">
        <f>VLOOKUP(A1258,'Datos generales'!A:H,8,0)</f>
        <v>83.48</v>
      </c>
      <c r="D1258" s="12" t="str">
        <f t="shared" si="38"/>
        <v>febrero</v>
      </c>
      <c r="E1258" s="33">
        <f t="shared" si="39"/>
        <v>2023</v>
      </c>
    </row>
    <row r="1259" spans="1:5" x14ac:dyDescent="0.25">
      <c r="A1259" t="s">
        <v>69</v>
      </c>
      <c r="B1259" s="10">
        <f>VLOOKUP(A1259,'Datos generales'!A:B,2,0)</f>
        <v>45091.519444444442</v>
      </c>
      <c r="C1259" s="12">
        <f>VLOOKUP(A1259,'Datos generales'!A:H,8,0)</f>
        <v>1372.72</v>
      </c>
      <c r="D1259" s="12" t="str">
        <f t="shared" si="38"/>
        <v>junio</v>
      </c>
      <c r="E1259" s="33">
        <f t="shared" si="39"/>
        <v>2023</v>
      </c>
    </row>
    <row r="1260" spans="1:5" x14ac:dyDescent="0.25">
      <c r="A1260" t="s">
        <v>70</v>
      </c>
      <c r="B1260" s="10">
        <f>VLOOKUP(A1260,'Datos generales'!A:B,2,0)</f>
        <v>45494</v>
      </c>
      <c r="C1260" s="12">
        <f>VLOOKUP(A1260,'Datos generales'!A:H,8,0)</f>
        <v>1618.91</v>
      </c>
      <c r="D1260" s="12" t="str">
        <f t="shared" si="38"/>
        <v>julio</v>
      </c>
      <c r="E1260" s="33">
        <f t="shared" si="39"/>
        <v>2024</v>
      </c>
    </row>
    <row r="1261" spans="1:5" x14ac:dyDescent="0.25">
      <c r="A1261" t="s">
        <v>71</v>
      </c>
      <c r="B1261" s="10">
        <f>VLOOKUP(A1261,'Datos generales'!A:B,2,0)</f>
        <v>45364.463194444441</v>
      </c>
      <c r="C1261" s="12">
        <f>VLOOKUP(A1261,'Datos generales'!A:H,8,0)</f>
        <v>2122.6</v>
      </c>
      <c r="D1261" s="12" t="str">
        <f t="shared" si="38"/>
        <v>marzo</v>
      </c>
      <c r="E1261" s="33">
        <f t="shared" si="39"/>
        <v>2024</v>
      </c>
    </row>
    <row r="1262" spans="1:5" x14ac:dyDescent="0.25">
      <c r="A1262" t="s">
        <v>72</v>
      </c>
      <c r="B1262" s="10">
        <f>VLOOKUP(A1262,'Datos generales'!A:B,2,0)</f>
        <v>45583.023611111108</v>
      </c>
      <c r="C1262" s="12">
        <f>VLOOKUP(A1262,'Datos generales'!A:H,8,0)</f>
        <v>2094.15</v>
      </c>
      <c r="D1262" s="12" t="str">
        <f t="shared" si="38"/>
        <v>octubre</v>
      </c>
      <c r="E1262" s="33">
        <f t="shared" si="39"/>
        <v>2024</v>
      </c>
    </row>
    <row r="1263" spans="1:5" x14ac:dyDescent="0.25">
      <c r="A1263" t="s">
        <v>73</v>
      </c>
      <c r="B1263" s="10">
        <f>VLOOKUP(A1263,'Datos generales'!A:B,2,0)</f>
        <v>45779.546527777777</v>
      </c>
      <c r="C1263" s="12">
        <f>VLOOKUP(A1263,'Datos generales'!A:H,8,0)</f>
        <v>1994.94</v>
      </c>
      <c r="D1263" s="12" t="str">
        <f t="shared" si="38"/>
        <v>mayo</v>
      </c>
      <c r="E1263" s="33">
        <f t="shared" si="39"/>
        <v>2025</v>
      </c>
    </row>
    <row r="1264" spans="1:5" x14ac:dyDescent="0.25">
      <c r="A1264" t="s">
        <v>74</v>
      </c>
      <c r="B1264" s="10">
        <f>VLOOKUP(A1264,'Datos generales'!A:B,2,0)</f>
        <v>45516.480555555558</v>
      </c>
      <c r="C1264" s="12">
        <f>VLOOKUP(A1264,'Datos generales'!A:H,8,0)</f>
        <v>1322.41</v>
      </c>
      <c r="D1264" s="12" t="str">
        <f t="shared" si="38"/>
        <v>agosto</v>
      </c>
      <c r="E1264" s="33">
        <f t="shared" si="39"/>
        <v>2024</v>
      </c>
    </row>
    <row r="1265" spans="1:5" x14ac:dyDescent="0.25">
      <c r="A1265" t="s">
        <v>75</v>
      </c>
      <c r="B1265" s="10">
        <f>VLOOKUP(A1265,'Datos generales'!A:B,2,0)</f>
        <v>45285.25277777778</v>
      </c>
      <c r="C1265" s="12">
        <f>VLOOKUP(A1265,'Datos generales'!A:H,8,0)</f>
        <v>5869.08</v>
      </c>
      <c r="D1265" s="12" t="str">
        <f t="shared" si="38"/>
        <v>diciembre</v>
      </c>
      <c r="E1265" s="33">
        <f t="shared" si="39"/>
        <v>2023</v>
      </c>
    </row>
    <row r="1266" spans="1:5" x14ac:dyDescent="0.25">
      <c r="A1266" t="s">
        <v>76</v>
      </c>
      <c r="B1266" s="10">
        <f>VLOOKUP(A1266,'Datos generales'!A:B,2,0)</f>
        <v>45297.965277777781</v>
      </c>
      <c r="C1266" s="12">
        <f>VLOOKUP(A1266,'Datos generales'!A:H,8,0)</f>
        <v>7216.48</v>
      </c>
      <c r="D1266" s="12" t="str">
        <f t="shared" si="38"/>
        <v>enero</v>
      </c>
      <c r="E1266" s="33">
        <f t="shared" si="39"/>
        <v>2024</v>
      </c>
    </row>
    <row r="1267" spans="1:5" x14ac:dyDescent="0.25">
      <c r="A1267" t="s">
        <v>77</v>
      </c>
      <c r="B1267" s="10">
        <f>VLOOKUP(A1267,'Datos generales'!A:B,2,0)</f>
        <v>45434.519444444442</v>
      </c>
      <c r="C1267" s="12">
        <f>VLOOKUP(A1267,'Datos generales'!A:H,8,0)</f>
        <v>1172.72</v>
      </c>
      <c r="D1267" s="12" t="str">
        <f t="shared" si="38"/>
        <v>mayo</v>
      </c>
      <c r="E1267" s="33">
        <f t="shared" si="39"/>
        <v>2024</v>
      </c>
    </row>
    <row r="1268" spans="1:5" x14ac:dyDescent="0.25">
      <c r="A1268" t="s">
        <v>78</v>
      </c>
      <c r="B1268" s="10">
        <f>VLOOKUP(A1268,'Datos generales'!A:B,2,0)</f>
        <v>45290.050694444442</v>
      </c>
      <c r="C1268" s="12">
        <f>VLOOKUP(A1268,'Datos generales'!A:H,8,0)</f>
        <v>725.07</v>
      </c>
      <c r="D1268" s="12" t="str">
        <f t="shared" si="38"/>
        <v>diciembre</v>
      </c>
      <c r="E1268" s="33">
        <f t="shared" si="39"/>
        <v>2023</v>
      </c>
    </row>
    <row r="1269" spans="1:5" x14ac:dyDescent="0.25">
      <c r="A1269" t="s">
        <v>79</v>
      </c>
      <c r="B1269" s="10">
        <f>VLOOKUP(A1269,'Datos generales'!A:B,2,0)</f>
        <v>45684.334027777782</v>
      </c>
      <c r="C1269" s="12">
        <f>VLOOKUP(A1269,'Datos generales'!A:H,8,0)</f>
        <v>2818.45</v>
      </c>
      <c r="D1269" s="12" t="str">
        <f t="shared" si="38"/>
        <v>enero</v>
      </c>
      <c r="E1269" s="33">
        <f t="shared" si="39"/>
        <v>2025</v>
      </c>
    </row>
    <row r="1270" spans="1:5" x14ac:dyDescent="0.25">
      <c r="A1270" t="s">
        <v>80</v>
      </c>
      <c r="B1270" s="10">
        <f>VLOOKUP(A1270,'Datos generales'!A:B,2,0)</f>
        <v>45222.202777777777</v>
      </c>
      <c r="C1270" s="12">
        <f>VLOOKUP(A1270,'Datos generales'!A:H,8,0)</f>
        <v>7737.05</v>
      </c>
      <c r="D1270" s="12" t="str">
        <f t="shared" si="38"/>
        <v>octubre</v>
      </c>
      <c r="E1270" s="33">
        <f t="shared" si="39"/>
        <v>2023</v>
      </c>
    </row>
    <row r="1271" spans="1:5" x14ac:dyDescent="0.25">
      <c r="A1271" t="s">
        <v>81</v>
      </c>
      <c r="B1271" s="10">
        <f>VLOOKUP(A1271,'Datos generales'!A:B,2,0)</f>
        <v>45274.597916666673</v>
      </c>
      <c r="C1271" s="12">
        <f>VLOOKUP(A1271,'Datos generales'!A:H,8,0)</f>
        <v>3807.3</v>
      </c>
      <c r="D1271" s="12" t="str">
        <f t="shared" si="38"/>
        <v>diciembre</v>
      </c>
      <c r="E1271" s="33">
        <f t="shared" si="39"/>
        <v>2023</v>
      </c>
    </row>
    <row r="1272" spans="1:5" x14ac:dyDescent="0.25">
      <c r="A1272" t="s">
        <v>82</v>
      </c>
      <c r="B1272" s="10">
        <f>VLOOKUP(A1272,'Datos generales'!A:B,2,0)</f>
        <v>45358.874305555553</v>
      </c>
      <c r="C1272" s="12">
        <f>VLOOKUP(A1272,'Datos generales'!A:H,8,0)</f>
        <v>2396.4</v>
      </c>
      <c r="D1272" s="12" t="str">
        <f t="shared" si="38"/>
        <v>marzo</v>
      </c>
      <c r="E1272" s="33">
        <f t="shared" si="39"/>
        <v>2024</v>
      </c>
    </row>
    <row r="1273" spans="1:5" x14ac:dyDescent="0.25">
      <c r="A1273" t="s">
        <v>83</v>
      </c>
      <c r="B1273" s="10">
        <f>VLOOKUP(A1273,'Datos generales'!A:B,2,0)</f>
        <v>45850.171527777777</v>
      </c>
      <c r="C1273" s="12">
        <f>VLOOKUP(A1273,'Datos generales'!A:H,8,0)</f>
        <v>1631.16</v>
      </c>
      <c r="D1273" s="12" t="str">
        <f t="shared" si="38"/>
        <v>julio</v>
      </c>
      <c r="E1273" s="33">
        <f t="shared" si="39"/>
        <v>2025</v>
      </c>
    </row>
    <row r="1274" spans="1:5" x14ac:dyDescent="0.25">
      <c r="A1274" t="s">
        <v>84</v>
      </c>
      <c r="B1274" s="10">
        <f>VLOOKUP(A1274,'Datos generales'!A:B,2,0)</f>
        <v>45041.884027777778</v>
      </c>
      <c r="C1274" s="12">
        <f>VLOOKUP(A1274,'Datos generales'!A:H,8,0)</f>
        <v>2899.06</v>
      </c>
      <c r="D1274" s="12" t="str">
        <f t="shared" si="38"/>
        <v>abril</v>
      </c>
      <c r="E1274" s="33">
        <f t="shared" si="39"/>
        <v>2023</v>
      </c>
    </row>
    <row r="1275" spans="1:5" x14ac:dyDescent="0.25">
      <c r="A1275" t="s">
        <v>85</v>
      </c>
      <c r="B1275" s="10">
        <f>VLOOKUP(A1275,'Datos generales'!A:B,2,0)</f>
        <v>45564.772916666669</v>
      </c>
      <c r="C1275" s="12">
        <f>VLOOKUP(A1275,'Datos generales'!A:H,8,0)</f>
        <v>2362.1</v>
      </c>
      <c r="D1275" s="12" t="str">
        <f t="shared" si="38"/>
        <v>septiembre</v>
      </c>
      <c r="E1275" s="33">
        <f t="shared" si="39"/>
        <v>2024</v>
      </c>
    </row>
    <row r="1276" spans="1:5" x14ac:dyDescent="0.25">
      <c r="A1276" t="s">
        <v>86</v>
      </c>
      <c r="B1276" s="10">
        <f>VLOOKUP(A1276,'Datos generales'!A:B,2,0)</f>
        <v>45118.247916666667</v>
      </c>
      <c r="C1276" s="12">
        <f>VLOOKUP(A1276,'Datos generales'!A:H,8,0)</f>
        <v>1103.7</v>
      </c>
      <c r="D1276" s="12" t="str">
        <f t="shared" si="38"/>
        <v>julio</v>
      </c>
      <c r="E1276" s="33">
        <f t="shared" si="39"/>
        <v>2023</v>
      </c>
    </row>
    <row r="1277" spans="1:5" x14ac:dyDescent="0.25">
      <c r="A1277" t="s">
        <v>87</v>
      </c>
      <c r="B1277" s="10">
        <f>VLOOKUP(A1277,'Datos generales'!A:B,2,0)</f>
        <v>45717.986111111109</v>
      </c>
      <c r="C1277" s="12">
        <f>VLOOKUP(A1277,'Datos generales'!A:H,8,0)</f>
        <v>3697.55</v>
      </c>
      <c r="D1277" s="12" t="str">
        <f t="shared" si="38"/>
        <v>marzo</v>
      </c>
      <c r="E1277" s="33">
        <f t="shared" si="39"/>
        <v>2025</v>
      </c>
    </row>
    <row r="1278" spans="1:5" x14ac:dyDescent="0.25">
      <c r="A1278" t="s">
        <v>88</v>
      </c>
      <c r="B1278" s="10">
        <f>VLOOKUP(A1278,'Datos generales'!A:B,2,0)</f>
        <v>45162.795138888891</v>
      </c>
      <c r="C1278" s="12">
        <f>VLOOKUP(A1278,'Datos generales'!A:H,8,0)</f>
        <v>2178.2600000000002</v>
      </c>
      <c r="D1278" s="12" t="str">
        <f t="shared" si="38"/>
        <v>agosto</v>
      </c>
      <c r="E1278" s="33">
        <f t="shared" si="39"/>
        <v>2023</v>
      </c>
    </row>
    <row r="1279" spans="1:5" x14ac:dyDescent="0.25">
      <c r="A1279" t="s">
        <v>89</v>
      </c>
      <c r="B1279" s="10">
        <f>VLOOKUP(A1279,'Datos generales'!A:B,2,0)</f>
        <v>45517.353472222218</v>
      </c>
      <c r="C1279" s="12">
        <f>VLOOKUP(A1279,'Datos generales'!A:H,8,0)</f>
        <v>8163.75</v>
      </c>
      <c r="D1279" s="12" t="str">
        <f t="shared" si="38"/>
        <v>agosto</v>
      </c>
      <c r="E1279" s="33">
        <f t="shared" si="39"/>
        <v>2024</v>
      </c>
    </row>
    <row r="1280" spans="1:5" x14ac:dyDescent="0.25">
      <c r="A1280" t="s">
        <v>90</v>
      </c>
      <c r="B1280" s="10">
        <f>VLOOKUP(A1280,'Datos generales'!A:B,2,0)</f>
        <v>45245.664583333331</v>
      </c>
      <c r="C1280" s="12">
        <f>VLOOKUP(A1280,'Datos generales'!A:H,8,0)</f>
        <v>2452.0500000000002</v>
      </c>
      <c r="D1280" s="12" t="str">
        <f t="shared" si="38"/>
        <v>noviembre</v>
      </c>
      <c r="E1280" s="33">
        <f t="shared" si="39"/>
        <v>2023</v>
      </c>
    </row>
    <row r="1281" spans="1:5" x14ac:dyDescent="0.25">
      <c r="A1281" t="s">
        <v>91</v>
      </c>
      <c r="B1281" s="10">
        <f>VLOOKUP(A1281,'Datos generales'!A:B,2,0)</f>
        <v>45603.368055555547</v>
      </c>
      <c r="C1281" s="12">
        <f>VLOOKUP(A1281,'Datos generales'!A:H,8,0)</f>
        <v>2373.16</v>
      </c>
      <c r="D1281" s="12" t="str">
        <f t="shared" si="38"/>
        <v>noviembre</v>
      </c>
      <c r="E1281" s="33">
        <f t="shared" si="39"/>
        <v>2024</v>
      </c>
    </row>
    <row r="1282" spans="1:5" x14ac:dyDescent="0.25">
      <c r="A1282" t="s">
        <v>92</v>
      </c>
      <c r="B1282" s="10">
        <f>VLOOKUP(A1282,'Datos generales'!A:B,2,0)</f>
        <v>44990.597916666673</v>
      </c>
      <c r="C1282" s="12">
        <f>VLOOKUP(A1282,'Datos generales'!A:H,8,0)</f>
        <v>3745.6</v>
      </c>
      <c r="D1282" s="12" t="str">
        <f t="shared" si="38"/>
        <v>marzo</v>
      </c>
      <c r="E1282" s="33">
        <f t="shared" si="39"/>
        <v>2023</v>
      </c>
    </row>
    <row r="1283" spans="1:5" x14ac:dyDescent="0.25">
      <c r="A1283" t="s">
        <v>93</v>
      </c>
      <c r="B1283" s="10">
        <f>VLOOKUP(A1283,'Datos generales'!A:B,2,0)</f>
        <v>45273.106249999997</v>
      </c>
      <c r="C1283" s="12">
        <f>VLOOKUP(A1283,'Datos generales'!A:H,8,0)</f>
        <v>2040.57</v>
      </c>
      <c r="D1283" s="12" t="str">
        <f t="shared" ref="D1283:D1346" si="40">TEXT(B1283,"mmmm")</f>
        <v>diciembre</v>
      </c>
      <c r="E1283" s="33">
        <f t="shared" ref="E1283:E1346" si="41">YEAR(B1283)</f>
        <v>2023</v>
      </c>
    </row>
    <row r="1284" spans="1:5" x14ac:dyDescent="0.25">
      <c r="A1284" t="s">
        <v>94</v>
      </c>
      <c r="B1284" s="10">
        <f>VLOOKUP(A1284,'Datos generales'!A:B,2,0)</f>
        <v>45022.271527777782</v>
      </c>
      <c r="C1284" s="12">
        <f>VLOOKUP(A1284,'Datos generales'!A:H,8,0)</f>
        <v>1051.28</v>
      </c>
      <c r="D1284" s="12" t="str">
        <f t="shared" si="40"/>
        <v>abril</v>
      </c>
      <c r="E1284" s="33">
        <f t="shared" si="41"/>
        <v>2023</v>
      </c>
    </row>
    <row r="1285" spans="1:5" x14ac:dyDescent="0.25">
      <c r="A1285" t="s">
        <v>95</v>
      </c>
      <c r="B1285" s="10">
        <f>VLOOKUP(A1285,'Datos generales'!A:B,2,0)</f>
        <v>45682.68472222222</v>
      </c>
      <c r="C1285" s="12">
        <f>VLOOKUP(A1285,'Datos generales'!A:H,8,0)</f>
        <v>6127</v>
      </c>
      <c r="D1285" s="12" t="str">
        <f t="shared" si="40"/>
        <v>enero</v>
      </c>
      <c r="E1285" s="33">
        <f t="shared" si="41"/>
        <v>2025</v>
      </c>
    </row>
    <row r="1286" spans="1:5" x14ac:dyDescent="0.25">
      <c r="A1286" t="s">
        <v>96</v>
      </c>
      <c r="B1286" s="10">
        <f>VLOOKUP(A1286,'Datos generales'!A:B,2,0)</f>
        <v>45099.143750000003</v>
      </c>
      <c r="C1286" s="12">
        <f>VLOOKUP(A1286,'Datos generales'!A:H,8,0)</f>
        <v>503.84</v>
      </c>
      <c r="D1286" s="12" t="str">
        <f t="shared" si="40"/>
        <v>junio</v>
      </c>
      <c r="E1286" s="33">
        <f t="shared" si="41"/>
        <v>2023</v>
      </c>
    </row>
    <row r="1287" spans="1:5" x14ac:dyDescent="0.25">
      <c r="A1287" t="s">
        <v>97</v>
      </c>
      <c r="B1287" s="10">
        <f>VLOOKUP(A1287,'Datos generales'!A:B,2,0)</f>
        <v>45546.810416666667</v>
      </c>
      <c r="C1287" s="12">
        <f>VLOOKUP(A1287,'Datos generales'!A:H,8,0)</f>
        <v>7633.64</v>
      </c>
      <c r="D1287" s="12" t="str">
        <f t="shared" si="40"/>
        <v>septiembre</v>
      </c>
      <c r="E1287" s="33">
        <f t="shared" si="41"/>
        <v>2024</v>
      </c>
    </row>
    <row r="1288" spans="1:5" x14ac:dyDescent="0.25">
      <c r="A1288" t="s">
        <v>98</v>
      </c>
      <c r="B1288" s="10">
        <f>VLOOKUP(A1288,'Datos generales'!A:B,2,0)</f>
        <v>45451.106249999997</v>
      </c>
      <c r="C1288" s="12">
        <f>VLOOKUP(A1288,'Datos generales'!A:H,8,0)</f>
        <v>229.2</v>
      </c>
      <c r="D1288" s="12" t="str">
        <f t="shared" si="40"/>
        <v>junio</v>
      </c>
      <c r="E1288" s="33">
        <f t="shared" si="41"/>
        <v>2024</v>
      </c>
    </row>
    <row r="1289" spans="1:5" x14ac:dyDescent="0.25">
      <c r="A1289" t="s">
        <v>99</v>
      </c>
      <c r="B1289" s="10">
        <f>VLOOKUP(A1289,'Datos generales'!A:B,2,0)</f>
        <v>45101.551388888889</v>
      </c>
      <c r="C1289" s="12">
        <f>VLOOKUP(A1289,'Datos generales'!A:H,8,0)</f>
        <v>1191.56</v>
      </c>
      <c r="D1289" s="12" t="str">
        <f t="shared" si="40"/>
        <v>junio</v>
      </c>
      <c r="E1289" s="33">
        <f t="shared" si="41"/>
        <v>2023</v>
      </c>
    </row>
    <row r="1290" spans="1:5" x14ac:dyDescent="0.25">
      <c r="A1290" t="s">
        <v>100</v>
      </c>
      <c r="B1290" s="10">
        <f>VLOOKUP(A1290,'Datos generales'!A:B,2,0)</f>
        <v>45405.413194444453</v>
      </c>
      <c r="C1290" s="12">
        <f>VLOOKUP(A1290,'Datos generales'!A:H,8,0)</f>
        <v>150.04</v>
      </c>
      <c r="D1290" s="12" t="str">
        <f t="shared" si="40"/>
        <v>abril</v>
      </c>
      <c r="E1290" s="33">
        <f t="shared" si="41"/>
        <v>2024</v>
      </c>
    </row>
    <row r="1291" spans="1:5" x14ac:dyDescent="0.25">
      <c r="A1291" t="s">
        <v>101</v>
      </c>
      <c r="B1291" s="10">
        <f>VLOOKUP(A1291,'Datos generales'!A:B,2,0)</f>
        <v>45465.332638888889</v>
      </c>
      <c r="C1291" s="12">
        <f>VLOOKUP(A1291,'Datos generales'!A:H,8,0)</f>
        <v>2704.6</v>
      </c>
      <c r="D1291" s="12" t="str">
        <f t="shared" si="40"/>
        <v>junio</v>
      </c>
      <c r="E1291" s="33">
        <f t="shared" si="41"/>
        <v>2024</v>
      </c>
    </row>
    <row r="1292" spans="1:5" x14ac:dyDescent="0.25">
      <c r="A1292" t="s">
        <v>102</v>
      </c>
      <c r="B1292" s="10">
        <f>VLOOKUP(A1292,'Datos generales'!A:B,2,0)</f>
        <v>45863.330555555563</v>
      </c>
      <c r="C1292" s="12">
        <f>VLOOKUP(A1292,'Datos generales'!A:H,8,0)</f>
        <v>713.82</v>
      </c>
      <c r="D1292" s="12" t="str">
        <f t="shared" si="40"/>
        <v>julio</v>
      </c>
      <c r="E1292" s="33">
        <f t="shared" si="41"/>
        <v>2025</v>
      </c>
    </row>
    <row r="1293" spans="1:5" x14ac:dyDescent="0.25">
      <c r="A1293" t="s">
        <v>103</v>
      </c>
      <c r="B1293" s="10">
        <f>VLOOKUP(A1293,'Datos generales'!A:B,2,0)</f>
        <v>45727.712500000001</v>
      </c>
      <c r="C1293" s="12">
        <f>VLOOKUP(A1293,'Datos generales'!A:H,8,0)</f>
        <v>3407.01</v>
      </c>
      <c r="D1293" s="12" t="str">
        <f t="shared" si="40"/>
        <v>marzo</v>
      </c>
      <c r="E1293" s="33">
        <f t="shared" si="41"/>
        <v>2025</v>
      </c>
    </row>
    <row r="1294" spans="1:5" x14ac:dyDescent="0.25">
      <c r="A1294" t="s">
        <v>104</v>
      </c>
      <c r="B1294" s="10">
        <f>VLOOKUP(A1294,'Datos generales'!A:B,2,0)</f>
        <v>45676.398611111108</v>
      </c>
      <c r="C1294" s="12">
        <f>VLOOKUP(A1294,'Datos generales'!A:H,8,0)</f>
        <v>2417.0700000000002</v>
      </c>
      <c r="D1294" s="12" t="str">
        <f t="shared" si="40"/>
        <v>enero</v>
      </c>
      <c r="E1294" s="33">
        <f t="shared" si="41"/>
        <v>2025</v>
      </c>
    </row>
    <row r="1295" spans="1:5" x14ac:dyDescent="0.25">
      <c r="A1295" t="s">
        <v>105</v>
      </c>
      <c r="B1295" s="10">
        <f>VLOOKUP(A1295,'Datos generales'!A:B,2,0)</f>
        <v>45289.026388888888</v>
      </c>
      <c r="C1295" s="12">
        <f>VLOOKUP(A1295,'Datos generales'!A:H,8,0)</f>
        <v>2518.14</v>
      </c>
      <c r="D1295" s="12" t="str">
        <f t="shared" si="40"/>
        <v>diciembre</v>
      </c>
      <c r="E1295" s="33">
        <f t="shared" si="41"/>
        <v>2023</v>
      </c>
    </row>
    <row r="1296" spans="1:5" x14ac:dyDescent="0.25">
      <c r="A1296" t="s">
        <v>106</v>
      </c>
      <c r="B1296" s="10">
        <f>VLOOKUP(A1296,'Datos generales'!A:B,2,0)</f>
        <v>45473.418749999997</v>
      </c>
      <c r="C1296" s="12">
        <f>VLOOKUP(A1296,'Datos generales'!A:H,8,0)</f>
        <v>1801.2</v>
      </c>
      <c r="D1296" s="12" t="str">
        <f t="shared" si="40"/>
        <v>junio</v>
      </c>
      <c r="E1296" s="33">
        <f t="shared" si="41"/>
        <v>2024</v>
      </c>
    </row>
    <row r="1297" spans="1:5" x14ac:dyDescent="0.25">
      <c r="A1297" t="s">
        <v>107</v>
      </c>
      <c r="B1297" s="10">
        <f>VLOOKUP(A1297,'Datos generales'!A:B,2,0)</f>
        <v>45499.757638888892</v>
      </c>
      <c r="C1297" s="12">
        <f>VLOOKUP(A1297,'Datos generales'!A:H,8,0)</f>
        <v>959.62</v>
      </c>
      <c r="D1297" s="12" t="str">
        <f t="shared" si="40"/>
        <v>julio</v>
      </c>
      <c r="E1297" s="33">
        <f t="shared" si="41"/>
        <v>2024</v>
      </c>
    </row>
    <row r="1298" spans="1:5" x14ac:dyDescent="0.25">
      <c r="A1298" t="s">
        <v>108</v>
      </c>
      <c r="B1298" s="10">
        <f>VLOOKUP(A1298,'Datos generales'!A:B,2,0)</f>
        <v>45541.331250000003</v>
      </c>
      <c r="C1298" s="12">
        <f>VLOOKUP(A1298,'Datos generales'!A:H,8,0)</f>
        <v>1888.86</v>
      </c>
      <c r="D1298" s="12" t="str">
        <f t="shared" si="40"/>
        <v>septiembre</v>
      </c>
      <c r="E1298" s="33">
        <f t="shared" si="41"/>
        <v>2024</v>
      </c>
    </row>
    <row r="1299" spans="1:5" x14ac:dyDescent="0.25">
      <c r="A1299" t="s">
        <v>109</v>
      </c>
      <c r="B1299" s="10">
        <f>VLOOKUP(A1299,'Datos generales'!A:B,2,0)</f>
        <v>45542.574305555558</v>
      </c>
      <c r="C1299" s="12">
        <f>VLOOKUP(A1299,'Datos generales'!A:H,8,0)</f>
        <v>7284.2</v>
      </c>
      <c r="D1299" s="12" t="str">
        <f t="shared" si="40"/>
        <v>septiembre</v>
      </c>
      <c r="E1299" s="33">
        <f t="shared" si="41"/>
        <v>2024</v>
      </c>
    </row>
    <row r="1300" spans="1:5" x14ac:dyDescent="0.25">
      <c r="A1300" t="s">
        <v>110</v>
      </c>
      <c r="B1300" s="10">
        <f>VLOOKUP(A1300,'Datos generales'!A:B,2,0)</f>
        <v>45846.336805555547</v>
      </c>
      <c r="C1300" s="12">
        <f>VLOOKUP(A1300,'Datos generales'!A:H,8,0)</f>
        <v>4611.6900000000014</v>
      </c>
      <c r="D1300" s="12" t="str">
        <f t="shared" si="40"/>
        <v>julio</v>
      </c>
      <c r="E1300" s="33">
        <f t="shared" si="41"/>
        <v>2025</v>
      </c>
    </row>
    <row r="1301" spans="1:5" x14ac:dyDescent="0.25">
      <c r="A1301" t="s">
        <v>111</v>
      </c>
      <c r="B1301" s="10">
        <f>VLOOKUP(A1301,'Datos generales'!A:B,2,0)</f>
        <v>45318.705555555563</v>
      </c>
      <c r="C1301" s="12">
        <f>VLOOKUP(A1301,'Datos generales'!A:H,8,0)</f>
        <v>934.98</v>
      </c>
      <c r="D1301" s="12" t="str">
        <f t="shared" si="40"/>
        <v>enero</v>
      </c>
      <c r="E1301" s="33">
        <f t="shared" si="41"/>
        <v>2024</v>
      </c>
    </row>
    <row r="1302" spans="1:5" x14ac:dyDescent="0.25">
      <c r="A1302" t="s">
        <v>112</v>
      </c>
      <c r="B1302" s="10">
        <f>VLOOKUP(A1302,'Datos generales'!A:B,2,0)</f>
        <v>45595.668055555558</v>
      </c>
      <c r="C1302" s="12">
        <f>VLOOKUP(A1302,'Datos generales'!A:H,8,0)</f>
        <v>745.45</v>
      </c>
      <c r="D1302" s="12" t="str">
        <f t="shared" si="40"/>
        <v>octubre</v>
      </c>
      <c r="E1302" s="33">
        <f t="shared" si="41"/>
        <v>2024</v>
      </c>
    </row>
    <row r="1303" spans="1:5" x14ac:dyDescent="0.25">
      <c r="A1303" t="s">
        <v>113</v>
      </c>
      <c r="B1303" s="10">
        <f>VLOOKUP(A1303,'Datos generales'!A:B,2,0)</f>
        <v>44984.418055555558</v>
      </c>
      <c r="C1303" s="12">
        <f>VLOOKUP(A1303,'Datos generales'!A:H,8,0)</f>
        <v>9427.4</v>
      </c>
      <c r="D1303" s="12" t="str">
        <f t="shared" si="40"/>
        <v>febrero</v>
      </c>
      <c r="E1303" s="33">
        <f t="shared" si="41"/>
        <v>2023</v>
      </c>
    </row>
    <row r="1304" spans="1:5" x14ac:dyDescent="0.25">
      <c r="A1304" t="s">
        <v>114</v>
      </c>
      <c r="B1304" s="10">
        <f>VLOOKUP(A1304,'Datos generales'!A:B,2,0)</f>
        <v>45153.455555555563</v>
      </c>
      <c r="C1304" s="12">
        <f>VLOOKUP(A1304,'Datos generales'!A:H,8,0)</f>
        <v>4775.76</v>
      </c>
      <c r="D1304" s="12" t="str">
        <f t="shared" si="40"/>
        <v>agosto</v>
      </c>
      <c r="E1304" s="33">
        <f t="shared" si="41"/>
        <v>2023</v>
      </c>
    </row>
    <row r="1305" spans="1:5" x14ac:dyDescent="0.25">
      <c r="A1305" t="s">
        <v>115</v>
      </c>
      <c r="B1305" s="10">
        <f>VLOOKUP(A1305,'Datos generales'!A:B,2,0)</f>
        <v>45919.24722222222</v>
      </c>
      <c r="C1305" s="12">
        <f>VLOOKUP(A1305,'Datos generales'!A:H,8,0)</f>
        <v>6916.65</v>
      </c>
      <c r="D1305" s="12" t="str">
        <f t="shared" si="40"/>
        <v>septiembre</v>
      </c>
      <c r="E1305" s="33">
        <f t="shared" si="41"/>
        <v>2025</v>
      </c>
    </row>
    <row r="1306" spans="1:5" x14ac:dyDescent="0.25">
      <c r="A1306" t="s">
        <v>116</v>
      </c>
      <c r="B1306" s="10">
        <f>VLOOKUP(A1306,'Datos generales'!A:B,2,0)</f>
        <v>45815.543055555558</v>
      </c>
      <c r="C1306" s="12">
        <f>VLOOKUP(A1306,'Datos generales'!A:H,8,0)</f>
        <v>2102.46</v>
      </c>
      <c r="D1306" s="12" t="str">
        <f t="shared" si="40"/>
        <v>junio</v>
      </c>
      <c r="E1306" s="33">
        <f t="shared" si="41"/>
        <v>2025</v>
      </c>
    </row>
    <row r="1307" spans="1:5" x14ac:dyDescent="0.25">
      <c r="A1307" t="s">
        <v>117</v>
      </c>
      <c r="B1307" s="10">
        <f>VLOOKUP(A1307,'Datos generales'!A:B,2,0)</f>
        <v>45255.4</v>
      </c>
      <c r="C1307" s="12">
        <f>VLOOKUP(A1307,'Datos generales'!A:H,8,0)</f>
        <v>5097.84</v>
      </c>
      <c r="D1307" s="12" t="str">
        <f t="shared" si="40"/>
        <v>noviembre</v>
      </c>
      <c r="E1307" s="33">
        <f t="shared" si="41"/>
        <v>2023</v>
      </c>
    </row>
    <row r="1308" spans="1:5" x14ac:dyDescent="0.25">
      <c r="A1308" t="s">
        <v>118</v>
      </c>
      <c r="B1308" s="10">
        <f>VLOOKUP(A1308,'Datos generales'!A:B,2,0)</f>
        <v>45754.797222222223</v>
      </c>
      <c r="C1308" s="12">
        <f>VLOOKUP(A1308,'Datos generales'!A:H,8,0)</f>
        <v>1251.08</v>
      </c>
      <c r="D1308" s="12" t="str">
        <f t="shared" si="40"/>
        <v>abril</v>
      </c>
      <c r="E1308" s="33">
        <f t="shared" si="41"/>
        <v>2025</v>
      </c>
    </row>
    <row r="1309" spans="1:5" x14ac:dyDescent="0.25">
      <c r="A1309" t="s">
        <v>119</v>
      </c>
      <c r="B1309" s="10">
        <f>VLOOKUP(A1309,'Datos generales'!A:B,2,0)</f>
        <v>45764.185416666667</v>
      </c>
      <c r="C1309" s="12">
        <f>VLOOKUP(A1309,'Datos generales'!A:H,8,0)</f>
        <v>7911</v>
      </c>
      <c r="D1309" s="12" t="str">
        <f t="shared" si="40"/>
        <v>abril</v>
      </c>
      <c r="E1309" s="33">
        <f t="shared" si="41"/>
        <v>2025</v>
      </c>
    </row>
    <row r="1310" spans="1:5" x14ac:dyDescent="0.25">
      <c r="A1310" t="s">
        <v>120</v>
      </c>
      <c r="B1310" s="10">
        <f>VLOOKUP(A1310,'Datos generales'!A:B,2,0)</f>
        <v>45240.82916666667</v>
      </c>
      <c r="C1310" s="12">
        <f>VLOOKUP(A1310,'Datos generales'!A:H,8,0)</f>
        <v>81.92</v>
      </c>
      <c r="D1310" s="12" t="str">
        <f t="shared" si="40"/>
        <v>noviembre</v>
      </c>
      <c r="E1310" s="33">
        <f t="shared" si="41"/>
        <v>2023</v>
      </c>
    </row>
    <row r="1311" spans="1:5" x14ac:dyDescent="0.25">
      <c r="A1311" t="s">
        <v>121</v>
      </c>
      <c r="B1311" s="10">
        <f>VLOOKUP(A1311,'Datos generales'!A:B,2,0)</f>
        <v>45634.470138888893</v>
      </c>
      <c r="C1311" s="12">
        <f>VLOOKUP(A1311,'Datos generales'!A:H,8,0)</f>
        <v>1153.31</v>
      </c>
      <c r="D1311" s="12" t="str">
        <f t="shared" si="40"/>
        <v>diciembre</v>
      </c>
      <c r="E1311" s="33">
        <f t="shared" si="41"/>
        <v>2024</v>
      </c>
    </row>
    <row r="1312" spans="1:5" x14ac:dyDescent="0.25">
      <c r="A1312" t="s">
        <v>122</v>
      </c>
      <c r="B1312" s="10">
        <f>VLOOKUP(A1312,'Datos generales'!A:B,2,0)</f>
        <v>45913.939583333333</v>
      </c>
      <c r="C1312" s="12">
        <f>VLOOKUP(A1312,'Datos generales'!A:H,8,0)</f>
        <v>3234.24</v>
      </c>
      <c r="D1312" s="12" t="str">
        <f t="shared" si="40"/>
        <v>septiembre</v>
      </c>
      <c r="E1312" s="33">
        <f t="shared" si="41"/>
        <v>2025</v>
      </c>
    </row>
    <row r="1313" spans="1:5" x14ac:dyDescent="0.25">
      <c r="A1313" t="s">
        <v>123</v>
      </c>
      <c r="B1313" s="10">
        <f>VLOOKUP(A1313,'Datos generales'!A:B,2,0)</f>
        <v>45526.149305555547</v>
      </c>
      <c r="C1313" s="12">
        <f>VLOOKUP(A1313,'Datos generales'!A:H,8,0)</f>
        <v>201.91</v>
      </c>
      <c r="D1313" s="12" t="str">
        <f t="shared" si="40"/>
        <v>agosto</v>
      </c>
      <c r="E1313" s="33">
        <f t="shared" si="41"/>
        <v>2024</v>
      </c>
    </row>
    <row r="1314" spans="1:5" x14ac:dyDescent="0.25">
      <c r="A1314" t="s">
        <v>124</v>
      </c>
      <c r="B1314" s="10">
        <f>VLOOKUP(A1314,'Datos generales'!A:B,2,0)</f>
        <v>45487.067361111112</v>
      </c>
      <c r="C1314" s="12">
        <f>VLOOKUP(A1314,'Datos generales'!A:H,8,0)</f>
        <v>2182.08</v>
      </c>
      <c r="D1314" s="12" t="str">
        <f t="shared" si="40"/>
        <v>julio</v>
      </c>
      <c r="E1314" s="33">
        <f t="shared" si="41"/>
        <v>2024</v>
      </c>
    </row>
    <row r="1315" spans="1:5" x14ac:dyDescent="0.25">
      <c r="A1315" t="s">
        <v>125</v>
      </c>
      <c r="B1315" s="10">
        <f>VLOOKUP(A1315,'Datos generales'!A:B,2,0)</f>
        <v>45281.986805555563</v>
      </c>
      <c r="C1315" s="12">
        <f>VLOOKUP(A1315,'Datos generales'!A:H,8,0)</f>
        <v>4936.29</v>
      </c>
      <c r="D1315" s="12" t="str">
        <f t="shared" si="40"/>
        <v>diciembre</v>
      </c>
      <c r="E1315" s="33">
        <f t="shared" si="41"/>
        <v>2023</v>
      </c>
    </row>
    <row r="1316" spans="1:5" x14ac:dyDescent="0.25">
      <c r="A1316" t="s">
        <v>126</v>
      </c>
      <c r="B1316" s="10">
        <f>VLOOKUP(A1316,'Datos generales'!A:B,2,0)</f>
        <v>45468.378472222219</v>
      </c>
      <c r="C1316" s="12">
        <f>VLOOKUP(A1316,'Datos generales'!A:H,8,0)</f>
        <v>1260.1500000000001</v>
      </c>
      <c r="D1316" s="12" t="str">
        <f t="shared" si="40"/>
        <v>junio</v>
      </c>
      <c r="E1316" s="33">
        <f t="shared" si="41"/>
        <v>2024</v>
      </c>
    </row>
    <row r="1317" spans="1:5" x14ac:dyDescent="0.25">
      <c r="A1317" t="s">
        <v>127</v>
      </c>
      <c r="B1317" s="10">
        <f>VLOOKUP(A1317,'Datos generales'!A:B,2,0)</f>
        <v>45529.436805555553</v>
      </c>
      <c r="C1317" s="12">
        <f>VLOOKUP(A1317,'Datos generales'!A:H,8,0)</f>
        <v>1987.6</v>
      </c>
      <c r="D1317" s="12" t="str">
        <f t="shared" si="40"/>
        <v>agosto</v>
      </c>
      <c r="E1317" s="33">
        <f t="shared" si="41"/>
        <v>2024</v>
      </c>
    </row>
    <row r="1318" spans="1:5" x14ac:dyDescent="0.25">
      <c r="A1318" t="s">
        <v>128</v>
      </c>
      <c r="B1318" s="10">
        <f>VLOOKUP(A1318,'Datos generales'!A:B,2,0)</f>
        <v>44961.01666666667</v>
      </c>
      <c r="C1318" s="12">
        <f>VLOOKUP(A1318,'Datos generales'!A:H,8,0)</f>
        <v>1443.12</v>
      </c>
      <c r="D1318" s="12" t="str">
        <f t="shared" si="40"/>
        <v>febrero</v>
      </c>
      <c r="E1318" s="33">
        <f t="shared" si="41"/>
        <v>2023</v>
      </c>
    </row>
    <row r="1319" spans="1:5" x14ac:dyDescent="0.25">
      <c r="A1319" t="s">
        <v>129</v>
      </c>
      <c r="B1319" s="10">
        <f>VLOOKUP(A1319,'Datos generales'!A:B,2,0)</f>
        <v>45041.746527777781</v>
      </c>
      <c r="C1319" s="12">
        <f>VLOOKUP(A1319,'Datos generales'!A:H,8,0)</f>
        <v>5415.6</v>
      </c>
      <c r="D1319" s="12" t="str">
        <f t="shared" si="40"/>
        <v>abril</v>
      </c>
      <c r="E1319" s="33">
        <f t="shared" si="41"/>
        <v>2023</v>
      </c>
    </row>
    <row r="1320" spans="1:5" x14ac:dyDescent="0.25">
      <c r="A1320" t="s">
        <v>130</v>
      </c>
      <c r="B1320" s="10">
        <f>VLOOKUP(A1320,'Datos generales'!A:B,2,0)</f>
        <v>45400.756249999999</v>
      </c>
      <c r="C1320" s="12">
        <f>VLOOKUP(A1320,'Datos generales'!A:H,8,0)</f>
        <v>859.04</v>
      </c>
      <c r="D1320" s="12" t="str">
        <f t="shared" si="40"/>
        <v>abril</v>
      </c>
      <c r="E1320" s="33">
        <f t="shared" si="41"/>
        <v>2024</v>
      </c>
    </row>
    <row r="1321" spans="1:5" x14ac:dyDescent="0.25">
      <c r="A1321" t="s">
        <v>131</v>
      </c>
      <c r="B1321" s="10">
        <f>VLOOKUP(A1321,'Datos generales'!A:B,2,0)</f>
        <v>45465.772916666669</v>
      </c>
      <c r="C1321" s="12">
        <f>VLOOKUP(A1321,'Datos generales'!A:H,8,0)</f>
        <v>3649.92</v>
      </c>
      <c r="D1321" s="12" t="str">
        <f t="shared" si="40"/>
        <v>junio</v>
      </c>
      <c r="E1321" s="33">
        <f t="shared" si="41"/>
        <v>2024</v>
      </c>
    </row>
    <row r="1322" spans="1:5" x14ac:dyDescent="0.25">
      <c r="A1322" t="s">
        <v>132</v>
      </c>
      <c r="B1322" s="10">
        <f>VLOOKUP(A1322,'Datos generales'!A:B,2,0)</f>
        <v>45316.202777777777</v>
      </c>
      <c r="C1322" s="12">
        <f>VLOOKUP(A1322,'Datos generales'!A:H,8,0)</f>
        <v>5299.0499999999993</v>
      </c>
      <c r="D1322" s="12" t="str">
        <f t="shared" si="40"/>
        <v>enero</v>
      </c>
      <c r="E1322" s="33">
        <f t="shared" si="41"/>
        <v>2024</v>
      </c>
    </row>
    <row r="1323" spans="1:5" x14ac:dyDescent="0.25">
      <c r="A1323" t="s">
        <v>133</v>
      </c>
      <c r="B1323" s="10">
        <f>VLOOKUP(A1323,'Datos generales'!A:B,2,0)</f>
        <v>45118.634722222218</v>
      </c>
      <c r="C1323" s="12">
        <f>VLOOKUP(A1323,'Datos generales'!A:H,8,0)</f>
        <v>185.56</v>
      </c>
      <c r="D1323" s="12" t="str">
        <f t="shared" si="40"/>
        <v>julio</v>
      </c>
      <c r="E1323" s="33">
        <f t="shared" si="41"/>
        <v>2023</v>
      </c>
    </row>
    <row r="1324" spans="1:5" x14ac:dyDescent="0.25">
      <c r="A1324" t="s">
        <v>134</v>
      </c>
      <c r="B1324" s="10">
        <f>VLOOKUP(A1324,'Datos generales'!A:B,2,0)</f>
        <v>45232.75</v>
      </c>
      <c r="C1324" s="12">
        <f>VLOOKUP(A1324,'Datos generales'!A:H,8,0)</f>
        <v>754.07</v>
      </c>
      <c r="D1324" s="12" t="str">
        <f t="shared" si="40"/>
        <v>noviembre</v>
      </c>
      <c r="E1324" s="33">
        <f t="shared" si="41"/>
        <v>2023</v>
      </c>
    </row>
    <row r="1325" spans="1:5" x14ac:dyDescent="0.25">
      <c r="A1325" t="s">
        <v>135</v>
      </c>
      <c r="B1325" s="10">
        <f>VLOOKUP(A1325,'Datos generales'!A:B,2,0)</f>
        <v>45745.421527777777</v>
      </c>
      <c r="C1325" s="12">
        <f>VLOOKUP(A1325,'Datos generales'!A:H,8,0)</f>
        <v>1681.02</v>
      </c>
      <c r="D1325" s="12" t="str">
        <f t="shared" si="40"/>
        <v>marzo</v>
      </c>
      <c r="E1325" s="33">
        <f t="shared" si="41"/>
        <v>2025</v>
      </c>
    </row>
    <row r="1326" spans="1:5" x14ac:dyDescent="0.25">
      <c r="A1326" t="s">
        <v>136</v>
      </c>
      <c r="B1326" s="10">
        <f>VLOOKUP(A1326,'Datos generales'!A:B,2,0)</f>
        <v>45802.370833333327</v>
      </c>
      <c r="C1326" s="12">
        <f>VLOOKUP(A1326,'Datos generales'!A:H,8,0)</f>
        <v>2397.44</v>
      </c>
      <c r="D1326" s="12" t="str">
        <f t="shared" si="40"/>
        <v>mayo</v>
      </c>
      <c r="E1326" s="33">
        <f t="shared" si="41"/>
        <v>2025</v>
      </c>
    </row>
    <row r="1327" spans="1:5" x14ac:dyDescent="0.25">
      <c r="A1327" t="s">
        <v>137</v>
      </c>
      <c r="B1327" s="10">
        <f>VLOOKUP(A1327,'Datos generales'!A:B,2,0)</f>
        <v>45249.604861111111</v>
      </c>
      <c r="C1327" s="12">
        <f>VLOOKUP(A1327,'Datos generales'!A:H,8,0)</f>
        <v>2080.4</v>
      </c>
      <c r="D1327" s="12" t="str">
        <f t="shared" si="40"/>
        <v>noviembre</v>
      </c>
      <c r="E1327" s="33">
        <f t="shared" si="41"/>
        <v>2023</v>
      </c>
    </row>
    <row r="1328" spans="1:5" x14ac:dyDescent="0.25">
      <c r="A1328" t="s">
        <v>138</v>
      </c>
      <c r="B1328" s="10">
        <f>VLOOKUP(A1328,'Datos generales'!A:B,2,0)</f>
        <v>45854.013194444437</v>
      </c>
      <c r="C1328" s="12">
        <f>VLOOKUP(A1328,'Datos generales'!A:H,8,0)</f>
        <v>322.58999999999997</v>
      </c>
      <c r="D1328" s="12" t="str">
        <f t="shared" si="40"/>
        <v>julio</v>
      </c>
      <c r="E1328" s="33">
        <f t="shared" si="41"/>
        <v>2025</v>
      </c>
    </row>
    <row r="1329" spans="1:5" x14ac:dyDescent="0.25">
      <c r="A1329" t="s">
        <v>139</v>
      </c>
      <c r="B1329" s="10">
        <f>VLOOKUP(A1329,'Datos generales'!A:B,2,0)</f>
        <v>45828.018055555563</v>
      </c>
      <c r="C1329" s="12">
        <f>VLOOKUP(A1329,'Datos generales'!A:H,8,0)</f>
        <v>1522.64</v>
      </c>
      <c r="D1329" s="12" t="str">
        <f t="shared" si="40"/>
        <v>junio</v>
      </c>
      <c r="E1329" s="33">
        <f t="shared" si="41"/>
        <v>2025</v>
      </c>
    </row>
    <row r="1330" spans="1:5" x14ac:dyDescent="0.25">
      <c r="A1330" t="s">
        <v>140</v>
      </c>
      <c r="B1330" s="10">
        <f>VLOOKUP(A1330,'Datos generales'!A:B,2,0)</f>
        <v>45673.40902777778</v>
      </c>
      <c r="C1330" s="12">
        <f>VLOOKUP(A1330,'Datos generales'!A:H,8,0)</f>
        <v>1400.22</v>
      </c>
      <c r="D1330" s="12" t="str">
        <f t="shared" si="40"/>
        <v>enero</v>
      </c>
      <c r="E1330" s="33">
        <f t="shared" si="41"/>
        <v>2025</v>
      </c>
    </row>
    <row r="1331" spans="1:5" x14ac:dyDescent="0.25">
      <c r="A1331" t="s">
        <v>141</v>
      </c>
      <c r="B1331" s="10">
        <f>VLOOKUP(A1331,'Datos generales'!A:B,2,0)</f>
        <v>44932.951388888891</v>
      </c>
      <c r="C1331" s="12">
        <f>VLOOKUP(A1331,'Datos generales'!A:H,8,0)</f>
        <v>1792.4</v>
      </c>
      <c r="D1331" s="12" t="str">
        <f t="shared" si="40"/>
        <v>enero</v>
      </c>
      <c r="E1331" s="33">
        <f t="shared" si="41"/>
        <v>2023</v>
      </c>
    </row>
    <row r="1332" spans="1:5" x14ac:dyDescent="0.25">
      <c r="A1332" t="s">
        <v>142</v>
      </c>
      <c r="B1332" s="10">
        <f>VLOOKUP(A1332,'Datos generales'!A:B,2,0)</f>
        <v>45381.871527777781</v>
      </c>
      <c r="C1332" s="12">
        <f>VLOOKUP(A1332,'Datos generales'!A:H,8,0)</f>
        <v>2986.4</v>
      </c>
      <c r="D1332" s="12" t="str">
        <f t="shared" si="40"/>
        <v>marzo</v>
      </c>
      <c r="E1332" s="33">
        <f t="shared" si="41"/>
        <v>2024</v>
      </c>
    </row>
    <row r="1333" spans="1:5" x14ac:dyDescent="0.25">
      <c r="A1333" t="s">
        <v>143</v>
      </c>
      <c r="B1333" s="10">
        <f>VLOOKUP(A1333,'Datos generales'!A:B,2,0)</f>
        <v>45450.97152777778</v>
      </c>
      <c r="C1333" s="12">
        <f>VLOOKUP(A1333,'Datos generales'!A:H,8,0)</f>
        <v>751.43</v>
      </c>
      <c r="D1333" s="12" t="str">
        <f t="shared" si="40"/>
        <v>junio</v>
      </c>
      <c r="E1333" s="33">
        <f t="shared" si="41"/>
        <v>2024</v>
      </c>
    </row>
    <row r="1334" spans="1:5" x14ac:dyDescent="0.25">
      <c r="A1334" t="s">
        <v>144</v>
      </c>
      <c r="B1334" s="10">
        <f>VLOOKUP(A1334,'Datos generales'!A:B,2,0)</f>
        <v>45122.813888888893</v>
      </c>
      <c r="C1334" s="12">
        <f>VLOOKUP(A1334,'Datos generales'!A:H,8,0)</f>
        <v>5545.4</v>
      </c>
      <c r="D1334" s="12" t="str">
        <f t="shared" si="40"/>
        <v>julio</v>
      </c>
      <c r="E1334" s="33">
        <f t="shared" si="41"/>
        <v>2023</v>
      </c>
    </row>
    <row r="1335" spans="1:5" x14ac:dyDescent="0.25">
      <c r="A1335" t="s">
        <v>145</v>
      </c>
      <c r="B1335" s="10">
        <f>VLOOKUP(A1335,'Datos generales'!A:B,2,0)</f>
        <v>45329.842361111107</v>
      </c>
      <c r="C1335" s="12">
        <f>VLOOKUP(A1335,'Datos generales'!A:H,8,0)</f>
        <v>3213.7</v>
      </c>
      <c r="D1335" s="12" t="str">
        <f t="shared" si="40"/>
        <v>febrero</v>
      </c>
      <c r="E1335" s="33">
        <f t="shared" si="41"/>
        <v>2024</v>
      </c>
    </row>
    <row r="1336" spans="1:5" x14ac:dyDescent="0.25">
      <c r="A1336" t="s">
        <v>146</v>
      </c>
      <c r="B1336" s="10">
        <f>VLOOKUP(A1336,'Datos generales'!A:B,2,0)</f>
        <v>45615.539583333331</v>
      </c>
      <c r="C1336" s="12">
        <f>VLOOKUP(A1336,'Datos generales'!A:H,8,0)</f>
        <v>1228.6500000000001</v>
      </c>
      <c r="D1336" s="12" t="str">
        <f t="shared" si="40"/>
        <v>noviembre</v>
      </c>
      <c r="E1336" s="33">
        <f t="shared" si="41"/>
        <v>2024</v>
      </c>
    </row>
    <row r="1337" spans="1:5" x14ac:dyDescent="0.25">
      <c r="A1337" t="s">
        <v>147</v>
      </c>
      <c r="B1337" s="10">
        <f>VLOOKUP(A1337,'Datos generales'!A:B,2,0)</f>
        <v>45222.775694444441</v>
      </c>
      <c r="C1337" s="12">
        <f>VLOOKUP(A1337,'Datos generales'!A:H,8,0)</f>
        <v>5346.39</v>
      </c>
      <c r="D1337" s="12" t="str">
        <f t="shared" si="40"/>
        <v>octubre</v>
      </c>
      <c r="E1337" s="33">
        <f t="shared" si="41"/>
        <v>2023</v>
      </c>
    </row>
    <row r="1338" spans="1:5" x14ac:dyDescent="0.25">
      <c r="A1338" t="s">
        <v>148</v>
      </c>
      <c r="B1338" s="10">
        <f>VLOOKUP(A1338,'Datos generales'!A:B,2,0)</f>
        <v>45525.048611111109</v>
      </c>
      <c r="C1338" s="12">
        <f>VLOOKUP(A1338,'Datos generales'!A:H,8,0)</f>
        <v>5685.7000000000007</v>
      </c>
      <c r="D1338" s="12" t="str">
        <f t="shared" si="40"/>
        <v>agosto</v>
      </c>
      <c r="E1338" s="33">
        <f t="shared" si="41"/>
        <v>2024</v>
      </c>
    </row>
    <row r="1339" spans="1:5" x14ac:dyDescent="0.25">
      <c r="A1339" t="s">
        <v>149</v>
      </c>
      <c r="B1339" s="10">
        <f>VLOOKUP(A1339,'Datos generales'!A:B,2,0)</f>
        <v>45520.686111111107</v>
      </c>
      <c r="C1339" s="12">
        <f>VLOOKUP(A1339,'Datos generales'!A:H,8,0)</f>
        <v>3866.88</v>
      </c>
      <c r="D1339" s="12" t="str">
        <f t="shared" si="40"/>
        <v>agosto</v>
      </c>
      <c r="E1339" s="33">
        <f t="shared" si="41"/>
        <v>2024</v>
      </c>
    </row>
    <row r="1340" spans="1:5" x14ac:dyDescent="0.25">
      <c r="A1340" t="s">
        <v>150</v>
      </c>
      <c r="B1340" s="10">
        <f>VLOOKUP(A1340,'Datos generales'!A:B,2,0)</f>
        <v>45484.331944444442</v>
      </c>
      <c r="C1340" s="12">
        <f>VLOOKUP(A1340,'Datos generales'!A:H,8,0)</f>
        <v>3774.4</v>
      </c>
      <c r="D1340" s="12" t="str">
        <f t="shared" si="40"/>
        <v>julio</v>
      </c>
      <c r="E1340" s="33">
        <f t="shared" si="41"/>
        <v>2024</v>
      </c>
    </row>
    <row r="1341" spans="1:5" x14ac:dyDescent="0.25">
      <c r="A1341" t="s">
        <v>151</v>
      </c>
      <c r="B1341" s="10">
        <f>VLOOKUP(A1341,'Datos generales'!A:B,2,0)</f>
        <v>45842.433333333327</v>
      </c>
      <c r="C1341" s="12">
        <f>VLOOKUP(A1341,'Datos generales'!A:H,8,0)</f>
        <v>3610</v>
      </c>
      <c r="D1341" s="12" t="str">
        <f t="shared" si="40"/>
        <v>julio</v>
      </c>
      <c r="E1341" s="33">
        <f t="shared" si="41"/>
        <v>2025</v>
      </c>
    </row>
    <row r="1342" spans="1:5" x14ac:dyDescent="0.25">
      <c r="A1342" t="s">
        <v>152</v>
      </c>
      <c r="B1342" s="10">
        <f>VLOOKUP(A1342,'Datos generales'!A:B,2,0)</f>
        <v>45697.842361111107</v>
      </c>
      <c r="C1342" s="12">
        <f>VLOOKUP(A1342,'Datos generales'!A:H,8,0)</f>
        <v>156.36000000000001</v>
      </c>
      <c r="D1342" s="12" t="str">
        <f t="shared" si="40"/>
        <v>febrero</v>
      </c>
      <c r="E1342" s="33">
        <f t="shared" si="41"/>
        <v>2025</v>
      </c>
    </row>
    <row r="1343" spans="1:5" x14ac:dyDescent="0.25">
      <c r="A1343" t="s">
        <v>153</v>
      </c>
      <c r="B1343" s="10">
        <f>VLOOKUP(A1343,'Datos generales'!A:B,2,0)</f>
        <v>45927.180555555547</v>
      </c>
      <c r="C1343" s="12">
        <f>VLOOKUP(A1343,'Datos generales'!A:H,8,0)</f>
        <v>3230.82</v>
      </c>
      <c r="D1343" s="12" t="str">
        <f t="shared" si="40"/>
        <v>septiembre</v>
      </c>
      <c r="E1343" s="33">
        <f t="shared" si="41"/>
        <v>2025</v>
      </c>
    </row>
    <row r="1344" spans="1:5" x14ac:dyDescent="0.25">
      <c r="A1344" t="s">
        <v>154</v>
      </c>
      <c r="B1344" s="10">
        <f>VLOOKUP(A1344,'Datos generales'!A:B,2,0)</f>
        <v>45511.748611111107</v>
      </c>
      <c r="C1344" s="12">
        <f>VLOOKUP(A1344,'Datos generales'!A:H,8,0)</f>
        <v>747.69999999999993</v>
      </c>
      <c r="D1344" s="12" t="str">
        <f t="shared" si="40"/>
        <v>agosto</v>
      </c>
      <c r="E1344" s="33">
        <f t="shared" si="41"/>
        <v>2024</v>
      </c>
    </row>
    <row r="1345" spans="1:5" x14ac:dyDescent="0.25">
      <c r="A1345" t="s">
        <v>155</v>
      </c>
      <c r="B1345" s="10">
        <f>VLOOKUP(A1345,'Datos generales'!A:B,2,0)</f>
        <v>45867.710416666669</v>
      </c>
      <c r="C1345" s="12">
        <f>VLOOKUP(A1345,'Datos generales'!A:H,8,0)</f>
        <v>4776.95</v>
      </c>
      <c r="D1345" s="12" t="str">
        <f t="shared" si="40"/>
        <v>julio</v>
      </c>
      <c r="E1345" s="33">
        <f t="shared" si="41"/>
        <v>2025</v>
      </c>
    </row>
    <row r="1346" spans="1:5" x14ac:dyDescent="0.25">
      <c r="A1346" t="s">
        <v>156</v>
      </c>
      <c r="B1346" s="10">
        <f>VLOOKUP(A1346,'Datos generales'!A:B,2,0)</f>
        <v>45339.555555555547</v>
      </c>
      <c r="C1346" s="12">
        <f>VLOOKUP(A1346,'Datos generales'!A:H,8,0)</f>
        <v>3927.26</v>
      </c>
      <c r="D1346" s="12" t="str">
        <f t="shared" si="40"/>
        <v>febrero</v>
      </c>
      <c r="E1346" s="33">
        <f t="shared" si="41"/>
        <v>2024</v>
      </c>
    </row>
    <row r="1347" spans="1:5" x14ac:dyDescent="0.25">
      <c r="A1347" t="s">
        <v>157</v>
      </c>
      <c r="B1347" s="10">
        <f>VLOOKUP(A1347,'Datos generales'!A:B,2,0)</f>
        <v>45538.998611111107</v>
      </c>
      <c r="C1347" s="12">
        <f>VLOOKUP(A1347,'Datos generales'!A:H,8,0)</f>
        <v>7200.7000000000007</v>
      </c>
      <c r="D1347" s="12" t="str">
        <f t="shared" ref="D1347:D1410" si="42">TEXT(B1347,"mmmm")</f>
        <v>septiembre</v>
      </c>
      <c r="E1347" s="33">
        <f t="shared" ref="E1347:E1410" si="43">YEAR(B1347)</f>
        <v>2024</v>
      </c>
    </row>
    <row r="1348" spans="1:5" x14ac:dyDescent="0.25">
      <c r="A1348" t="s">
        <v>158</v>
      </c>
      <c r="B1348" s="10">
        <f>VLOOKUP(A1348,'Datos generales'!A:B,2,0)</f>
        <v>45105.837500000001</v>
      </c>
      <c r="C1348" s="12">
        <f>VLOOKUP(A1348,'Datos generales'!A:H,8,0)</f>
        <v>1134.8</v>
      </c>
      <c r="D1348" s="12" t="str">
        <f t="shared" si="42"/>
        <v>junio</v>
      </c>
      <c r="E1348" s="33">
        <f t="shared" si="43"/>
        <v>2023</v>
      </c>
    </row>
    <row r="1349" spans="1:5" x14ac:dyDescent="0.25">
      <c r="A1349" t="s">
        <v>159</v>
      </c>
      <c r="B1349" s="10">
        <f>VLOOKUP(A1349,'Datos generales'!A:B,2,0)</f>
        <v>45470.283333333333</v>
      </c>
      <c r="C1349" s="12">
        <f>VLOOKUP(A1349,'Datos generales'!A:H,8,0)</f>
        <v>2062.5300000000002</v>
      </c>
      <c r="D1349" s="12" t="str">
        <f t="shared" si="42"/>
        <v>junio</v>
      </c>
      <c r="E1349" s="33">
        <f t="shared" si="43"/>
        <v>2024</v>
      </c>
    </row>
    <row r="1350" spans="1:5" x14ac:dyDescent="0.25">
      <c r="A1350" t="s">
        <v>160</v>
      </c>
      <c r="B1350" s="10">
        <f>VLOOKUP(A1350,'Datos generales'!A:B,2,0)</f>
        <v>45122.511805555558</v>
      </c>
      <c r="C1350" s="12">
        <f>VLOOKUP(A1350,'Datos generales'!A:H,8,0)</f>
        <v>564</v>
      </c>
      <c r="D1350" s="12" t="str">
        <f t="shared" si="42"/>
        <v>julio</v>
      </c>
      <c r="E1350" s="33">
        <f t="shared" si="43"/>
        <v>2023</v>
      </c>
    </row>
    <row r="1351" spans="1:5" x14ac:dyDescent="0.25">
      <c r="A1351" t="s">
        <v>161</v>
      </c>
      <c r="B1351" s="10">
        <f>VLOOKUP(A1351,'Datos generales'!A:B,2,0)</f>
        <v>45878.351388888892</v>
      </c>
      <c r="C1351" s="12">
        <f>VLOOKUP(A1351,'Datos generales'!A:H,8,0)</f>
        <v>5885.52</v>
      </c>
      <c r="D1351" s="12" t="str">
        <f t="shared" si="42"/>
        <v>agosto</v>
      </c>
      <c r="E1351" s="33">
        <f t="shared" si="43"/>
        <v>2025</v>
      </c>
    </row>
    <row r="1352" spans="1:5" x14ac:dyDescent="0.25">
      <c r="A1352" t="s">
        <v>162</v>
      </c>
      <c r="B1352" s="10">
        <f>VLOOKUP(A1352,'Datos generales'!A:B,2,0)</f>
        <v>45894.257638888892</v>
      </c>
      <c r="C1352" s="12">
        <f>VLOOKUP(A1352,'Datos generales'!A:H,8,0)</f>
        <v>1463.91</v>
      </c>
      <c r="D1352" s="12" t="str">
        <f t="shared" si="42"/>
        <v>agosto</v>
      </c>
      <c r="E1352" s="33">
        <f t="shared" si="43"/>
        <v>2025</v>
      </c>
    </row>
    <row r="1353" spans="1:5" x14ac:dyDescent="0.25">
      <c r="A1353" t="s">
        <v>163</v>
      </c>
      <c r="B1353" s="10">
        <f>VLOOKUP(A1353,'Datos generales'!A:B,2,0)</f>
        <v>45321.105555555558</v>
      </c>
      <c r="C1353" s="12">
        <f>VLOOKUP(A1353,'Datos generales'!A:H,8,0)</f>
        <v>6341.96</v>
      </c>
      <c r="D1353" s="12" t="str">
        <f t="shared" si="42"/>
        <v>enero</v>
      </c>
      <c r="E1353" s="33">
        <f t="shared" si="43"/>
        <v>2024</v>
      </c>
    </row>
    <row r="1354" spans="1:5" x14ac:dyDescent="0.25">
      <c r="A1354" t="s">
        <v>164</v>
      </c>
      <c r="B1354" s="10">
        <f>VLOOKUP(A1354,'Datos generales'!A:B,2,0)</f>
        <v>45571.035416666673</v>
      </c>
      <c r="C1354" s="12">
        <f>VLOOKUP(A1354,'Datos generales'!A:H,8,0)</f>
        <v>662.17</v>
      </c>
      <c r="D1354" s="12" t="str">
        <f t="shared" si="42"/>
        <v>octubre</v>
      </c>
      <c r="E1354" s="33">
        <f t="shared" si="43"/>
        <v>2024</v>
      </c>
    </row>
    <row r="1355" spans="1:5" x14ac:dyDescent="0.25">
      <c r="A1355" t="s">
        <v>165</v>
      </c>
      <c r="B1355" s="10">
        <f>VLOOKUP(A1355,'Datos generales'!A:B,2,0)</f>
        <v>45442.757638888892</v>
      </c>
      <c r="C1355" s="12">
        <f>VLOOKUP(A1355,'Datos generales'!A:H,8,0)</f>
        <v>273.36</v>
      </c>
      <c r="D1355" s="12" t="str">
        <f t="shared" si="42"/>
        <v>mayo</v>
      </c>
      <c r="E1355" s="33">
        <f t="shared" si="43"/>
        <v>2024</v>
      </c>
    </row>
    <row r="1356" spans="1:5" x14ac:dyDescent="0.25">
      <c r="A1356" t="s">
        <v>166</v>
      </c>
      <c r="B1356" s="10">
        <f>VLOOKUP(A1356,'Datos generales'!A:B,2,0)</f>
        <v>45889.054166666669</v>
      </c>
      <c r="C1356" s="12">
        <f>VLOOKUP(A1356,'Datos generales'!A:H,8,0)</f>
        <v>474.56</v>
      </c>
      <c r="D1356" s="12" t="str">
        <f t="shared" si="42"/>
        <v>agosto</v>
      </c>
      <c r="E1356" s="33">
        <f t="shared" si="43"/>
        <v>2025</v>
      </c>
    </row>
    <row r="1357" spans="1:5" x14ac:dyDescent="0.25">
      <c r="A1357" t="s">
        <v>167</v>
      </c>
      <c r="B1357" s="10">
        <f>VLOOKUP(A1357,'Datos generales'!A:B,2,0)</f>
        <v>45468.727083333331</v>
      </c>
      <c r="C1357" s="12">
        <f>VLOOKUP(A1357,'Datos generales'!A:H,8,0)</f>
        <v>2800.47</v>
      </c>
      <c r="D1357" s="12" t="str">
        <f t="shared" si="42"/>
        <v>junio</v>
      </c>
      <c r="E1357" s="33">
        <f t="shared" si="43"/>
        <v>2024</v>
      </c>
    </row>
    <row r="1358" spans="1:5" x14ac:dyDescent="0.25">
      <c r="A1358" t="s">
        <v>168</v>
      </c>
      <c r="B1358" s="10">
        <f>VLOOKUP(A1358,'Datos generales'!A:B,2,0)</f>
        <v>45202.955555555563</v>
      </c>
      <c r="C1358" s="12">
        <f>VLOOKUP(A1358,'Datos generales'!A:H,8,0)</f>
        <v>2070.1799999999998</v>
      </c>
      <c r="D1358" s="12" t="str">
        <f t="shared" si="42"/>
        <v>octubre</v>
      </c>
      <c r="E1358" s="33">
        <f t="shared" si="43"/>
        <v>2023</v>
      </c>
    </row>
    <row r="1359" spans="1:5" x14ac:dyDescent="0.25">
      <c r="A1359" t="s">
        <v>169</v>
      </c>
      <c r="B1359" s="10">
        <f>VLOOKUP(A1359,'Datos generales'!A:B,2,0)</f>
        <v>45323.202777777777</v>
      </c>
      <c r="C1359" s="12">
        <f>VLOOKUP(A1359,'Datos generales'!A:H,8,0)</f>
        <v>2650.02</v>
      </c>
      <c r="D1359" s="12" t="str">
        <f t="shared" si="42"/>
        <v>febrero</v>
      </c>
      <c r="E1359" s="33">
        <f t="shared" si="43"/>
        <v>2024</v>
      </c>
    </row>
    <row r="1360" spans="1:5" x14ac:dyDescent="0.25">
      <c r="A1360" t="s">
        <v>170</v>
      </c>
      <c r="B1360" s="10">
        <f>VLOOKUP(A1360,'Datos generales'!A:B,2,0)</f>
        <v>45288.395833333343</v>
      </c>
      <c r="C1360" s="12">
        <f>VLOOKUP(A1360,'Datos generales'!A:H,8,0)</f>
        <v>2843.36</v>
      </c>
      <c r="D1360" s="12" t="str">
        <f t="shared" si="42"/>
        <v>diciembre</v>
      </c>
      <c r="E1360" s="33">
        <f t="shared" si="43"/>
        <v>2023</v>
      </c>
    </row>
    <row r="1361" spans="1:5" x14ac:dyDescent="0.25">
      <c r="A1361" t="s">
        <v>171</v>
      </c>
      <c r="B1361" s="10">
        <f>VLOOKUP(A1361,'Datos generales'!A:B,2,0)</f>
        <v>45900.337500000001</v>
      </c>
      <c r="C1361" s="12">
        <f>VLOOKUP(A1361,'Datos generales'!A:H,8,0)</f>
        <v>291.81</v>
      </c>
      <c r="D1361" s="12" t="str">
        <f t="shared" si="42"/>
        <v>agosto</v>
      </c>
      <c r="E1361" s="33">
        <f t="shared" si="43"/>
        <v>2025</v>
      </c>
    </row>
    <row r="1362" spans="1:5" x14ac:dyDescent="0.25">
      <c r="A1362" t="s">
        <v>172</v>
      </c>
      <c r="B1362" s="10">
        <f>VLOOKUP(A1362,'Datos generales'!A:B,2,0)</f>
        <v>45576.732638888891</v>
      </c>
      <c r="C1362" s="12">
        <f>VLOOKUP(A1362,'Datos generales'!A:H,8,0)</f>
        <v>2491.8000000000002</v>
      </c>
      <c r="D1362" s="12" t="str">
        <f t="shared" si="42"/>
        <v>octubre</v>
      </c>
      <c r="E1362" s="33">
        <f t="shared" si="43"/>
        <v>2024</v>
      </c>
    </row>
    <row r="1363" spans="1:5" x14ac:dyDescent="0.25">
      <c r="A1363" t="s">
        <v>173</v>
      </c>
      <c r="B1363" s="10">
        <f>VLOOKUP(A1363,'Datos generales'!A:B,2,0)</f>
        <v>45392.97152777778</v>
      </c>
      <c r="C1363" s="12">
        <f>VLOOKUP(A1363,'Datos generales'!A:H,8,0)</f>
        <v>4904.45</v>
      </c>
      <c r="D1363" s="12" t="str">
        <f t="shared" si="42"/>
        <v>abril</v>
      </c>
      <c r="E1363" s="33">
        <f t="shared" si="43"/>
        <v>2024</v>
      </c>
    </row>
    <row r="1364" spans="1:5" x14ac:dyDescent="0.25">
      <c r="A1364" t="s">
        <v>174</v>
      </c>
      <c r="B1364" s="10">
        <f>VLOOKUP(A1364,'Datos generales'!A:B,2,0)</f>
        <v>45584.049305555563</v>
      </c>
      <c r="C1364" s="12">
        <f>VLOOKUP(A1364,'Datos generales'!A:H,8,0)</f>
        <v>1390.33</v>
      </c>
      <c r="D1364" s="12" t="str">
        <f t="shared" si="42"/>
        <v>octubre</v>
      </c>
      <c r="E1364" s="33">
        <f t="shared" si="43"/>
        <v>2024</v>
      </c>
    </row>
    <row r="1365" spans="1:5" x14ac:dyDescent="0.25">
      <c r="A1365" t="s">
        <v>175</v>
      </c>
      <c r="B1365" s="10">
        <f>VLOOKUP(A1365,'Datos generales'!A:B,2,0)</f>
        <v>44941.657638888893</v>
      </c>
      <c r="C1365" s="12">
        <f>VLOOKUP(A1365,'Datos generales'!A:H,8,0)</f>
        <v>8540.4499999999989</v>
      </c>
      <c r="D1365" s="12" t="str">
        <f t="shared" si="42"/>
        <v>enero</v>
      </c>
      <c r="E1365" s="33">
        <f t="shared" si="43"/>
        <v>2023</v>
      </c>
    </row>
    <row r="1366" spans="1:5" x14ac:dyDescent="0.25">
      <c r="A1366" t="s">
        <v>176</v>
      </c>
      <c r="B1366" s="10">
        <f>VLOOKUP(A1366,'Datos generales'!A:B,2,0)</f>
        <v>45238.718055555553</v>
      </c>
      <c r="C1366" s="12">
        <f>VLOOKUP(A1366,'Datos generales'!A:H,8,0)</f>
        <v>1378.2</v>
      </c>
      <c r="D1366" s="12" t="str">
        <f t="shared" si="42"/>
        <v>noviembre</v>
      </c>
      <c r="E1366" s="33">
        <f t="shared" si="43"/>
        <v>2023</v>
      </c>
    </row>
    <row r="1367" spans="1:5" x14ac:dyDescent="0.25">
      <c r="A1367" t="s">
        <v>177</v>
      </c>
      <c r="B1367" s="10">
        <f>VLOOKUP(A1367,'Datos generales'!A:B,2,0)</f>
        <v>44973.59652777778</v>
      </c>
      <c r="C1367" s="12">
        <f>VLOOKUP(A1367,'Datos generales'!A:H,8,0)</f>
        <v>1578.33</v>
      </c>
      <c r="D1367" s="12" t="str">
        <f t="shared" si="42"/>
        <v>febrero</v>
      </c>
      <c r="E1367" s="33">
        <f t="shared" si="43"/>
        <v>2023</v>
      </c>
    </row>
    <row r="1368" spans="1:5" x14ac:dyDescent="0.25">
      <c r="A1368" t="s">
        <v>178</v>
      </c>
      <c r="B1368" s="10">
        <f>VLOOKUP(A1368,'Datos generales'!A:B,2,0)</f>
        <v>45445.690972222219</v>
      </c>
      <c r="C1368" s="12">
        <f>VLOOKUP(A1368,'Datos generales'!A:H,8,0)</f>
        <v>8011.9500000000007</v>
      </c>
      <c r="D1368" s="12" t="str">
        <f t="shared" si="42"/>
        <v>junio</v>
      </c>
      <c r="E1368" s="33">
        <f t="shared" si="43"/>
        <v>2024</v>
      </c>
    </row>
    <row r="1369" spans="1:5" x14ac:dyDescent="0.25">
      <c r="A1369" t="s">
        <v>179</v>
      </c>
      <c r="B1369" s="10">
        <f>VLOOKUP(A1369,'Datos generales'!A:B,2,0)</f>
        <v>45035.472916666673</v>
      </c>
      <c r="C1369" s="12">
        <f>VLOOKUP(A1369,'Datos generales'!A:H,8,0)</f>
        <v>1429.1</v>
      </c>
      <c r="D1369" s="12" t="str">
        <f t="shared" si="42"/>
        <v>abril</v>
      </c>
      <c r="E1369" s="33">
        <f t="shared" si="43"/>
        <v>2023</v>
      </c>
    </row>
    <row r="1370" spans="1:5" x14ac:dyDescent="0.25">
      <c r="A1370" t="s">
        <v>180</v>
      </c>
      <c r="B1370" s="10">
        <f>VLOOKUP(A1370,'Datos generales'!A:B,2,0)</f>
        <v>45836.104166666657</v>
      </c>
      <c r="C1370" s="12">
        <f>VLOOKUP(A1370,'Datos generales'!A:H,8,0)</f>
        <v>281.08</v>
      </c>
      <c r="D1370" s="12" t="str">
        <f t="shared" si="42"/>
        <v>junio</v>
      </c>
      <c r="E1370" s="33">
        <f t="shared" si="43"/>
        <v>2025</v>
      </c>
    </row>
    <row r="1371" spans="1:5" x14ac:dyDescent="0.25">
      <c r="A1371" t="s">
        <v>181</v>
      </c>
      <c r="B1371" s="10">
        <f>VLOOKUP(A1371,'Datos generales'!A:B,2,0)</f>
        <v>45584.553472222222</v>
      </c>
      <c r="C1371" s="12">
        <f>VLOOKUP(A1371,'Datos generales'!A:H,8,0)</f>
        <v>1434.35</v>
      </c>
      <c r="D1371" s="12" t="str">
        <f t="shared" si="42"/>
        <v>octubre</v>
      </c>
      <c r="E1371" s="33">
        <f t="shared" si="43"/>
        <v>2024</v>
      </c>
    </row>
    <row r="1372" spans="1:5" x14ac:dyDescent="0.25">
      <c r="A1372" t="s">
        <v>182</v>
      </c>
      <c r="B1372" s="10">
        <f>VLOOKUP(A1372,'Datos generales'!A:B,2,0)</f>
        <v>45338.585416666669</v>
      </c>
      <c r="C1372" s="12">
        <f>VLOOKUP(A1372,'Datos generales'!A:H,8,0)</f>
        <v>9489.85</v>
      </c>
      <c r="D1372" s="12" t="str">
        <f t="shared" si="42"/>
        <v>febrero</v>
      </c>
      <c r="E1372" s="33">
        <f t="shared" si="43"/>
        <v>2024</v>
      </c>
    </row>
    <row r="1373" spans="1:5" x14ac:dyDescent="0.25">
      <c r="A1373" t="s">
        <v>183</v>
      </c>
      <c r="B1373" s="10">
        <f>VLOOKUP(A1373,'Datos generales'!A:B,2,0)</f>
        <v>45625.480555555558</v>
      </c>
      <c r="C1373" s="12">
        <f>VLOOKUP(A1373,'Datos generales'!A:H,8,0)</f>
        <v>1175.42</v>
      </c>
      <c r="D1373" s="12" t="str">
        <f t="shared" si="42"/>
        <v>noviembre</v>
      </c>
      <c r="E1373" s="33">
        <f t="shared" si="43"/>
        <v>2024</v>
      </c>
    </row>
    <row r="1374" spans="1:5" x14ac:dyDescent="0.25">
      <c r="A1374" t="s">
        <v>184</v>
      </c>
      <c r="B1374" s="10">
        <f>VLOOKUP(A1374,'Datos generales'!A:B,2,0)</f>
        <v>45291</v>
      </c>
      <c r="C1374" s="12">
        <f>VLOOKUP(A1374,'Datos generales'!A:H,8,0)</f>
        <v>3580.52</v>
      </c>
      <c r="D1374" s="12" t="str">
        <f t="shared" si="42"/>
        <v>diciembre</v>
      </c>
      <c r="E1374" s="33">
        <f t="shared" si="43"/>
        <v>2023</v>
      </c>
    </row>
    <row r="1375" spans="1:5" x14ac:dyDescent="0.25">
      <c r="A1375" t="s">
        <v>185</v>
      </c>
      <c r="B1375" s="10">
        <f>VLOOKUP(A1375,'Datos generales'!A:B,2,0)</f>
        <v>45548.488194444442</v>
      </c>
      <c r="C1375" s="12">
        <f>VLOOKUP(A1375,'Datos generales'!A:H,8,0)</f>
        <v>4372.0499999999993</v>
      </c>
      <c r="D1375" s="12" t="str">
        <f t="shared" si="42"/>
        <v>septiembre</v>
      </c>
      <c r="E1375" s="33">
        <f t="shared" si="43"/>
        <v>2024</v>
      </c>
    </row>
    <row r="1376" spans="1:5" x14ac:dyDescent="0.25">
      <c r="A1376" t="s">
        <v>186</v>
      </c>
      <c r="B1376" s="10">
        <f>VLOOKUP(A1376,'Datos generales'!A:B,2,0)</f>
        <v>45540.261805555558</v>
      </c>
      <c r="C1376" s="12">
        <f>VLOOKUP(A1376,'Datos generales'!A:H,8,0)</f>
        <v>3249.96</v>
      </c>
      <c r="D1376" s="12" t="str">
        <f t="shared" si="42"/>
        <v>septiembre</v>
      </c>
      <c r="E1376" s="33">
        <f t="shared" si="43"/>
        <v>2024</v>
      </c>
    </row>
    <row r="1377" spans="1:5" x14ac:dyDescent="0.25">
      <c r="A1377" t="s">
        <v>187</v>
      </c>
      <c r="B1377" s="10">
        <f>VLOOKUP(A1377,'Datos generales'!A:B,2,0)</f>
        <v>45783.684027777781</v>
      </c>
      <c r="C1377" s="12">
        <f>VLOOKUP(A1377,'Datos generales'!A:H,8,0)</f>
        <v>4628.13</v>
      </c>
      <c r="D1377" s="12" t="str">
        <f t="shared" si="42"/>
        <v>mayo</v>
      </c>
      <c r="E1377" s="33">
        <f t="shared" si="43"/>
        <v>2025</v>
      </c>
    </row>
    <row r="1378" spans="1:5" x14ac:dyDescent="0.25">
      <c r="A1378" t="s">
        <v>188</v>
      </c>
      <c r="B1378" s="10">
        <f>VLOOKUP(A1378,'Datos generales'!A:B,2,0)</f>
        <v>45692.470138888893</v>
      </c>
      <c r="C1378" s="12">
        <f>VLOOKUP(A1378,'Datos generales'!A:H,8,0)</f>
        <v>3619</v>
      </c>
      <c r="D1378" s="12" t="str">
        <f t="shared" si="42"/>
        <v>febrero</v>
      </c>
      <c r="E1378" s="33">
        <f t="shared" si="43"/>
        <v>2025</v>
      </c>
    </row>
    <row r="1379" spans="1:5" x14ac:dyDescent="0.25">
      <c r="A1379" t="s">
        <v>189</v>
      </c>
      <c r="B1379" s="10">
        <f>VLOOKUP(A1379,'Datos generales'!A:B,2,0)</f>
        <v>45186.410416666673</v>
      </c>
      <c r="C1379" s="12">
        <f>VLOOKUP(A1379,'Datos generales'!A:H,8,0)</f>
        <v>899.85</v>
      </c>
      <c r="D1379" s="12" t="str">
        <f t="shared" si="42"/>
        <v>septiembre</v>
      </c>
      <c r="E1379" s="33">
        <f t="shared" si="43"/>
        <v>2023</v>
      </c>
    </row>
    <row r="1380" spans="1:5" x14ac:dyDescent="0.25">
      <c r="A1380" t="s">
        <v>190</v>
      </c>
      <c r="B1380" s="10">
        <f>VLOOKUP(A1380,'Datos generales'!A:B,2,0)</f>
        <v>45539.616666666669</v>
      </c>
      <c r="C1380" s="12">
        <f>VLOOKUP(A1380,'Datos generales'!A:H,8,0)</f>
        <v>1318.43</v>
      </c>
      <c r="D1380" s="12" t="str">
        <f t="shared" si="42"/>
        <v>septiembre</v>
      </c>
      <c r="E1380" s="33">
        <f t="shared" si="43"/>
        <v>2024</v>
      </c>
    </row>
    <row r="1381" spans="1:5" x14ac:dyDescent="0.25">
      <c r="A1381" t="s">
        <v>191</v>
      </c>
      <c r="B1381" s="10">
        <f>VLOOKUP(A1381,'Datos generales'!A:B,2,0)</f>
        <v>45073.392361111109</v>
      </c>
      <c r="C1381" s="12">
        <f>VLOOKUP(A1381,'Datos generales'!A:H,8,0)</f>
        <v>614.74</v>
      </c>
      <c r="D1381" s="12" t="str">
        <f t="shared" si="42"/>
        <v>mayo</v>
      </c>
      <c r="E1381" s="33">
        <f t="shared" si="43"/>
        <v>2023</v>
      </c>
    </row>
    <row r="1382" spans="1:5" x14ac:dyDescent="0.25">
      <c r="A1382" t="s">
        <v>192</v>
      </c>
      <c r="B1382" s="10">
        <f>VLOOKUP(A1382,'Datos generales'!A:B,2,0)</f>
        <v>45287.277777777781</v>
      </c>
      <c r="C1382" s="12">
        <f>VLOOKUP(A1382,'Datos generales'!A:H,8,0)</f>
        <v>1364.97</v>
      </c>
      <c r="D1382" s="12" t="str">
        <f t="shared" si="42"/>
        <v>diciembre</v>
      </c>
      <c r="E1382" s="33">
        <f t="shared" si="43"/>
        <v>2023</v>
      </c>
    </row>
    <row r="1383" spans="1:5" x14ac:dyDescent="0.25">
      <c r="A1383" t="s">
        <v>193</v>
      </c>
      <c r="B1383" s="10">
        <f>VLOOKUP(A1383,'Datos generales'!A:B,2,0)</f>
        <v>45398.678472222222</v>
      </c>
      <c r="C1383" s="12">
        <f>VLOOKUP(A1383,'Datos generales'!A:H,8,0)</f>
        <v>732.68999999999994</v>
      </c>
      <c r="D1383" s="12" t="str">
        <f t="shared" si="42"/>
        <v>abril</v>
      </c>
      <c r="E1383" s="33">
        <f t="shared" si="43"/>
        <v>2024</v>
      </c>
    </row>
    <row r="1384" spans="1:5" x14ac:dyDescent="0.25">
      <c r="A1384" t="s">
        <v>194</v>
      </c>
      <c r="B1384" s="10">
        <f>VLOOKUP(A1384,'Datos generales'!A:B,2,0)</f>
        <v>44949.395833333343</v>
      </c>
      <c r="C1384" s="12">
        <f>VLOOKUP(A1384,'Datos generales'!A:H,8,0)</f>
        <v>736.92</v>
      </c>
      <c r="D1384" s="12" t="str">
        <f t="shared" si="42"/>
        <v>enero</v>
      </c>
      <c r="E1384" s="33">
        <f t="shared" si="43"/>
        <v>2023</v>
      </c>
    </row>
    <row r="1385" spans="1:5" x14ac:dyDescent="0.25">
      <c r="A1385" t="s">
        <v>195</v>
      </c>
      <c r="B1385" s="10">
        <f>VLOOKUP(A1385,'Datos generales'!A:B,2,0)</f>
        <v>45560.538194444453</v>
      </c>
      <c r="C1385" s="12">
        <f>VLOOKUP(A1385,'Datos generales'!A:H,8,0)</f>
        <v>1501.34</v>
      </c>
      <c r="D1385" s="12" t="str">
        <f t="shared" si="42"/>
        <v>septiembre</v>
      </c>
      <c r="E1385" s="33">
        <f t="shared" si="43"/>
        <v>2024</v>
      </c>
    </row>
    <row r="1386" spans="1:5" x14ac:dyDescent="0.25">
      <c r="A1386" t="s">
        <v>196</v>
      </c>
      <c r="B1386" s="10">
        <f>VLOOKUP(A1386,'Datos generales'!A:B,2,0)</f>
        <v>45636.231249999997</v>
      </c>
      <c r="C1386" s="12">
        <f>VLOOKUP(A1386,'Datos generales'!A:H,8,0)</f>
        <v>3980.72</v>
      </c>
      <c r="D1386" s="12" t="str">
        <f t="shared" si="42"/>
        <v>diciembre</v>
      </c>
      <c r="E1386" s="33">
        <f t="shared" si="43"/>
        <v>2024</v>
      </c>
    </row>
    <row r="1387" spans="1:5" x14ac:dyDescent="0.25">
      <c r="A1387" t="s">
        <v>197</v>
      </c>
      <c r="B1387" s="10">
        <f>VLOOKUP(A1387,'Datos generales'!A:B,2,0)</f>
        <v>45218.252083333333</v>
      </c>
      <c r="C1387" s="12">
        <f>VLOOKUP(A1387,'Datos generales'!A:H,8,0)</f>
        <v>3669.44</v>
      </c>
      <c r="D1387" s="12" t="str">
        <f t="shared" si="42"/>
        <v>octubre</v>
      </c>
      <c r="E1387" s="33">
        <f t="shared" si="43"/>
        <v>2023</v>
      </c>
    </row>
    <row r="1388" spans="1:5" x14ac:dyDescent="0.25">
      <c r="A1388" t="s">
        <v>198</v>
      </c>
      <c r="B1388" s="10">
        <f>VLOOKUP(A1388,'Datos generales'!A:B,2,0)</f>
        <v>45615.827777777777</v>
      </c>
      <c r="C1388" s="12">
        <f>VLOOKUP(A1388,'Datos generales'!A:H,8,0)</f>
        <v>3884.62</v>
      </c>
      <c r="D1388" s="12" t="str">
        <f t="shared" si="42"/>
        <v>noviembre</v>
      </c>
      <c r="E1388" s="33">
        <f t="shared" si="43"/>
        <v>2024</v>
      </c>
    </row>
    <row r="1389" spans="1:5" x14ac:dyDescent="0.25">
      <c r="A1389" t="s">
        <v>199</v>
      </c>
      <c r="B1389" s="10">
        <f>VLOOKUP(A1389,'Datos generales'!A:B,2,0)</f>
        <v>45755.705555555563</v>
      </c>
      <c r="C1389" s="12">
        <f>VLOOKUP(A1389,'Datos generales'!A:H,8,0)</f>
        <v>3076.71</v>
      </c>
      <c r="D1389" s="12" t="str">
        <f t="shared" si="42"/>
        <v>abril</v>
      </c>
      <c r="E1389" s="33">
        <f t="shared" si="43"/>
        <v>2025</v>
      </c>
    </row>
    <row r="1390" spans="1:5" x14ac:dyDescent="0.25">
      <c r="A1390" t="s">
        <v>200</v>
      </c>
      <c r="B1390" s="10">
        <f>VLOOKUP(A1390,'Datos generales'!A:B,2,0)</f>
        <v>44962.009722222218</v>
      </c>
      <c r="C1390" s="12">
        <f>VLOOKUP(A1390,'Datos generales'!A:H,8,0)</f>
        <v>2220.7600000000002</v>
      </c>
      <c r="D1390" s="12" t="str">
        <f t="shared" si="42"/>
        <v>febrero</v>
      </c>
      <c r="E1390" s="33">
        <f t="shared" si="43"/>
        <v>2023</v>
      </c>
    </row>
    <row r="1391" spans="1:5" x14ac:dyDescent="0.25">
      <c r="A1391" t="s">
        <v>201</v>
      </c>
      <c r="B1391" s="10">
        <f>VLOOKUP(A1391,'Datos generales'!A:B,2,0)</f>
        <v>45194.675000000003</v>
      </c>
      <c r="C1391" s="12">
        <f>VLOOKUP(A1391,'Datos generales'!A:H,8,0)</f>
        <v>3754.1</v>
      </c>
      <c r="D1391" s="12" t="str">
        <f t="shared" si="42"/>
        <v>septiembre</v>
      </c>
      <c r="E1391" s="33">
        <f t="shared" si="43"/>
        <v>2023</v>
      </c>
    </row>
    <row r="1392" spans="1:5" x14ac:dyDescent="0.25">
      <c r="A1392" t="s">
        <v>202</v>
      </c>
      <c r="B1392" s="10">
        <f>VLOOKUP(A1392,'Datos generales'!A:B,2,0)</f>
        <v>45818.179861111108</v>
      </c>
      <c r="C1392" s="12">
        <f>VLOOKUP(A1392,'Datos generales'!A:H,8,0)</f>
        <v>3219.8</v>
      </c>
      <c r="D1392" s="12" t="str">
        <f t="shared" si="42"/>
        <v>junio</v>
      </c>
      <c r="E1392" s="33">
        <f t="shared" si="43"/>
        <v>2025</v>
      </c>
    </row>
    <row r="1393" spans="1:5" x14ac:dyDescent="0.25">
      <c r="A1393" t="s">
        <v>203</v>
      </c>
      <c r="B1393" s="10">
        <f>VLOOKUP(A1393,'Datos generales'!A:B,2,0)</f>
        <v>45755.011111111111</v>
      </c>
      <c r="C1393" s="12">
        <f>VLOOKUP(A1393,'Datos generales'!A:H,8,0)</f>
        <v>83.67</v>
      </c>
      <c r="D1393" s="12" t="str">
        <f t="shared" si="42"/>
        <v>abril</v>
      </c>
      <c r="E1393" s="33">
        <f t="shared" si="43"/>
        <v>2025</v>
      </c>
    </row>
    <row r="1394" spans="1:5" x14ac:dyDescent="0.25">
      <c r="A1394" t="s">
        <v>204</v>
      </c>
      <c r="B1394" s="10">
        <f>VLOOKUP(A1394,'Datos generales'!A:B,2,0)</f>
        <v>45862.584722222222</v>
      </c>
      <c r="C1394" s="12">
        <f>VLOOKUP(A1394,'Datos generales'!A:H,8,0)</f>
        <v>1700.54</v>
      </c>
      <c r="D1394" s="12" t="str">
        <f t="shared" si="42"/>
        <v>julio</v>
      </c>
      <c r="E1394" s="33">
        <f t="shared" si="43"/>
        <v>2025</v>
      </c>
    </row>
    <row r="1395" spans="1:5" x14ac:dyDescent="0.25">
      <c r="A1395" t="s">
        <v>205</v>
      </c>
      <c r="B1395" s="10">
        <f>VLOOKUP(A1395,'Datos generales'!A:B,2,0)</f>
        <v>45802.370833333327</v>
      </c>
      <c r="C1395" s="12">
        <f>VLOOKUP(A1395,'Datos generales'!A:H,8,0)</f>
        <v>1420.2</v>
      </c>
      <c r="D1395" s="12" t="str">
        <f t="shared" si="42"/>
        <v>mayo</v>
      </c>
      <c r="E1395" s="33">
        <f t="shared" si="43"/>
        <v>2025</v>
      </c>
    </row>
    <row r="1396" spans="1:5" x14ac:dyDescent="0.25">
      <c r="A1396" t="s">
        <v>206</v>
      </c>
      <c r="B1396" s="10">
        <f>VLOOKUP(A1396,'Datos generales'!A:B,2,0)</f>
        <v>45178.038888888892</v>
      </c>
      <c r="C1396" s="12">
        <f>VLOOKUP(A1396,'Datos generales'!A:H,8,0)</f>
        <v>521.32000000000005</v>
      </c>
      <c r="D1396" s="12" t="str">
        <f t="shared" si="42"/>
        <v>septiembre</v>
      </c>
      <c r="E1396" s="33">
        <f t="shared" si="43"/>
        <v>2023</v>
      </c>
    </row>
    <row r="1397" spans="1:5" x14ac:dyDescent="0.25">
      <c r="A1397" t="s">
        <v>207</v>
      </c>
      <c r="B1397" s="10">
        <f>VLOOKUP(A1397,'Datos generales'!A:B,2,0)</f>
        <v>45748.34097222222</v>
      </c>
      <c r="C1397" s="12">
        <f>VLOOKUP(A1397,'Datos generales'!A:H,8,0)</f>
        <v>1067.6400000000001</v>
      </c>
      <c r="D1397" s="12" t="str">
        <f t="shared" si="42"/>
        <v>abril</v>
      </c>
      <c r="E1397" s="33">
        <f t="shared" si="43"/>
        <v>2025</v>
      </c>
    </row>
    <row r="1398" spans="1:5" x14ac:dyDescent="0.25">
      <c r="A1398" t="s">
        <v>208</v>
      </c>
      <c r="B1398" s="10">
        <f>VLOOKUP(A1398,'Datos generales'!A:B,2,0)</f>
        <v>45055.556250000001</v>
      </c>
      <c r="C1398" s="12">
        <f>VLOOKUP(A1398,'Datos generales'!A:H,8,0)</f>
        <v>1903.64</v>
      </c>
      <c r="D1398" s="12" t="str">
        <f t="shared" si="42"/>
        <v>mayo</v>
      </c>
      <c r="E1398" s="33">
        <f t="shared" si="43"/>
        <v>2023</v>
      </c>
    </row>
    <row r="1399" spans="1:5" x14ac:dyDescent="0.25">
      <c r="A1399" t="s">
        <v>209</v>
      </c>
      <c r="B1399" s="10">
        <f>VLOOKUP(A1399,'Datos generales'!A:B,2,0)</f>
        <v>44958.773611111108</v>
      </c>
      <c r="C1399" s="12">
        <f>VLOOKUP(A1399,'Datos generales'!A:H,8,0)</f>
        <v>2920.32</v>
      </c>
      <c r="D1399" s="12" t="str">
        <f t="shared" si="42"/>
        <v>febrero</v>
      </c>
      <c r="E1399" s="33">
        <f t="shared" si="43"/>
        <v>2023</v>
      </c>
    </row>
    <row r="1400" spans="1:5" x14ac:dyDescent="0.25">
      <c r="A1400" t="s">
        <v>210</v>
      </c>
      <c r="B1400" s="10">
        <f>VLOOKUP(A1400,'Datos generales'!A:B,2,0)</f>
        <v>45816.563888888893</v>
      </c>
      <c r="C1400" s="12">
        <f>VLOOKUP(A1400,'Datos generales'!A:H,8,0)</f>
        <v>3388</v>
      </c>
      <c r="D1400" s="12" t="str">
        <f t="shared" si="42"/>
        <v>junio</v>
      </c>
      <c r="E1400" s="33">
        <f t="shared" si="43"/>
        <v>2025</v>
      </c>
    </row>
    <row r="1401" spans="1:5" x14ac:dyDescent="0.25">
      <c r="A1401" t="s">
        <v>211</v>
      </c>
      <c r="B1401" s="10">
        <f>VLOOKUP(A1401,'Datos generales'!A:B,2,0)</f>
        <v>45089.396527777782</v>
      </c>
      <c r="C1401" s="12">
        <f>VLOOKUP(A1401,'Datos generales'!A:H,8,0)</f>
        <v>2486.6799999999998</v>
      </c>
      <c r="D1401" s="12" t="str">
        <f t="shared" si="42"/>
        <v>junio</v>
      </c>
      <c r="E1401" s="33">
        <f t="shared" si="43"/>
        <v>2023</v>
      </c>
    </row>
    <row r="1402" spans="1:5" x14ac:dyDescent="0.25">
      <c r="A1402" t="s">
        <v>12</v>
      </c>
      <c r="B1402" s="10">
        <f>VLOOKUP(A1402,'Datos generales'!A:B,2,0)</f>
        <v>45280.478472222218</v>
      </c>
      <c r="C1402" s="12">
        <f>VLOOKUP(A1402,'Datos generales'!A:H,8,0)</f>
        <v>7486.2</v>
      </c>
      <c r="D1402" s="12" t="str">
        <f t="shared" si="42"/>
        <v>diciembre</v>
      </c>
      <c r="E1402" s="33">
        <f t="shared" si="43"/>
        <v>2023</v>
      </c>
    </row>
    <row r="1403" spans="1:5" x14ac:dyDescent="0.25">
      <c r="A1403" t="s">
        <v>13</v>
      </c>
      <c r="B1403" s="10">
        <f>VLOOKUP(A1403,'Datos generales'!A:B,2,0)</f>
        <v>45008.840277777781</v>
      </c>
      <c r="C1403" s="12">
        <f>VLOOKUP(A1403,'Datos generales'!A:H,8,0)</f>
        <v>1687.54</v>
      </c>
      <c r="D1403" s="12" t="str">
        <f t="shared" si="42"/>
        <v>marzo</v>
      </c>
      <c r="E1403" s="33">
        <f t="shared" si="43"/>
        <v>2023</v>
      </c>
    </row>
    <row r="1404" spans="1:5" x14ac:dyDescent="0.25">
      <c r="A1404" t="s">
        <v>14</v>
      </c>
      <c r="B1404" s="10">
        <f>VLOOKUP(A1404,'Datos generales'!A:B,2,0)</f>
        <v>45355.443749999999</v>
      </c>
      <c r="C1404" s="12">
        <f>VLOOKUP(A1404,'Datos generales'!A:H,8,0)</f>
        <v>2306.4</v>
      </c>
      <c r="D1404" s="12" t="str">
        <f t="shared" si="42"/>
        <v>marzo</v>
      </c>
      <c r="E1404" s="33">
        <f t="shared" si="43"/>
        <v>2024</v>
      </c>
    </row>
    <row r="1405" spans="1:5" x14ac:dyDescent="0.25">
      <c r="A1405" t="s">
        <v>15</v>
      </c>
      <c r="B1405" s="10">
        <f>VLOOKUP(A1405,'Datos generales'!A:B,2,0)</f>
        <v>45704.374305555553</v>
      </c>
      <c r="C1405" s="12">
        <f>VLOOKUP(A1405,'Datos generales'!A:H,8,0)</f>
        <v>1532.67</v>
      </c>
      <c r="D1405" s="12" t="str">
        <f t="shared" si="42"/>
        <v>febrero</v>
      </c>
      <c r="E1405" s="33">
        <f t="shared" si="43"/>
        <v>2025</v>
      </c>
    </row>
    <row r="1406" spans="1:5" x14ac:dyDescent="0.25">
      <c r="A1406" t="s">
        <v>16</v>
      </c>
      <c r="B1406" s="10">
        <f>VLOOKUP(A1406,'Datos generales'!A:B,2,0)</f>
        <v>45772.848611111112</v>
      </c>
      <c r="C1406" s="12">
        <f>VLOOKUP(A1406,'Datos generales'!A:H,8,0)</f>
        <v>5128.41</v>
      </c>
      <c r="D1406" s="12" t="str">
        <f t="shared" si="42"/>
        <v>abril</v>
      </c>
      <c r="E1406" s="33">
        <f t="shared" si="43"/>
        <v>2025</v>
      </c>
    </row>
    <row r="1407" spans="1:5" x14ac:dyDescent="0.25">
      <c r="A1407" t="s">
        <v>17</v>
      </c>
      <c r="B1407" s="10">
        <f>VLOOKUP(A1407,'Datos generales'!A:B,2,0)</f>
        <v>45101.225694444453</v>
      </c>
      <c r="C1407" s="12">
        <f>VLOOKUP(A1407,'Datos generales'!A:H,8,0)</f>
        <v>892.62000000000012</v>
      </c>
      <c r="D1407" s="12" t="str">
        <f t="shared" si="42"/>
        <v>junio</v>
      </c>
      <c r="E1407" s="33">
        <f t="shared" si="43"/>
        <v>2023</v>
      </c>
    </row>
    <row r="1408" spans="1:5" x14ac:dyDescent="0.25">
      <c r="A1408" t="s">
        <v>18</v>
      </c>
      <c r="B1408" s="10">
        <f>VLOOKUP(A1408,'Datos generales'!A:B,2,0)</f>
        <v>45694.432638888888</v>
      </c>
      <c r="C1408" s="12">
        <f>VLOOKUP(A1408,'Datos generales'!A:H,8,0)</f>
        <v>6186.6</v>
      </c>
      <c r="D1408" s="12" t="str">
        <f t="shared" si="42"/>
        <v>febrero</v>
      </c>
      <c r="E1408" s="33">
        <f t="shared" si="43"/>
        <v>2025</v>
      </c>
    </row>
    <row r="1409" spans="1:5" x14ac:dyDescent="0.25">
      <c r="A1409" t="s">
        <v>19</v>
      </c>
      <c r="B1409" s="10">
        <f>VLOOKUP(A1409,'Datos generales'!A:B,2,0)</f>
        <v>45798.69027777778</v>
      </c>
      <c r="C1409" s="12">
        <f>VLOOKUP(A1409,'Datos generales'!A:H,8,0)</f>
        <v>1575.18</v>
      </c>
      <c r="D1409" s="12" t="str">
        <f t="shared" si="42"/>
        <v>mayo</v>
      </c>
      <c r="E1409" s="33">
        <f t="shared" si="43"/>
        <v>2025</v>
      </c>
    </row>
    <row r="1410" spans="1:5" x14ac:dyDescent="0.25">
      <c r="A1410" t="s">
        <v>20</v>
      </c>
      <c r="B1410" s="10">
        <f>VLOOKUP(A1410,'Datos generales'!A:B,2,0)</f>
        <v>45425.797222222223</v>
      </c>
      <c r="C1410" s="12">
        <f>VLOOKUP(A1410,'Datos generales'!A:H,8,0)</f>
        <v>9079.2999999999993</v>
      </c>
      <c r="D1410" s="12" t="str">
        <f t="shared" si="42"/>
        <v>mayo</v>
      </c>
      <c r="E1410" s="33">
        <f t="shared" si="43"/>
        <v>2024</v>
      </c>
    </row>
    <row r="1411" spans="1:5" x14ac:dyDescent="0.25">
      <c r="A1411" t="s">
        <v>21</v>
      </c>
      <c r="B1411" s="10">
        <f>VLOOKUP(A1411,'Datos generales'!A:B,2,0)</f>
        <v>45525.152083333327</v>
      </c>
      <c r="C1411" s="12">
        <f>VLOOKUP(A1411,'Datos generales'!A:H,8,0)</f>
        <v>564.11</v>
      </c>
      <c r="D1411" s="12" t="str">
        <f t="shared" ref="D1411:D1474" si="44">TEXT(B1411,"mmmm")</f>
        <v>agosto</v>
      </c>
      <c r="E1411" s="33">
        <f t="shared" ref="E1411:E1474" si="45">YEAR(B1411)</f>
        <v>2024</v>
      </c>
    </row>
    <row r="1412" spans="1:5" x14ac:dyDescent="0.25">
      <c r="A1412" t="s">
        <v>22</v>
      </c>
      <c r="B1412" s="10">
        <f>VLOOKUP(A1412,'Datos generales'!A:B,2,0)</f>
        <v>45580.043749999997</v>
      </c>
      <c r="C1412" s="12">
        <f>VLOOKUP(A1412,'Datos generales'!A:H,8,0)</f>
        <v>454.9</v>
      </c>
      <c r="D1412" s="12" t="str">
        <f t="shared" si="44"/>
        <v>octubre</v>
      </c>
      <c r="E1412" s="33">
        <f t="shared" si="45"/>
        <v>2024</v>
      </c>
    </row>
    <row r="1413" spans="1:5" x14ac:dyDescent="0.25">
      <c r="A1413" t="s">
        <v>23</v>
      </c>
      <c r="B1413" s="10">
        <f>VLOOKUP(A1413,'Datos generales'!A:B,2,0)</f>
        <v>45551.151388888888</v>
      </c>
      <c r="C1413" s="12">
        <f>VLOOKUP(A1413,'Datos generales'!A:H,8,0)</f>
        <v>3832.53</v>
      </c>
      <c r="D1413" s="12" t="str">
        <f t="shared" si="44"/>
        <v>septiembre</v>
      </c>
      <c r="E1413" s="33">
        <f t="shared" si="45"/>
        <v>2024</v>
      </c>
    </row>
    <row r="1414" spans="1:5" x14ac:dyDescent="0.25">
      <c r="A1414" t="s">
        <v>24</v>
      </c>
      <c r="B1414" s="10">
        <f>VLOOKUP(A1414,'Datos generales'!A:B,2,0)</f>
        <v>45230.395833333343</v>
      </c>
      <c r="C1414" s="12">
        <f>VLOOKUP(A1414,'Datos generales'!A:H,8,0)</f>
        <v>3741.9</v>
      </c>
      <c r="D1414" s="12" t="str">
        <f t="shared" si="44"/>
        <v>octubre</v>
      </c>
      <c r="E1414" s="33">
        <f t="shared" si="45"/>
        <v>2023</v>
      </c>
    </row>
    <row r="1415" spans="1:5" x14ac:dyDescent="0.25">
      <c r="A1415" t="s">
        <v>25</v>
      </c>
      <c r="B1415" s="10">
        <f>VLOOKUP(A1415,'Datos generales'!A:B,2,0)</f>
        <v>45234.645833333343</v>
      </c>
      <c r="C1415" s="12">
        <f>VLOOKUP(A1415,'Datos generales'!A:H,8,0)</f>
        <v>4908.92</v>
      </c>
      <c r="D1415" s="12" t="str">
        <f t="shared" si="44"/>
        <v>noviembre</v>
      </c>
      <c r="E1415" s="33">
        <f t="shared" si="45"/>
        <v>2023</v>
      </c>
    </row>
    <row r="1416" spans="1:5" x14ac:dyDescent="0.25">
      <c r="A1416" t="s">
        <v>26</v>
      </c>
      <c r="B1416" s="10">
        <f>VLOOKUP(A1416,'Datos generales'!A:B,2,0)</f>
        <v>45464.76666666667</v>
      </c>
      <c r="C1416" s="12">
        <f>VLOOKUP(A1416,'Datos generales'!A:H,8,0)</f>
        <v>1329.6</v>
      </c>
      <c r="D1416" s="12" t="str">
        <f t="shared" si="44"/>
        <v>junio</v>
      </c>
      <c r="E1416" s="33">
        <f t="shared" si="45"/>
        <v>2024</v>
      </c>
    </row>
    <row r="1417" spans="1:5" x14ac:dyDescent="0.25">
      <c r="A1417" t="s">
        <v>27</v>
      </c>
      <c r="B1417" s="10">
        <f>VLOOKUP(A1417,'Datos generales'!A:B,2,0)</f>
        <v>45138.240277777782</v>
      </c>
      <c r="C1417" s="12">
        <f>VLOOKUP(A1417,'Datos generales'!A:H,8,0)</f>
        <v>5202.3599999999997</v>
      </c>
      <c r="D1417" s="12" t="str">
        <f t="shared" si="44"/>
        <v>julio</v>
      </c>
      <c r="E1417" s="33">
        <f t="shared" si="45"/>
        <v>2023</v>
      </c>
    </row>
    <row r="1418" spans="1:5" x14ac:dyDescent="0.25">
      <c r="A1418" t="s">
        <v>28</v>
      </c>
      <c r="B1418" s="10">
        <f>VLOOKUP(A1418,'Datos generales'!A:B,2,0)</f>
        <v>45455.688888888893</v>
      </c>
      <c r="C1418" s="12">
        <f>VLOOKUP(A1418,'Datos generales'!A:H,8,0)</f>
        <v>1209.6199999999999</v>
      </c>
      <c r="D1418" s="12" t="str">
        <f t="shared" si="44"/>
        <v>junio</v>
      </c>
      <c r="E1418" s="33">
        <f t="shared" si="45"/>
        <v>2024</v>
      </c>
    </row>
    <row r="1419" spans="1:5" x14ac:dyDescent="0.25">
      <c r="A1419" t="s">
        <v>29</v>
      </c>
      <c r="B1419" s="10">
        <f>VLOOKUP(A1419,'Datos generales'!A:B,2,0)</f>
        <v>45301.151388888888</v>
      </c>
      <c r="C1419" s="12">
        <f>VLOOKUP(A1419,'Datos generales'!A:H,8,0)</f>
        <v>2766.99</v>
      </c>
      <c r="D1419" s="12" t="str">
        <f t="shared" si="44"/>
        <v>enero</v>
      </c>
      <c r="E1419" s="33">
        <f t="shared" si="45"/>
        <v>2024</v>
      </c>
    </row>
    <row r="1420" spans="1:5" x14ac:dyDescent="0.25">
      <c r="A1420" t="s">
        <v>30</v>
      </c>
      <c r="B1420" s="10">
        <f>VLOOKUP(A1420,'Datos generales'!A:B,2,0)</f>
        <v>45677.761111111111</v>
      </c>
      <c r="C1420" s="12">
        <f>VLOOKUP(A1420,'Datos generales'!A:H,8,0)</f>
        <v>217.68</v>
      </c>
      <c r="D1420" s="12" t="str">
        <f t="shared" si="44"/>
        <v>enero</v>
      </c>
      <c r="E1420" s="33">
        <f t="shared" si="45"/>
        <v>2025</v>
      </c>
    </row>
    <row r="1421" spans="1:5" x14ac:dyDescent="0.25">
      <c r="A1421" t="s">
        <v>31</v>
      </c>
      <c r="B1421" s="10">
        <f>VLOOKUP(A1421,'Datos generales'!A:B,2,0)</f>
        <v>45238.713888888888</v>
      </c>
      <c r="C1421" s="12">
        <f>VLOOKUP(A1421,'Datos generales'!A:H,8,0)</f>
        <v>3134.36</v>
      </c>
      <c r="D1421" s="12" t="str">
        <f t="shared" si="44"/>
        <v>noviembre</v>
      </c>
      <c r="E1421" s="33">
        <f t="shared" si="45"/>
        <v>2023</v>
      </c>
    </row>
    <row r="1422" spans="1:5" x14ac:dyDescent="0.25">
      <c r="A1422" t="s">
        <v>32</v>
      </c>
      <c r="B1422" s="10">
        <f>VLOOKUP(A1422,'Datos generales'!A:B,2,0)</f>
        <v>45231.386111111111</v>
      </c>
      <c r="C1422" s="12">
        <f>VLOOKUP(A1422,'Datos generales'!A:H,8,0)</f>
        <v>1039.5999999999999</v>
      </c>
      <c r="D1422" s="12" t="str">
        <f t="shared" si="44"/>
        <v>noviembre</v>
      </c>
      <c r="E1422" s="33">
        <f t="shared" si="45"/>
        <v>2023</v>
      </c>
    </row>
    <row r="1423" spans="1:5" x14ac:dyDescent="0.25">
      <c r="A1423" t="s">
        <v>33</v>
      </c>
      <c r="B1423" s="10">
        <f>VLOOKUP(A1423,'Datos generales'!A:B,2,0)</f>
        <v>45421.563888888893</v>
      </c>
      <c r="C1423" s="12">
        <f>VLOOKUP(A1423,'Datos generales'!A:H,8,0)</f>
        <v>1267.01</v>
      </c>
      <c r="D1423" s="12" t="str">
        <f t="shared" si="44"/>
        <v>mayo</v>
      </c>
      <c r="E1423" s="33">
        <f t="shared" si="45"/>
        <v>2024</v>
      </c>
    </row>
    <row r="1424" spans="1:5" x14ac:dyDescent="0.25">
      <c r="A1424" t="s">
        <v>34</v>
      </c>
      <c r="B1424" s="10">
        <f>VLOOKUP(A1424,'Datos generales'!A:B,2,0)</f>
        <v>45437.592361111107</v>
      </c>
      <c r="C1424" s="12">
        <f>VLOOKUP(A1424,'Datos generales'!A:H,8,0)</f>
        <v>4111.24</v>
      </c>
      <c r="D1424" s="12" t="str">
        <f t="shared" si="44"/>
        <v>mayo</v>
      </c>
      <c r="E1424" s="33">
        <f t="shared" si="45"/>
        <v>2024</v>
      </c>
    </row>
    <row r="1425" spans="1:5" x14ac:dyDescent="0.25">
      <c r="A1425" t="s">
        <v>35</v>
      </c>
      <c r="B1425" s="10">
        <f>VLOOKUP(A1425,'Datos generales'!A:B,2,0)</f>
        <v>45355.487500000003</v>
      </c>
      <c r="C1425" s="12">
        <f>VLOOKUP(A1425,'Datos generales'!A:H,8,0)</f>
        <v>2776.86</v>
      </c>
      <c r="D1425" s="12" t="str">
        <f t="shared" si="44"/>
        <v>marzo</v>
      </c>
      <c r="E1425" s="33">
        <f t="shared" si="45"/>
        <v>2024</v>
      </c>
    </row>
    <row r="1426" spans="1:5" x14ac:dyDescent="0.25">
      <c r="A1426" t="s">
        <v>36</v>
      </c>
      <c r="B1426" s="10">
        <f>VLOOKUP(A1426,'Datos generales'!A:B,2,0)</f>
        <v>45924.43472222222</v>
      </c>
      <c r="C1426" s="12">
        <f>VLOOKUP(A1426,'Datos generales'!A:H,8,0)</f>
        <v>641.13</v>
      </c>
      <c r="D1426" s="12" t="str">
        <f t="shared" si="44"/>
        <v>septiembre</v>
      </c>
      <c r="E1426" s="33">
        <f t="shared" si="45"/>
        <v>2025</v>
      </c>
    </row>
    <row r="1427" spans="1:5" x14ac:dyDescent="0.25">
      <c r="A1427" t="s">
        <v>37</v>
      </c>
      <c r="B1427" s="10">
        <f>VLOOKUP(A1427,'Datos generales'!A:B,2,0)</f>
        <v>45471.931250000001</v>
      </c>
      <c r="C1427" s="12">
        <f>VLOOKUP(A1427,'Datos generales'!A:H,8,0)</f>
        <v>2293.5</v>
      </c>
      <c r="D1427" s="12" t="str">
        <f t="shared" si="44"/>
        <v>junio</v>
      </c>
      <c r="E1427" s="33">
        <f t="shared" si="45"/>
        <v>2024</v>
      </c>
    </row>
    <row r="1428" spans="1:5" x14ac:dyDescent="0.25">
      <c r="A1428" t="s">
        <v>38</v>
      </c>
      <c r="B1428" s="10">
        <f>VLOOKUP(A1428,'Datos generales'!A:B,2,0)</f>
        <v>45003.59097222222</v>
      </c>
      <c r="C1428" s="12">
        <f>VLOOKUP(A1428,'Datos generales'!A:H,8,0)</f>
        <v>4536.3999999999996</v>
      </c>
      <c r="D1428" s="12" t="str">
        <f t="shared" si="44"/>
        <v>marzo</v>
      </c>
      <c r="E1428" s="33">
        <f t="shared" si="45"/>
        <v>2023</v>
      </c>
    </row>
    <row r="1429" spans="1:5" x14ac:dyDescent="0.25">
      <c r="A1429" t="s">
        <v>39</v>
      </c>
      <c r="B1429" s="10">
        <f>VLOOKUP(A1429,'Datos generales'!A:B,2,0)</f>
        <v>45206.394444444442</v>
      </c>
      <c r="C1429" s="12">
        <f>VLOOKUP(A1429,'Datos generales'!A:H,8,0)</f>
        <v>3468.88</v>
      </c>
      <c r="D1429" s="12" t="str">
        <f t="shared" si="44"/>
        <v>octubre</v>
      </c>
      <c r="E1429" s="33">
        <f t="shared" si="45"/>
        <v>2023</v>
      </c>
    </row>
    <row r="1430" spans="1:5" x14ac:dyDescent="0.25">
      <c r="A1430" t="s">
        <v>40</v>
      </c>
      <c r="B1430" s="10">
        <f>VLOOKUP(A1430,'Datos generales'!A:B,2,0)</f>
        <v>45595.773611111108</v>
      </c>
      <c r="C1430" s="12">
        <f>VLOOKUP(A1430,'Datos generales'!A:H,8,0)</f>
        <v>424.35</v>
      </c>
      <c r="D1430" s="12" t="str">
        <f t="shared" si="44"/>
        <v>octubre</v>
      </c>
      <c r="E1430" s="33">
        <f t="shared" si="45"/>
        <v>2024</v>
      </c>
    </row>
    <row r="1431" spans="1:5" x14ac:dyDescent="0.25">
      <c r="A1431" t="s">
        <v>41</v>
      </c>
      <c r="B1431" s="10">
        <f>VLOOKUP(A1431,'Datos generales'!A:B,2,0)</f>
        <v>45888.736805555563</v>
      </c>
      <c r="C1431" s="12">
        <f>VLOOKUP(A1431,'Datos generales'!A:H,8,0)</f>
        <v>252.57</v>
      </c>
      <c r="D1431" s="12" t="str">
        <f t="shared" si="44"/>
        <v>agosto</v>
      </c>
      <c r="E1431" s="33">
        <f t="shared" si="45"/>
        <v>2025</v>
      </c>
    </row>
    <row r="1432" spans="1:5" x14ac:dyDescent="0.25">
      <c r="A1432" t="s">
        <v>42</v>
      </c>
      <c r="B1432" s="10">
        <f>VLOOKUP(A1432,'Datos generales'!A:B,2,0)</f>
        <v>45478.06527777778</v>
      </c>
      <c r="C1432" s="12">
        <f>VLOOKUP(A1432,'Datos generales'!A:H,8,0)</f>
        <v>64.679999999999993</v>
      </c>
      <c r="D1432" s="12" t="str">
        <f t="shared" si="44"/>
        <v>julio</v>
      </c>
      <c r="E1432" s="33">
        <f t="shared" si="45"/>
        <v>2024</v>
      </c>
    </row>
    <row r="1433" spans="1:5" x14ac:dyDescent="0.25">
      <c r="A1433" t="s">
        <v>43</v>
      </c>
      <c r="B1433" s="10">
        <f>VLOOKUP(A1433,'Datos generales'!A:B,2,0)</f>
        <v>45402.668749999997</v>
      </c>
      <c r="C1433" s="12">
        <f>VLOOKUP(A1433,'Datos generales'!A:H,8,0)</f>
        <v>446.81</v>
      </c>
      <c r="D1433" s="12" t="str">
        <f t="shared" si="44"/>
        <v>abril</v>
      </c>
      <c r="E1433" s="33">
        <f t="shared" si="45"/>
        <v>2024</v>
      </c>
    </row>
    <row r="1434" spans="1:5" x14ac:dyDescent="0.25">
      <c r="A1434" t="s">
        <v>44</v>
      </c>
      <c r="B1434" s="10">
        <f>VLOOKUP(A1434,'Datos generales'!A:B,2,0)</f>
        <v>45033.806944444441</v>
      </c>
      <c r="C1434" s="12">
        <f>VLOOKUP(A1434,'Datos generales'!A:H,8,0)</f>
        <v>129.34</v>
      </c>
      <c r="D1434" s="12" t="str">
        <f t="shared" si="44"/>
        <v>abril</v>
      </c>
      <c r="E1434" s="33">
        <f t="shared" si="45"/>
        <v>2023</v>
      </c>
    </row>
    <row r="1435" spans="1:5" x14ac:dyDescent="0.25">
      <c r="A1435" t="s">
        <v>45</v>
      </c>
      <c r="B1435" s="10">
        <f>VLOOKUP(A1435,'Datos generales'!A:B,2,0)</f>
        <v>45432.781944444447</v>
      </c>
      <c r="C1435" s="12">
        <f>VLOOKUP(A1435,'Datos generales'!A:H,8,0)</f>
        <v>5841.75</v>
      </c>
      <c r="D1435" s="12" t="str">
        <f t="shared" si="44"/>
        <v>mayo</v>
      </c>
      <c r="E1435" s="33">
        <f t="shared" si="45"/>
        <v>2024</v>
      </c>
    </row>
    <row r="1436" spans="1:5" x14ac:dyDescent="0.25">
      <c r="A1436" t="s">
        <v>46</v>
      </c>
      <c r="B1436" s="10">
        <f>VLOOKUP(A1436,'Datos generales'!A:B,2,0)</f>
        <v>45746.083333333343</v>
      </c>
      <c r="C1436" s="12">
        <f>VLOOKUP(A1436,'Datos generales'!A:H,8,0)</f>
        <v>698.6</v>
      </c>
      <c r="D1436" s="12" t="str">
        <f t="shared" si="44"/>
        <v>marzo</v>
      </c>
      <c r="E1436" s="33">
        <f t="shared" si="45"/>
        <v>2025</v>
      </c>
    </row>
    <row r="1437" spans="1:5" x14ac:dyDescent="0.25">
      <c r="A1437" t="s">
        <v>47</v>
      </c>
      <c r="B1437" s="10">
        <f>VLOOKUP(A1437,'Datos generales'!A:B,2,0)</f>
        <v>45515.355555555558</v>
      </c>
      <c r="C1437" s="12">
        <f>VLOOKUP(A1437,'Datos generales'!A:H,8,0)</f>
        <v>3462.18</v>
      </c>
      <c r="D1437" s="12" t="str">
        <f t="shared" si="44"/>
        <v>agosto</v>
      </c>
      <c r="E1437" s="33">
        <f t="shared" si="45"/>
        <v>2024</v>
      </c>
    </row>
    <row r="1438" spans="1:5" x14ac:dyDescent="0.25">
      <c r="A1438" t="s">
        <v>48</v>
      </c>
      <c r="B1438" s="10">
        <f>VLOOKUP(A1438,'Datos generales'!A:B,2,0)</f>
        <v>45730.554861111108</v>
      </c>
      <c r="C1438" s="12">
        <f>VLOOKUP(A1438,'Datos generales'!A:H,8,0)</f>
        <v>6265.48</v>
      </c>
      <c r="D1438" s="12" t="str">
        <f t="shared" si="44"/>
        <v>marzo</v>
      </c>
      <c r="E1438" s="33">
        <f t="shared" si="45"/>
        <v>2025</v>
      </c>
    </row>
    <row r="1439" spans="1:5" x14ac:dyDescent="0.25">
      <c r="A1439" t="s">
        <v>49</v>
      </c>
      <c r="B1439" s="10">
        <f>VLOOKUP(A1439,'Datos generales'!A:B,2,0)</f>
        <v>45603.252083333333</v>
      </c>
      <c r="C1439" s="12">
        <f>VLOOKUP(A1439,'Datos generales'!A:H,8,0)</f>
        <v>1348.96</v>
      </c>
      <c r="D1439" s="12" t="str">
        <f t="shared" si="44"/>
        <v>noviembre</v>
      </c>
      <c r="E1439" s="33">
        <f t="shared" si="45"/>
        <v>2024</v>
      </c>
    </row>
    <row r="1440" spans="1:5" x14ac:dyDescent="0.25">
      <c r="A1440" t="s">
        <v>50</v>
      </c>
      <c r="B1440" s="10">
        <f>VLOOKUP(A1440,'Datos generales'!A:B,2,0)</f>
        <v>45420.054861111108</v>
      </c>
      <c r="C1440" s="12">
        <f>VLOOKUP(A1440,'Datos generales'!A:H,8,0)</f>
        <v>3087.96</v>
      </c>
      <c r="D1440" s="12" t="str">
        <f t="shared" si="44"/>
        <v>mayo</v>
      </c>
      <c r="E1440" s="33">
        <f t="shared" si="45"/>
        <v>2024</v>
      </c>
    </row>
    <row r="1441" spans="1:5" x14ac:dyDescent="0.25">
      <c r="A1441" t="s">
        <v>51</v>
      </c>
      <c r="B1441" s="10">
        <f>VLOOKUP(A1441,'Datos generales'!A:B,2,0)</f>
        <v>44931.743055555547</v>
      </c>
      <c r="C1441" s="12">
        <f>VLOOKUP(A1441,'Datos generales'!A:H,8,0)</f>
        <v>4586.5499999999993</v>
      </c>
      <c r="D1441" s="12" t="str">
        <f t="shared" si="44"/>
        <v>enero</v>
      </c>
      <c r="E1441" s="33">
        <f t="shared" si="45"/>
        <v>2023</v>
      </c>
    </row>
    <row r="1442" spans="1:5" x14ac:dyDescent="0.25">
      <c r="A1442" t="s">
        <v>52</v>
      </c>
      <c r="B1442" s="10">
        <f>VLOOKUP(A1442,'Datos generales'!A:B,2,0)</f>
        <v>45326.684027777781</v>
      </c>
      <c r="C1442" s="12">
        <f>VLOOKUP(A1442,'Datos generales'!A:H,8,0)</f>
        <v>1801.44</v>
      </c>
      <c r="D1442" s="12" t="str">
        <f t="shared" si="44"/>
        <v>febrero</v>
      </c>
      <c r="E1442" s="33">
        <f t="shared" si="45"/>
        <v>2024</v>
      </c>
    </row>
    <row r="1443" spans="1:5" x14ac:dyDescent="0.25">
      <c r="A1443" t="s">
        <v>53</v>
      </c>
      <c r="B1443" s="10">
        <f>VLOOKUP(A1443,'Datos generales'!A:B,2,0)</f>
        <v>45146.872916666667</v>
      </c>
      <c r="C1443" s="12">
        <f>VLOOKUP(A1443,'Datos generales'!A:H,8,0)</f>
        <v>1510.96</v>
      </c>
      <c r="D1443" s="12" t="str">
        <f t="shared" si="44"/>
        <v>agosto</v>
      </c>
      <c r="E1443" s="33">
        <f t="shared" si="45"/>
        <v>2023</v>
      </c>
    </row>
    <row r="1444" spans="1:5" x14ac:dyDescent="0.25">
      <c r="A1444" t="s">
        <v>54</v>
      </c>
      <c r="B1444" s="10">
        <f>VLOOKUP(A1444,'Datos generales'!A:B,2,0)</f>
        <v>45464.595833333333</v>
      </c>
      <c r="C1444" s="12">
        <f>VLOOKUP(A1444,'Datos generales'!A:H,8,0)</f>
        <v>5566.65</v>
      </c>
      <c r="D1444" s="12" t="str">
        <f t="shared" si="44"/>
        <v>junio</v>
      </c>
      <c r="E1444" s="33">
        <f t="shared" si="45"/>
        <v>2024</v>
      </c>
    </row>
    <row r="1445" spans="1:5" x14ac:dyDescent="0.25">
      <c r="A1445" t="s">
        <v>55</v>
      </c>
      <c r="B1445" s="10">
        <f>VLOOKUP(A1445,'Datos generales'!A:B,2,0)</f>
        <v>45171.9</v>
      </c>
      <c r="C1445" s="12">
        <f>VLOOKUP(A1445,'Datos generales'!A:H,8,0)</f>
        <v>5058.75</v>
      </c>
      <c r="D1445" s="12" t="str">
        <f t="shared" si="44"/>
        <v>septiembre</v>
      </c>
      <c r="E1445" s="33">
        <f t="shared" si="45"/>
        <v>2023</v>
      </c>
    </row>
    <row r="1446" spans="1:5" x14ac:dyDescent="0.25">
      <c r="A1446" t="s">
        <v>56</v>
      </c>
      <c r="B1446" s="10">
        <f>VLOOKUP(A1446,'Datos generales'!A:B,2,0)</f>
        <v>44992.136111111111</v>
      </c>
      <c r="C1446" s="12">
        <f>VLOOKUP(A1446,'Datos generales'!A:H,8,0)</f>
        <v>6091.7</v>
      </c>
      <c r="D1446" s="12" t="str">
        <f t="shared" si="44"/>
        <v>marzo</v>
      </c>
      <c r="E1446" s="33">
        <f t="shared" si="45"/>
        <v>2023</v>
      </c>
    </row>
    <row r="1447" spans="1:5" x14ac:dyDescent="0.25">
      <c r="A1447" t="s">
        <v>57</v>
      </c>
      <c r="B1447" s="10">
        <f>VLOOKUP(A1447,'Datos generales'!A:B,2,0)</f>
        <v>44927.061111111107</v>
      </c>
      <c r="C1447" s="12">
        <f>VLOOKUP(A1447,'Datos generales'!A:H,8,0)</f>
        <v>723.18</v>
      </c>
      <c r="D1447" s="12" t="str">
        <f t="shared" si="44"/>
        <v>enero</v>
      </c>
      <c r="E1447" s="33">
        <f t="shared" si="45"/>
        <v>2023</v>
      </c>
    </row>
    <row r="1448" spans="1:5" x14ac:dyDescent="0.25">
      <c r="A1448" t="s">
        <v>58</v>
      </c>
      <c r="B1448" s="10">
        <f>VLOOKUP(A1448,'Datos generales'!A:B,2,0)</f>
        <v>45097.359027777777</v>
      </c>
      <c r="C1448" s="12">
        <f>VLOOKUP(A1448,'Datos generales'!A:H,8,0)</f>
        <v>4794</v>
      </c>
      <c r="D1448" s="12" t="str">
        <f t="shared" si="44"/>
        <v>junio</v>
      </c>
      <c r="E1448" s="33">
        <f t="shared" si="45"/>
        <v>2023</v>
      </c>
    </row>
    <row r="1449" spans="1:5" x14ac:dyDescent="0.25">
      <c r="A1449" t="s">
        <v>59</v>
      </c>
      <c r="B1449" s="10">
        <f>VLOOKUP(A1449,'Datos generales'!A:B,2,0)</f>
        <v>45755.288194444453</v>
      </c>
      <c r="C1449" s="12">
        <f>VLOOKUP(A1449,'Datos generales'!A:H,8,0)</f>
        <v>8884.3499999999985</v>
      </c>
      <c r="D1449" s="12" t="str">
        <f t="shared" si="44"/>
        <v>abril</v>
      </c>
      <c r="E1449" s="33">
        <f t="shared" si="45"/>
        <v>2025</v>
      </c>
    </row>
    <row r="1450" spans="1:5" x14ac:dyDescent="0.25">
      <c r="A1450" t="s">
        <v>60</v>
      </c>
      <c r="B1450" s="10">
        <f>VLOOKUP(A1450,'Datos generales'!A:B,2,0)</f>
        <v>45782.866666666669</v>
      </c>
      <c r="C1450" s="12">
        <f>VLOOKUP(A1450,'Datos generales'!A:H,8,0)</f>
        <v>1467.34</v>
      </c>
      <c r="D1450" s="12" t="str">
        <f t="shared" si="44"/>
        <v>mayo</v>
      </c>
      <c r="E1450" s="33">
        <f t="shared" si="45"/>
        <v>2025</v>
      </c>
    </row>
    <row r="1451" spans="1:5" x14ac:dyDescent="0.25">
      <c r="A1451" t="s">
        <v>61</v>
      </c>
      <c r="B1451" s="10">
        <f>VLOOKUP(A1451,'Datos generales'!A:B,2,0)</f>
        <v>45819.341666666667</v>
      </c>
      <c r="C1451" s="12">
        <f>VLOOKUP(A1451,'Datos generales'!A:H,8,0)</f>
        <v>2051.73</v>
      </c>
      <c r="D1451" s="12" t="str">
        <f t="shared" si="44"/>
        <v>junio</v>
      </c>
      <c r="E1451" s="33">
        <f t="shared" si="45"/>
        <v>2025</v>
      </c>
    </row>
    <row r="1452" spans="1:5" x14ac:dyDescent="0.25">
      <c r="A1452" t="s">
        <v>62</v>
      </c>
      <c r="B1452" s="10">
        <f>VLOOKUP(A1452,'Datos generales'!A:B,2,0)</f>
        <v>45441.993055555547</v>
      </c>
      <c r="C1452" s="12">
        <f>VLOOKUP(A1452,'Datos generales'!A:H,8,0)</f>
        <v>1083.8599999999999</v>
      </c>
      <c r="D1452" s="12" t="str">
        <f t="shared" si="44"/>
        <v>mayo</v>
      </c>
      <c r="E1452" s="33">
        <f t="shared" si="45"/>
        <v>2024</v>
      </c>
    </row>
    <row r="1453" spans="1:5" x14ac:dyDescent="0.25">
      <c r="A1453" t="s">
        <v>63</v>
      </c>
      <c r="B1453" s="10">
        <f>VLOOKUP(A1453,'Datos generales'!A:B,2,0)</f>
        <v>45180.999305555553</v>
      </c>
      <c r="C1453" s="12">
        <f>VLOOKUP(A1453,'Datos generales'!A:H,8,0)</f>
        <v>3103.7</v>
      </c>
      <c r="D1453" s="12" t="str">
        <f t="shared" si="44"/>
        <v>septiembre</v>
      </c>
      <c r="E1453" s="33">
        <f t="shared" si="45"/>
        <v>2023</v>
      </c>
    </row>
    <row r="1454" spans="1:5" x14ac:dyDescent="0.25">
      <c r="A1454" t="s">
        <v>64</v>
      </c>
      <c r="B1454" s="10">
        <f>VLOOKUP(A1454,'Datos generales'!A:B,2,0)</f>
        <v>45624.619444444441</v>
      </c>
      <c r="C1454" s="12">
        <f>VLOOKUP(A1454,'Datos generales'!A:H,8,0)</f>
        <v>6841.35</v>
      </c>
      <c r="D1454" s="12" t="str">
        <f t="shared" si="44"/>
        <v>noviembre</v>
      </c>
      <c r="E1454" s="33">
        <f t="shared" si="45"/>
        <v>2024</v>
      </c>
    </row>
    <row r="1455" spans="1:5" x14ac:dyDescent="0.25">
      <c r="A1455" t="s">
        <v>65</v>
      </c>
      <c r="B1455" s="10">
        <f>VLOOKUP(A1455,'Datos generales'!A:B,2,0)</f>
        <v>45447.955555555563</v>
      </c>
      <c r="C1455" s="12">
        <f>VLOOKUP(A1455,'Datos generales'!A:H,8,0)</f>
        <v>7275.52</v>
      </c>
      <c r="D1455" s="12" t="str">
        <f t="shared" si="44"/>
        <v>junio</v>
      </c>
      <c r="E1455" s="33">
        <f t="shared" si="45"/>
        <v>2024</v>
      </c>
    </row>
    <row r="1456" spans="1:5" x14ac:dyDescent="0.25">
      <c r="A1456" t="s">
        <v>66</v>
      </c>
      <c r="B1456" s="10">
        <f>VLOOKUP(A1456,'Datos generales'!A:B,2,0)</f>
        <v>45051.74722222222</v>
      </c>
      <c r="C1456" s="12">
        <f>VLOOKUP(A1456,'Datos generales'!A:H,8,0)</f>
        <v>6405.28</v>
      </c>
      <c r="D1456" s="12" t="str">
        <f t="shared" si="44"/>
        <v>mayo</v>
      </c>
      <c r="E1456" s="33">
        <f t="shared" si="45"/>
        <v>2023</v>
      </c>
    </row>
    <row r="1457" spans="1:5" x14ac:dyDescent="0.25">
      <c r="A1457" t="s">
        <v>67</v>
      </c>
      <c r="B1457" s="10">
        <f>VLOOKUP(A1457,'Datos generales'!A:B,2,0)</f>
        <v>45019.26666666667</v>
      </c>
      <c r="C1457" s="12">
        <f>VLOOKUP(A1457,'Datos generales'!A:H,8,0)</f>
        <v>711.16</v>
      </c>
      <c r="D1457" s="12" t="str">
        <f t="shared" si="44"/>
        <v>abril</v>
      </c>
      <c r="E1457" s="33">
        <f t="shared" si="45"/>
        <v>2023</v>
      </c>
    </row>
    <row r="1458" spans="1:5" x14ac:dyDescent="0.25">
      <c r="A1458" t="s">
        <v>68</v>
      </c>
      <c r="B1458" s="10">
        <f>VLOOKUP(A1458,'Datos generales'!A:B,2,0)</f>
        <v>44969.094444444447</v>
      </c>
      <c r="C1458" s="12">
        <f>VLOOKUP(A1458,'Datos generales'!A:H,8,0)</f>
        <v>83.48</v>
      </c>
      <c r="D1458" s="12" t="str">
        <f t="shared" si="44"/>
        <v>febrero</v>
      </c>
      <c r="E1458" s="33">
        <f t="shared" si="45"/>
        <v>2023</v>
      </c>
    </row>
    <row r="1459" spans="1:5" x14ac:dyDescent="0.25">
      <c r="A1459" t="s">
        <v>69</v>
      </c>
      <c r="B1459" s="10">
        <f>VLOOKUP(A1459,'Datos generales'!A:B,2,0)</f>
        <v>45091.519444444442</v>
      </c>
      <c r="C1459" s="12">
        <f>VLOOKUP(A1459,'Datos generales'!A:H,8,0)</f>
        <v>1372.72</v>
      </c>
      <c r="D1459" s="12" t="str">
        <f t="shared" si="44"/>
        <v>junio</v>
      </c>
      <c r="E1459" s="33">
        <f t="shared" si="45"/>
        <v>2023</v>
      </c>
    </row>
    <row r="1460" spans="1:5" x14ac:dyDescent="0.25">
      <c r="A1460" t="s">
        <v>70</v>
      </c>
      <c r="B1460" s="10">
        <f>VLOOKUP(A1460,'Datos generales'!A:B,2,0)</f>
        <v>45494</v>
      </c>
      <c r="C1460" s="12">
        <f>VLOOKUP(A1460,'Datos generales'!A:H,8,0)</f>
        <v>1618.91</v>
      </c>
      <c r="D1460" s="12" t="str">
        <f t="shared" si="44"/>
        <v>julio</v>
      </c>
      <c r="E1460" s="33">
        <f t="shared" si="45"/>
        <v>2024</v>
      </c>
    </row>
    <row r="1461" spans="1:5" x14ac:dyDescent="0.25">
      <c r="A1461" t="s">
        <v>71</v>
      </c>
      <c r="B1461" s="10">
        <f>VLOOKUP(A1461,'Datos generales'!A:B,2,0)</f>
        <v>45364.463194444441</v>
      </c>
      <c r="C1461" s="12">
        <f>VLOOKUP(A1461,'Datos generales'!A:H,8,0)</f>
        <v>2122.6</v>
      </c>
      <c r="D1461" s="12" t="str">
        <f t="shared" si="44"/>
        <v>marzo</v>
      </c>
      <c r="E1461" s="33">
        <f t="shared" si="45"/>
        <v>2024</v>
      </c>
    </row>
    <row r="1462" spans="1:5" x14ac:dyDescent="0.25">
      <c r="A1462" t="s">
        <v>72</v>
      </c>
      <c r="B1462" s="10">
        <f>VLOOKUP(A1462,'Datos generales'!A:B,2,0)</f>
        <v>45583.023611111108</v>
      </c>
      <c r="C1462" s="12">
        <f>VLOOKUP(A1462,'Datos generales'!A:H,8,0)</f>
        <v>2094.15</v>
      </c>
      <c r="D1462" s="12" t="str">
        <f t="shared" si="44"/>
        <v>octubre</v>
      </c>
      <c r="E1462" s="33">
        <f t="shared" si="45"/>
        <v>2024</v>
      </c>
    </row>
    <row r="1463" spans="1:5" x14ac:dyDescent="0.25">
      <c r="A1463" t="s">
        <v>73</v>
      </c>
      <c r="B1463" s="10">
        <f>VLOOKUP(A1463,'Datos generales'!A:B,2,0)</f>
        <v>45779.546527777777</v>
      </c>
      <c r="C1463" s="12">
        <f>VLOOKUP(A1463,'Datos generales'!A:H,8,0)</f>
        <v>1994.94</v>
      </c>
      <c r="D1463" s="12" t="str">
        <f t="shared" si="44"/>
        <v>mayo</v>
      </c>
      <c r="E1463" s="33">
        <f t="shared" si="45"/>
        <v>2025</v>
      </c>
    </row>
    <row r="1464" spans="1:5" x14ac:dyDescent="0.25">
      <c r="A1464" t="s">
        <v>74</v>
      </c>
      <c r="B1464" s="10">
        <f>VLOOKUP(A1464,'Datos generales'!A:B,2,0)</f>
        <v>45516.480555555558</v>
      </c>
      <c r="C1464" s="12">
        <f>VLOOKUP(A1464,'Datos generales'!A:H,8,0)</f>
        <v>1322.41</v>
      </c>
      <c r="D1464" s="12" t="str">
        <f t="shared" si="44"/>
        <v>agosto</v>
      </c>
      <c r="E1464" s="33">
        <f t="shared" si="45"/>
        <v>2024</v>
      </c>
    </row>
    <row r="1465" spans="1:5" x14ac:dyDescent="0.25">
      <c r="A1465" t="s">
        <v>75</v>
      </c>
      <c r="B1465" s="10">
        <f>VLOOKUP(A1465,'Datos generales'!A:B,2,0)</f>
        <v>45285.25277777778</v>
      </c>
      <c r="C1465" s="12">
        <f>VLOOKUP(A1465,'Datos generales'!A:H,8,0)</f>
        <v>5869.08</v>
      </c>
      <c r="D1465" s="12" t="str">
        <f t="shared" si="44"/>
        <v>diciembre</v>
      </c>
      <c r="E1465" s="33">
        <f t="shared" si="45"/>
        <v>2023</v>
      </c>
    </row>
    <row r="1466" spans="1:5" x14ac:dyDescent="0.25">
      <c r="A1466" t="s">
        <v>76</v>
      </c>
      <c r="B1466" s="10">
        <f>VLOOKUP(A1466,'Datos generales'!A:B,2,0)</f>
        <v>45297.965277777781</v>
      </c>
      <c r="C1466" s="12">
        <f>VLOOKUP(A1466,'Datos generales'!A:H,8,0)</f>
        <v>7216.48</v>
      </c>
      <c r="D1466" s="12" t="str">
        <f t="shared" si="44"/>
        <v>enero</v>
      </c>
      <c r="E1466" s="33">
        <f t="shared" si="45"/>
        <v>2024</v>
      </c>
    </row>
    <row r="1467" spans="1:5" x14ac:dyDescent="0.25">
      <c r="A1467" t="s">
        <v>77</v>
      </c>
      <c r="B1467" s="10">
        <f>VLOOKUP(A1467,'Datos generales'!A:B,2,0)</f>
        <v>45434.519444444442</v>
      </c>
      <c r="C1467" s="12">
        <f>VLOOKUP(A1467,'Datos generales'!A:H,8,0)</f>
        <v>1172.72</v>
      </c>
      <c r="D1467" s="12" t="str">
        <f t="shared" si="44"/>
        <v>mayo</v>
      </c>
      <c r="E1467" s="33">
        <f t="shared" si="45"/>
        <v>2024</v>
      </c>
    </row>
    <row r="1468" spans="1:5" x14ac:dyDescent="0.25">
      <c r="A1468" t="s">
        <v>78</v>
      </c>
      <c r="B1468" s="10">
        <f>VLOOKUP(A1468,'Datos generales'!A:B,2,0)</f>
        <v>45290.050694444442</v>
      </c>
      <c r="C1468" s="12">
        <f>VLOOKUP(A1468,'Datos generales'!A:H,8,0)</f>
        <v>725.07</v>
      </c>
      <c r="D1468" s="12" t="str">
        <f t="shared" si="44"/>
        <v>diciembre</v>
      </c>
      <c r="E1468" s="33">
        <f t="shared" si="45"/>
        <v>2023</v>
      </c>
    </row>
    <row r="1469" spans="1:5" x14ac:dyDescent="0.25">
      <c r="A1469" t="s">
        <v>79</v>
      </c>
      <c r="B1469" s="10">
        <f>VLOOKUP(A1469,'Datos generales'!A:B,2,0)</f>
        <v>45684.334027777782</v>
      </c>
      <c r="C1469" s="12">
        <f>VLOOKUP(A1469,'Datos generales'!A:H,8,0)</f>
        <v>2818.45</v>
      </c>
      <c r="D1469" s="12" t="str">
        <f t="shared" si="44"/>
        <v>enero</v>
      </c>
      <c r="E1469" s="33">
        <f t="shared" si="45"/>
        <v>2025</v>
      </c>
    </row>
    <row r="1470" spans="1:5" x14ac:dyDescent="0.25">
      <c r="A1470" t="s">
        <v>80</v>
      </c>
      <c r="B1470" s="10">
        <f>VLOOKUP(A1470,'Datos generales'!A:B,2,0)</f>
        <v>45222.202777777777</v>
      </c>
      <c r="C1470" s="12">
        <f>VLOOKUP(A1470,'Datos generales'!A:H,8,0)</f>
        <v>7737.05</v>
      </c>
      <c r="D1470" s="12" t="str">
        <f t="shared" si="44"/>
        <v>octubre</v>
      </c>
      <c r="E1470" s="33">
        <f t="shared" si="45"/>
        <v>2023</v>
      </c>
    </row>
    <row r="1471" spans="1:5" x14ac:dyDescent="0.25">
      <c r="A1471" t="s">
        <v>81</v>
      </c>
      <c r="B1471" s="10">
        <f>VLOOKUP(A1471,'Datos generales'!A:B,2,0)</f>
        <v>45274.597916666673</v>
      </c>
      <c r="C1471" s="12">
        <f>VLOOKUP(A1471,'Datos generales'!A:H,8,0)</f>
        <v>3807.3</v>
      </c>
      <c r="D1471" s="12" t="str">
        <f t="shared" si="44"/>
        <v>diciembre</v>
      </c>
      <c r="E1471" s="33">
        <f t="shared" si="45"/>
        <v>2023</v>
      </c>
    </row>
    <row r="1472" spans="1:5" x14ac:dyDescent="0.25">
      <c r="A1472" t="s">
        <v>82</v>
      </c>
      <c r="B1472" s="10">
        <f>VLOOKUP(A1472,'Datos generales'!A:B,2,0)</f>
        <v>45358.874305555553</v>
      </c>
      <c r="C1472" s="12">
        <f>VLOOKUP(A1472,'Datos generales'!A:H,8,0)</f>
        <v>2396.4</v>
      </c>
      <c r="D1472" s="12" t="str">
        <f t="shared" si="44"/>
        <v>marzo</v>
      </c>
      <c r="E1472" s="33">
        <f t="shared" si="45"/>
        <v>2024</v>
      </c>
    </row>
    <row r="1473" spans="1:5" x14ac:dyDescent="0.25">
      <c r="A1473" t="s">
        <v>83</v>
      </c>
      <c r="B1473" s="10">
        <f>VLOOKUP(A1473,'Datos generales'!A:B,2,0)</f>
        <v>45850.171527777777</v>
      </c>
      <c r="C1473" s="12">
        <f>VLOOKUP(A1473,'Datos generales'!A:H,8,0)</f>
        <v>1631.16</v>
      </c>
      <c r="D1473" s="12" t="str">
        <f t="shared" si="44"/>
        <v>julio</v>
      </c>
      <c r="E1473" s="33">
        <f t="shared" si="45"/>
        <v>2025</v>
      </c>
    </row>
    <row r="1474" spans="1:5" x14ac:dyDescent="0.25">
      <c r="A1474" t="s">
        <v>84</v>
      </c>
      <c r="B1474" s="10">
        <f>VLOOKUP(A1474,'Datos generales'!A:B,2,0)</f>
        <v>45041.884027777778</v>
      </c>
      <c r="C1474" s="12">
        <f>VLOOKUP(A1474,'Datos generales'!A:H,8,0)</f>
        <v>2899.06</v>
      </c>
      <c r="D1474" s="12" t="str">
        <f t="shared" si="44"/>
        <v>abril</v>
      </c>
      <c r="E1474" s="33">
        <f t="shared" si="45"/>
        <v>2023</v>
      </c>
    </row>
    <row r="1475" spans="1:5" x14ac:dyDescent="0.25">
      <c r="A1475" t="s">
        <v>85</v>
      </c>
      <c r="B1475" s="10">
        <f>VLOOKUP(A1475,'Datos generales'!A:B,2,0)</f>
        <v>45564.772916666669</v>
      </c>
      <c r="C1475" s="12">
        <f>VLOOKUP(A1475,'Datos generales'!A:H,8,0)</f>
        <v>2362.1</v>
      </c>
      <c r="D1475" s="12" t="str">
        <f t="shared" ref="D1475:D1538" si="46">TEXT(B1475,"mmmm")</f>
        <v>septiembre</v>
      </c>
      <c r="E1475" s="33">
        <f t="shared" ref="E1475:E1538" si="47">YEAR(B1475)</f>
        <v>2024</v>
      </c>
    </row>
    <row r="1476" spans="1:5" x14ac:dyDescent="0.25">
      <c r="A1476" t="s">
        <v>86</v>
      </c>
      <c r="B1476" s="10">
        <f>VLOOKUP(A1476,'Datos generales'!A:B,2,0)</f>
        <v>45118.247916666667</v>
      </c>
      <c r="C1476" s="12">
        <f>VLOOKUP(A1476,'Datos generales'!A:H,8,0)</f>
        <v>1103.7</v>
      </c>
      <c r="D1476" s="12" t="str">
        <f t="shared" si="46"/>
        <v>julio</v>
      </c>
      <c r="E1476" s="33">
        <f t="shared" si="47"/>
        <v>2023</v>
      </c>
    </row>
    <row r="1477" spans="1:5" x14ac:dyDescent="0.25">
      <c r="A1477" t="s">
        <v>87</v>
      </c>
      <c r="B1477" s="10">
        <f>VLOOKUP(A1477,'Datos generales'!A:B,2,0)</f>
        <v>45717.986111111109</v>
      </c>
      <c r="C1477" s="12">
        <f>VLOOKUP(A1477,'Datos generales'!A:H,8,0)</f>
        <v>3697.55</v>
      </c>
      <c r="D1477" s="12" t="str">
        <f t="shared" si="46"/>
        <v>marzo</v>
      </c>
      <c r="E1477" s="33">
        <f t="shared" si="47"/>
        <v>2025</v>
      </c>
    </row>
    <row r="1478" spans="1:5" x14ac:dyDescent="0.25">
      <c r="A1478" t="s">
        <v>88</v>
      </c>
      <c r="B1478" s="10">
        <f>VLOOKUP(A1478,'Datos generales'!A:B,2,0)</f>
        <v>45162.795138888891</v>
      </c>
      <c r="C1478" s="12">
        <f>VLOOKUP(A1478,'Datos generales'!A:H,8,0)</f>
        <v>2178.2600000000002</v>
      </c>
      <c r="D1478" s="12" t="str">
        <f t="shared" si="46"/>
        <v>agosto</v>
      </c>
      <c r="E1478" s="33">
        <f t="shared" si="47"/>
        <v>2023</v>
      </c>
    </row>
    <row r="1479" spans="1:5" x14ac:dyDescent="0.25">
      <c r="A1479" t="s">
        <v>89</v>
      </c>
      <c r="B1479" s="10">
        <f>VLOOKUP(A1479,'Datos generales'!A:B,2,0)</f>
        <v>45517.353472222218</v>
      </c>
      <c r="C1479" s="12">
        <f>VLOOKUP(A1479,'Datos generales'!A:H,8,0)</f>
        <v>8163.75</v>
      </c>
      <c r="D1479" s="12" t="str">
        <f t="shared" si="46"/>
        <v>agosto</v>
      </c>
      <c r="E1479" s="33">
        <f t="shared" si="47"/>
        <v>2024</v>
      </c>
    </row>
    <row r="1480" spans="1:5" x14ac:dyDescent="0.25">
      <c r="A1480" t="s">
        <v>90</v>
      </c>
      <c r="B1480" s="10">
        <f>VLOOKUP(A1480,'Datos generales'!A:B,2,0)</f>
        <v>45245.664583333331</v>
      </c>
      <c r="C1480" s="12">
        <f>VLOOKUP(A1480,'Datos generales'!A:H,8,0)</f>
        <v>2452.0500000000002</v>
      </c>
      <c r="D1480" s="12" t="str">
        <f t="shared" si="46"/>
        <v>noviembre</v>
      </c>
      <c r="E1480" s="33">
        <f t="shared" si="47"/>
        <v>2023</v>
      </c>
    </row>
    <row r="1481" spans="1:5" x14ac:dyDescent="0.25">
      <c r="A1481" t="s">
        <v>91</v>
      </c>
      <c r="B1481" s="10">
        <f>VLOOKUP(A1481,'Datos generales'!A:B,2,0)</f>
        <v>45603.368055555547</v>
      </c>
      <c r="C1481" s="12">
        <f>VLOOKUP(A1481,'Datos generales'!A:H,8,0)</f>
        <v>2373.16</v>
      </c>
      <c r="D1481" s="12" t="str">
        <f t="shared" si="46"/>
        <v>noviembre</v>
      </c>
      <c r="E1481" s="33">
        <f t="shared" si="47"/>
        <v>2024</v>
      </c>
    </row>
    <row r="1482" spans="1:5" x14ac:dyDescent="0.25">
      <c r="A1482" t="s">
        <v>92</v>
      </c>
      <c r="B1482" s="10">
        <f>VLOOKUP(A1482,'Datos generales'!A:B,2,0)</f>
        <v>44990.597916666673</v>
      </c>
      <c r="C1482" s="12">
        <f>VLOOKUP(A1482,'Datos generales'!A:H,8,0)</f>
        <v>3745.6</v>
      </c>
      <c r="D1482" s="12" t="str">
        <f t="shared" si="46"/>
        <v>marzo</v>
      </c>
      <c r="E1482" s="33">
        <f t="shared" si="47"/>
        <v>2023</v>
      </c>
    </row>
    <row r="1483" spans="1:5" x14ac:dyDescent="0.25">
      <c r="A1483" t="s">
        <v>93</v>
      </c>
      <c r="B1483" s="10">
        <f>VLOOKUP(A1483,'Datos generales'!A:B,2,0)</f>
        <v>45273.106249999997</v>
      </c>
      <c r="C1483" s="12">
        <f>VLOOKUP(A1483,'Datos generales'!A:H,8,0)</f>
        <v>2040.57</v>
      </c>
      <c r="D1483" s="12" t="str">
        <f t="shared" si="46"/>
        <v>diciembre</v>
      </c>
      <c r="E1483" s="33">
        <f t="shared" si="47"/>
        <v>2023</v>
      </c>
    </row>
    <row r="1484" spans="1:5" x14ac:dyDescent="0.25">
      <c r="A1484" t="s">
        <v>94</v>
      </c>
      <c r="B1484" s="10">
        <f>VLOOKUP(A1484,'Datos generales'!A:B,2,0)</f>
        <v>45022.271527777782</v>
      </c>
      <c r="C1484" s="12">
        <f>VLOOKUP(A1484,'Datos generales'!A:H,8,0)</f>
        <v>1051.28</v>
      </c>
      <c r="D1484" s="12" t="str">
        <f t="shared" si="46"/>
        <v>abril</v>
      </c>
      <c r="E1484" s="33">
        <f t="shared" si="47"/>
        <v>2023</v>
      </c>
    </row>
    <row r="1485" spans="1:5" x14ac:dyDescent="0.25">
      <c r="A1485" t="s">
        <v>95</v>
      </c>
      <c r="B1485" s="10">
        <f>VLOOKUP(A1485,'Datos generales'!A:B,2,0)</f>
        <v>45682.68472222222</v>
      </c>
      <c r="C1485" s="12">
        <f>VLOOKUP(A1485,'Datos generales'!A:H,8,0)</f>
        <v>6127</v>
      </c>
      <c r="D1485" s="12" t="str">
        <f t="shared" si="46"/>
        <v>enero</v>
      </c>
      <c r="E1485" s="33">
        <f t="shared" si="47"/>
        <v>2025</v>
      </c>
    </row>
    <row r="1486" spans="1:5" x14ac:dyDescent="0.25">
      <c r="A1486" t="s">
        <v>96</v>
      </c>
      <c r="B1486" s="10">
        <f>VLOOKUP(A1486,'Datos generales'!A:B,2,0)</f>
        <v>45099.143750000003</v>
      </c>
      <c r="C1486" s="12">
        <f>VLOOKUP(A1486,'Datos generales'!A:H,8,0)</f>
        <v>503.84</v>
      </c>
      <c r="D1486" s="12" t="str">
        <f t="shared" si="46"/>
        <v>junio</v>
      </c>
      <c r="E1486" s="33">
        <f t="shared" si="47"/>
        <v>2023</v>
      </c>
    </row>
    <row r="1487" spans="1:5" x14ac:dyDescent="0.25">
      <c r="A1487" t="s">
        <v>97</v>
      </c>
      <c r="B1487" s="10">
        <f>VLOOKUP(A1487,'Datos generales'!A:B,2,0)</f>
        <v>45546.810416666667</v>
      </c>
      <c r="C1487" s="12">
        <f>VLOOKUP(A1487,'Datos generales'!A:H,8,0)</f>
        <v>7633.64</v>
      </c>
      <c r="D1487" s="12" t="str">
        <f t="shared" si="46"/>
        <v>septiembre</v>
      </c>
      <c r="E1487" s="33">
        <f t="shared" si="47"/>
        <v>2024</v>
      </c>
    </row>
    <row r="1488" spans="1:5" x14ac:dyDescent="0.25">
      <c r="A1488" t="s">
        <v>98</v>
      </c>
      <c r="B1488" s="10">
        <f>VLOOKUP(A1488,'Datos generales'!A:B,2,0)</f>
        <v>45451.106249999997</v>
      </c>
      <c r="C1488" s="12">
        <f>VLOOKUP(A1488,'Datos generales'!A:H,8,0)</f>
        <v>229.2</v>
      </c>
      <c r="D1488" s="12" t="str">
        <f t="shared" si="46"/>
        <v>junio</v>
      </c>
      <c r="E1488" s="33">
        <f t="shared" si="47"/>
        <v>2024</v>
      </c>
    </row>
    <row r="1489" spans="1:5" x14ac:dyDescent="0.25">
      <c r="A1489" t="s">
        <v>99</v>
      </c>
      <c r="B1489" s="10">
        <f>VLOOKUP(A1489,'Datos generales'!A:B,2,0)</f>
        <v>45101.551388888889</v>
      </c>
      <c r="C1489" s="12">
        <f>VLOOKUP(A1489,'Datos generales'!A:H,8,0)</f>
        <v>1191.56</v>
      </c>
      <c r="D1489" s="12" t="str">
        <f t="shared" si="46"/>
        <v>junio</v>
      </c>
      <c r="E1489" s="33">
        <f t="shared" si="47"/>
        <v>2023</v>
      </c>
    </row>
    <row r="1490" spans="1:5" x14ac:dyDescent="0.25">
      <c r="A1490" t="s">
        <v>100</v>
      </c>
      <c r="B1490" s="10">
        <f>VLOOKUP(A1490,'Datos generales'!A:B,2,0)</f>
        <v>45405.413194444453</v>
      </c>
      <c r="C1490" s="12">
        <f>VLOOKUP(A1490,'Datos generales'!A:H,8,0)</f>
        <v>150.04</v>
      </c>
      <c r="D1490" s="12" t="str">
        <f t="shared" si="46"/>
        <v>abril</v>
      </c>
      <c r="E1490" s="33">
        <f t="shared" si="47"/>
        <v>2024</v>
      </c>
    </row>
    <row r="1491" spans="1:5" x14ac:dyDescent="0.25">
      <c r="A1491" t="s">
        <v>101</v>
      </c>
      <c r="B1491" s="10">
        <f>VLOOKUP(A1491,'Datos generales'!A:B,2,0)</f>
        <v>45465.332638888889</v>
      </c>
      <c r="C1491" s="12">
        <f>VLOOKUP(A1491,'Datos generales'!A:H,8,0)</f>
        <v>2704.6</v>
      </c>
      <c r="D1491" s="12" t="str">
        <f t="shared" si="46"/>
        <v>junio</v>
      </c>
      <c r="E1491" s="33">
        <f t="shared" si="47"/>
        <v>2024</v>
      </c>
    </row>
    <row r="1492" spans="1:5" x14ac:dyDescent="0.25">
      <c r="A1492" t="s">
        <v>102</v>
      </c>
      <c r="B1492" s="10">
        <f>VLOOKUP(A1492,'Datos generales'!A:B,2,0)</f>
        <v>45863.330555555563</v>
      </c>
      <c r="C1492" s="12">
        <f>VLOOKUP(A1492,'Datos generales'!A:H,8,0)</f>
        <v>713.82</v>
      </c>
      <c r="D1492" s="12" t="str">
        <f t="shared" si="46"/>
        <v>julio</v>
      </c>
      <c r="E1492" s="33">
        <f t="shared" si="47"/>
        <v>2025</v>
      </c>
    </row>
    <row r="1493" spans="1:5" x14ac:dyDescent="0.25">
      <c r="A1493" t="s">
        <v>103</v>
      </c>
      <c r="B1493" s="10">
        <f>VLOOKUP(A1493,'Datos generales'!A:B,2,0)</f>
        <v>45727.712500000001</v>
      </c>
      <c r="C1493" s="12">
        <f>VLOOKUP(A1493,'Datos generales'!A:H,8,0)</f>
        <v>3407.01</v>
      </c>
      <c r="D1493" s="12" t="str">
        <f t="shared" si="46"/>
        <v>marzo</v>
      </c>
      <c r="E1493" s="33">
        <f t="shared" si="47"/>
        <v>2025</v>
      </c>
    </row>
    <row r="1494" spans="1:5" x14ac:dyDescent="0.25">
      <c r="A1494" t="s">
        <v>104</v>
      </c>
      <c r="B1494" s="10">
        <f>VLOOKUP(A1494,'Datos generales'!A:B,2,0)</f>
        <v>45676.398611111108</v>
      </c>
      <c r="C1494" s="12">
        <f>VLOOKUP(A1494,'Datos generales'!A:H,8,0)</f>
        <v>2417.0700000000002</v>
      </c>
      <c r="D1494" s="12" t="str">
        <f t="shared" si="46"/>
        <v>enero</v>
      </c>
      <c r="E1494" s="33">
        <f t="shared" si="47"/>
        <v>2025</v>
      </c>
    </row>
    <row r="1495" spans="1:5" x14ac:dyDescent="0.25">
      <c r="A1495" t="s">
        <v>105</v>
      </c>
      <c r="B1495" s="10">
        <f>VLOOKUP(A1495,'Datos generales'!A:B,2,0)</f>
        <v>45289.026388888888</v>
      </c>
      <c r="C1495" s="12">
        <f>VLOOKUP(A1495,'Datos generales'!A:H,8,0)</f>
        <v>2518.14</v>
      </c>
      <c r="D1495" s="12" t="str">
        <f t="shared" si="46"/>
        <v>diciembre</v>
      </c>
      <c r="E1495" s="33">
        <f t="shared" si="47"/>
        <v>2023</v>
      </c>
    </row>
    <row r="1496" spans="1:5" x14ac:dyDescent="0.25">
      <c r="A1496" t="s">
        <v>106</v>
      </c>
      <c r="B1496" s="10">
        <f>VLOOKUP(A1496,'Datos generales'!A:B,2,0)</f>
        <v>45473.418749999997</v>
      </c>
      <c r="C1496" s="12">
        <f>VLOOKUP(A1496,'Datos generales'!A:H,8,0)</f>
        <v>1801.2</v>
      </c>
      <c r="D1496" s="12" t="str">
        <f t="shared" si="46"/>
        <v>junio</v>
      </c>
      <c r="E1496" s="33">
        <f t="shared" si="47"/>
        <v>2024</v>
      </c>
    </row>
    <row r="1497" spans="1:5" x14ac:dyDescent="0.25">
      <c r="A1497" t="s">
        <v>107</v>
      </c>
      <c r="B1497" s="10">
        <f>VLOOKUP(A1497,'Datos generales'!A:B,2,0)</f>
        <v>45499.757638888892</v>
      </c>
      <c r="C1497" s="12">
        <f>VLOOKUP(A1497,'Datos generales'!A:H,8,0)</f>
        <v>959.62</v>
      </c>
      <c r="D1497" s="12" t="str">
        <f t="shared" si="46"/>
        <v>julio</v>
      </c>
      <c r="E1497" s="33">
        <f t="shared" si="47"/>
        <v>2024</v>
      </c>
    </row>
    <row r="1498" spans="1:5" x14ac:dyDescent="0.25">
      <c r="A1498" t="s">
        <v>108</v>
      </c>
      <c r="B1498" s="10">
        <f>VLOOKUP(A1498,'Datos generales'!A:B,2,0)</f>
        <v>45541.331250000003</v>
      </c>
      <c r="C1498" s="12">
        <f>VLOOKUP(A1498,'Datos generales'!A:H,8,0)</f>
        <v>1888.86</v>
      </c>
      <c r="D1498" s="12" t="str">
        <f t="shared" si="46"/>
        <v>septiembre</v>
      </c>
      <c r="E1498" s="33">
        <f t="shared" si="47"/>
        <v>2024</v>
      </c>
    </row>
    <row r="1499" spans="1:5" x14ac:dyDescent="0.25">
      <c r="A1499" t="s">
        <v>109</v>
      </c>
      <c r="B1499" s="10">
        <f>VLOOKUP(A1499,'Datos generales'!A:B,2,0)</f>
        <v>45542.574305555558</v>
      </c>
      <c r="C1499" s="12">
        <f>VLOOKUP(A1499,'Datos generales'!A:H,8,0)</f>
        <v>7284.2</v>
      </c>
      <c r="D1499" s="12" t="str">
        <f t="shared" si="46"/>
        <v>septiembre</v>
      </c>
      <c r="E1499" s="33">
        <f t="shared" si="47"/>
        <v>2024</v>
      </c>
    </row>
    <row r="1500" spans="1:5" x14ac:dyDescent="0.25">
      <c r="A1500" t="s">
        <v>110</v>
      </c>
      <c r="B1500" s="10">
        <f>VLOOKUP(A1500,'Datos generales'!A:B,2,0)</f>
        <v>45846.336805555547</v>
      </c>
      <c r="C1500" s="12">
        <f>VLOOKUP(A1500,'Datos generales'!A:H,8,0)</f>
        <v>4611.6900000000014</v>
      </c>
      <c r="D1500" s="12" t="str">
        <f t="shared" si="46"/>
        <v>julio</v>
      </c>
      <c r="E1500" s="33">
        <f t="shared" si="47"/>
        <v>2025</v>
      </c>
    </row>
    <row r="1501" spans="1:5" x14ac:dyDescent="0.25">
      <c r="A1501" t="s">
        <v>111</v>
      </c>
      <c r="B1501" s="10">
        <f>VLOOKUP(A1501,'Datos generales'!A:B,2,0)</f>
        <v>45318.705555555563</v>
      </c>
      <c r="C1501" s="12">
        <f>VLOOKUP(A1501,'Datos generales'!A:H,8,0)</f>
        <v>934.98</v>
      </c>
      <c r="D1501" s="12" t="str">
        <f t="shared" si="46"/>
        <v>enero</v>
      </c>
      <c r="E1501" s="33">
        <f t="shared" si="47"/>
        <v>2024</v>
      </c>
    </row>
    <row r="1502" spans="1:5" x14ac:dyDescent="0.25">
      <c r="A1502" t="s">
        <v>112</v>
      </c>
      <c r="B1502" s="10">
        <f>VLOOKUP(A1502,'Datos generales'!A:B,2,0)</f>
        <v>45595.668055555558</v>
      </c>
      <c r="C1502" s="12">
        <f>VLOOKUP(A1502,'Datos generales'!A:H,8,0)</f>
        <v>745.45</v>
      </c>
      <c r="D1502" s="12" t="str">
        <f t="shared" si="46"/>
        <v>octubre</v>
      </c>
      <c r="E1502" s="33">
        <f t="shared" si="47"/>
        <v>2024</v>
      </c>
    </row>
    <row r="1503" spans="1:5" x14ac:dyDescent="0.25">
      <c r="A1503" t="s">
        <v>113</v>
      </c>
      <c r="B1503" s="10">
        <f>VLOOKUP(A1503,'Datos generales'!A:B,2,0)</f>
        <v>44984.418055555558</v>
      </c>
      <c r="C1503" s="12">
        <f>VLOOKUP(A1503,'Datos generales'!A:H,8,0)</f>
        <v>9427.4</v>
      </c>
      <c r="D1503" s="12" t="str">
        <f t="shared" si="46"/>
        <v>febrero</v>
      </c>
      <c r="E1503" s="33">
        <f t="shared" si="47"/>
        <v>2023</v>
      </c>
    </row>
    <row r="1504" spans="1:5" x14ac:dyDescent="0.25">
      <c r="A1504" t="s">
        <v>114</v>
      </c>
      <c r="B1504" s="10">
        <f>VLOOKUP(A1504,'Datos generales'!A:B,2,0)</f>
        <v>45153.455555555563</v>
      </c>
      <c r="C1504" s="12">
        <f>VLOOKUP(A1504,'Datos generales'!A:H,8,0)</f>
        <v>4775.76</v>
      </c>
      <c r="D1504" s="12" t="str">
        <f t="shared" si="46"/>
        <v>agosto</v>
      </c>
      <c r="E1504" s="33">
        <f t="shared" si="47"/>
        <v>2023</v>
      </c>
    </row>
    <row r="1505" spans="1:5" x14ac:dyDescent="0.25">
      <c r="A1505" t="s">
        <v>115</v>
      </c>
      <c r="B1505" s="10">
        <f>VLOOKUP(A1505,'Datos generales'!A:B,2,0)</f>
        <v>45919.24722222222</v>
      </c>
      <c r="C1505" s="12">
        <f>VLOOKUP(A1505,'Datos generales'!A:H,8,0)</f>
        <v>6916.65</v>
      </c>
      <c r="D1505" s="12" t="str">
        <f t="shared" si="46"/>
        <v>septiembre</v>
      </c>
      <c r="E1505" s="33">
        <f t="shared" si="47"/>
        <v>2025</v>
      </c>
    </row>
    <row r="1506" spans="1:5" x14ac:dyDescent="0.25">
      <c r="A1506" t="s">
        <v>116</v>
      </c>
      <c r="B1506" s="10">
        <f>VLOOKUP(A1506,'Datos generales'!A:B,2,0)</f>
        <v>45815.543055555558</v>
      </c>
      <c r="C1506" s="12">
        <f>VLOOKUP(A1506,'Datos generales'!A:H,8,0)</f>
        <v>2102.46</v>
      </c>
      <c r="D1506" s="12" t="str">
        <f t="shared" si="46"/>
        <v>junio</v>
      </c>
      <c r="E1506" s="33">
        <f t="shared" si="47"/>
        <v>2025</v>
      </c>
    </row>
    <row r="1507" spans="1:5" x14ac:dyDescent="0.25">
      <c r="A1507" t="s">
        <v>117</v>
      </c>
      <c r="B1507" s="10">
        <f>VLOOKUP(A1507,'Datos generales'!A:B,2,0)</f>
        <v>45255.4</v>
      </c>
      <c r="C1507" s="12">
        <f>VLOOKUP(A1507,'Datos generales'!A:H,8,0)</f>
        <v>5097.84</v>
      </c>
      <c r="D1507" s="12" t="str">
        <f t="shared" si="46"/>
        <v>noviembre</v>
      </c>
      <c r="E1507" s="33">
        <f t="shared" si="47"/>
        <v>2023</v>
      </c>
    </row>
    <row r="1508" spans="1:5" x14ac:dyDescent="0.25">
      <c r="A1508" t="s">
        <v>118</v>
      </c>
      <c r="B1508" s="10">
        <f>VLOOKUP(A1508,'Datos generales'!A:B,2,0)</f>
        <v>45754.797222222223</v>
      </c>
      <c r="C1508" s="12">
        <f>VLOOKUP(A1508,'Datos generales'!A:H,8,0)</f>
        <v>1251.08</v>
      </c>
      <c r="D1508" s="12" t="str">
        <f t="shared" si="46"/>
        <v>abril</v>
      </c>
      <c r="E1508" s="33">
        <f t="shared" si="47"/>
        <v>2025</v>
      </c>
    </row>
    <row r="1509" spans="1:5" x14ac:dyDescent="0.25">
      <c r="A1509" t="s">
        <v>119</v>
      </c>
      <c r="B1509" s="10">
        <f>VLOOKUP(A1509,'Datos generales'!A:B,2,0)</f>
        <v>45764.185416666667</v>
      </c>
      <c r="C1509" s="12">
        <f>VLOOKUP(A1509,'Datos generales'!A:H,8,0)</f>
        <v>7911</v>
      </c>
      <c r="D1509" s="12" t="str">
        <f t="shared" si="46"/>
        <v>abril</v>
      </c>
      <c r="E1509" s="33">
        <f t="shared" si="47"/>
        <v>2025</v>
      </c>
    </row>
    <row r="1510" spans="1:5" x14ac:dyDescent="0.25">
      <c r="A1510" t="s">
        <v>120</v>
      </c>
      <c r="B1510" s="10">
        <f>VLOOKUP(A1510,'Datos generales'!A:B,2,0)</f>
        <v>45240.82916666667</v>
      </c>
      <c r="C1510" s="12">
        <f>VLOOKUP(A1510,'Datos generales'!A:H,8,0)</f>
        <v>81.92</v>
      </c>
      <c r="D1510" s="12" t="str">
        <f t="shared" si="46"/>
        <v>noviembre</v>
      </c>
      <c r="E1510" s="33">
        <f t="shared" si="47"/>
        <v>2023</v>
      </c>
    </row>
    <row r="1511" spans="1:5" x14ac:dyDescent="0.25">
      <c r="A1511" t="s">
        <v>121</v>
      </c>
      <c r="B1511" s="10">
        <f>VLOOKUP(A1511,'Datos generales'!A:B,2,0)</f>
        <v>45634.470138888893</v>
      </c>
      <c r="C1511" s="12">
        <f>VLOOKUP(A1511,'Datos generales'!A:H,8,0)</f>
        <v>1153.31</v>
      </c>
      <c r="D1511" s="12" t="str">
        <f t="shared" si="46"/>
        <v>diciembre</v>
      </c>
      <c r="E1511" s="33">
        <f t="shared" si="47"/>
        <v>2024</v>
      </c>
    </row>
    <row r="1512" spans="1:5" x14ac:dyDescent="0.25">
      <c r="A1512" t="s">
        <v>122</v>
      </c>
      <c r="B1512" s="10">
        <f>VLOOKUP(A1512,'Datos generales'!A:B,2,0)</f>
        <v>45913.939583333333</v>
      </c>
      <c r="C1512" s="12">
        <f>VLOOKUP(A1512,'Datos generales'!A:H,8,0)</f>
        <v>3234.24</v>
      </c>
      <c r="D1512" s="12" t="str">
        <f t="shared" si="46"/>
        <v>septiembre</v>
      </c>
      <c r="E1512" s="33">
        <f t="shared" si="47"/>
        <v>2025</v>
      </c>
    </row>
    <row r="1513" spans="1:5" x14ac:dyDescent="0.25">
      <c r="A1513" t="s">
        <v>123</v>
      </c>
      <c r="B1513" s="10">
        <f>VLOOKUP(A1513,'Datos generales'!A:B,2,0)</f>
        <v>45526.149305555547</v>
      </c>
      <c r="C1513" s="12">
        <f>VLOOKUP(A1513,'Datos generales'!A:H,8,0)</f>
        <v>201.91</v>
      </c>
      <c r="D1513" s="12" t="str">
        <f t="shared" si="46"/>
        <v>agosto</v>
      </c>
      <c r="E1513" s="33">
        <f t="shared" si="47"/>
        <v>2024</v>
      </c>
    </row>
    <row r="1514" spans="1:5" x14ac:dyDescent="0.25">
      <c r="A1514" t="s">
        <v>124</v>
      </c>
      <c r="B1514" s="10">
        <f>VLOOKUP(A1514,'Datos generales'!A:B,2,0)</f>
        <v>45487.067361111112</v>
      </c>
      <c r="C1514" s="12">
        <f>VLOOKUP(A1514,'Datos generales'!A:H,8,0)</f>
        <v>2182.08</v>
      </c>
      <c r="D1514" s="12" t="str">
        <f t="shared" si="46"/>
        <v>julio</v>
      </c>
      <c r="E1514" s="33">
        <f t="shared" si="47"/>
        <v>2024</v>
      </c>
    </row>
    <row r="1515" spans="1:5" x14ac:dyDescent="0.25">
      <c r="A1515" t="s">
        <v>125</v>
      </c>
      <c r="B1515" s="10">
        <f>VLOOKUP(A1515,'Datos generales'!A:B,2,0)</f>
        <v>45281.986805555563</v>
      </c>
      <c r="C1515" s="12">
        <f>VLOOKUP(A1515,'Datos generales'!A:H,8,0)</f>
        <v>4936.29</v>
      </c>
      <c r="D1515" s="12" t="str">
        <f t="shared" si="46"/>
        <v>diciembre</v>
      </c>
      <c r="E1515" s="33">
        <f t="shared" si="47"/>
        <v>2023</v>
      </c>
    </row>
    <row r="1516" spans="1:5" x14ac:dyDescent="0.25">
      <c r="A1516" t="s">
        <v>126</v>
      </c>
      <c r="B1516" s="10">
        <f>VLOOKUP(A1516,'Datos generales'!A:B,2,0)</f>
        <v>45468.378472222219</v>
      </c>
      <c r="C1516" s="12">
        <f>VLOOKUP(A1516,'Datos generales'!A:H,8,0)</f>
        <v>1260.1500000000001</v>
      </c>
      <c r="D1516" s="12" t="str">
        <f t="shared" si="46"/>
        <v>junio</v>
      </c>
      <c r="E1516" s="33">
        <f t="shared" si="47"/>
        <v>2024</v>
      </c>
    </row>
    <row r="1517" spans="1:5" x14ac:dyDescent="0.25">
      <c r="A1517" t="s">
        <v>127</v>
      </c>
      <c r="B1517" s="10">
        <f>VLOOKUP(A1517,'Datos generales'!A:B,2,0)</f>
        <v>45529.436805555553</v>
      </c>
      <c r="C1517" s="12">
        <f>VLOOKUP(A1517,'Datos generales'!A:H,8,0)</f>
        <v>1987.6</v>
      </c>
      <c r="D1517" s="12" t="str">
        <f t="shared" si="46"/>
        <v>agosto</v>
      </c>
      <c r="E1517" s="33">
        <f t="shared" si="47"/>
        <v>2024</v>
      </c>
    </row>
    <row r="1518" spans="1:5" x14ac:dyDescent="0.25">
      <c r="A1518" t="s">
        <v>128</v>
      </c>
      <c r="B1518" s="10">
        <f>VLOOKUP(A1518,'Datos generales'!A:B,2,0)</f>
        <v>44961.01666666667</v>
      </c>
      <c r="C1518" s="12">
        <f>VLOOKUP(A1518,'Datos generales'!A:H,8,0)</f>
        <v>1443.12</v>
      </c>
      <c r="D1518" s="12" t="str">
        <f t="shared" si="46"/>
        <v>febrero</v>
      </c>
      <c r="E1518" s="33">
        <f t="shared" si="47"/>
        <v>2023</v>
      </c>
    </row>
    <row r="1519" spans="1:5" x14ac:dyDescent="0.25">
      <c r="A1519" t="s">
        <v>129</v>
      </c>
      <c r="B1519" s="10">
        <f>VLOOKUP(A1519,'Datos generales'!A:B,2,0)</f>
        <v>45041.746527777781</v>
      </c>
      <c r="C1519" s="12">
        <f>VLOOKUP(A1519,'Datos generales'!A:H,8,0)</f>
        <v>5415.6</v>
      </c>
      <c r="D1519" s="12" t="str">
        <f t="shared" si="46"/>
        <v>abril</v>
      </c>
      <c r="E1519" s="33">
        <f t="shared" si="47"/>
        <v>2023</v>
      </c>
    </row>
    <row r="1520" spans="1:5" x14ac:dyDescent="0.25">
      <c r="A1520" t="s">
        <v>130</v>
      </c>
      <c r="B1520" s="10">
        <f>VLOOKUP(A1520,'Datos generales'!A:B,2,0)</f>
        <v>45400.756249999999</v>
      </c>
      <c r="C1520" s="12">
        <f>VLOOKUP(A1520,'Datos generales'!A:H,8,0)</f>
        <v>859.04</v>
      </c>
      <c r="D1520" s="12" t="str">
        <f t="shared" si="46"/>
        <v>abril</v>
      </c>
      <c r="E1520" s="33">
        <f t="shared" si="47"/>
        <v>2024</v>
      </c>
    </row>
    <row r="1521" spans="1:5" x14ac:dyDescent="0.25">
      <c r="A1521" t="s">
        <v>131</v>
      </c>
      <c r="B1521" s="10">
        <f>VLOOKUP(A1521,'Datos generales'!A:B,2,0)</f>
        <v>45465.772916666669</v>
      </c>
      <c r="C1521" s="12">
        <f>VLOOKUP(A1521,'Datos generales'!A:H,8,0)</f>
        <v>3649.92</v>
      </c>
      <c r="D1521" s="12" t="str">
        <f t="shared" si="46"/>
        <v>junio</v>
      </c>
      <c r="E1521" s="33">
        <f t="shared" si="47"/>
        <v>2024</v>
      </c>
    </row>
    <row r="1522" spans="1:5" x14ac:dyDescent="0.25">
      <c r="A1522" t="s">
        <v>132</v>
      </c>
      <c r="B1522" s="10">
        <f>VLOOKUP(A1522,'Datos generales'!A:B,2,0)</f>
        <v>45316.202777777777</v>
      </c>
      <c r="C1522" s="12">
        <f>VLOOKUP(A1522,'Datos generales'!A:H,8,0)</f>
        <v>5299.0499999999993</v>
      </c>
      <c r="D1522" s="12" t="str">
        <f t="shared" si="46"/>
        <v>enero</v>
      </c>
      <c r="E1522" s="33">
        <f t="shared" si="47"/>
        <v>2024</v>
      </c>
    </row>
    <row r="1523" spans="1:5" x14ac:dyDescent="0.25">
      <c r="A1523" t="s">
        <v>133</v>
      </c>
      <c r="B1523" s="10">
        <f>VLOOKUP(A1523,'Datos generales'!A:B,2,0)</f>
        <v>45118.634722222218</v>
      </c>
      <c r="C1523" s="12">
        <f>VLOOKUP(A1523,'Datos generales'!A:H,8,0)</f>
        <v>185.56</v>
      </c>
      <c r="D1523" s="12" t="str">
        <f t="shared" si="46"/>
        <v>julio</v>
      </c>
      <c r="E1523" s="33">
        <f t="shared" si="47"/>
        <v>2023</v>
      </c>
    </row>
    <row r="1524" spans="1:5" x14ac:dyDescent="0.25">
      <c r="A1524" t="s">
        <v>134</v>
      </c>
      <c r="B1524" s="10">
        <f>VLOOKUP(A1524,'Datos generales'!A:B,2,0)</f>
        <v>45232.75</v>
      </c>
      <c r="C1524" s="12">
        <f>VLOOKUP(A1524,'Datos generales'!A:H,8,0)</f>
        <v>754.07</v>
      </c>
      <c r="D1524" s="12" t="str">
        <f t="shared" si="46"/>
        <v>noviembre</v>
      </c>
      <c r="E1524" s="33">
        <f t="shared" si="47"/>
        <v>2023</v>
      </c>
    </row>
    <row r="1525" spans="1:5" x14ac:dyDescent="0.25">
      <c r="A1525" t="s">
        <v>135</v>
      </c>
      <c r="B1525" s="10">
        <f>VLOOKUP(A1525,'Datos generales'!A:B,2,0)</f>
        <v>45745.421527777777</v>
      </c>
      <c r="C1525" s="12">
        <f>VLOOKUP(A1525,'Datos generales'!A:H,8,0)</f>
        <v>1681.02</v>
      </c>
      <c r="D1525" s="12" t="str">
        <f t="shared" si="46"/>
        <v>marzo</v>
      </c>
      <c r="E1525" s="33">
        <f t="shared" si="47"/>
        <v>2025</v>
      </c>
    </row>
    <row r="1526" spans="1:5" x14ac:dyDescent="0.25">
      <c r="A1526" t="s">
        <v>136</v>
      </c>
      <c r="B1526" s="10">
        <f>VLOOKUP(A1526,'Datos generales'!A:B,2,0)</f>
        <v>45802.370833333327</v>
      </c>
      <c r="C1526" s="12">
        <f>VLOOKUP(A1526,'Datos generales'!A:H,8,0)</f>
        <v>2397.44</v>
      </c>
      <c r="D1526" s="12" t="str">
        <f t="shared" si="46"/>
        <v>mayo</v>
      </c>
      <c r="E1526" s="33">
        <f t="shared" si="47"/>
        <v>2025</v>
      </c>
    </row>
    <row r="1527" spans="1:5" x14ac:dyDescent="0.25">
      <c r="A1527" t="s">
        <v>137</v>
      </c>
      <c r="B1527" s="10">
        <f>VLOOKUP(A1527,'Datos generales'!A:B,2,0)</f>
        <v>45249.604861111111</v>
      </c>
      <c r="C1527" s="12">
        <f>VLOOKUP(A1527,'Datos generales'!A:H,8,0)</f>
        <v>2080.4</v>
      </c>
      <c r="D1527" s="12" t="str">
        <f t="shared" si="46"/>
        <v>noviembre</v>
      </c>
      <c r="E1527" s="33">
        <f t="shared" si="47"/>
        <v>2023</v>
      </c>
    </row>
    <row r="1528" spans="1:5" x14ac:dyDescent="0.25">
      <c r="A1528" t="s">
        <v>138</v>
      </c>
      <c r="B1528" s="10">
        <f>VLOOKUP(A1528,'Datos generales'!A:B,2,0)</f>
        <v>45854.013194444437</v>
      </c>
      <c r="C1528" s="12">
        <f>VLOOKUP(A1528,'Datos generales'!A:H,8,0)</f>
        <v>322.58999999999997</v>
      </c>
      <c r="D1528" s="12" t="str">
        <f t="shared" si="46"/>
        <v>julio</v>
      </c>
      <c r="E1528" s="33">
        <f t="shared" si="47"/>
        <v>2025</v>
      </c>
    </row>
    <row r="1529" spans="1:5" x14ac:dyDescent="0.25">
      <c r="A1529" t="s">
        <v>139</v>
      </c>
      <c r="B1529" s="10">
        <f>VLOOKUP(A1529,'Datos generales'!A:B,2,0)</f>
        <v>45828.018055555563</v>
      </c>
      <c r="C1529" s="12">
        <f>VLOOKUP(A1529,'Datos generales'!A:H,8,0)</f>
        <v>1522.64</v>
      </c>
      <c r="D1529" s="12" t="str">
        <f t="shared" si="46"/>
        <v>junio</v>
      </c>
      <c r="E1529" s="33">
        <f t="shared" si="47"/>
        <v>2025</v>
      </c>
    </row>
    <row r="1530" spans="1:5" x14ac:dyDescent="0.25">
      <c r="A1530" t="s">
        <v>140</v>
      </c>
      <c r="B1530" s="10">
        <f>VLOOKUP(A1530,'Datos generales'!A:B,2,0)</f>
        <v>45673.40902777778</v>
      </c>
      <c r="C1530" s="12">
        <f>VLOOKUP(A1530,'Datos generales'!A:H,8,0)</f>
        <v>1400.22</v>
      </c>
      <c r="D1530" s="12" t="str">
        <f t="shared" si="46"/>
        <v>enero</v>
      </c>
      <c r="E1530" s="33">
        <f t="shared" si="47"/>
        <v>2025</v>
      </c>
    </row>
    <row r="1531" spans="1:5" x14ac:dyDescent="0.25">
      <c r="A1531" t="s">
        <v>141</v>
      </c>
      <c r="B1531" s="10">
        <f>VLOOKUP(A1531,'Datos generales'!A:B,2,0)</f>
        <v>44932.951388888891</v>
      </c>
      <c r="C1531" s="12">
        <f>VLOOKUP(A1531,'Datos generales'!A:H,8,0)</f>
        <v>1792.4</v>
      </c>
      <c r="D1531" s="12" t="str">
        <f t="shared" si="46"/>
        <v>enero</v>
      </c>
      <c r="E1531" s="33">
        <f t="shared" si="47"/>
        <v>2023</v>
      </c>
    </row>
    <row r="1532" spans="1:5" x14ac:dyDescent="0.25">
      <c r="A1532" t="s">
        <v>142</v>
      </c>
      <c r="B1532" s="10">
        <f>VLOOKUP(A1532,'Datos generales'!A:B,2,0)</f>
        <v>45381.871527777781</v>
      </c>
      <c r="C1532" s="12">
        <f>VLOOKUP(A1532,'Datos generales'!A:H,8,0)</f>
        <v>2986.4</v>
      </c>
      <c r="D1532" s="12" t="str">
        <f t="shared" si="46"/>
        <v>marzo</v>
      </c>
      <c r="E1532" s="33">
        <f t="shared" si="47"/>
        <v>2024</v>
      </c>
    </row>
    <row r="1533" spans="1:5" x14ac:dyDescent="0.25">
      <c r="A1533" t="s">
        <v>143</v>
      </c>
      <c r="B1533" s="10">
        <f>VLOOKUP(A1533,'Datos generales'!A:B,2,0)</f>
        <v>45450.97152777778</v>
      </c>
      <c r="C1533" s="12">
        <f>VLOOKUP(A1533,'Datos generales'!A:H,8,0)</f>
        <v>751.43</v>
      </c>
      <c r="D1533" s="12" t="str">
        <f t="shared" si="46"/>
        <v>junio</v>
      </c>
      <c r="E1533" s="33">
        <f t="shared" si="47"/>
        <v>2024</v>
      </c>
    </row>
    <row r="1534" spans="1:5" x14ac:dyDescent="0.25">
      <c r="A1534" t="s">
        <v>144</v>
      </c>
      <c r="B1534" s="10">
        <f>VLOOKUP(A1534,'Datos generales'!A:B,2,0)</f>
        <v>45122.813888888893</v>
      </c>
      <c r="C1534" s="12">
        <f>VLOOKUP(A1534,'Datos generales'!A:H,8,0)</f>
        <v>5545.4</v>
      </c>
      <c r="D1534" s="12" t="str">
        <f t="shared" si="46"/>
        <v>julio</v>
      </c>
      <c r="E1534" s="33">
        <f t="shared" si="47"/>
        <v>2023</v>
      </c>
    </row>
    <row r="1535" spans="1:5" x14ac:dyDescent="0.25">
      <c r="A1535" t="s">
        <v>145</v>
      </c>
      <c r="B1535" s="10">
        <f>VLOOKUP(A1535,'Datos generales'!A:B,2,0)</f>
        <v>45329.842361111107</v>
      </c>
      <c r="C1535" s="12">
        <f>VLOOKUP(A1535,'Datos generales'!A:H,8,0)</f>
        <v>3213.7</v>
      </c>
      <c r="D1535" s="12" t="str">
        <f t="shared" si="46"/>
        <v>febrero</v>
      </c>
      <c r="E1535" s="33">
        <f t="shared" si="47"/>
        <v>2024</v>
      </c>
    </row>
    <row r="1536" spans="1:5" x14ac:dyDescent="0.25">
      <c r="A1536" t="s">
        <v>146</v>
      </c>
      <c r="B1536" s="10">
        <f>VLOOKUP(A1536,'Datos generales'!A:B,2,0)</f>
        <v>45615.539583333331</v>
      </c>
      <c r="C1536" s="12">
        <f>VLOOKUP(A1536,'Datos generales'!A:H,8,0)</f>
        <v>1228.6500000000001</v>
      </c>
      <c r="D1536" s="12" t="str">
        <f t="shared" si="46"/>
        <v>noviembre</v>
      </c>
      <c r="E1536" s="33">
        <f t="shared" si="47"/>
        <v>2024</v>
      </c>
    </row>
    <row r="1537" spans="1:5" x14ac:dyDescent="0.25">
      <c r="A1537" t="s">
        <v>147</v>
      </c>
      <c r="B1537" s="10">
        <f>VLOOKUP(A1537,'Datos generales'!A:B,2,0)</f>
        <v>45222.775694444441</v>
      </c>
      <c r="C1537" s="12">
        <f>VLOOKUP(A1537,'Datos generales'!A:H,8,0)</f>
        <v>5346.39</v>
      </c>
      <c r="D1537" s="12" t="str">
        <f t="shared" si="46"/>
        <v>octubre</v>
      </c>
      <c r="E1537" s="33">
        <f t="shared" si="47"/>
        <v>2023</v>
      </c>
    </row>
    <row r="1538" spans="1:5" x14ac:dyDescent="0.25">
      <c r="A1538" t="s">
        <v>148</v>
      </c>
      <c r="B1538" s="10">
        <f>VLOOKUP(A1538,'Datos generales'!A:B,2,0)</f>
        <v>45525.048611111109</v>
      </c>
      <c r="C1538" s="12">
        <f>VLOOKUP(A1538,'Datos generales'!A:H,8,0)</f>
        <v>5685.7000000000007</v>
      </c>
      <c r="D1538" s="12" t="str">
        <f t="shared" si="46"/>
        <v>agosto</v>
      </c>
      <c r="E1538" s="33">
        <f t="shared" si="47"/>
        <v>2024</v>
      </c>
    </row>
    <row r="1539" spans="1:5" x14ac:dyDescent="0.25">
      <c r="A1539" t="s">
        <v>149</v>
      </c>
      <c r="B1539" s="10">
        <f>VLOOKUP(A1539,'Datos generales'!A:B,2,0)</f>
        <v>45520.686111111107</v>
      </c>
      <c r="C1539" s="12">
        <f>VLOOKUP(A1539,'Datos generales'!A:H,8,0)</f>
        <v>3866.88</v>
      </c>
      <c r="D1539" s="12" t="str">
        <f t="shared" ref="D1539:D1602" si="48">TEXT(B1539,"mmmm")</f>
        <v>agosto</v>
      </c>
      <c r="E1539" s="33">
        <f t="shared" ref="E1539:E1602" si="49">YEAR(B1539)</f>
        <v>2024</v>
      </c>
    </row>
    <row r="1540" spans="1:5" x14ac:dyDescent="0.25">
      <c r="A1540" t="s">
        <v>150</v>
      </c>
      <c r="B1540" s="10">
        <f>VLOOKUP(A1540,'Datos generales'!A:B,2,0)</f>
        <v>45484.331944444442</v>
      </c>
      <c r="C1540" s="12">
        <f>VLOOKUP(A1540,'Datos generales'!A:H,8,0)</f>
        <v>3774.4</v>
      </c>
      <c r="D1540" s="12" t="str">
        <f t="shared" si="48"/>
        <v>julio</v>
      </c>
      <c r="E1540" s="33">
        <f t="shared" si="49"/>
        <v>2024</v>
      </c>
    </row>
    <row r="1541" spans="1:5" x14ac:dyDescent="0.25">
      <c r="A1541" t="s">
        <v>151</v>
      </c>
      <c r="B1541" s="10">
        <f>VLOOKUP(A1541,'Datos generales'!A:B,2,0)</f>
        <v>45842.433333333327</v>
      </c>
      <c r="C1541" s="12">
        <f>VLOOKUP(A1541,'Datos generales'!A:H,8,0)</f>
        <v>3610</v>
      </c>
      <c r="D1541" s="12" t="str">
        <f t="shared" si="48"/>
        <v>julio</v>
      </c>
      <c r="E1541" s="33">
        <f t="shared" si="49"/>
        <v>2025</v>
      </c>
    </row>
    <row r="1542" spans="1:5" x14ac:dyDescent="0.25">
      <c r="A1542" t="s">
        <v>152</v>
      </c>
      <c r="B1542" s="10">
        <f>VLOOKUP(A1542,'Datos generales'!A:B,2,0)</f>
        <v>45697.842361111107</v>
      </c>
      <c r="C1542" s="12">
        <f>VLOOKUP(A1542,'Datos generales'!A:H,8,0)</f>
        <v>156.36000000000001</v>
      </c>
      <c r="D1542" s="12" t="str">
        <f t="shared" si="48"/>
        <v>febrero</v>
      </c>
      <c r="E1542" s="33">
        <f t="shared" si="49"/>
        <v>2025</v>
      </c>
    </row>
    <row r="1543" spans="1:5" x14ac:dyDescent="0.25">
      <c r="A1543" t="s">
        <v>153</v>
      </c>
      <c r="B1543" s="10">
        <f>VLOOKUP(A1543,'Datos generales'!A:B,2,0)</f>
        <v>45927.180555555547</v>
      </c>
      <c r="C1543" s="12">
        <f>VLOOKUP(A1543,'Datos generales'!A:H,8,0)</f>
        <v>3230.82</v>
      </c>
      <c r="D1543" s="12" t="str">
        <f t="shared" si="48"/>
        <v>septiembre</v>
      </c>
      <c r="E1543" s="33">
        <f t="shared" si="49"/>
        <v>2025</v>
      </c>
    </row>
    <row r="1544" spans="1:5" x14ac:dyDescent="0.25">
      <c r="A1544" t="s">
        <v>154</v>
      </c>
      <c r="B1544" s="10">
        <f>VLOOKUP(A1544,'Datos generales'!A:B,2,0)</f>
        <v>45511.748611111107</v>
      </c>
      <c r="C1544" s="12">
        <f>VLOOKUP(A1544,'Datos generales'!A:H,8,0)</f>
        <v>747.69999999999993</v>
      </c>
      <c r="D1544" s="12" t="str">
        <f t="shared" si="48"/>
        <v>agosto</v>
      </c>
      <c r="E1544" s="33">
        <f t="shared" si="49"/>
        <v>2024</v>
      </c>
    </row>
    <row r="1545" spans="1:5" x14ac:dyDescent="0.25">
      <c r="A1545" t="s">
        <v>155</v>
      </c>
      <c r="B1545" s="10">
        <f>VLOOKUP(A1545,'Datos generales'!A:B,2,0)</f>
        <v>45867.710416666669</v>
      </c>
      <c r="C1545" s="12">
        <f>VLOOKUP(A1545,'Datos generales'!A:H,8,0)</f>
        <v>4776.95</v>
      </c>
      <c r="D1545" s="12" t="str">
        <f t="shared" si="48"/>
        <v>julio</v>
      </c>
      <c r="E1545" s="33">
        <f t="shared" si="49"/>
        <v>2025</v>
      </c>
    </row>
    <row r="1546" spans="1:5" x14ac:dyDescent="0.25">
      <c r="A1546" t="s">
        <v>156</v>
      </c>
      <c r="B1546" s="10">
        <f>VLOOKUP(A1546,'Datos generales'!A:B,2,0)</f>
        <v>45339.555555555547</v>
      </c>
      <c r="C1546" s="12">
        <f>VLOOKUP(A1546,'Datos generales'!A:H,8,0)</f>
        <v>3927.26</v>
      </c>
      <c r="D1546" s="12" t="str">
        <f t="shared" si="48"/>
        <v>febrero</v>
      </c>
      <c r="E1546" s="33">
        <f t="shared" si="49"/>
        <v>2024</v>
      </c>
    </row>
    <row r="1547" spans="1:5" x14ac:dyDescent="0.25">
      <c r="A1547" t="s">
        <v>157</v>
      </c>
      <c r="B1547" s="10">
        <f>VLOOKUP(A1547,'Datos generales'!A:B,2,0)</f>
        <v>45538.998611111107</v>
      </c>
      <c r="C1547" s="12">
        <f>VLOOKUP(A1547,'Datos generales'!A:H,8,0)</f>
        <v>7200.7000000000007</v>
      </c>
      <c r="D1547" s="12" t="str">
        <f t="shared" si="48"/>
        <v>septiembre</v>
      </c>
      <c r="E1547" s="33">
        <f t="shared" si="49"/>
        <v>2024</v>
      </c>
    </row>
    <row r="1548" spans="1:5" x14ac:dyDescent="0.25">
      <c r="A1548" t="s">
        <v>158</v>
      </c>
      <c r="B1548" s="10">
        <f>VLOOKUP(A1548,'Datos generales'!A:B,2,0)</f>
        <v>45105.837500000001</v>
      </c>
      <c r="C1548" s="12">
        <f>VLOOKUP(A1548,'Datos generales'!A:H,8,0)</f>
        <v>1134.8</v>
      </c>
      <c r="D1548" s="12" t="str">
        <f t="shared" si="48"/>
        <v>junio</v>
      </c>
      <c r="E1548" s="33">
        <f t="shared" si="49"/>
        <v>2023</v>
      </c>
    </row>
    <row r="1549" spans="1:5" x14ac:dyDescent="0.25">
      <c r="A1549" t="s">
        <v>159</v>
      </c>
      <c r="B1549" s="10">
        <f>VLOOKUP(A1549,'Datos generales'!A:B,2,0)</f>
        <v>45470.283333333333</v>
      </c>
      <c r="C1549" s="12">
        <f>VLOOKUP(A1549,'Datos generales'!A:H,8,0)</f>
        <v>2062.5300000000002</v>
      </c>
      <c r="D1549" s="12" t="str">
        <f t="shared" si="48"/>
        <v>junio</v>
      </c>
      <c r="E1549" s="33">
        <f t="shared" si="49"/>
        <v>2024</v>
      </c>
    </row>
    <row r="1550" spans="1:5" x14ac:dyDescent="0.25">
      <c r="A1550" t="s">
        <v>160</v>
      </c>
      <c r="B1550" s="10">
        <f>VLOOKUP(A1550,'Datos generales'!A:B,2,0)</f>
        <v>45122.511805555558</v>
      </c>
      <c r="C1550" s="12">
        <f>VLOOKUP(A1550,'Datos generales'!A:H,8,0)</f>
        <v>564</v>
      </c>
      <c r="D1550" s="12" t="str">
        <f t="shared" si="48"/>
        <v>julio</v>
      </c>
      <c r="E1550" s="33">
        <f t="shared" si="49"/>
        <v>2023</v>
      </c>
    </row>
    <row r="1551" spans="1:5" x14ac:dyDescent="0.25">
      <c r="A1551" t="s">
        <v>161</v>
      </c>
      <c r="B1551" s="10">
        <f>VLOOKUP(A1551,'Datos generales'!A:B,2,0)</f>
        <v>45878.351388888892</v>
      </c>
      <c r="C1551" s="12">
        <f>VLOOKUP(A1551,'Datos generales'!A:H,8,0)</f>
        <v>5885.52</v>
      </c>
      <c r="D1551" s="12" t="str">
        <f t="shared" si="48"/>
        <v>agosto</v>
      </c>
      <c r="E1551" s="33">
        <f t="shared" si="49"/>
        <v>2025</v>
      </c>
    </row>
    <row r="1552" spans="1:5" x14ac:dyDescent="0.25">
      <c r="A1552" t="s">
        <v>162</v>
      </c>
      <c r="B1552" s="10">
        <f>VLOOKUP(A1552,'Datos generales'!A:B,2,0)</f>
        <v>45894.257638888892</v>
      </c>
      <c r="C1552" s="12">
        <f>VLOOKUP(A1552,'Datos generales'!A:H,8,0)</f>
        <v>1463.91</v>
      </c>
      <c r="D1552" s="12" t="str">
        <f t="shared" si="48"/>
        <v>agosto</v>
      </c>
      <c r="E1552" s="33">
        <f t="shared" si="49"/>
        <v>2025</v>
      </c>
    </row>
    <row r="1553" spans="1:5" x14ac:dyDescent="0.25">
      <c r="A1553" t="s">
        <v>163</v>
      </c>
      <c r="B1553" s="10">
        <f>VLOOKUP(A1553,'Datos generales'!A:B,2,0)</f>
        <v>45321.105555555558</v>
      </c>
      <c r="C1553" s="12">
        <f>VLOOKUP(A1553,'Datos generales'!A:H,8,0)</f>
        <v>6341.96</v>
      </c>
      <c r="D1553" s="12" t="str">
        <f t="shared" si="48"/>
        <v>enero</v>
      </c>
      <c r="E1553" s="33">
        <f t="shared" si="49"/>
        <v>2024</v>
      </c>
    </row>
    <row r="1554" spans="1:5" x14ac:dyDescent="0.25">
      <c r="A1554" t="s">
        <v>164</v>
      </c>
      <c r="B1554" s="10">
        <f>VLOOKUP(A1554,'Datos generales'!A:B,2,0)</f>
        <v>45571.035416666673</v>
      </c>
      <c r="C1554" s="12">
        <f>VLOOKUP(A1554,'Datos generales'!A:H,8,0)</f>
        <v>662.17</v>
      </c>
      <c r="D1554" s="12" t="str">
        <f t="shared" si="48"/>
        <v>octubre</v>
      </c>
      <c r="E1554" s="33">
        <f t="shared" si="49"/>
        <v>2024</v>
      </c>
    </row>
    <row r="1555" spans="1:5" x14ac:dyDescent="0.25">
      <c r="A1555" t="s">
        <v>165</v>
      </c>
      <c r="B1555" s="10">
        <f>VLOOKUP(A1555,'Datos generales'!A:B,2,0)</f>
        <v>45442.757638888892</v>
      </c>
      <c r="C1555" s="12">
        <f>VLOOKUP(A1555,'Datos generales'!A:H,8,0)</f>
        <v>273.36</v>
      </c>
      <c r="D1555" s="12" t="str">
        <f t="shared" si="48"/>
        <v>mayo</v>
      </c>
      <c r="E1555" s="33">
        <f t="shared" si="49"/>
        <v>2024</v>
      </c>
    </row>
    <row r="1556" spans="1:5" x14ac:dyDescent="0.25">
      <c r="A1556" t="s">
        <v>166</v>
      </c>
      <c r="B1556" s="10">
        <f>VLOOKUP(A1556,'Datos generales'!A:B,2,0)</f>
        <v>45889.054166666669</v>
      </c>
      <c r="C1556" s="12">
        <f>VLOOKUP(A1556,'Datos generales'!A:H,8,0)</f>
        <v>474.56</v>
      </c>
      <c r="D1556" s="12" t="str">
        <f t="shared" si="48"/>
        <v>agosto</v>
      </c>
      <c r="E1556" s="33">
        <f t="shared" si="49"/>
        <v>2025</v>
      </c>
    </row>
    <row r="1557" spans="1:5" x14ac:dyDescent="0.25">
      <c r="A1557" t="s">
        <v>167</v>
      </c>
      <c r="B1557" s="10">
        <f>VLOOKUP(A1557,'Datos generales'!A:B,2,0)</f>
        <v>45468.727083333331</v>
      </c>
      <c r="C1557" s="12">
        <f>VLOOKUP(A1557,'Datos generales'!A:H,8,0)</f>
        <v>2800.47</v>
      </c>
      <c r="D1557" s="12" t="str">
        <f t="shared" si="48"/>
        <v>junio</v>
      </c>
      <c r="E1557" s="33">
        <f t="shared" si="49"/>
        <v>2024</v>
      </c>
    </row>
    <row r="1558" spans="1:5" x14ac:dyDescent="0.25">
      <c r="A1558" t="s">
        <v>168</v>
      </c>
      <c r="B1558" s="10">
        <f>VLOOKUP(A1558,'Datos generales'!A:B,2,0)</f>
        <v>45202.955555555563</v>
      </c>
      <c r="C1558" s="12">
        <f>VLOOKUP(A1558,'Datos generales'!A:H,8,0)</f>
        <v>2070.1799999999998</v>
      </c>
      <c r="D1558" s="12" t="str">
        <f t="shared" si="48"/>
        <v>octubre</v>
      </c>
      <c r="E1558" s="33">
        <f t="shared" si="49"/>
        <v>2023</v>
      </c>
    </row>
    <row r="1559" spans="1:5" x14ac:dyDescent="0.25">
      <c r="A1559" t="s">
        <v>169</v>
      </c>
      <c r="B1559" s="10">
        <f>VLOOKUP(A1559,'Datos generales'!A:B,2,0)</f>
        <v>45323.202777777777</v>
      </c>
      <c r="C1559" s="12">
        <f>VLOOKUP(A1559,'Datos generales'!A:H,8,0)</f>
        <v>2650.02</v>
      </c>
      <c r="D1559" s="12" t="str">
        <f t="shared" si="48"/>
        <v>febrero</v>
      </c>
      <c r="E1559" s="33">
        <f t="shared" si="49"/>
        <v>2024</v>
      </c>
    </row>
    <row r="1560" spans="1:5" x14ac:dyDescent="0.25">
      <c r="A1560" t="s">
        <v>170</v>
      </c>
      <c r="B1560" s="10">
        <f>VLOOKUP(A1560,'Datos generales'!A:B,2,0)</f>
        <v>45288.395833333343</v>
      </c>
      <c r="C1560" s="12">
        <f>VLOOKUP(A1560,'Datos generales'!A:H,8,0)</f>
        <v>2843.36</v>
      </c>
      <c r="D1560" s="12" t="str">
        <f t="shared" si="48"/>
        <v>diciembre</v>
      </c>
      <c r="E1560" s="33">
        <f t="shared" si="49"/>
        <v>2023</v>
      </c>
    </row>
    <row r="1561" spans="1:5" x14ac:dyDescent="0.25">
      <c r="A1561" t="s">
        <v>171</v>
      </c>
      <c r="B1561" s="10">
        <f>VLOOKUP(A1561,'Datos generales'!A:B,2,0)</f>
        <v>45900.337500000001</v>
      </c>
      <c r="C1561" s="12">
        <f>VLOOKUP(A1561,'Datos generales'!A:H,8,0)</f>
        <v>291.81</v>
      </c>
      <c r="D1561" s="12" t="str">
        <f t="shared" si="48"/>
        <v>agosto</v>
      </c>
      <c r="E1561" s="33">
        <f t="shared" si="49"/>
        <v>2025</v>
      </c>
    </row>
    <row r="1562" spans="1:5" x14ac:dyDescent="0.25">
      <c r="A1562" t="s">
        <v>172</v>
      </c>
      <c r="B1562" s="10">
        <f>VLOOKUP(A1562,'Datos generales'!A:B,2,0)</f>
        <v>45576.732638888891</v>
      </c>
      <c r="C1562" s="12">
        <f>VLOOKUP(A1562,'Datos generales'!A:H,8,0)</f>
        <v>2491.8000000000002</v>
      </c>
      <c r="D1562" s="12" t="str">
        <f t="shared" si="48"/>
        <v>octubre</v>
      </c>
      <c r="E1562" s="33">
        <f t="shared" si="49"/>
        <v>2024</v>
      </c>
    </row>
    <row r="1563" spans="1:5" x14ac:dyDescent="0.25">
      <c r="A1563" t="s">
        <v>173</v>
      </c>
      <c r="B1563" s="10">
        <f>VLOOKUP(A1563,'Datos generales'!A:B,2,0)</f>
        <v>45392.97152777778</v>
      </c>
      <c r="C1563" s="12">
        <f>VLOOKUP(A1563,'Datos generales'!A:H,8,0)</f>
        <v>4904.45</v>
      </c>
      <c r="D1563" s="12" t="str">
        <f t="shared" si="48"/>
        <v>abril</v>
      </c>
      <c r="E1563" s="33">
        <f t="shared" si="49"/>
        <v>2024</v>
      </c>
    </row>
    <row r="1564" spans="1:5" x14ac:dyDescent="0.25">
      <c r="A1564" t="s">
        <v>174</v>
      </c>
      <c r="B1564" s="10">
        <f>VLOOKUP(A1564,'Datos generales'!A:B,2,0)</f>
        <v>45584.049305555563</v>
      </c>
      <c r="C1564" s="12">
        <f>VLOOKUP(A1564,'Datos generales'!A:H,8,0)</f>
        <v>1390.33</v>
      </c>
      <c r="D1564" s="12" t="str">
        <f t="shared" si="48"/>
        <v>octubre</v>
      </c>
      <c r="E1564" s="33">
        <f t="shared" si="49"/>
        <v>2024</v>
      </c>
    </row>
    <row r="1565" spans="1:5" x14ac:dyDescent="0.25">
      <c r="A1565" t="s">
        <v>175</v>
      </c>
      <c r="B1565" s="10">
        <f>VLOOKUP(A1565,'Datos generales'!A:B,2,0)</f>
        <v>44941.657638888893</v>
      </c>
      <c r="C1565" s="12">
        <f>VLOOKUP(A1565,'Datos generales'!A:H,8,0)</f>
        <v>8540.4499999999989</v>
      </c>
      <c r="D1565" s="12" t="str">
        <f t="shared" si="48"/>
        <v>enero</v>
      </c>
      <c r="E1565" s="33">
        <f t="shared" si="49"/>
        <v>2023</v>
      </c>
    </row>
    <row r="1566" spans="1:5" x14ac:dyDescent="0.25">
      <c r="A1566" t="s">
        <v>176</v>
      </c>
      <c r="B1566" s="10">
        <f>VLOOKUP(A1566,'Datos generales'!A:B,2,0)</f>
        <v>45238.718055555553</v>
      </c>
      <c r="C1566" s="12">
        <f>VLOOKUP(A1566,'Datos generales'!A:H,8,0)</f>
        <v>1378.2</v>
      </c>
      <c r="D1566" s="12" t="str">
        <f t="shared" si="48"/>
        <v>noviembre</v>
      </c>
      <c r="E1566" s="33">
        <f t="shared" si="49"/>
        <v>2023</v>
      </c>
    </row>
    <row r="1567" spans="1:5" x14ac:dyDescent="0.25">
      <c r="A1567" t="s">
        <v>177</v>
      </c>
      <c r="B1567" s="10">
        <f>VLOOKUP(A1567,'Datos generales'!A:B,2,0)</f>
        <v>44973.59652777778</v>
      </c>
      <c r="C1567" s="12">
        <f>VLOOKUP(A1567,'Datos generales'!A:H,8,0)</f>
        <v>1578.33</v>
      </c>
      <c r="D1567" s="12" t="str">
        <f t="shared" si="48"/>
        <v>febrero</v>
      </c>
      <c r="E1567" s="33">
        <f t="shared" si="49"/>
        <v>2023</v>
      </c>
    </row>
    <row r="1568" spans="1:5" x14ac:dyDescent="0.25">
      <c r="A1568" t="s">
        <v>178</v>
      </c>
      <c r="B1568" s="10">
        <f>VLOOKUP(A1568,'Datos generales'!A:B,2,0)</f>
        <v>45445.690972222219</v>
      </c>
      <c r="C1568" s="12">
        <f>VLOOKUP(A1568,'Datos generales'!A:H,8,0)</f>
        <v>8011.9500000000007</v>
      </c>
      <c r="D1568" s="12" t="str">
        <f t="shared" si="48"/>
        <v>junio</v>
      </c>
      <c r="E1568" s="33">
        <f t="shared" si="49"/>
        <v>2024</v>
      </c>
    </row>
    <row r="1569" spans="1:5" x14ac:dyDescent="0.25">
      <c r="A1569" t="s">
        <v>179</v>
      </c>
      <c r="B1569" s="10">
        <f>VLOOKUP(A1569,'Datos generales'!A:B,2,0)</f>
        <v>45035.472916666673</v>
      </c>
      <c r="C1569" s="12">
        <f>VLOOKUP(A1569,'Datos generales'!A:H,8,0)</f>
        <v>1429.1</v>
      </c>
      <c r="D1569" s="12" t="str">
        <f t="shared" si="48"/>
        <v>abril</v>
      </c>
      <c r="E1569" s="33">
        <f t="shared" si="49"/>
        <v>2023</v>
      </c>
    </row>
    <row r="1570" spans="1:5" x14ac:dyDescent="0.25">
      <c r="A1570" t="s">
        <v>180</v>
      </c>
      <c r="B1570" s="10">
        <f>VLOOKUP(A1570,'Datos generales'!A:B,2,0)</f>
        <v>45836.104166666657</v>
      </c>
      <c r="C1570" s="12">
        <f>VLOOKUP(A1570,'Datos generales'!A:H,8,0)</f>
        <v>281.08</v>
      </c>
      <c r="D1570" s="12" t="str">
        <f t="shared" si="48"/>
        <v>junio</v>
      </c>
      <c r="E1570" s="33">
        <f t="shared" si="49"/>
        <v>2025</v>
      </c>
    </row>
    <row r="1571" spans="1:5" x14ac:dyDescent="0.25">
      <c r="A1571" t="s">
        <v>181</v>
      </c>
      <c r="B1571" s="10">
        <f>VLOOKUP(A1571,'Datos generales'!A:B,2,0)</f>
        <v>45584.553472222222</v>
      </c>
      <c r="C1571" s="12">
        <f>VLOOKUP(A1571,'Datos generales'!A:H,8,0)</f>
        <v>1434.35</v>
      </c>
      <c r="D1571" s="12" t="str">
        <f t="shared" si="48"/>
        <v>octubre</v>
      </c>
      <c r="E1571" s="33">
        <f t="shared" si="49"/>
        <v>2024</v>
      </c>
    </row>
    <row r="1572" spans="1:5" x14ac:dyDescent="0.25">
      <c r="A1572" t="s">
        <v>182</v>
      </c>
      <c r="B1572" s="10">
        <f>VLOOKUP(A1572,'Datos generales'!A:B,2,0)</f>
        <v>45338.585416666669</v>
      </c>
      <c r="C1572" s="12">
        <f>VLOOKUP(A1572,'Datos generales'!A:H,8,0)</f>
        <v>9489.85</v>
      </c>
      <c r="D1572" s="12" t="str">
        <f t="shared" si="48"/>
        <v>febrero</v>
      </c>
      <c r="E1572" s="33">
        <f t="shared" si="49"/>
        <v>2024</v>
      </c>
    </row>
    <row r="1573" spans="1:5" x14ac:dyDescent="0.25">
      <c r="A1573" t="s">
        <v>183</v>
      </c>
      <c r="B1573" s="10">
        <f>VLOOKUP(A1573,'Datos generales'!A:B,2,0)</f>
        <v>45625.480555555558</v>
      </c>
      <c r="C1573" s="12">
        <f>VLOOKUP(A1573,'Datos generales'!A:H,8,0)</f>
        <v>1175.42</v>
      </c>
      <c r="D1573" s="12" t="str">
        <f t="shared" si="48"/>
        <v>noviembre</v>
      </c>
      <c r="E1573" s="33">
        <f t="shared" si="49"/>
        <v>2024</v>
      </c>
    </row>
    <row r="1574" spans="1:5" x14ac:dyDescent="0.25">
      <c r="A1574" t="s">
        <v>184</v>
      </c>
      <c r="B1574" s="10">
        <f>VLOOKUP(A1574,'Datos generales'!A:B,2,0)</f>
        <v>45291</v>
      </c>
      <c r="C1574" s="12">
        <f>VLOOKUP(A1574,'Datos generales'!A:H,8,0)</f>
        <v>3580.52</v>
      </c>
      <c r="D1574" s="12" t="str">
        <f t="shared" si="48"/>
        <v>diciembre</v>
      </c>
      <c r="E1574" s="33">
        <f t="shared" si="49"/>
        <v>2023</v>
      </c>
    </row>
    <row r="1575" spans="1:5" x14ac:dyDescent="0.25">
      <c r="A1575" t="s">
        <v>185</v>
      </c>
      <c r="B1575" s="10">
        <f>VLOOKUP(A1575,'Datos generales'!A:B,2,0)</f>
        <v>45548.488194444442</v>
      </c>
      <c r="C1575" s="12">
        <f>VLOOKUP(A1575,'Datos generales'!A:H,8,0)</f>
        <v>4372.0499999999993</v>
      </c>
      <c r="D1575" s="12" t="str">
        <f t="shared" si="48"/>
        <v>septiembre</v>
      </c>
      <c r="E1575" s="33">
        <f t="shared" si="49"/>
        <v>2024</v>
      </c>
    </row>
    <row r="1576" spans="1:5" x14ac:dyDescent="0.25">
      <c r="A1576" t="s">
        <v>186</v>
      </c>
      <c r="B1576" s="10">
        <f>VLOOKUP(A1576,'Datos generales'!A:B,2,0)</f>
        <v>45540.261805555558</v>
      </c>
      <c r="C1576" s="12">
        <f>VLOOKUP(A1576,'Datos generales'!A:H,8,0)</f>
        <v>3249.96</v>
      </c>
      <c r="D1576" s="12" t="str">
        <f t="shared" si="48"/>
        <v>septiembre</v>
      </c>
      <c r="E1576" s="33">
        <f t="shared" si="49"/>
        <v>2024</v>
      </c>
    </row>
    <row r="1577" spans="1:5" x14ac:dyDescent="0.25">
      <c r="A1577" t="s">
        <v>187</v>
      </c>
      <c r="B1577" s="10">
        <f>VLOOKUP(A1577,'Datos generales'!A:B,2,0)</f>
        <v>45783.684027777781</v>
      </c>
      <c r="C1577" s="12">
        <f>VLOOKUP(A1577,'Datos generales'!A:H,8,0)</f>
        <v>4628.13</v>
      </c>
      <c r="D1577" s="12" t="str">
        <f t="shared" si="48"/>
        <v>mayo</v>
      </c>
      <c r="E1577" s="33">
        <f t="shared" si="49"/>
        <v>2025</v>
      </c>
    </row>
    <row r="1578" spans="1:5" x14ac:dyDescent="0.25">
      <c r="A1578" t="s">
        <v>188</v>
      </c>
      <c r="B1578" s="10">
        <f>VLOOKUP(A1578,'Datos generales'!A:B,2,0)</f>
        <v>45692.470138888893</v>
      </c>
      <c r="C1578" s="12">
        <f>VLOOKUP(A1578,'Datos generales'!A:H,8,0)</f>
        <v>3619</v>
      </c>
      <c r="D1578" s="12" t="str">
        <f t="shared" si="48"/>
        <v>febrero</v>
      </c>
      <c r="E1578" s="33">
        <f t="shared" si="49"/>
        <v>2025</v>
      </c>
    </row>
    <row r="1579" spans="1:5" x14ac:dyDescent="0.25">
      <c r="A1579" t="s">
        <v>189</v>
      </c>
      <c r="B1579" s="10">
        <f>VLOOKUP(A1579,'Datos generales'!A:B,2,0)</f>
        <v>45186.410416666673</v>
      </c>
      <c r="C1579" s="12">
        <f>VLOOKUP(A1579,'Datos generales'!A:H,8,0)</f>
        <v>899.85</v>
      </c>
      <c r="D1579" s="12" t="str">
        <f t="shared" si="48"/>
        <v>septiembre</v>
      </c>
      <c r="E1579" s="33">
        <f t="shared" si="49"/>
        <v>2023</v>
      </c>
    </row>
    <row r="1580" spans="1:5" x14ac:dyDescent="0.25">
      <c r="A1580" t="s">
        <v>190</v>
      </c>
      <c r="B1580" s="10">
        <f>VLOOKUP(A1580,'Datos generales'!A:B,2,0)</f>
        <v>45539.616666666669</v>
      </c>
      <c r="C1580" s="12">
        <f>VLOOKUP(A1580,'Datos generales'!A:H,8,0)</f>
        <v>1318.43</v>
      </c>
      <c r="D1580" s="12" t="str">
        <f t="shared" si="48"/>
        <v>septiembre</v>
      </c>
      <c r="E1580" s="33">
        <f t="shared" si="49"/>
        <v>2024</v>
      </c>
    </row>
    <row r="1581" spans="1:5" x14ac:dyDescent="0.25">
      <c r="A1581" t="s">
        <v>191</v>
      </c>
      <c r="B1581" s="10">
        <f>VLOOKUP(A1581,'Datos generales'!A:B,2,0)</f>
        <v>45073.392361111109</v>
      </c>
      <c r="C1581" s="12">
        <f>VLOOKUP(A1581,'Datos generales'!A:H,8,0)</f>
        <v>614.74</v>
      </c>
      <c r="D1581" s="12" t="str">
        <f t="shared" si="48"/>
        <v>mayo</v>
      </c>
      <c r="E1581" s="33">
        <f t="shared" si="49"/>
        <v>2023</v>
      </c>
    </row>
    <row r="1582" spans="1:5" x14ac:dyDescent="0.25">
      <c r="A1582" t="s">
        <v>192</v>
      </c>
      <c r="B1582" s="10">
        <f>VLOOKUP(A1582,'Datos generales'!A:B,2,0)</f>
        <v>45287.277777777781</v>
      </c>
      <c r="C1582" s="12">
        <f>VLOOKUP(A1582,'Datos generales'!A:H,8,0)</f>
        <v>1364.97</v>
      </c>
      <c r="D1582" s="12" t="str">
        <f t="shared" si="48"/>
        <v>diciembre</v>
      </c>
      <c r="E1582" s="33">
        <f t="shared" si="49"/>
        <v>2023</v>
      </c>
    </row>
    <row r="1583" spans="1:5" x14ac:dyDescent="0.25">
      <c r="A1583" t="s">
        <v>193</v>
      </c>
      <c r="B1583" s="10">
        <f>VLOOKUP(A1583,'Datos generales'!A:B,2,0)</f>
        <v>45398.678472222222</v>
      </c>
      <c r="C1583" s="12">
        <f>VLOOKUP(A1583,'Datos generales'!A:H,8,0)</f>
        <v>732.68999999999994</v>
      </c>
      <c r="D1583" s="12" t="str">
        <f t="shared" si="48"/>
        <v>abril</v>
      </c>
      <c r="E1583" s="33">
        <f t="shared" si="49"/>
        <v>2024</v>
      </c>
    </row>
    <row r="1584" spans="1:5" x14ac:dyDescent="0.25">
      <c r="A1584" t="s">
        <v>194</v>
      </c>
      <c r="B1584" s="10">
        <f>VLOOKUP(A1584,'Datos generales'!A:B,2,0)</f>
        <v>44949.395833333343</v>
      </c>
      <c r="C1584" s="12">
        <f>VLOOKUP(A1584,'Datos generales'!A:H,8,0)</f>
        <v>736.92</v>
      </c>
      <c r="D1584" s="12" t="str">
        <f t="shared" si="48"/>
        <v>enero</v>
      </c>
      <c r="E1584" s="33">
        <f t="shared" si="49"/>
        <v>2023</v>
      </c>
    </row>
    <row r="1585" spans="1:5" x14ac:dyDescent="0.25">
      <c r="A1585" t="s">
        <v>195</v>
      </c>
      <c r="B1585" s="10">
        <f>VLOOKUP(A1585,'Datos generales'!A:B,2,0)</f>
        <v>45560.538194444453</v>
      </c>
      <c r="C1585" s="12">
        <f>VLOOKUP(A1585,'Datos generales'!A:H,8,0)</f>
        <v>1501.34</v>
      </c>
      <c r="D1585" s="12" t="str">
        <f t="shared" si="48"/>
        <v>septiembre</v>
      </c>
      <c r="E1585" s="33">
        <f t="shared" si="49"/>
        <v>2024</v>
      </c>
    </row>
    <row r="1586" spans="1:5" x14ac:dyDescent="0.25">
      <c r="A1586" t="s">
        <v>196</v>
      </c>
      <c r="B1586" s="10">
        <f>VLOOKUP(A1586,'Datos generales'!A:B,2,0)</f>
        <v>45636.231249999997</v>
      </c>
      <c r="C1586" s="12">
        <f>VLOOKUP(A1586,'Datos generales'!A:H,8,0)</f>
        <v>3980.72</v>
      </c>
      <c r="D1586" s="12" t="str">
        <f t="shared" si="48"/>
        <v>diciembre</v>
      </c>
      <c r="E1586" s="33">
        <f t="shared" si="49"/>
        <v>2024</v>
      </c>
    </row>
    <row r="1587" spans="1:5" x14ac:dyDescent="0.25">
      <c r="A1587" t="s">
        <v>197</v>
      </c>
      <c r="B1587" s="10">
        <f>VLOOKUP(A1587,'Datos generales'!A:B,2,0)</f>
        <v>45218.252083333333</v>
      </c>
      <c r="C1587" s="12">
        <f>VLOOKUP(A1587,'Datos generales'!A:H,8,0)</f>
        <v>3669.44</v>
      </c>
      <c r="D1587" s="12" t="str">
        <f t="shared" si="48"/>
        <v>octubre</v>
      </c>
      <c r="E1587" s="33">
        <f t="shared" si="49"/>
        <v>2023</v>
      </c>
    </row>
    <row r="1588" spans="1:5" x14ac:dyDescent="0.25">
      <c r="A1588" t="s">
        <v>198</v>
      </c>
      <c r="B1588" s="10">
        <f>VLOOKUP(A1588,'Datos generales'!A:B,2,0)</f>
        <v>45615.827777777777</v>
      </c>
      <c r="C1588" s="12">
        <f>VLOOKUP(A1588,'Datos generales'!A:H,8,0)</f>
        <v>3884.62</v>
      </c>
      <c r="D1588" s="12" t="str">
        <f t="shared" si="48"/>
        <v>noviembre</v>
      </c>
      <c r="E1588" s="33">
        <f t="shared" si="49"/>
        <v>2024</v>
      </c>
    </row>
    <row r="1589" spans="1:5" x14ac:dyDescent="0.25">
      <c r="A1589" t="s">
        <v>199</v>
      </c>
      <c r="B1589" s="10">
        <f>VLOOKUP(A1589,'Datos generales'!A:B,2,0)</f>
        <v>45755.705555555563</v>
      </c>
      <c r="C1589" s="12">
        <f>VLOOKUP(A1589,'Datos generales'!A:H,8,0)</f>
        <v>3076.71</v>
      </c>
      <c r="D1589" s="12" t="str">
        <f t="shared" si="48"/>
        <v>abril</v>
      </c>
      <c r="E1589" s="33">
        <f t="shared" si="49"/>
        <v>2025</v>
      </c>
    </row>
    <row r="1590" spans="1:5" x14ac:dyDescent="0.25">
      <c r="A1590" t="s">
        <v>200</v>
      </c>
      <c r="B1590" s="10">
        <f>VLOOKUP(A1590,'Datos generales'!A:B,2,0)</f>
        <v>44962.009722222218</v>
      </c>
      <c r="C1590" s="12">
        <f>VLOOKUP(A1590,'Datos generales'!A:H,8,0)</f>
        <v>2220.7600000000002</v>
      </c>
      <c r="D1590" s="12" t="str">
        <f t="shared" si="48"/>
        <v>febrero</v>
      </c>
      <c r="E1590" s="33">
        <f t="shared" si="49"/>
        <v>2023</v>
      </c>
    </row>
    <row r="1591" spans="1:5" x14ac:dyDescent="0.25">
      <c r="A1591" t="s">
        <v>201</v>
      </c>
      <c r="B1591" s="10">
        <f>VLOOKUP(A1591,'Datos generales'!A:B,2,0)</f>
        <v>45194.675000000003</v>
      </c>
      <c r="C1591" s="12">
        <f>VLOOKUP(A1591,'Datos generales'!A:H,8,0)</f>
        <v>3754.1</v>
      </c>
      <c r="D1591" s="12" t="str">
        <f t="shared" si="48"/>
        <v>septiembre</v>
      </c>
      <c r="E1591" s="33">
        <f t="shared" si="49"/>
        <v>2023</v>
      </c>
    </row>
    <row r="1592" spans="1:5" x14ac:dyDescent="0.25">
      <c r="A1592" t="s">
        <v>202</v>
      </c>
      <c r="B1592" s="10">
        <f>VLOOKUP(A1592,'Datos generales'!A:B,2,0)</f>
        <v>45818.179861111108</v>
      </c>
      <c r="C1592" s="12">
        <f>VLOOKUP(A1592,'Datos generales'!A:H,8,0)</f>
        <v>3219.8</v>
      </c>
      <c r="D1592" s="12" t="str">
        <f t="shared" si="48"/>
        <v>junio</v>
      </c>
      <c r="E1592" s="33">
        <f t="shared" si="49"/>
        <v>2025</v>
      </c>
    </row>
    <row r="1593" spans="1:5" x14ac:dyDescent="0.25">
      <c r="A1593" t="s">
        <v>203</v>
      </c>
      <c r="B1593" s="10">
        <f>VLOOKUP(A1593,'Datos generales'!A:B,2,0)</f>
        <v>45755.011111111111</v>
      </c>
      <c r="C1593" s="12">
        <f>VLOOKUP(A1593,'Datos generales'!A:H,8,0)</f>
        <v>83.67</v>
      </c>
      <c r="D1593" s="12" t="str">
        <f t="shared" si="48"/>
        <v>abril</v>
      </c>
      <c r="E1593" s="33">
        <f t="shared" si="49"/>
        <v>2025</v>
      </c>
    </row>
    <row r="1594" spans="1:5" x14ac:dyDescent="0.25">
      <c r="A1594" t="s">
        <v>204</v>
      </c>
      <c r="B1594" s="10">
        <f>VLOOKUP(A1594,'Datos generales'!A:B,2,0)</f>
        <v>45862.584722222222</v>
      </c>
      <c r="C1594" s="12">
        <f>VLOOKUP(A1594,'Datos generales'!A:H,8,0)</f>
        <v>1700.54</v>
      </c>
      <c r="D1594" s="12" t="str">
        <f t="shared" si="48"/>
        <v>julio</v>
      </c>
      <c r="E1594" s="33">
        <f t="shared" si="49"/>
        <v>2025</v>
      </c>
    </row>
    <row r="1595" spans="1:5" x14ac:dyDescent="0.25">
      <c r="A1595" t="s">
        <v>205</v>
      </c>
      <c r="B1595" s="10">
        <f>VLOOKUP(A1595,'Datos generales'!A:B,2,0)</f>
        <v>45802.370833333327</v>
      </c>
      <c r="C1595" s="12">
        <f>VLOOKUP(A1595,'Datos generales'!A:H,8,0)</f>
        <v>1420.2</v>
      </c>
      <c r="D1595" s="12" t="str">
        <f t="shared" si="48"/>
        <v>mayo</v>
      </c>
      <c r="E1595" s="33">
        <f t="shared" si="49"/>
        <v>2025</v>
      </c>
    </row>
    <row r="1596" spans="1:5" x14ac:dyDescent="0.25">
      <c r="A1596" t="s">
        <v>206</v>
      </c>
      <c r="B1596" s="10">
        <f>VLOOKUP(A1596,'Datos generales'!A:B,2,0)</f>
        <v>45178.038888888892</v>
      </c>
      <c r="C1596" s="12">
        <f>VLOOKUP(A1596,'Datos generales'!A:H,8,0)</f>
        <v>521.32000000000005</v>
      </c>
      <c r="D1596" s="12" t="str">
        <f t="shared" si="48"/>
        <v>septiembre</v>
      </c>
      <c r="E1596" s="33">
        <f t="shared" si="49"/>
        <v>2023</v>
      </c>
    </row>
    <row r="1597" spans="1:5" x14ac:dyDescent="0.25">
      <c r="A1597" t="s">
        <v>207</v>
      </c>
      <c r="B1597" s="10">
        <f>VLOOKUP(A1597,'Datos generales'!A:B,2,0)</f>
        <v>45748.34097222222</v>
      </c>
      <c r="C1597" s="12">
        <f>VLOOKUP(A1597,'Datos generales'!A:H,8,0)</f>
        <v>1067.6400000000001</v>
      </c>
      <c r="D1597" s="12" t="str">
        <f t="shared" si="48"/>
        <v>abril</v>
      </c>
      <c r="E1597" s="33">
        <f t="shared" si="49"/>
        <v>2025</v>
      </c>
    </row>
    <row r="1598" spans="1:5" x14ac:dyDescent="0.25">
      <c r="A1598" t="s">
        <v>208</v>
      </c>
      <c r="B1598" s="10">
        <f>VLOOKUP(A1598,'Datos generales'!A:B,2,0)</f>
        <v>45055.556250000001</v>
      </c>
      <c r="C1598" s="12">
        <f>VLOOKUP(A1598,'Datos generales'!A:H,8,0)</f>
        <v>1903.64</v>
      </c>
      <c r="D1598" s="12" t="str">
        <f t="shared" si="48"/>
        <v>mayo</v>
      </c>
      <c r="E1598" s="33">
        <f t="shared" si="49"/>
        <v>2023</v>
      </c>
    </row>
    <row r="1599" spans="1:5" x14ac:dyDescent="0.25">
      <c r="A1599" t="s">
        <v>209</v>
      </c>
      <c r="B1599" s="10">
        <f>VLOOKUP(A1599,'Datos generales'!A:B,2,0)</f>
        <v>44958.773611111108</v>
      </c>
      <c r="C1599" s="12">
        <f>VLOOKUP(A1599,'Datos generales'!A:H,8,0)</f>
        <v>2920.32</v>
      </c>
      <c r="D1599" s="12" t="str">
        <f t="shared" si="48"/>
        <v>febrero</v>
      </c>
      <c r="E1599" s="33">
        <f t="shared" si="49"/>
        <v>2023</v>
      </c>
    </row>
    <row r="1600" spans="1:5" x14ac:dyDescent="0.25">
      <c r="A1600" t="s">
        <v>210</v>
      </c>
      <c r="B1600" s="10">
        <f>VLOOKUP(A1600,'Datos generales'!A:B,2,0)</f>
        <v>45816.563888888893</v>
      </c>
      <c r="C1600" s="12">
        <f>VLOOKUP(A1600,'Datos generales'!A:H,8,0)</f>
        <v>3388</v>
      </c>
      <c r="D1600" s="12" t="str">
        <f t="shared" si="48"/>
        <v>junio</v>
      </c>
      <c r="E1600" s="33">
        <f t="shared" si="49"/>
        <v>2025</v>
      </c>
    </row>
    <row r="1601" spans="1:5" x14ac:dyDescent="0.25">
      <c r="A1601" t="s">
        <v>211</v>
      </c>
      <c r="B1601" s="10">
        <f>VLOOKUP(A1601,'Datos generales'!A:B,2,0)</f>
        <v>45089.396527777782</v>
      </c>
      <c r="C1601" s="12">
        <f>VLOOKUP(A1601,'Datos generales'!A:H,8,0)</f>
        <v>2486.6799999999998</v>
      </c>
      <c r="D1601" s="12" t="str">
        <f t="shared" si="48"/>
        <v>junio</v>
      </c>
      <c r="E1601" s="33">
        <f t="shared" si="49"/>
        <v>2023</v>
      </c>
    </row>
    <row r="1602" spans="1:5" x14ac:dyDescent="0.25">
      <c r="A1602" t="s">
        <v>12</v>
      </c>
      <c r="B1602" s="10">
        <f>VLOOKUP(A1602,'Datos generales'!A:B,2,0)</f>
        <v>45280.478472222218</v>
      </c>
      <c r="C1602" s="12">
        <f>VLOOKUP(A1602,'Datos generales'!A:H,8,0)</f>
        <v>7486.2</v>
      </c>
      <c r="D1602" s="12" t="str">
        <f t="shared" si="48"/>
        <v>diciembre</v>
      </c>
      <c r="E1602" s="33">
        <f t="shared" si="49"/>
        <v>2023</v>
      </c>
    </row>
    <row r="1603" spans="1:5" x14ac:dyDescent="0.25">
      <c r="A1603" t="s">
        <v>13</v>
      </c>
      <c r="B1603" s="10">
        <f>VLOOKUP(A1603,'Datos generales'!A:B,2,0)</f>
        <v>45008.840277777781</v>
      </c>
      <c r="C1603" s="12">
        <f>VLOOKUP(A1603,'Datos generales'!A:H,8,0)</f>
        <v>1687.54</v>
      </c>
      <c r="D1603" s="12" t="str">
        <f t="shared" ref="D1603:D1666" si="50">TEXT(B1603,"mmmm")</f>
        <v>marzo</v>
      </c>
      <c r="E1603" s="33">
        <f t="shared" ref="E1603:E1666" si="51">YEAR(B1603)</f>
        <v>2023</v>
      </c>
    </row>
    <row r="1604" spans="1:5" x14ac:dyDescent="0.25">
      <c r="A1604" t="s">
        <v>14</v>
      </c>
      <c r="B1604" s="10">
        <f>VLOOKUP(A1604,'Datos generales'!A:B,2,0)</f>
        <v>45355.443749999999</v>
      </c>
      <c r="C1604" s="12">
        <f>VLOOKUP(A1604,'Datos generales'!A:H,8,0)</f>
        <v>2306.4</v>
      </c>
      <c r="D1604" s="12" t="str">
        <f t="shared" si="50"/>
        <v>marzo</v>
      </c>
      <c r="E1604" s="33">
        <f t="shared" si="51"/>
        <v>2024</v>
      </c>
    </row>
    <row r="1605" spans="1:5" x14ac:dyDescent="0.25">
      <c r="A1605" t="s">
        <v>15</v>
      </c>
      <c r="B1605" s="10">
        <f>VLOOKUP(A1605,'Datos generales'!A:B,2,0)</f>
        <v>45704.374305555553</v>
      </c>
      <c r="C1605" s="12">
        <f>VLOOKUP(A1605,'Datos generales'!A:H,8,0)</f>
        <v>1532.67</v>
      </c>
      <c r="D1605" s="12" t="str">
        <f t="shared" si="50"/>
        <v>febrero</v>
      </c>
      <c r="E1605" s="33">
        <f t="shared" si="51"/>
        <v>2025</v>
      </c>
    </row>
    <row r="1606" spans="1:5" x14ac:dyDescent="0.25">
      <c r="A1606" t="s">
        <v>16</v>
      </c>
      <c r="B1606" s="10">
        <f>VLOOKUP(A1606,'Datos generales'!A:B,2,0)</f>
        <v>45772.848611111112</v>
      </c>
      <c r="C1606" s="12">
        <f>VLOOKUP(A1606,'Datos generales'!A:H,8,0)</f>
        <v>5128.41</v>
      </c>
      <c r="D1606" s="12" t="str">
        <f t="shared" si="50"/>
        <v>abril</v>
      </c>
      <c r="E1606" s="33">
        <f t="shared" si="51"/>
        <v>2025</v>
      </c>
    </row>
    <row r="1607" spans="1:5" x14ac:dyDescent="0.25">
      <c r="A1607" t="s">
        <v>17</v>
      </c>
      <c r="B1607" s="10">
        <f>VLOOKUP(A1607,'Datos generales'!A:B,2,0)</f>
        <v>45101.225694444453</v>
      </c>
      <c r="C1607" s="12">
        <f>VLOOKUP(A1607,'Datos generales'!A:H,8,0)</f>
        <v>892.62000000000012</v>
      </c>
      <c r="D1607" s="12" t="str">
        <f t="shared" si="50"/>
        <v>junio</v>
      </c>
      <c r="E1607" s="33">
        <f t="shared" si="51"/>
        <v>2023</v>
      </c>
    </row>
    <row r="1608" spans="1:5" x14ac:dyDescent="0.25">
      <c r="A1608" t="s">
        <v>18</v>
      </c>
      <c r="B1608" s="10">
        <f>VLOOKUP(A1608,'Datos generales'!A:B,2,0)</f>
        <v>45694.432638888888</v>
      </c>
      <c r="C1608" s="12">
        <f>VLOOKUP(A1608,'Datos generales'!A:H,8,0)</f>
        <v>6186.6</v>
      </c>
      <c r="D1608" s="12" t="str">
        <f t="shared" si="50"/>
        <v>febrero</v>
      </c>
      <c r="E1608" s="33">
        <f t="shared" si="51"/>
        <v>2025</v>
      </c>
    </row>
    <row r="1609" spans="1:5" x14ac:dyDescent="0.25">
      <c r="A1609" t="s">
        <v>19</v>
      </c>
      <c r="B1609" s="10">
        <f>VLOOKUP(A1609,'Datos generales'!A:B,2,0)</f>
        <v>45798.69027777778</v>
      </c>
      <c r="C1609" s="12">
        <f>VLOOKUP(A1609,'Datos generales'!A:H,8,0)</f>
        <v>1575.18</v>
      </c>
      <c r="D1609" s="12" t="str">
        <f t="shared" si="50"/>
        <v>mayo</v>
      </c>
      <c r="E1609" s="33">
        <f t="shared" si="51"/>
        <v>2025</v>
      </c>
    </row>
    <row r="1610" spans="1:5" x14ac:dyDescent="0.25">
      <c r="A1610" t="s">
        <v>20</v>
      </c>
      <c r="B1610" s="10">
        <f>VLOOKUP(A1610,'Datos generales'!A:B,2,0)</f>
        <v>45425.797222222223</v>
      </c>
      <c r="C1610" s="12">
        <f>VLOOKUP(A1610,'Datos generales'!A:H,8,0)</f>
        <v>9079.2999999999993</v>
      </c>
      <c r="D1610" s="12" t="str">
        <f t="shared" si="50"/>
        <v>mayo</v>
      </c>
      <c r="E1610" s="33">
        <f t="shared" si="51"/>
        <v>2024</v>
      </c>
    </row>
    <row r="1611" spans="1:5" x14ac:dyDescent="0.25">
      <c r="A1611" t="s">
        <v>21</v>
      </c>
      <c r="B1611" s="10">
        <f>VLOOKUP(A1611,'Datos generales'!A:B,2,0)</f>
        <v>45525.152083333327</v>
      </c>
      <c r="C1611" s="12">
        <f>VLOOKUP(A1611,'Datos generales'!A:H,8,0)</f>
        <v>564.11</v>
      </c>
      <c r="D1611" s="12" t="str">
        <f t="shared" si="50"/>
        <v>agosto</v>
      </c>
      <c r="E1611" s="33">
        <f t="shared" si="51"/>
        <v>2024</v>
      </c>
    </row>
    <row r="1612" spans="1:5" x14ac:dyDescent="0.25">
      <c r="A1612" t="s">
        <v>22</v>
      </c>
      <c r="B1612" s="10">
        <f>VLOOKUP(A1612,'Datos generales'!A:B,2,0)</f>
        <v>45580.043749999997</v>
      </c>
      <c r="C1612" s="12">
        <f>VLOOKUP(A1612,'Datos generales'!A:H,8,0)</f>
        <v>454.9</v>
      </c>
      <c r="D1612" s="12" t="str">
        <f t="shared" si="50"/>
        <v>octubre</v>
      </c>
      <c r="E1612" s="33">
        <f t="shared" si="51"/>
        <v>2024</v>
      </c>
    </row>
    <row r="1613" spans="1:5" x14ac:dyDescent="0.25">
      <c r="A1613" t="s">
        <v>23</v>
      </c>
      <c r="B1613" s="10">
        <f>VLOOKUP(A1613,'Datos generales'!A:B,2,0)</f>
        <v>45551.151388888888</v>
      </c>
      <c r="C1613" s="12">
        <f>VLOOKUP(A1613,'Datos generales'!A:H,8,0)</f>
        <v>3832.53</v>
      </c>
      <c r="D1613" s="12" t="str">
        <f t="shared" si="50"/>
        <v>septiembre</v>
      </c>
      <c r="E1613" s="33">
        <f t="shared" si="51"/>
        <v>2024</v>
      </c>
    </row>
    <row r="1614" spans="1:5" x14ac:dyDescent="0.25">
      <c r="A1614" t="s">
        <v>24</v>
      </c>
      <c r="B1614" s="10">
        <f>VLOOKUP(A1614,'Datos generales'!A:B,2,0)</f>
        <v>45230.395833333343</v>
      </c>
      <c r="C1614" s="12">
        <f>VLOOKUP(A1614,'Datos generales'!A:H,8,0)</f>
        <v>3741.9</v>
      </c>
      <c r="D1614" s="12" t="str">
        <f t="shared" si="50"/>
        <v>octubre</v>
      </c>
      <c r="E1614" s="33">
        <f t="shared" si="51"/>
        <v>2023</v>
      </c>
    </row>
    <row r="1615" spans="1:5" x14ac:dyDescent="0.25">
      <c r="A1615" t="s">
        <v>25</v>
      </c>
      <c r="B1615" s="10">
        <f>VLOOKUP(A1615,'Datos generales'!A:B,2,0)</f>
        <v>45234.645833333343</v>
      </c>
      <c r="C1615" s="12">
        <f>VLOOKUP(A1615,'Datos generales'!A:H,8,0)</f>
        <v>4908.92</v>
      </c>
      <c r="D1615" s="12" t="str">
        <f t="shared" si="50"/>
        <v>noviembre</v>
      </c>
      <c r="E1615" s="33">
        <f t="shared" si="51"/>
        <v>2023</v>
      </c>
    </row>
    <row r="1616" spans="1:5" x14ac:dyDescent="0.25">
      <c r="A1616" t="s">
        <v>26</v>
      </c>
      <c r="B1616" s="10">
        <f>VLOOKUP(A1616,'Datos generales'!A:B,2,0)</f>
        <v>45464.76666666667</v>
      </c>
      <c r="C1616" s="12">
        <f>VLOOKUP(A1616,'Datos generales'!A:H,8,0)</f>
        <v>1329.6</v>
      </c>
      <c r="D1616" s="12" t="str">
        <f t="shared" si="50"/>
        <v>junio</v>
      </c>
      <c r="E1616" s="33">
        <f t="shared" si="51"/>
        <v>2024</v>
      </c>
    </row>
    <row r="1617" spans="1:5" x14ac:dyDescent="0.25">
      <c r="A1617" t="s">
        <v>27</v>
      </c>
      <c r="B1617" s="10">
        <f>VLOOKUP(A1617,'Datos generales'!A:B,2,0)</f>
        <v>45138.240277777782</v>
      </c>
      <c r="C1617" s="12">
        <f>VLOOKUP(A1617,'Datos generales'!A:H,8,0)</f>
        <v>5202.3599999999997</v>
      </c>
      <c r="D1617" s="12" t="str">
        <f t="shared" si="50"/>
        <v>julio</v>
      </c>
      <c r="E1617" s="33">
        <f t="shared" si="51"/>
        <v>2023</v>
      </c>
    </row>
    <row r="1618" spans="1:5" x14ac:dyDescent="0.25">
      <c r="A1618" t="s">
        <v>28</v>
      </c>
      <c r="B1618" s="10">
        <f>VLOOKUP(A1618,'Datos generales'!A:B,2,0)</f>
        <v>45455.688888888893</v>
      </c>
      <c r="C1618" s="12">
        <f>VLOOKUP(A1618,'Datos generales'!A:H,8,0)</f>
        <v>1209.6199999999999</v>
      </c>
      <c r="D1618" s="12" t="str">
        <f t="shared" si="50"/>
        <v>junio</v>
      </c>
      <c r="E1618" s="33">
        <f t="shared" si="51"/>
        <v>2024</v>
      </c>
    </row>
    <row r="1619" spans="1:5" x14ac:dyDescent="0.25">
      <c r="A1619" t="s">
        <v>29</v>
      </c>
      <c r="B1619" s="10">
        <f>VLOOKUP(A1619,'Datos generales'!A:B,2,0)</f>
        <v>45301.151388888888</v>
      </c>
      <c r="C1619" s="12">
        <f>VLOOKUP(A1619,'Datos generales'!A:H,8,0)</f>
        <v>2766.99</v>
      </c>
      <c r="D1619" s="12" t="str">
        <f t="shared" si="50"/>
        <v>enero</v>
      </c>
      <c r="E1619" s="33">
        <f t="shared" si="51"/>
        <v>2024</v>
      </c>
    </row>
    <row r="1620" spans="1:5" x14ac:dyDescent="0.25">
      <c r="A1620" t="s">
        <v>30</v>
      </c>
      <c r="B1620" s="10">
        <f>VLOOKUP(A1620,'Datos generales'!A:B,2,0)</f>
        <v>45677.761111111111</v>
      </c>
      <c r="C1620" s="12">
        <f>VLOOKUP(A1620,'Datos generales'!A:H,8,0)</f>
        <v>217.68</v>
      </c>
      <c r="D1620" s="12" t="str">
        <f t="shared" si="50"/>
        <v>enero</v>
      </c>
      <c r="E1620" s="33">
        <f t="shared" si="51"/>
        <v>2025</v>
      </c>
    </row>
    <row r="1621" spans="1:5" x14ac:dyDescent="0.25">
      <c r="A1621" t="s">
        <v>31</v>
      </c>
      <c r="B1621" s="10">
        <f>VLOOKUP(A1621,'Datos generales'!A:B,2,0)</f>
        <v>45238.713888888888</v>
      </c>
      <c r="C1621" s="12">
        <f>VLOOKUP(A1621,'Datos generales'!A:H,8,0)</f>
        <v>3134.36</v>
      </c>
      <c r="D1621" s="12" t="str">
        <f t="shared" si="50"/>
        <v>noviembre</v>
      </c>
      <c r="E1621" s="33">
        <f t="shared" si="51"/>
        <v>2023</v>
      </c>
    </row>
    <row r="1622" spans="1:5" x14ac:dyDescent="0.25">
      <c r="A1622" t="s">
        <v>32</v>
      </c>
      <c r="B1622" s="10">
        <f>VLOOKUP(A1622,'Datos generales'!A:B,2,0)</f>
        <v>45231.386111111111</v>
      </c>
      <c r="C1622" s="12">
        <f>VLOOKUP(A1622,'Datos generales'!A:H,8,0)</f>
        <v>1039.5999999999999</v>
      </c>
      <c r="D1622" s="12" t="str">
        <f t="shared" si="50"/>
        <v>noviembre</v>
      </c>
      <c r="E1622" s="33">
        <f t="shared" si="51"/>
        <v>2023</v>
      </c>
    </row>
    <row r="1623" spans="1:5" x14ac:dyDescent="0.25">
      <c r="A1623" t="s">
        <v>33</v>
      </c>
      <c r="B1623" s="10">
        <f>VLOOKUP(A1623,'Datos generales'!A:B,2,0)</f>
        <v>45421.563888888893</v>
      </c>
      <c r="C1623" s="12">
        <f>VLOOKUP(A1623,'Datos generales'!A:H,8,0)</f>
        <v>1267.01</v>
      </c>
      <c r="D1623" s="12" t="str">
        <f t="shared" si="50"/>
        <v>mayo</v>
      </c>
      <c r="E1623" s="33">
        <f t="shared" si="51"/>
        <v>2024</v>
      </c>
    </row>
    <row r="1624" spans="1:5" x14ac:dyDescent="0.25">
      <c r="A1624" t="s">
        <v>34</v>
      </c>
      <c r="B1624" s="10">
        <f>VLOOKUP(A1624,'Datos generales'!A:B,2,0)</f>
        <v>45437.592361111107</v>
      </c>
      <c r="C1624" s="12">
        <f>VLOOKUP(A1624,'Datos generales'!A:H,8,0)</f>
        <v>4111.24</v>
      </c>
      <c r="D1624" s="12" t="str">
        <f t="shared" si="50"/>
        <v>mayo</v>
      </c>
      <c r="E1624" s="33">
        <f t="shared" si="51"/>
        <v>2024</v>
      </c>
    </row>
    <row r="1625" spans="1:5" x14ac:dyDescent="0.25">
      <c r="A1625" t="s">
        <v>35</v>
      </c>
      <c r="B1625" s="10">
        <f>VLOOKUP(A1625,'Datos generales'!A:B,2,0)</f>
        <v>45355.487500000003</v>
      </c>
      <c r="C1625" s="12">
        <f>VLOOKUP(A1625,'Datos generales'!A:H,8,0)</f>
        <v>2776.86</v>
      </c>
      <c r="D1625" s="12" t="str">
        <f t="shared" si="50"/>
        <v>marzo</v>
      </c>
      <c r="E1625" s="33">
        <f t="shared" si="51"/>
        <v>2024</v>
      </c>
    </row>
    <row r="1626" spans="1:5" x14ac:dyDescent="0.25">
      <c r="A1626" t="s">
        <v>36</v>
      </c>
      <c r="B1626" s="10">
        <f>VLOOKUP(A1626,'Datos generales'!A:B,2,0)</f>
        <v>45924.43472222222</v>
      </c>
      <c r="C1626" s="12">
        <f>VLOOKUP(A1626,'Datos generales'!A:H,8,0)</f>
        <v>641.13</v>
      </c>
      <c r="D1626" s="12" t="str">
        <f t="shared" si="50"/>
        <v>septiembre</v>
      </c>
      <c r="E1626" s="33">
        <f t="shared" si="51"/>
        <v>2025</v>
      </c>
    </row>
    <row r="1627" spans="1:5" x14ac:dyDescent="0.25">
      <c r="A1627" t="s">
        <v>37</v>
      </c>
      <c r="B1627" s="10">
        <f>VLOOKUP(A1627,'Datos generales'!A:B,2,0)</f>
        <v>45471.931250000001</v>
      </c>
      <c r="C1627" s="12">
        <f>VLOOKUP(A1627,'Datos generales'!A:H,8,0)</f>
        <v>2293.5</v>
      </c>
      <c r="D1627" s="12" t="str">
        <f t="shared" si="50"/>
        <v>junio</v>
      </c>
      <c r="E1627" s="33">
        <f t="shared" si="51"/>
        <v>2024</v>
      </c>
    </row>
    <row r="1628" spans="1:5" x14ac:dyDescent="0.25">
      <c r="A1628" t="s">
        <v>38</v>
      </c>
      <c r="B1628" s="10">
        <f>VLOOKUP(A1628,'Datos generales'!A:B,2,0)</f>
        <v>45003.59097222222</v>
      </c>
      <c r="C1628" s="12">
        <f>VLOOKUP(A1628,'Datos generales'!A:H,8,0)</f>
        <v>4536.3999999999996</v>
      </c>
      <c r="D1628" s="12" t="str">
        <f t="shared" si="50"/>
        <v>marzo</v>
      </c>
      <c r="E1628" s="33">
        <f t="shared" si="51"/>
        <v>2023</v>
      </c>
    </row>
    <row r="1629" spans="1:5" x14ac:dyDescent="0.25">
      <c r="A1629" t="s">
        <v>39</v>
      </c>
      <c r="B1629" s="10">
        <f>VLOOKUP(A1629,'Datos generales'!A:B,2,0)</f>
        <v>45206.394444444442</v>
      </c>
      <c r="C1629" s="12">
        <f>VLOOKUP(A1629,'Datos generales'!A:H,8,0)</f>
        <v>3468.88</v>
      </c>
      <c r="D1629" s="12" t="str">
        <f t="shared" si="50"/>
        <v>octubre</v>
      </c>
      <c r="E1629" s="33">
        <f t="shared" si="51"/>
        <v>2023</v>
      </c>
    </row>
    <row r="1630" spans="1:5" x14ac:dyDescent="0.25">
      <c r="A1630" t="s">
        <v>40</v>
      </c>
      <c r="B1630" s="10">
        <f>VLOOKUP(A1630,'Datos generales'!A:B,2,0)</f>
        <v>45595.773611111108</v>
      </c>
      <c r="C1630" s="12">
        <f>VLOOKUP(A1630,'Datos generales'!A:H,8,0)</f>
        <v>424.35</v>
      </c>
      <c r="D1630" s="12" t="str">
        <f t="shared" si="50"/>
        <v>octubre</v>
      </c>
      <c r="E1630" s="33">
        <f t="shared" si="51"/>
        <v>2024</v>
      </c>
    </row>
    <row r="1631" spans="1:5" x14ac:dyDescent="0.25">
      <c r="A1631" t="s">
        <v>41</v>
      </c>
      <c r="B1631" s="10">
        <f>VLOOKUP(A1631,'Datos generales'!A:B,2,0)</f>
        <v>45888.736805555563</v>
      </c>
      <c r="C1631" s="12">
        <f>VLOOKUP(A1631,'Datos generales'!A:H,8,0)</f>
        <v>252.57</v>
      </c>
      <c r="D1631" s="12" t="str">
        <f t="shared" si="50"/>
        <v>agosto</v>
      </c>
      <c r="E1631" s="33">
        <f t="shared" si="51"/>
        <v>2025</v>
      </c>
    </row>
    <row r="1632" spans="1:5" x14ac:dyDescent="0.25">
      <c r="A1632" t="s">
        <v>42</v>
      </c>
      <c r="B1632" s="10">
        <f>VLOOKUP(A1632,'Datos generales'!A:B,2,0)</f>
        <v>45478.06527777778</v>
      </c>
      <c r="C1632" s="12">
        <f>VLOOKUP(A1632,'Datos generales'!A:H,8,0)</f>
        <v>64.679999999999993</v>
      </c>
      <c r="D1632" s="12" t="str">
        <f t="shared" si="50"/>
        <v>julio</v>
      </c>
      <c r="E1632" s="33">
        <f t="shared" si="51"/>
        <v>2024</v>
      </c>
    </row>
    <row r="1633" spans="1:5" x14ac:dyDescent="0.25">
      <c r="A1633" t="s">
        <v>43</v>
      </c>
      <c r="B1633" s="10">
        <f>VLOOKUP(A1633,'Datos generales'!A:B,2,0)</f>
        <v>45402.668749999997</v>
      </c>
      <c r="C1633" s="12">
        <f>VLOOKUP(A1633,'Datos generales'!A:H,8,0)</f>
        <v>446.81</v>
      </c>
      <c r="D1633" s="12" t="str">
        <f t="shared" si="50"/>
        <v>abril</v>
      </c>
      <c r="E1633" s="33">
        <f t="shared" si="51"/>
        <v>2024</v>
      </c>
    </row>
    <row r="1634" spans="1:5" x14ac:dyDescent="0.25">
      <c r="A1634" t="s">
        <v>44</v>
      </c>
      <c r="B1634" s="10">
        <f>VLOOKUP(A1634,'Datos generales'!A:B,2,0)</f>
        <v>45033.806944444441</v>
      </c>
      <c r="C1634" s="12">
        <f>VLOOKUP(A1634,'Datos generales'!A:H,8,0)</f>
        <v>129.34</v>
      </c>
      <c r="D1634" s="12" t="str">
        <f t="shared" si="50"/>
        <v>abril</v>
      </c>
      <c r="E1634" s="33">
        <f t="shared" si="51"/>
        <v>2023</v>
      </c>
    </row>
    <row r="1635" spans="1:5" x14ac:dyDescent="0.25">
      <c r="A1635" t="s">
        <v>45</v>
      </c>
      <c r="B1635" s="10">
        <f>VLOOKUP(A1635,'Datos generales'!A:B,2,0)</f>
        <v>45432.781944444447</v>
      </c>
      <c r="C1635" s="12">
        <f>VLOOKUP(A1635,'Datos generales'!A:H,8,0)</f>
        <v>5841.75</v>
      </c>
      <c r="D1635" s="12" t="str">
        <f t="shared" si="50"/>
        <v>mayo</v>
      </c>
      <c r="E1635" s="33">
        <f t="shared" si="51"/>
        <v>2024</v>
      </c>
    </row>
    <row r="1636" spans="1:5" x14ac:dyDescent="0.25">
      <c r="A1636" t="s">
        <v>46</v>
      </c>
      <c r="B1636" s="10">
        <f>VLOOKUP(A1636,'Datos generales'!A:B,2,0)</f>
        <v>45746.083333333343</v>
      </c>
      <c r="C1636" s="12">
        <f>VLOOKUP(A1636,'Datos generales'!A:H,8,0)</f>
        <v>698.6</v>
      </c>
      <c r="D1636" s="12" t="str">
        <f t="shared" si="50"/>
        <v>marzo</v>
      </c>
      <c r="E1636" s="33">
        <f t="shared" si="51"/>
        <v>2025</v>
      </c>
    </row>
    <row r="1637" spans="1:5" x14ac:dyDescent="0.25">
      <c r="A1637" t="s">
        <v>47</v>
      </c>
      <c r="B1637" s="10">
        <f>VLOOKUP(A1637,'Datos generales'!A:B,2,0)</f>
        <v>45515.355555555558</v>
      </c>
      <c r="C1637" s="12">
        <f>VLOOKUP(A1637,'Datos generales'!A:H,8,0)</f>
        <v>3462.18</v>
      </c>
      <c r="D1637" s="12" t="str">
        <f t="shared" si="50"/>
        <v>agosto</v>
      </c>
      <c r="E1637" s="33">
        <f t="shared" si="51"/>
        <v>2024</v>
      </c>
    </row>
    <row r="1638" spans="1:5" x14ac:dyDescent="0.25">
      <c r="A1638" t="s">
        <v>48</v>
      </c>
      <c r="B1638" s="10">
        <f>VLOOKUP(A1638,'Datos generales'!A:B,2,0)</f>
        <v>45730.554861111108</v>
      </c>
      <c r="C1638" s="12">
        <f>VLOOKUP(A1638,'Datos generales'!A:H,8,0)</f>
        <v>6265.48</v>
      </c>
      <c r="D1638" s="12" t="str">
        <f t="shared" si="50"/>
        <v>marzo</v>
      </c>
      <c r="E1638" s="33">
        <f t="shared" si="51"/>
        <v>2025</v>
      </c>
    </row>
    <row r="1639" spans="1:5" x14ac:dyDescent="0.25">
      <c r="A1639" t="s">
        <v>49</v>
      </c>
      <c r="B1639" s="10">
        <f>VLOOKUP(A1639,'Datos generales'!A:B,2,0)</f>
        <v>45603.252083333333</v>
      </c>
      <c r="C1639" s="12">
        <f>VLOOKUP(A1639,'Datos generales'!A:H,8,0)</f>
        <v>1348.96</v>
      </c>
      <c r="D1639" s="12" t="str">
        <f t="shared" si="50"/>
        <v>noviembre</v>
      </c>
      <c r="E1639" s="33">
        <f t="shared" si="51"/>
        <v>2024</v>
      </c>
    </row>
    <row r="1640" spans="1:5" x14ac:dyDescent="0.25">
      <c r="A1640" t="s">
        <v>50</v>
      </c>
      <c r="B1640" s="10">
        <f>VLOOKUP(A1640,'Datos generales'!A:B,2,0)</f>
        <v>45420.054861111108</v>
      </c>
      <c r="C1640" s="12">
        <f>VLOOKUP(A1640,'Datos generales'!A:H,8,0)</f>
        <v>3087.96</v>
      </c>
      <c r="D1640" s="12" t="str">
        <f t="shared" si="50"/>
        <v>mayo</v>
      </c>
      <c r="E1640" s="33">
        <f t="shared" si="51"/>
        <v>2024</v>
      </c>
    </row>
    <row r="1641" spans="1:5" x14ac:dyDescent="0.25">
      <c r="A1641" t="s">
        <v>51</v>
      </c>
      <c r="B1641" s="10">
        <f>VLOOKUP(A1641,'Datos generales'!A:B,2,0)</f>
        <v>44931.743055555547</v>
      </c>
      <c r="C1641" s="12">
        <f>VLOOKUP(A1641,'Datos generales'!A:H,8,0)</f>
        <v>4586.5499999999993</v>
      </c>
      <c r="D1641" s="12" t="str">
        <f t="shared" si="50"/>
        <v>enero</v>
      </c>
      <c r="E1641" s="33">
        <f t="shared" si="51"/>
        <v>2023</v>
      </c>
    </row>
    <row r="1642" spans="1:5" x14ac:dyDescent="0.25">
      <c r="A1642" t="s">
        <v>52</v>
      </c>
      <c r="B1642" s="10">
        <f>VLOOKUP(A1642,'Datos generales'!A:B,2,0)</f>
        <v>45326.684027777781</v>
      </c>
      <c r="C1642" s="12">
        <f>VLOOKUP(A1642,'Datos generales'!A:H,8,0)</f>
        <v>1801.44</v>
      </c>
      <c r="D1642" s="12" t="str">
        <f t="shared" si="50"/>
        <v>febrero</v>
      </c>
      <c r="E1642" s="33">
        <f t="shared" si="51"/>
        <v>2024</v>
      </c>
    </row>
    <row r="1643" spans="1:5" x14ac:dyDescent="0.25">
      <c r="A1643" t="s">
        <v>53</v>
      </c>
      <c r="B1643" s="10">
        <f>VLOOKUP(A1643,'Datos generales'!A:B,2,0)</f>
        <v>45146.872916666667</v>
      </c>
      <c r="C1643" s="12">
        <f>VLOOKUP(A1643,'Datos generales'!A:H,8,0)</f>
        <v>1510.96</v>
      </c>
      <c r="D1643" s="12" t="str">
        <f t="shared" si="50"/>
        <v>agosto</v>
      </c>
      <c r="E1643" s="33">
        <f t="shared" si="51"/>
        <v>2023</v>
      </c>
    </row>
    <row r="1644" spans="1:5" x14ac:dyDescent="0.25">
      <c r="A1644" t="s">
        <v>54</v>
      </c>
      <c r="B1644" s="10">
        <f>VLOOKUP(A1644,'Datos generales'!A:B,2,0)</f>
        <v>45464.595833333333</v>
      </c>
      <c r="C1644" s="12">
        <f>VLOOKUP(A1644,'Datos generales'!A:H,8,0)</f>
        <v>5566.65</v>
      </c>
      <c r="D1644" s="12" t="str">
        <f t="shared" si="50"/>
        <v>junio</v>
      </c>
      <c r="E1644" s="33">
        <f t="shared" si="51"/>
        <v>2024</v>
      </c>
    </row>
    <row r="1645" spans="1:5" x14ac:dyDescent="0.25">
      <c r="A1645" t="s">
        <v>55</v>
      </c>
      <c r="B1645" s="10">
        <f>VLOOKUP(A1645,'Datos generales'!A:B,2,0)</f>
        <v>45171.9</v>
      </c>
      <c r="C1645" s="12">
        <f>VLOOKUP(A1645,'Datos generales'!A:H,8,0)</f>
        <v>5058.75</v>
      </c>
      <c r="D1645" s="12" t="str">
        <f t="shared" si="50"/>
        <v>septiembre</v>
      </c>
      <c r="E1645" s="33">
        <f t="shared" si="51"/>
        <v>2023</v>
      </c>
    </row>
    <row r="1646" spans="1:5" x14ac:dyDescent="0.25">
      <c r="A1646" t="s">
        <v>56</v>
      </c>
      <c r="B1646" s="10">
        <f>VLOOKUP(A1646,'Datos generales'!A:B,2,0)</f>
        <v>44992.136111111111</v>
      </c>
      <c r="C1646" s="12">
        <f>VLOOKUP(A1646,'Datos generales'!A:H,8,0)</f>
        <v>6091.7</v>
      </c>
      <c r="D1646" s="12" t="str">
        <f t="shared" si="50"/>
        <v>marzo</v>
      </c>
      <c r="E1646" s="33">
        <f t="shared" si="51"/>
        <v>2023</v>
      </c>
    </row>
    <row r="1647" spans="1:5" x14ac:dyDescent="0.25">
      <c r="A1647" t="s">
        <v>57</v>
      </c>
      <c r="B1647" s="10">
        <f>VLOOKUP(A1647,'Datos generales'!A:B,2,0)</f>
        <v>44927.061111111107</v>
      </c>
      <c r="C1647" s="12">
        <f>VLOOKUP(A1647,'Datos generales'!A:H,8,0)</f>
        <v>723.18</v>
      </c>
      <c r="D1647" s="12" t="str">
        <f t="shared" si="50"/>
        <v>enero</v>
      </c>
      <c r="E1647" s="33">
        <f t="shared" si="51"/>
        <v>2023</v>
      </c>
    </row>
    <row r="1648" spans="1:5" x14ac:dyDescent="0.25">
      <c r="A1648" t="s">
        <v>58</v>
      </c>
      <c r="B1648" s="10">
        <f>VLOOKUP(A1648,'Datos generales'!A:B,2,0)</f>
        <v>45097.359027777777</v>
      </c>
      <c r="C1648" s="12">
        <f>VLOOKUP(A1648,'Datos generales'!A:H,8,0)</f>
        <v>4794</v>
      </c>
      <c r="D1648" s="12" t="str">
        <f t="shared" si="50"/>
        <v>junio</v>
      </c>
      <c r="E1648" s="33">
        <f t="shared" si="51"/>
        <v>2023</v>
      </c>
    </row>
    <row r="1649" spans="1:5" x14ac:dyDescent="0.25">
      <c r="A1649" t="s">
        <v>59</v>
      </c>
      <c r="B1649" s="10">
        <f>VLOOKUP(A1649,'Datos generales'!A:B,2,0)</f>
        <v>45755.288194444453</v>
      </c>
      <c r="C1649" s="12">
        <f>VLOOKUP(A1649,'Datos generales'!A:H,8,0)</f>
        <v>8884.3499999999985</v>
      </c>
      <c r="D1649" s="12" t="str">
        <f t="shared" si="50"/>
        <v>abril</v>
      </c>
      <c r="E1649" s="33">
        <f t="shared" si="51"/>
        <v>2025</v>
      </c>
    </row>
    <row r="1650" spans="1:5" x14ac:dyDescent="0.25">
      <c r="A1650" t="s">
        <v>60</v>
      </c>
      <c r="B1650" s="10">
        <f>VLOOKUP(A1650,'Datos generales'!A:B,2,0)</f>
        <v>45782.866666666669</v>
      </c>
      <c r="C1650" s="12">
        <f>VLOOKUP(A1650,'Datos generales'!A:H,8,0)</f>
        <v>1467.34</v>
      </c>
      <c r="D1650" s="12" t="str">
        <f t="shared" si="50"/>
        <v>mayo</v>
      </c>
      <c r="E1650" s="33">
        <f t="shared" si="51"/>
        <v>2025</v>
      </c>
    </row>
    <row r="1651" spans="1:5" x14ac:dyDescent="0.25">
      <c r="A1651" t="s">
        <v>61</v>
      </c>
      <c r="B1651" s="10">
        <f>VLOOKUP(A1651,'Datos generales'!A:B,2,0)</f>
        <v>45819.341666666667</v>
      </c>
      <c r="C1651" s="12">
        <f>VLOOKUP(A1651,'Datos generales'!A:H,8,0)</f>
        <v>2051.73</v>
      </c>
      <c r="D1651" s="12" t="str">
        <f t="shared" si="50"/>
        <v>junio</v>
      </c>
      <c r="E1651" s="33">
        <f t="shared" si="51"/>
        <v>2025</v>
      </c>
    </row>
    <row r="1652" spans="1:5" x14ac:dyDescent="0.25">
      <c r="A1652" t="s">
        <v>62</v>
      </c>
      <c r="B1652" s="10">
        <f>VLOOKUP(A1652,'Datos generales'!A:B,2,0)</f>
        <v>45441.993055555547</v>
      </c>
      <c r="C1652" s="12">
        <f>VLOOKUP(A1652,'Datos generales'!A:H,8,0)</f>
        <v>1083.8599999999999</v>
      </c>
      <c r="D1652" s="12" t="str">
        <f t="shared" si="50"/>
        <v>mayo</v>
      </c>
      <c r="E1652" s="33">
        <f t="shared" si="51"/>
        <v>2024</v>
      </c>
    </row>
    <row r="1653" spans="1:5" x14ac:dyDescent="0.25">
      <c r="A1653" t="s">
        <v>63</v>
      </c>
      <c r="B1653" s="10">
        <f>VLOOKUP(A1653,'Datos generales'!A:B,2,0)</f>
        <v>45180.999305555553</v>
      </c>
      <c r="C1653" s="12">
        <f>VLOOKUP(A1653,'Datos generales'!A:H,8,0)</f>
        <v>3103.7</v>
      </c>
      <c r="D1653" s="12" t="str">
        <f t="shared" si="50"/>
        <v>septiembre</v>
      </c>
      <c r="E1653" s="33">
        <f t="shared" si="51"/>
        <v>2023</v>
      </c>
    </row>
    <row r="1654" spans="1:5" x14ac:dyDescent="0.25">
      <c r="A1654" t="s">
        <v>64</v>
      </c>
      <c r="B1654" s="10">
        <f>VLOOKUP(A1654,'Datos generales'!A:B,2,0)</f>
        <v>45624.619444444441</v>
      </c>
      <c r="C1654" s="12">
        <f>VLOOKUP(A1654,'Datos generales'!A:H,8,0)</f>
        <v>6841.35</v>
      </c>
      <c r="D1654" s="12" t="str">
        <f t="shared" si="50"/>
        <v>noviembre</v>
      </c>
      <c r="E1654" s="33">
        <f t="shared" si="51"/>
        <v>2024</v>
      </c>
    </row>
    <row r="1655" spans="1:5" x14ac:dyDescent="0.25">
      <c r="A1655" t="s">
        <v>65</v>
      </c>
      <c r="B1655" s="10">
        <f>VLOOKUP(A1655,'Datos generales'!A:B,2,0)</f>
        <v>45447.955555555563</v>
      </c>
      <c r="C1655" s="12">
        <f>VLOOKUP(A1655,'Datos generales'!A:H,8,0)</f>
        <v>7275.52</v>
      </c>
      <c r="D1655" s="12" t="str">
        <f t="shared" si="50"/>
        <v>junio</v>
      </c>
      <c r="E1655" s="33">
        <f t="shared" si="51"/>
        <v>2024</v>
      </c>
    </row>
    <row r="1656" spans="1:5" x14ac:dyDescent="0.25">
      <c r="A1656" t="s">
        <v>66</v>
      </c>
      <c r="B1656" s="10">
        <f>VLOOKUP(A1656,'Datos generales'!A:B,2,0)</f>
        <v>45051.74722222222</v>
      </c>
      <c r="C1656" s="12">
        <f>VLOOKUP(A1656,'Datos generales'!A:H,8,0)</f>
        <v>6405.28</v>
      </c>
      <c r="D1656" s="12" t="str">
        <f t="shared" si="50"/>
        <v>mayo</v>
      </c>
      <c r="E1656" s="33">
        <f t="shared" si="51"/>
        <v>2023</v>
      </c>
    </row>
    <row r="1657" spans="1:5" x14ac:dyDescent="0.25">
      <c r="A1657" t="s">
        <v>67</v>
      </c>
      <c r="B1657" s="10">
        <f>VLOOKUP(A1657,'Datos generales'!A:B,2,0)</f>
        <v>45019.26666666667</v>
      </c>
      <c r="C1657" s="12">
        <f>VLOOKUP(A1657,'Datos generales'!A:H,8,0)</f>
        <v>711.16</v>
      </c>
      <c r="D1657" s="12" t="str">
        <f t="shared" si="50"/>
        <v>abril</v>
      </c>
      <c r="E1657" s="33">
        <f t="shared" si="51"/>
        <v>2023</v>
      </c>
    </row>
    <row r="1658" spans="1:5" x14ac:dyDescent="0.25">
      <c r="A1658" t="s">
        <v>68</v>
      </c>
      <c r="B1658" s="10">
        <f>VLOOKUP(A1658,'Datos generales'!A:B,2,0)</f>
        <v>44969.094444444447</v>
      </c>
      <c r="C1658" s="12">
        <f>VLOOKUP(A1658,'Datos generales'!A:H,8,0)</f>
        <v>83.48</v>
      </c>
      <c r="D1658" s="12" t="str">
        <f t="shared" si="50"/>
        <v>febrero</v>
      </c>
      <c r="E1658" s="33">
        <f t="shared" si="51"/>
        <v>2023</v>
      </c>
    </row>
    <row r="1659" spans="1:5" x14ac:dyDescent="0.25">
      <c r="A1659" t="s">
        <v>69</v>
      </c>
      <c r="B1659" s="10">
        <f>VLOOKUP(A1659,'Datos generales'!A:B,2,0)</f>
        <v>45091.519444444442</v>
      </c>
      <c r="C1659" s="12">
        <f>VLOOKUP(A1659,'Datos generales'!A:H,8,0)</f>
        <v>1372.72</v>
      </c>
      <c r="D1659" s="12" t="str">
        <f t="shared" si="50"/>
        <v>junio</v>
      </c>
      <c r="E1659" s="33">
        <f t="shared" si="51"/>
        <v>2023</v>
      </c>
    </row>
    <row r="1660" spans="1:5" x14ac:dyDescent="0.25">
      <c r="A1660" t="s">
        <v>70</v>
      </c>
      <c r="B1660" s="10">
        <f>VLOOKUP(A1660,'Datos generales'!A:B,2,0)</f>
        <v>45494</v>
      </c>
      <c r="C1660" s="12">
        <f>VLOOKUP(A1660,'Datos generales'!A:H,8,0)</f>
        <v>1618.91</v>
      </c>
      <c r="D1660" s="12" t="str">
        <f t="shared" si="50"/>
        <v>julio</v>
      </c>
      <c r="E1660" s="33">
        <f t="shared" si="51"/>
        <v>2024</v>
      </c>
    </row>
    <row r="1661" spans="1:5" x14ac:dyDescent="0.25">
      <c r="A1661" t="s">
        <v>71</v>
      </c>
      <c r="B1661" s="10">
        <f>VLOOKUP(A1661,'Datos generales'!A:B,2,0)</f>
        <v>45364.463194444441</v>
      </c>
      <c r="C1661" s="12">
        <f>VLOOKUP(A1661,'Datos generales'!A:H,8,0)</f>
        <v>2122.6</v>
      </c>
      <c r="D1661" s="12" t="str">
        <f t="shared" si="50"/>
        <v>marzo</v>
      </c>
      <c r="E1661" s="33">
        <f t="shared" si="51"/>
        <v>2024</v>
      </c>
    </row>
    <row r="1662" spans="1:5" x14ac:dyDescent="0.25">
      <c r="A1662" t="s">
        <v>72</v>
      </c>
      <c r="B1662" s="10">
        <f>VLOOKUP(A1662,'Datos generales'!A:B,2,0)</f>
        <v>45583.023611111108</v>
      </c>
      <c r="C1662" s="12">
        <f>VLOOKUP(A1662,'Datos generales'!A:H,8,0)</f>
        <v>2094.15</v>
      </c>
      <c r="D1662" s="12" t="str">
        <f t="shared" si="50"/>
        <v>octubre</v>
      </c>
      <c r="E1662" s="33">
        <f t="shared" si="51"/>
        <v>2024</v>
      </c>
    </row>
    <row r="1663" spans="1:5" x14ac:dyDescent="0.25">
      <c r="A1663" t="s">
        <v>73</v>
      </c>
      <c r="B1663" s="10">
        <f>VLOOKUP(A1663,'Datos generales'!A:B,2,0)</f>
        <v>45779.546527777777</v>
      </c>
      <c r="C1663" s="12">
        <f>VLOOKUP(A1663,'Datos generales'!A:H,8,0)</f>
        <v>1994.94</v>
      </c>
      <c r="D1663" s="12" t="str">
        <f t="shared" si="50"/>
        <v>mayo</v>
      </c>
      <c r="E1663" s="33">
        <f t="shared" si="51"/>
        <v>2025</v>
      </c>
    </row>
    <row r="1664" spans="1:5" x14ac:dyDescent="0.25">
      <c r="A1664" t="s">
        <v>74</v>
      </c>
      <c r="B1664" s="10">
        <f>VLOOKUP(A1664,'Datos generales'!A:B,2,0)</f>
        <v>45516.480555555558</v>
      </c>
      <c r="C1664" s="12">
        <f>VLOOKUP(A1664,'Datos generales'!A:H,8,0)</f>
        <v>1322.41</v>
      </c>
      <c r="D1664" s="12" t="str">
        <f t="shared" si="50"/>
        <v>agosto</v>
      </c>
      <c r="E1664" s="33">
        <f t="shared" si="51"/>
        <v>2024</v>
      </c>
    </row>
    <row r="1665" spans="1:5" x14ac:dyDescent="0.25">
      <c r="A1665" t="s">
        <v>75</v>
      </c>
      <c r="B1665" s="10">
        <f>VLOOKUP(A1665,'Datos generales'!A:B,2,0)</f>
        <v>45285.25277777778</v>
      </c>
      <c r="C1665" s="12">
        <f>VLOOKUP(A1665,'Datos generales'!A:H,8,0)</f>
        <v>5869.08</v>
      </c>
      <c r="D1665" s="12" t="str">
        <f t="shared" si="50"/>
        <v>diciembre</v>
      </c>
      <c r="E1665" s="33">
        <f t="shared" si="51"/>
        <v>2023</v>
      </c>
    </row>
    <row r="1666" spans="1:5" x14ac:dyDescent="0.25">
      <c r="A1666" t="s">
        <v>76</v>
      </c>
      <c r="B1666" s="10">
        <f>VLOOKUP(A1666,'Datos generales'!A:B,2,0)</f>
        <v>45297.965277777781</v>
      </c>
      <c r="C1666" s="12">
        <f>VLOOKUP(A1666,'Datos generales'!A:H,8,0)</f>
        <v>7216.48</v>
      </c>
      <c r="D1666" s="12" t="str">
        <f t="shared" si="50"/>
        <v>enero</v>
      </c>
      <c r="E1666" s="33">
        <f t="shared" si="51"/>
        <v>2024</v>
      </c>
    </row>
    <row r="1667" spans="1:5" x14ac:dyDescent="0.25">
      <c r="A1667" t="s">
        <v>77</v>
      </c>
      <c r="B1667" s="10">
        <f>VLOOKUP(A1667,'Datos generales'!A:B,2,0)</f>
        <v>45434.519444444442</v>
      </c>
      <c r="C1667" s="12">
        <f>VLOOKUP(A1667,'Datos generales'!A:H,8,0)</f>
        <v>1172.72</v>
      </c>
      <c r="D1667" s="12" t="str">
        <f t="shared" ref="D1667:D1730" si="52">TEXT(B1667,"mmmm")</f>
        <v>mayo</v>
      </c>
      <c r="E1667" s="33">
        <f t="shared" ref="E1667:E1730" si="53">YEAR(B1667)</f>
        <v>2024</v>
      </c>
    </row>
    <row r="1668" spans="1:5" x14ac:dyDescent="0.25">
      <c r="A1668" t="s">
        <v>78</v>
      </c>
      <c r="B1668" s="10">
        <f>VLOOKUP(A1668,'Datos generales'!A:B,2,0)</f>
        <v>45290.050694444442</v>
      </c>
      <c r="C1668" s="12">
        <f>VLOOKUP(A1668,'Datos generales'!A:H,8,0)</f>
        <v>725.07</v>
      </c>
      <c r="D1668" s="12" t="str">
        <f t="shared" si="52"/>
        <v>diciembre</v>
      </c>
      <c r="E1668" s="33">
        <f t="shared" si="53"/>
        <v>2023</v>
      </c>
    </row>
    <row r="1669" spans="1:5" x14ac:dyDescent="0.25">
      <c r="A1669" t="s">
        <v>79</v>
      </c>
      <c r="B1669" s="10">
        <f>VLOOKUP(A1669,'Datos generales'!A:B,2,0)</f>
        <v>45684.334027777782</v>
      </c>
      <c r="C1669" s="12">
        <f>VLOOKUP(A1669,'Datos generales'!A:H,8,0)</f>
        <v>2818.45</v>
      </c>
      <c r="D1669" s="12" t="str">
        <f t="shared" si="52"/>
        <v>enero</v>
      </c>
      <c r="E1669" s="33">
        <f t="shared" si="53"/>
        <v>2025</v>
      </c>
    </row>
    <row r="1670" spans="1:5" x14ac:dyDescent="0.25">
      <c r="A1670" t="s">
        <v>80</v>
      </c>
      <c r="B1670" s="10">
        <f>VLOOKUP(A1670,'Datos generales'!A:B,2,0)</f>
        <v>45222.202777777777</v>
      </c>
      <c r="C1670" s="12">
        <f>VLOOKUP(A1670,'Datos generales'!A:H,8,0)</f>
        <v>7737.05</v>
      </c>
      <c r="D1670" s="12" t="str">
        <f t="shared" si="52"/>
        <v>octubre</v>
      </c>
      <c r="E1670" s="33">
        <f t="shared" si="53"/>
        <v>2023</v>
      </c>
    </row>
    <row r="1671" spans="1:5" x14ac:dyDescent="0.25">
      <c r="A1671" t="s">
        <v>81</v>
      </c>
      <c r="B1671" s="10">
        <f>VLOOKUP(A1671,'Datos generales'!A:B,2,0)</f>
        <v>45274.597916666673</v>
      </c>
      <c r="C1671" s="12">
        <f>VLOOKUP(A1671,'Datos generales'!A:H,8,0)</f>
        <v>3807.3</v>
      </c>
      <c r="D1671" s="12" t="str">
        <f t="shared" si="52"/>
        <v>diciembre</v>
      </c>
      <c r="E1671" s="33">
        <f t="shared" si="53"/>
        <v>2023</v>
      </c>
    </row>
    <row r="1672" spans="1:5" x14ac:dyDescent="0.25">
      <c r="A1672" t="s">
        <v>82</v>
      </c>
      <c r="B1672" s="10">
        <f>VLOOKUP(A1672,'Datos generales'!A:B,2,0)</f>
        <v>45358.874305555553</v>
      </c>
      <c r="C1672" s="12">
        <f>VLOOKUP(A1672,'Datos generales'!A:H,8,0)</f>
        <v>2396.4</v>
      </c>
      <c r="D1672" s="12" t="str">
        <f t="shared" si="52"/>
        <v>marzo</v>
      </c>
      <c r="E1672" s="33">
        <f t="shared" si="53"/>
        <v>2024</v>
      </c>
    </row>
    <row r="1673" spans="1:5" x14ac:dyDescent="0.25">
      <c r="A1673" t="s">
        <v>83</v>
      </c>
      <c r="B1673" s="10">
        <f>VLOOKUP(A1673,'Datos generales'!A:B,2,0)</f>
        <v>45850.171527777777</v>
      </c>
      <c r="C1673" s="12">
        <f>VLOOKUP(A1673,'Datos generales'!A:H,8,0)</f>
        <v>1631.16</v>
      </c>
      <c r="D1673" s="12" t="str">
        <f t="shared" si="52"/>
        <v>julio</v>
      </c>
      <c r="E1673" s="33">
        <f t="shared" si="53"/>
        <v>2025</v>
      </c>
    </row>
    <row r="1674" spans="1:5" x14ac:dyDescent="0.25">
      <c r="A1674" t="s">
        <v>84</v>
      </c>
      <c r="B1674" s="10">
        <f>VLOOKUP(A1674,'Datos generales'!A:B,2,0)</f>
        <v>45041.884027777778</v>
      </c>
      <c r="C1674" s="12">
        <f>VLOOKUP(A1674,'Datos generales'!A:H,8,0)</f>
        <v>2899.06</v>
      </c>
      <c r="D1674" s="12" t="str">
        <f t="shared" si="52"/>
        <v>abril</v>
      </c>
      <c r="E1674" s="33">
        <f t="shared" si="53"/>
        <v>2023</v>
      </c>
    </row>
    <row r="1675" spans="1:5" x14ac:dyDescent="0.25">
      <c r="A1675" t="s">
        <v>85</v>
      </c>
      <c r="B1675" s="10">
        <f>VLOOKUP(A1675,'Datos generales'!A:B,2,0)</f>
        <v>45564.772916666669</v>
      </c>
      <c r="C1675" s="12">
        <f>VLOOKUP(A1675,'Datos generales'!A:H,8,0)</f>
        <v>2362.1</v>
      </c>
      <c r="D1675" s="12" t="str">
        <f t="shared" si="52"/>
        <v>septiembre</v>
      </c>
      <c r="E1675" s="33">
        <f t="shared" si="53"/>
        <v>2024</v>
      </c>
    </row>
    <row r="1676" spans="1:5" x14ac:dyDescent="0.25">
      <c r="A1676" t="s">
        <v>86</v>
      </c>
      <c r="B1676" s="10">
        <f>VLOOKUP(A1676,'Datos generales'!A:B,2,0)</f>
        <v>45118.247916666667</v>
      </c>
      <c r="C1676" s="12">
        <f>VLOOKUP(A1676,'Datos generales'!A:H,8,0)</f>
        <v>1103.7</v>
      </c>
      <c r="D1676" s="12" t="str">
        <f t="shared" si="52"/>
        <v>julio</v>
      </c>
      <c r="E1676" s="33">
        <f t="shared" si="53"/>
        <v>2023</v>
      </c>
    </row>
    <row r="1677" spans="1:5" x14ac:dyDescent="0.25">
      <c r="A1677" t="s">
        <v>87</v>
      </c>
      <c r="B1677" s="10">
        <f>VLOOKUP(A1677,'Datos generales'!A:B,2,0)</f>
        <v>45717.986111111109</v>
      </c>
      <c r="C1677" s="12">
        <f>VLOOKUP(A1677,'Datos generales'!A:H,8,0)</f>
        <v>3697.55</v>
      </c>
      <c r="D1677" s="12" t="str">
        <f t="shared" si="52"/>
        <v>marzo</v>
      </c>
      <c r="E1677" s="33">
        <f t="shared" si="53"/>
        <v>2025</v>
      </c>
    </row>
    <row r="1678" spans="1:5" x14ac:dyDescent="0.25">
      <c r="A1678" t="s">
        <v>88</v>
      </c>
      <c r="B1678" s="10">
        <f>VLOOKUP(A1678,'Datos generales'!A:B,2,0)</f>
        <v>45162.795138888891</v>
      </c>
      <c r="C1678" s="12">
        <f>VLOOKUP(A1678,'Datos generales'!A:H,8,0)</f>
        <v>2178.2600000000002</v>
      </c>
      <c r="D1678" s="12" t="str">
        <f t="shared" si="52"/>
        <v>agosto</v>
      </c>
      <c r="E1678" s="33">
        <f t="shared" si="53"/>
        <v>2023</v>
      </c>
    </row>
    <row r="1679" spans="1:5" x14ac:dyDescent="0.25">
      <c r="A1679" t="s">
        <v>89</v>
      </c>
      <c r="B1679" s="10">
        <f>VLOOKUP(A1679,'Datos generales'!A:B,2,0)</f>
        <v>45517.353472222218</v>
      </c>
      <c r="C1679" s="12">
        <f>VLOOKUP(A1679,'Datos generales'!A:H,8,0)</f>
        <v>8163.75</v>
      </c>
      <c r="D1679" s="12" t="str">
        <f t="shared" si="52"/>
        <v>agosto</v>
      </c>
      <c r="E1679" s="33">
        <f t="shared" si="53"/>
        <v>2024</v>
      </c>
    </row>
    <row r="1680" spans="1:5" x14ac:dyDescent="0.25">
      <c r="A1680" t="s">
        <v>90</v>
      </c>
      <c r="B1680" s="10">
        <f>VLOOKUP(A1680,'Datos generales'!A:B,2,0)</f>
        <v>45245.664583333331</v>
      </c>
      <c r="C1680" s="12">
        <f>VLOOKUP(A1680,'Datos generales'!A:H,8,0)</f>
        <v>2452.0500000000002</v>
      </c>
      <c r="D1680" s="12" t="str">
        <f t="shared" si="52"/>
        <v>noviembre</v>
      </c>
      <c r="E1680" s="33">
        <f t="shared" si="53"/>
        <v>2023</v>
      </c>
    </row>
    <row r="1681" spans="1:5" x14ac:dyDescent="0.25">
      <c r="A1681" t="s">
        <v>91</v>
      </c>
      <c r="B1681" s="10">
        <f>VLOOKUP(A1681,'Datos generales'!A:B,2,0)</f>
        <v>45603.368055555547</v>
      </c>
      <c r="C1681" s="12">
        <f>VLOOKUP(A1681,'Datos generales'!A:H,8,0)</f>
        <v>2373.16</v>
      </c>
      <c r="D1681" s="12" t="str">
        <f t="shared" si="52"/>
        <v>noviembre</v>
      </c>
      <c r="E1681" s="33">
        <f t="shared" si="53"/>
        <v>2024</v>
      </c>
    </row>
    <row r="1682" spans="1:5" x14ac:dyDescent="0.25">
      <c r="A1682" t="s">
        <v>92</v>
      </c>
      <c r="B1682" s="10">
        <f>VLOOKUP(A1682,'Datos generales'!A:B,2,0)</f>
        <v>44990.597916666673</v>
      </c>
      <c r="C1682" s="12">
        <f>VLOOKUP(A1682,'Datos generales'!A:H,8,0)</f>
        <v>3745.6</v>
      </c>
      <c r="D1682" s="12" t="str">
        <f t="shared" si="52"/>
        <v>marzo</v>
      </c>
      <c r="E1682" s="33">
        <f t="shared" si="53"/>
        <v>2023</v>
      </c>
    </row>
    <row r="1683" spans="1:5" x14ac:dyDescent="0.25">
      <c r="A1683" t="s">
        <v>93</v>
      </c>
      <c r="B1683" s="10">
        <f>VLOOKUP(A1683,'Datos generales'!A:B,2,0)</f>
        <v>45273.106249999997</v>
      </c>
      <c r="C1683" s="12">
        <f>VLOOKUP(A1683,'Datos generales'!A:H,8,0)</f>
        <v>2040.57</v>
      </c>
      <c r="D1683" s="12" t="str">
        <f t="shared" si="52"/>
        <v>diciembre</v>
      </c>
      <c r="E1683" s="33">
        <f t="shared" si="53"/>
        <v>2023</v>
      </c>
    </row>
    <row r="1684" spans="1:5" x14ac:dyDescent="0.25">
      <c r="A1684" t="s">
        <v>94</v>
      </c>
      <c r="B1684" s="10">
        <f>VLOOKUP(A1684,'Datos generales'!A:B,2,0)</f>
        <v>45022.271527777782</v>
      </c>
      <c r="C1684" s="12">
        <f>VLOOKUP(A1684,'Datos generales'!A:H,8,0)</f>
        <v>1051.28</v>
      </c>
      <c r="D1684" s="12" t="str">
        <f t="shared" si="52"/>
        <v>abril</v>
      </c>
      <c r="E1684" s="33">
        <f t="shared" si="53"/>
        <v>2023</v>
      </c>
    </row>
    <row r="1685" spans="1:5" x14ac:dyDescent="0.25">
      <c r="A1685" t="s">
        <v>95</v>
      </c>
      <c r="B1685" s="10">
        <f>VLOOKUP(A1685,'Datos generales'!A:B,2,0)</f>
        <v>45682.68472222222</v>
      </c>
      <c r="C1685" s="12">
        <f>VLOOKUP(A1685,'Datos generales'!A:H,8,0)</f>
        <v>6127</v>
      </c>
      <c r="D1685" s="12" t="str">
        <f t="shared" si="52"/>
        <v>enero</v>
      </c>
      <c r="E1685" s="33">
        <f t="shared" si="53"/>
        <v>2025</v>
      </c>
    </row>
    <row r="1686" spans="1:5" x14ac:dyDescent="0.25">
      <c r="A1686" t="s">
        <v>96</v>
      </c>
      <c r="B1686" s="10">
        <f>VLOOKUP(A1686,'Datos generales'!A:B,2,0)</f>
        <v>45099.143750000003</v>
      </c>
      <c r="C1686" s="12">
        <f>VLOOKUP(A1686,'Datos generales'!A:H,8,0)</f>
        <v>503.84</v>
      </c>
      <c r="D1686" s="12" t="str">
        <f t="shared" si="52"/>
        <v>junio</v>
      </c>
      <c r="E1686" s="33">
        <f t="shared" si="53"/>
        <v>2023</v>
      </c>
    </row>
    <row r="1687" spans="1:5" x14ac:dyDescent="0.25">
      <c r="A1687" t="s">
        <v>97</v>
      </c>
      <c r="B1687" s="10">
        <f>VLOOKUP(A1687,'Datos generales'!A:B,2,0)</f>
        <v>45546.810416666667</v>
      </c>
      <c r="C1687" s="12">
        <f>VLOOKUP(A1687,'Datos generales'!A:H,8,0)</f>
        <v>7633.64</v>
      </c>
      <c r="D1687" s="12" t="str">
        <f t="shared" si="52"/>
        <v>septiembre</v>
      </c>
      <c r="E1687" s="33">
        <f t="shared" si="53"/>
        <v>2024</v>
      </c>
    </row>
    <row r="1688" spans="1:5" x14ac:dyDescent="0.25">
      <c r="A1688" t="s">
        <v>98</v>
      </c>
      <c r="B1688" s="10">
        <f>VLOOKUP(A1688,'Datos generales'!A:B,2,0)</f>
        <v>45451.106249999997</v>
      </c>
      <c r="C1688" s="12">
        <f>VLOOKUP(A1688,'Datos generales'!A:H,8,0)</f>
        <v>229.2</v>
      </c>
      <c r="D1688" s="12" t="str">
        <f t="shared" si="52"/>
        <v>junio</v>
      </c>
      <c r="E1688" s="33">
        <f t="shared" si="53"/>
        <v>2024</v>
      </c>
    </row>
    <row r="1689" spans="1:5" x14ac:dyDescent="0.25">
      <c r="A1689" t="s">
        <v>99</v>
      </c>
      <c r="B1689" s="10">
        <f>VLOOKUP(A1689,'Datos generales'!A:B,2,0)</f>
        <v>45101.551388888889</v>
      </c>
      <c r="C1689" s="12">
        <f>VLOOKUP(A1689,'Datos generales'!A:H,8,0)</f>
        <v>1191.56</v>
      </c>
      <c r="D1689" s="12" t="str">
        <f t="shared" si="52"/>
        <v>junio</v>
      </c>
      <c r="E1689" s="33">
        <f t="shared" si="53"/>
        <v>2023</v>
      </c>
    </row>
    <row r="1690" spans="1:5" x14ac:dyDescent="0.25">
      <c r="A1690" t="s">
        <v>100</v>
      </c>
      <c r="B1690" s="10">
        <f>VLOOKUP(A1690,'Datos generales'!A:B,2,0)</f>
        <v>45405.413194444453</v>
      </c>
      <c r="C1690" s="12">
        <f>VLOOKUP(A1690,'Datos generales'!A:H,8,0)</f>
        <v>150.04</v>
      </c>
      <c r="D1690" s="12" t="str">
        <f t="shared" si="52"/>
        <v>abril</v>
      </c>
      <c r="E1690" s="33">
        <f t="shared" si="53"/>
        <v>2024</v>
      </c>
    </row>
    <row r="1691" spans="1:5" x14ac:dyDescent="0.25">
      <c r="A1691" t="s">
        <v>101</v>
      </c>
      <c r="B1691" s="10">
        <f>VLOOKUP(A1691,'Datos generales'!A:B,2,0)</f>
        <v>45465.332638888889</v>
      </c>
      <c r="C1691" s="12">
        <f>VLOOKUP(A1691,'Datos generales'!A:H,8,0)</f>
        <v>2704.6</v>
      </c>
      <c r="D1691" s="12" t="str">
        <f t="shared" si="52"/>
        <v>junio</v>
      </c>
      <c r="E1691" s="33">
        <f t="shared" si="53"/>
        <v>2024</v>
      </c>
    </row>
    <row r="1692" spans="1:5" x14ac:dyDescent="0.25">
      <c r="A1692" t="s">
        <v>102</v>
      </c>
      <c r="B1692" s="10">
        <f>VLOOKUP(A1692,'Datos generales'!A:B,2,0)</f>
        <v>45863.330555555563</v>
      </c>
      <c r="C1692" s="12">
        <f>VLOOKUP(A1692,'Datos generales'!A:H,8,0)</f>
        <v>713.82</v>
      </c>
      <c r="D1692" s="12" t="str">
        <f t="shared" si="52"/>
        <v>julio</v>
      </c>
      <c r="E1692" s="33">
        <f t="shared" si="53"/>
        <v>2025</v>
      </c>
    </row>
    <row r="1693" spans="1:5" x14ac:dyDescent="0.25">
      <c r="A1693" t="s">
        <v>103</v>
      </c>
      <c r="B1693" s="10">
        <f>VLOOKUP(A1693,'Datos generales'!A:B,2,0)</f>
        <v>45727.712500000001</v>
      </c>
      <c r="C1693" s="12">
        <f>VLOOKUP(A1693,'Datos generales'!A:H,8,0)</f>
        <v>3407.01</v>
      </c>
      <c r="D1693" s="12" t="str">
        <f t="shared" si="52"/>
        <v>marzo</v>
      </c>
      <c r="E1693" s="33">
        <f t="shared" si="53"/>
        <v>2025</v>
      </c>
    </row>
    <row r="1694" spans="1:5" x14ac:dyDescent="0.25">
      <c r="A1694" t="s">
        <v>104</v>
      </c>
      <c r="B1694" s="10">
        <f>VLOOKUP(A1694,'Datos generales'!A:B,2,0)</f>
        <v>45676.398611111108</v>
      </c>
      <c r="C1694" s="12">
        <f>VLOOKUP(A1694,'Datos generales'!A:H,8,0)</f>
        <v>2417.0700000000002</v>
      </c>
      <c r="D1694" s="12" t="str">
        <f t="shared" si="52"/>
        <v>enero</v>
      </c>
      <c r="E1694" s="33">
        <f t="shared" si="53"/>
        <v>2025</v>
      </c>
    </row>
    <row r="1695" spans="1:5" x14ac:dyDescent="0.25">
      <c r="A1695" t="s">
        <v>105</v>
      </c>
      <c r="B1695" s="10">
        <f>VLOOKUP(A1695,'Datos generales'!A:B,2,0)</f>
        <v>45289.026388888888</v>
      </c>
      <c r="C1695" s="12">
        <f>VLOOKUP(A1695,'Datos generales'!A:H,8,0)</f>
        <v>2518.14</v>
      </c>
      <c r="D1695" s="12" t="str">
        <f t="shared" si="52"/>
        <v>diciembre</v>
      </c>
      <c r="E1695" s="33">
        <f t="shared" si="53"/>
        <v>2023</v>
      </c>
    </row>
    <row r="1696" spans="1:5" x14ac:dyDescent="0.25">
      <c r="A1696" t="s">
        <v>106</v>
      </c>
      <c r="B1696" s="10">
        <f>VLOOKUP(A1696,'Datos generales'!A:B,2,0)</f>
        <v>45473.418749999997</v>
      </c>
      <c r="C1696" s="12">
        <f>VLOOKUP(A1696,'Datos generales'!A:H,8,0)</f>
        <v>1801.2</v>
      </c>
      <c r="D1696" s="12" t="str">
        <f t="shared" si="52"/>
        <v>junio</v>
      </c>
      <c r="E1696" s="33">
        <f t="shared" si="53"/>
        <v>2024</v>
      </c>
    </row>
    <row r="1697" spans="1:5" x14ac:dyDescent="0.25">
      <c r="A1697" t="s">
        <v>107</v>
      </c>
      <c r="B1697" s="10">
        <f>VLOOKUP(A1697,'Datos generales'!A:B,2,0)</f>
        <v>45499.757638888892</v>
      </c>
      <c r="C1697" s="12">
        <f>VLOOKUP(A1697,'Datos generales'!A:H,8,0)</f>
        <v>959.62</v>
      </c>
      <c r="D1697" s="12" t="str">
        <f t="shared" si="52"/>
        <v>julio</v>
      </c>
      <c r="E1697" s="33">
        <f t="shared" si="53"/>
        <v>2024</v>
      </c>
    </row>
    <row r="1698" spans="1:5" x14ac:dyDescent="0.25">
      <c r="A1698" t="s">
        <v>108</v>
      </c>
      <c r="B1698" s="10">
        <f>VLOOKUP(A1698,'Datos generales'!A:B,2,0)</f>
        <v>45541.331250000003</v>
      </c>
      <c r="C1698" s="12">
        <f>VLOOKUP(A1698,'Datos generales'!A:H,8,0)</f>
        <v>1888.86</v>
      </c>
      <c r="D1698" s="12" t="str">
        <f t="shared" si="52"/>
        <v>septiembre</v>
      </c>
      <c r="E1698" s="33">
        <f t="shared" si="53"/>
        <v>2024</v>
      </c>
    </row>
    <row r="1699" spans="1:5" x14ac:dyDescent="0.25">
      <c r="A1699" t="s">
        <v>109</v>
      </c>
      <c r="B1699" s="10">
        <f>VLOOKUP(A1699,'Datos generales'!A:B,2,0)</f>
        <v>45542.574305555558</v>
      </c>
      <c r="C1699" s="12">
        <f>VLOOKUP(A1699,'Datos generales'!A:H,8,0)</f>
        <v>7284.2</v>
      </c>
      <c r="D1699" s="12" t="str">
        <f t="shared" si="52"/>
        <v>septiembre</v>
      </c>
      <c r="E1699" s="33">
        <f t="shared" si="53"/>
        <v>2024</v>
      </c>
    </row>
    <row r="1700" spans="1:5" x14ac:dyDescent="0.25">
      <c r="A1700" t="s">
        <v>110</v>
      </c>
      <c r="B1700" s="10">
        <f>VLOOKUP(A1700,'Datos generales'!A:B,2,0)</f>
        <v>45846.336805555547</v>
      </c>
      <c r="C1700" s="12">
        <f>VLOOKUP(A1700,'Datos generales'!A:H,8,0)</f>
        <v>4611.6900000000014</v>
      </c>
      <c r="D1700" s="12" t="str">
        <f t="shared" si="52"/>
        <v>julio</v>
      </c>
      <c r="E1700" s="33">
        <f t="shared" si="53"/>
        <v>2025</v>
      </c>
    </row>
    <row r="1701" spans="1:5" x14ac:dyDescent="0.25">
      <c r="A1701" t="s">
        <v>111</v>
      </c>
      <c r="B1701" s="10">
        <f>VLOOKUP(A1701,'Datos generales'!A:B,2,0)</f>
        <v>45318.705555555563</v>
      </c>
      <c r="C1701" s="12">
        <f>VLOOKUP(A1701,'Datos generales'!A:H,8,0)</f>
        <v>934.98</v>
      </c>
      <c r="D1701" s="12" t="str">
        <f t="shared" si="52"/>
        <v>enero</v>
      </c>
      <c r="E1701" s="33">
        <f t="shared" si="53"/>
        <v>2024</v>
      </c>
    </row>
    <row r="1702" spans="1:5" x14ac:dyDescent="0.25">
      <c r="A1702" t="s">
        <v>112</v>
      </c>
      <c r="B1702" s="10">
        <f>VLOOKUP(A1702,'Datos generales'!A:B,2,0)</f>
        <v>45595.668055555558</v>
      </c>
      <c r="C1702" s="12">
        <f>VLOOKUP(A1702,'Datos generales'!A:H,8,0)</f>
        <v>745.45</v>
      </c>
      <c r="D1702" s="12" t="str">
        <f t="shared" si="52"/>
        <v>octubre</v>
      </c>
      <c r="E1702" s="33">
        <f t="shared" si="53"/>
        <v>2024</v>
      </c>
    </row>
    <row r="1703" spans="1:5" x14ac:dyDescent="0.25">
      <c r="A1703" t="s">
        <v>113</v>
      </c>
      <c r="B1703" s="10">
        <f>VLOOKUP(A1703,'Datos generales'!A:B,2,0)</f>
        <v>44984.418055555558</v>
      </c>
      <c r="C1703" s="12">
        <f>VLOOKUP(A1703,'Datos generales'!A:H,8,0)</f>
        <v>9427.4</v>
      </c>
      <c r="D1703" s="12" t="str">
        <f t="shared" si="52"/>
        <v>febrero</v>
      </c>
      <c r="E1703" s="33">
        <f t="shared" si="53"/>
        <v>2023</v>
      </c>
    </row>
    <row r="1704" spans="1:5" x14ac:dyDescent="0.25">
      <c r="A1704" t="s">
        <v>114</v>
      </c>
      <c r="B1704" s="10">
        <f>VLOOKUP(A1704,'Datos generales'!A:B,2,0)</f>
        <v>45153.455555555563</v>
      </c>
      <c r="C1704" s="12">
        <f>VLOOKUP(A1704,'Datos generales'!A:H,8,0)</f>
        <v>4775.76</v>
      </c>
      <c r="D1704" s="12" t="str">
        <f t="shared" si="52"/>
        <v>agosto</v>
      </c>
      <c r="E1704" s="33">
        <f t="shared" si="53"/>
        <v>2023</v>
      </c>
    </row>
    <row r="1705" spans="1:5" x14ac:dyDescent="0.25">
      <c r="A1705" t="s">
        <v>115</v>
      </c>
      <c r="B1705" s="10">
        <f>VLOOKUP(A1705,'Datos generales'!A:B,2,0)</f>
        <v>45919.24722222222</v>
      </c>
      <c r="C1705" s="12">
        <f>VLOOKUP(A1705,'Datos generales'!A:H,8,0)</f>
        <v>6916.65</v>
      </c>
      <c r="D1705" s="12" t="str">
        <f t="shared" si="52"/>
        <v>septiembre</v>
      </c>
      <c r="E1705" s="33">
        <f t="shared" si="53"/>
        <v>2025</v>
      </c>
    </row>
    <row r="1706" spans="1:5" x14ac:dyDescent="0.25">
      <c r="A1706" t="s">
        <v>116</v>
      </c>
      <c r="B1706" s="10">
        <f>VLOOKUP(A1706,'Datos generales'!A:B,2,0)</f>
        <v>45815.543055555558</v>
      </c>
      <c r="C1706" s="12">
        <f>VLOOKUP(A1706,'Datos generales'!A:H,8,0)</f>
        <v>2102.46</v>
      </c>
      <c r="D1706" s="12" t="str">
        <f t="shared" si="52"/>
        <v>junio</v>
      </c>
      <c r="E1706" s="33">
        <f t="shared" si="53"/>
        <v>2025</v>
      </c>
    </row>
    <row r="1707" spans="1:5" x14ac:dyDescent="0.25">
      <c r="A1707" t="s">
        <v>117</v>
      </c>
      <c r="B1707" s="10">
        <f>VLOOKUP(A1707,'Datos generales'!A:B,2,0)</f>
        <v>45255.4</v>
      </c>
      <c r="C1707" s="12">
        <f>VLOOKUP(A1707,'Datos generales'!A:H,8,0)</f>
        <v>5097.84</v>
      </c>
      <c r="D1707" s="12" t="str">
        <f t="shared" si="52"/>
        <v>noviembre</v>
      </c>
      <c r="E1707" s="33">
        <f t="shared" si="53"/>
        <v>2023</v>
      </c>
    </row>
    <row r="1708" spans="1:5" x14ac:dyDescent="0.25">
      <c r="A1708" t="s">
        <v>118</v>
      </c>
      <c r="B1708" s="10">
        <f>VLOOKUP(A1708,'Datos generales'!A:B,2,0)</f>
        <v>45754.797222222223</v>
      </c>
      <c r="C1708" s="12">
        <f>VLOOKUP(A1708,'Datos generales'!A:H,8,0)</f>
        <v>1251.08</v>
      </c>
      <c r="D1708" s="12" t="str">
        <f t="shared" si="52"/>
        <v>abril</v>
      </c>
      <c r="E1708" s="33">
        <f t="shared" si="53"/>
        <v>2025</v>
      </c>
    </row>
    <row r="1709" spans="1:5" x14ac:dyDescent="0.25">
      <c r="A1709" t="s">
        <v>119</v>
      </c>
      <c r="B1709" s="10">
        <f>VLOOKUP(A1709,'Datos generales'!A:B,2,0)</f>
        <v>45764.185416666667</v>
      </c>
      <c r="C1709" s="12">
        <f>VLOOKUP(A1709,'Datos generales'!A:H,8,0)</f>
        <v>7911</v>
      </c>
      <c r="D1709" s="12" t="str">
        <f t="shared" si="52"/>
        <v>abril</v>
      </c>
      <c r="E1709" s="33">
        <f t="shared" si="53"/>
        <v>2025</v>
      </c>
    </row>
    <row r="1710" spans="1:5" x14ac:dyDescent="0.25">
      <c r="A1710" t="s">
        <v>120</v>
      </c>
      <c r="B1710" s="10">
        <f>VLOOKUP(A1710,'Datos generales'!A:B,2,0)</f>
        <v>45240.82916666667</v>
      </c>
      <c r="C1710" s="12">
        <f>VLOOKUP(A1710,'Datos generales'!A:H,8,0)</f>
        <v>81.92</v>
      </c>
      <c r="D1710" s="12" t="str">
        <f t="shared" si="52"/>
        <v>noviembre</v>
      </c>
      <c r="E1710" s="33">
        <f t="shared" si="53"/>
        <v>2023</v>
      </c>
    </row>
    <row r="1711" spans="1:5" x14ac:dyDescent="0.25">
      <c r="A1711" t="s">
        <v>121</v>
      </c>
      <c r="B1711" s="10">
        <f>VLOOKUP(A1711,'Datos generales'!A:B,2,0)</f>
        <v>45634.470138888893</v>
      </c>
      <c r="C1711" s="12">
        <f>VLOOKUP(A1711,'Datos generales'!A:H,8,0)</f>
        <v>1153.31</v>
      </c>
      <c r="D1711" s="12" t="str">
        <f t="shared" si="52"/>
        <v>diciembre</v>
      </c>
      <c r="E1711" s="33">
        <f t="shared" si="53"/>
        <v>2024</v>
      </c>
    </row>
    <row r="1712" spans="1:5" x14ac:dyDescent="0.25">
      <c r="A1712" t="s">
        <v>122</v>
      </c>
      <c r="B1712" s="10">
        <f>VLOOKUP(A1712,'Datos generales'!A:B,2,0)</f>
        <v>45913.939583333333</v>
      </c>
      <c r="C1712" s="12">
        <f>VLOOKUP(A1712,'Datos generales'!A:H,8,0)</f>
        <v>3234.24</v>
      </c>
      <c r="D1712" s="12" t="str">
        <f t="shared" si="52"/>
        <v>septiembre</v>
      </c>
      <c r="E1712" s="33">
        <f t="shared" si="53"/>
        <v>2025</v>
      </c>
    </row>
    <row r="1713" spans="1:5" x14ac:dyDescent="0.25">
      <c r="A1713" t="s">
        <v>123</v>
      </c>
      <c r="B1713" s="10">
        <f>VLOOKUP(A1713,'Datos generales'!A:B,2,0)</f>
        <v>45526.149305555547</v>
      </c>
      <c r="C1713" s="12">
        <f>VLOOKUP(A1713,'Datos generales'!A:H,8,0)</f>
        <v>201.91</v>
      </c>
      <c r="D1713" s="12" t="str">
        <f t="shared" si="52"/>
        <v>agosto</v>
      </c>
      <c r="E1713" s="33">
        <f t="shared" si="53"/>
        <v>2024</v>
      </c>
    </row>
    <row r="1714" spans="1:5" x14ac:dyDescent="0.25">
      <c r="A1714" t="s">
        <v>124</v>
      </c>
      <c r="B1714" s="10">
        <f>VLOOKUP(A1714,'Datos generales'!A:B,2,0)</f>
        <v>45487.067361111112</v>
      </c>
      <c r="C1714" s="12">
        <f>VLOOKUP(A1714,'Datos generales'!A:H,8,0)</f>
        <v>2182.08</v>
      </c>
      <c r="D1714" s="12" t="str">
        <f t="shared" si="52"/>
        <v>julio</v>
      </c>
      <c r="E1714" s="33">
        <f t="shared" si="53"/>
        <v>2024</v>
      </c>
    </row>
    <row r="1715" spans="1:5" x14ac:dyDescent="0.25">
      <c r="A1715" t="s">
        <v>125</v>
      </c>
      <c r="B1715" s="10">
        <f>VLOOKUP(A1715,'Datos generales'!A:B,2,0)</f>
        <v>45281.986805555563</v>
      </c>
      <c r="C1715" s="12">
        <f>VLOOKUP(A1715,'Datos generales'!A:H,8,0)</f>
        <v>4936.29</v>
      </c>
      <c r="D1715" s="12" t="str">
        <f t="shared" si="52"/>
        <v>diciembre</v>
      </c>
      <c r="E1715" s="33">
        <f t="shared" si="53"/>
        <v>2023</v>
      </c>
    </row>
    <row r="1716" spans="1:5" x14ac:dyDescent="0.25">
      <c r="A1716" t="s">
        <v>126</v>
      </c>
      <c r="B1716" s="10">
        <f>VLOOKUP(A1716,'Datos generales'!A:B,2,0)</f>
        <v>45468.378472222219</v>
      </c>
      <c r="C1716" s="12">
        <f>VLOOKUP(A1716,'Datos generales'!A:H,8,0)</f>
        <v>1260.1500000000001</v>
      </c>
      <c r="D1716" s="12" t="str">
        <f t="shared" si="52"/>
        <v>junio</v>
      </c>
      <c r="E1716" s="33">
        <f t="shared" si="53"/>
        <v>2024</v>
      </c>
    </row>
    <row r="1717" spans="1:5" x14ac:dyDescent="0.25">
      <c r="A1717" t="s">
        <v>127</v>
      </c>
      <c r="B1717" s="10">
        <f>VLOOKUP(A1717,'Datos generales'!A:B,2,0)</f>
        <v>45529.436805555553</v>
      </c>
      <c r="C1717" s="12">
        <f>VLOOKUP(A1717,'Datos generales'!A:H,8,0)</f>
        <v>1987.6</v>
      </c>
      <c r="D1717" s="12" t="str">
        <f t="shared" si="52"/>
        <v>agosto</v>
      </c>
      <c r="E1717" s="33">
        <f t="shared" si="53"/>
        <v>2024</v>
      </c>
    </row>
    <row r="1718" spans="1:5" x14ac:dyDescent="0.25">
      <c r="A1718" t="s">
        <v>128</v>
      </c>
      <c r="B1718" s="10">
        <f>VLOOKUP(A1718,'Datos generales'!A:B,2,0)</f>
        <v>44961.01666666667</v>
      </c>
      <c r="C1718" s="12">
        <f>VLOOKUP(A1718,'Datos generales'!A:H,8,0)</f>
        <v>1443.12</v>
      </c>
      <c r="D1718" s="12" t="str">
        <f t="shared" si="52"/>
        <v>febrero</v>
      </c>
      <c r="E1718" s="33">
        <f t="shared" si="53"/>
        <v>2023</v>
      </c>
    </row>
    <row r="1719" spans="1:5" x14ac:dyDescent="0.25">
      <c r="A1719" t="s">
        <v>129</v>
      </c>
      <c r="B1719" s="10">
        <f>VLOOKUP(A1719,'Datos generales'!A:B,2,0)</f>
        <v>45041.746527777781</v>
      </c>
      <c r="C1719" s="12">
        <f>VLOOKUP(A1719,'Datos generales'!A:H,8,0)</f>
        <v>5415.6</v>
      </c>
      <c r="D1719" s="12" t="str">
        <f t="shared" si="52"/>
        <v>abril</v>
      </c>
      <c r="E1719" s="33">
        <f t="shared" si="53"/>
        <v>2023</v>
      </c>
    </row>
    <row r="1720" spans="1:5" x14ac:dyDescent="0.25">
      <c r="A1720" t="s">
        <v>130</v>
      </c>
      <c r="B1720" s="10">
        <f>VLOOKUP(A1720,'Datos generales'!A:B,2,0)</f>
        <v>45400.756249999999</v>
      </c>
      <c r="C1720" s="12">
        <f>VLOOKUP(A1720,'Datos generales'!A:H,8,0)</f>
        <v>859.04</v>
      </c>
      <c r="D1720" s="12" t="str">
        <f t="shared" si="52"/>
        <v>abril</v>
      </c>
      <c r="E1720" s="33">
        <f t="shared" si="53"/>
        <v>2024</v>
      </c>
    </row>
    <row r="1721" spans="1:5" x14ac:dyDescent="0.25">
      <c r="A1721" t="s">
        <v>131</v>
      </c>
      <c r="B1721" s="10">
        <f>VLOOKUP(A1721,'Datos generales'!A:B,2,0)</f>
        <v>45465.772916666669</v>
      </c>
      <c r="C1721" s="12">
        <f>VLOOKUP(A1721,'Datos generales'!A:H,8,0)</f>
        <v>3649.92</v>
      </c>
      <c r="D1721" s="12" t="str">
        <f t="shared" si="52"/>
        <v>junio</v>
      </c>
      <c r="E1721" s="33">
        <f t="shared" si="53"/>
        <v>2024</v>
      </c>
    </row>
    <row r="1722" spans="1:5" x14ac:dyDescent="0.25">
      <c r="A1722" t="s">
        <v>132</v>
      </c>
      <c r="B1722" s="10">
        <f>VLOOKUP(A1722,'Datos generales'!A:B,2,0)</f>
        <v>45316.202777777777</v>
      </c>
      <c r="C1722" s="12">
        <f>VLOOKUP(A1722,'Datos generales'!A:H,8,0)</f>
        <v>5299.0499999999993</v>
      </c>
      <c r="D1722" s="12" t="str">
        <f t="shared" si="52"/>
        <v>enero</v>
      </c>
      <c r="E1722" s="33">
        <f t="shared" si="53"/>
        <v>2024</v>
      </c>
    </row>
    <row r="1723" spans="1:5" x14ac:dyDescent="0.25">
      <c r="A1723" t="s">
        <v>133</v>
      </c>
      <c r="B1723" s="10">
        <f>VLOOKUP(A1723,'Datos generales'!A:B,2,0)</f>
        <v>45118.634722222218</v>
      </c>
      <c r="C1723" s="12">
        <f>VLOOKUP(A1723,'Datos generales'!A:H,8,0)</f>
        <v>185.56</v>
      </c>
      <c r="D1723" s="12" t="str">
        <f t="shared" si="52"/>
        <v>julio</v>
      </c>
      <c r="E1723" s="33">
        <f t="shared" si="53"/>
        <v>2023</v>
      </c>
    </row>
    <row r="1724" spans="1:5" x14ac:dyDescent="0.25">
      <c r="A1724" t="s">
        <v>134</v>
      </c>
      <c r="B1724" s="10">
        <f>VLOOKUP(A1724,'Datos generales'!A:B,2,0)</f>
        <v>45232.75</v>
      </c>
      <c r="C1724" s="12">
        <f>VLOOKUP(A1724,'Datos generales'!A:H,8,0)</f>
        <v>754.07</v>
      </c>
      <c r="D1724" s="12" t="str">
        <f t="shared" si="52"/>
        <v>noviembre</v>
      </c>
      <c r="E1724" s="33">
        <f t="shared" si="53"/>
        <v>2023</v>
      </c>
    </row>
    <row r="1725" spans="1:5" x14ac:dyDescent="0.25">
      <c r="A1725" t="s">
        <v>135</v>
      </c>
      <c r="B1725" s="10">
        <f>VLOOKUP(A1725,'Datos generales'!A:B,2,0)</f>
        <v>45745.421527777777</v>
      </c>
      <c r="C1725" s="12">
        <f>VLOOKUP(A1725,'Datos generales'!A:H,8,0)</f>
        <v>1681.02</v>
      </c>
      <c r="D1725" s="12" t="str">
        <f t="shared" si="52"/>
        <v>marzo</v>
      </c>
      <c r="E1725" s="33">
        <f t="shared" si="53"/>
        <v>2025</v>
      </c>
    </row>
    <row r="1726" spans="1:5" x14ac:dyDescent="0.25">
      <c r="A1726" t="s">
        <v>136</v>
      </c>
      <c r="B1726" s="10">
        <f>VLOOKUP(A1726,'Datos generales'!A:B,2,0)</f>
        <v>45802.370833333327</v>
      </c>
      <c r="C1726" s="12">
        <f>VLOOKUP(A1726,'Datos generales'!A:H,8,0)</f>
        <v>2397.44</v>
      </c>
      <c r="D1726" s="12" t="str">
        <f t="shared" si="52"/>
        <v>mayo</v>
      </c>
      <c r="E1726" s="33">
        <f t="shared" si="53"/>
        <v>2025</v>
      </c>
    </row>
    <row r="1727" spans="1:5" x14ac:dyDescent="0.25">
      <c r="A1727" t="s">
        <v>137</v>
      </c>
      <c r="B1727" s="10">
        <f>VLOOKUP(A1727,'Datos generales'!A:B,2,0)</f>
        <v>45249.604861111111</v>
      </c>
      <c r="C1727" s="12">
        <f>VLOOKUP(A1727,'Datos generales'!A:H,8,0)</f>
        <v>2080.4</v>
      </c>
      <c r="D1727" s="12" t="str">
        <f t="shared" si="52"/>
        <v>noviembre</v>
      </c>
      <c r="E1727" s="33">
        <f t="shared" si="53"/>
        <v>2023</v>
      </c>
    </row>
    <row r="1728" spans="1:5" x14ac:dyDescent="0.25">
      <c r="A1728" t="s">
        <v>138</v>
      </c>
      <c r="B1728" s="10">
        <f>VLOOKUP(A1728,'Datos generales'!A:B,2,0)</f>
        <v>45854.013194444437</v>
      </c>
      <c r="C1728" s="12">
        <f>VLOOKUP(A1728,'Datos generales'!A:H,8,0)</f>
        <v>322.58999999999997</v>
      </c>
      <c r="D1728" s="12" t="str">
        <f t="shared" si="52"/>
        <v>julio</v>
      </c>
      <c r="E1728" s="33">
        <f t="shared" si="53"/>
        <v>2025</v>
      </c>
    </row>
    <row r="1729" spans="1:5" x14ac:dyDescent="0.25">
      <c r="A1729" t="s">
        <v>139</v>
      </c>
      <c r="B1729" s="10">
        <f>VLOOKUP(A1729,'Datos generales'!A:B,2,0)</f>
        <v>45828.018055555563</v>
      </c>
      <c r="C1729" s="12">
        <f>VLOOKUP(A1729,'Datos generales'!A:H,8,0)</f>
        <v>1522.64</v>
      </c>
      <c r="D1729" s="12" t="str">
        <f t="shared" si="52"/>
        <v>junio</v>
      </c>
      <c r="E1729" s="33">
        <f t="shared" si="53"/>
        <v>2025</v>
      </c>
    </row>
    <row r="1730" spans="1:5" x14ac:dyDescent="0.25">
      <c r="A1730" t="s">
        <v>140</v>
      </c>
      <c r="B1730" s="10">
        <f>VLOOKUP(A1730,'Datos generales'!A:B,2,0)</f>
        <v>45673.40902777778</v>
      </c>
      <c r="C1730" s="12">
        <f>VLOOKUP(A1730,'Datos generales'!A:H,8,0)</f>
        <v>1400.22</v>
      </c>
      <c r="D1730" s="12" t="str">
        <f t="shared" si="52"/>
        <v>enero</v>
      </c>
      <c r="E1730" s="33">
        <f t="shared" si="53"/>
        <v>2025</v>
      </c>
    </row>
    <row r="1731" spans="1:5" x14ac:dyDescent="0.25">
      <c r="A1731" t="s">
        <v>141</v>
      </c>
      <c r="B1731" s="10">
        <f>VLOOKUP(A1731,'Datos generales'!A:B,2,0)</f>
        <v>44932.951388888891</v>
      </c>
      <c r="C1731" s="12">
        <f>VLOOKUP(A1731,'Datos generales'!A:H,8,0)</f>
        <v>1792.4</v>
      </c>
      <c r="D1731" s="12" t="str">
        <f t="shared" ref="D1731:D1794" si="54">TEXT(B1731,"mmmm")</f>
        <v>enero</v>
      </c>
      <c r="E1731" s="33">
        <f t="shared" ref="E1731:E1794" si="55">YEAR(B1731)</f>
        <v>2023</v>
      </c>
    </row>
    <row r="1732" spans="1:5" x14ac:dyDescent="0.25">
      <c r="A1732" t="s">
        <v>142</v>
      </c>
      <c r="B1732" s="10">
        <f>VLOOKUP(A1732,'Datos generales'!A:B,2,0)</f>
        <v>45381.871527777781</v>
      </c>
      <c r="C1732" s="12">
        <f>VLOOKUP(A1732,'Datos generales'!A:H,8,0)</f>
        <v>2986.4</v>
      </c>
      <c r="D1732" s="12" t="str">
        <f t="shared" si="54"/>
        <v>marzo</v>
      </c>
      <c r="E1732" s="33">
        <f t="shared" si="55"/>
        <v>2024</v>
      </c>
    </row>
    <row r="1733" spans="1:5" x14ac:dyDescent="0.25">
      <c r="A1733" t="s">
        <v>143</v>
      </c>
      <c r="B1733" s="10">
        <f>VLOOKUP(A1733,'Datos generales'!A:B,2,0)</f>
        <v>45450.97152777778</v>
      </c>
      <c r="C1733" s="12">
        <f>VLOOKUP(A1733,'Datos generales'!A:H,8,0)</f>
        <v>751.43</v>
      </c>
      <c r="D1733" s="12" t="str">
        <f t="shared" si="54"/>
        <v>junio</v>
      </c>
      <c r="E1733" s="33">
        <f t="shared" si="55"/>
        <v>2024</v>
      </c>
    </row>
    <row r="1734" spans="1:5" x14ac:dyDescent="0.25">
      <c r="A1734" t="s">
        <v>144</v>
      </c>
      <c r="B1734" s="10">
        <f>VLOOKUP(A1734,'Datos generales'!A:B,2,0)</f>
        <v>45122.813888888893</v>
      </c>
      <c r="C1734" s="12">
        <f>VLOOKUP(A1734,'Datos generales'!A:H,8,0)</f>
        <v>5545.4</v>
      </c>
      <c r="D1734" s="12" t="str">
        <f t="shared" si="54"/>
        <v>julio</v>
      </c>
      <c r="E1734" s="33">
        <f t="shared" si="55"/>
        <v>2023</v>
      </c>
    </row>
    <row r="1735" spans="1:5" x14ac:dyDescent="0.25">
      <c r="A1735" t="s">
        <v>145</v>
      </c>
      <c r="B1735" s="10">
        <f>VLOOKUP(A1735,'Datos generales'!A:B,2,0)</f>
        <v>45329.842361111107</v>
      </c>
      <c r="C1735" s="12">
        <f>VLOOKUP(A1735,'Datos generales'!A:H,8,0)</f>
        <v>3213.7</v>
      </c>
      <c r="D1735" s="12" t="str">
        <f t="shared" si="54"/>
        <v>febrero</v>
      </c>
      <c r="E1735" s="33">
        <f t="shared" si="55"/>
        <v>2024</v>
      </c>
    </row>
    <row r="1736" spans="1:5" x14ac:dyDescent="0.25">
      <c r="A1736" t="s">
        <v>146</v>
      </c>
      <c r="B1736" s="10">
        <f>VLOOKUP(A1736,'Datos generales'!A:B,2,0)</f>
        <v>45615.539583333331</v>
      </c>
      <c r="C1736" s="12">
        <f>VLOOKUP(A1736,'Datos generales'!A:H,8,0)</f>
        <v>1228.6500000000001</v>
      </c>
      <c r="D1736" s="12" t="str">
        <f t="shared" si="54"/>
        <v>noviembre</v>
      </c>
      <c r="E1736" s="33">
        <f t="shared" si="55"/>
        <v>2024</v>
      </c>
    </row>
    <row r="1737" spans="1:5" x14ac:dyDescent="0.25">
      <c r="A1737" t="s">
        <v>147</v>
      </c>
      <c r="B1737" s="10">
        <f>VLOOKUP(A1737,'Datos generales'!A:B,2,0)</f>
        <v>45222.775694444441</v>
      </c>
      <c r="C1737" s="12">
        <f>VLOOKUP(A1737,'Datos generales'!A:H,8,0)</f>
        <v>5346.39</v>
      </c>
      <c r="D1737" s="12" t="str">
        <f t="shared" si="54"/>
        <v>octubre</v>
      </c>
      <c r="E1737" s="33">
        <f t="shared" si="55"/>
        <v>2023</v>
      </c>
    </row>
    <row r="1738" spans="1:5" x14ac:dyDescent="0.25">
      <c r="A1738" t="s">
        <v>148</v>
      </c>
      <c r="B1738" s="10">
        <f>VLOOKUP(A1738,'Datos generales'!A:B,2,0)</f>
        <v>45525.048611111109</v>
      </c>
      <c r="C1738" s="12">
        <f>VLOOKUP(A1738,'Datos generales'!A:H,8,0)</f>
        <v>5685.7000000000007</v>
      </c>
      <c r="D1738" s="12" t="str">
        <f t="shared" si="54"/>
        <v>agosto</v>
      </c>
      <c r="E1738" s="33">
        <f t="shared" si="55"/>
        <v>2024</v>
      </c>
    </row>
    <row r="1739" spans="1:5" x14ac:dyDescent="0.25">
      <c r="A1739" t="s">
        <v>149</v>
      </c>
      <c r="B1739" s="10">
        <f>VLOOKUP(A1739,'Datos generales'!A:B,2,0)</f>
        <v>45520.686111111107</v>
      </c>
      <c r="C1739" s="12">
        <f>VLOOKUP(A1739,'Datos generales'!A:H,8,0)</f>
        <v>3866.88</v>
      </c>
      <c r="D1739" s="12" t="str">
        <f t="shared" si="54"/>
        <v>agosto</v>
      </c>
      <c r="E1739" s="33">
        <f t="shared" si="55"/>
        <v>2024</v>
      </c>
    </row>
    <row r="1740" spans="1:5" x14ac:dyDescent="0.25">
      <c r="A1740" t="s">
        <v>150</v>
      </c>
      <c r="B1740" s="10">
        <f>VLOOKUP(A1740,'Datos generales'!A:B,2,0)</f>
        <v>45484.331944444442</v>
      </c>
      <c r="C1740" s="12">
        <f>VLOOKUP(A1740,'Datos generales'!A:H,8,0)</f>
        <v>3774.4</v>
      </c>
      <c r="D1740" s="12" t="str">
        <f t="shared" si="54"/>
        <v>julio</v>
      </c>
      <c r="E1740" s="33">
        <f t="shared" si="55"/>
        <v>2024</v>
      </c>
    </row>
    <row r="1741" spans="1:5" x14ac:dyDescent="0.25">
      <c r="A1741" t="s">
        <v>151</v>
      </c>
      <c r="B1741" s="10">
        <f>VLOOKUP(A1741,'Datos generales'!A:B,2,0)</f>
        <v>45842.433333333327</v>
      </c>
      <c r="C1741" s="12">
        <f>VLOOKUP(A1741,'Datos generales'!A:H,8,0)</f>
        <v>3610</v>
      </c>
      <c r="D1741" s="12" t="str">
        <f t="shared" si="54"/>
        <v>julio</v>
      </c>
      <c r="E1741" s="33">
        <f t="shared" si="55"/>
        <v>2025</v>
      </c>
    </row>
    <row r="1742" spans="1:5" x14ac:dyDescent="0.25">
      <c r="A1742" t="s">
        <v>152</v>
      </c>
      <c r="B1742" s="10">
        <f>VLOOKUP(A1742,'Datos generales'!A:B,2,0)</f>
        <v>45697.842361111107</v>
      </c>
      <c r="C1742" s="12">
        <f>VLOOKUP(A1742,'Datos generales'!A:H,8,0)</f>
        <v>156.36000000000001</v>
      </c>
      <c r="D1742" s="12" t="str">
        <f t="shared" si="54"/>
        <v>febrero</v>
      </c>
      <c r="E1742" s="33">
        <f t="shared" si="55"/>
        <v>2025</v>
      </c>
    </row>
    <row r="1743" spans="1:5" x14ac:dyDescent="0.25">
      <c r="A1743" t="s">
        <v>153</v>
      </c>
      <c r="B1743" s="10">
        <f>VLOOKUP(A1743,'Datos generales'!A:B,2,0)</f>
        <v>45927.180555555547</v>
      </c>
      <c r="C1743" s="12">
        <f>VLOOKUP(A1743,'Datos generales'!A:H,8,0)</f>
        <v>3230.82</v>
      </c>
      <c r="D1743" s="12" t="str">
        <f t="shared" si="54"/>
        <v>septiembre</v>
      </c>
      <c r="E1743" s="33">
        <f t="shared" si="55"/>
        <v>2025</v>
      </c>
    </row>
    <row r="1744" spans="1:5" x14ac:dyDescent="0.25">
      <c r="A1744" t="s">
        <v>154</v>
      </c>
      <c r="B1744" s="10">
        <f>VLOOKUP(A1744,'Datos generales'!A:B,2,0)</f>
        <v>45511.748611111107</v>
      </c>
      <c r="C1744" s="12">
        <f>VLOOKUP(A1744,'Datos generales'!A:H,8,0)</f>
        <v>747.69999999999993</v>
      </c>
      <c r="D1744" s="12" t="str">
        <f t="shared" si="54"/>
        <v>agosto</v>
      </c>
      <c r="E1744" s="33">
        <f t="shared" si="55"/>
        <v>2024</v>
      </c>
    </row>
    <row r="1745" spans="1:5" x14ac:dyDescent="0.25">
      <c r="A1745" t="s">
        <v>155</v>
      </c>
      <c r="B1745" s="10">
        <f>VLOOKUP(A1745,'Datos generales'!A:B,2,0)</f>
        <v>45867.710416666669</v>
      </c>
      <c r="C1745" s="12">
        <f>VLOOKUP(A1745,'Datos generales'!A:H,8,0)</f>
        <v>4776.95</v>
      </c>
      <c r="D1745" s="12" t="str">
        <f t="shared" si="54"/>
        <v>julio</v>
      </c>
      <c r="E1745" s="33">
        <f t="shared" si="55"/>
        <v>2025</v>
      </c>
    </row>
    <row r="1746" spans="1:5" x14ac:dyDescent="0.25">
      <c r="A1746" t="s">
        <v>156</v>
      </c>
      <c r="B1746" s="10">
        <f>VLOOKUP(A1746,'Datos generales'!A:B,2,0)</f>
        <v>45339.555555555547</v>
      </c>
      <c r="C1746" s="12">
        <f>VLOOKUP(A1746,'Datos generales'!A:H,8,0)</f>
        <v>3927.26</v>
      </c>
      <c r="D1746" s="12" t="str">
        <f t="shared" si="54"/>
        <v>febrero</v>
      </c>
      <c r="E1746" s="33">
        <f t="shared" si="55"/>
        <v>2024</v>
      </c>
    </row>
    <row r="1747" spans="1:5" x14ac:dyDescent="0.25">
      <c r="A1747" t="s">
        <v>157</v>
      </c>
      <c r="B1747" s="10">
        <f>VLOOKUP(A1747,'Datos generales'!A:B,2,0)</f>
        <v>45538.998611111107</v>
      </c>
      <c r="C1747" s="12">
        <f>VLOOKUP(A1747,'Datos generales'!A:H,8,0)</f>
        <v>7200.7000000000007</v>
      </c>
      <c r="D1747" s="12" t="str">
        <f t="shared" si="54"/>
        <v>septiembre</v>
      </c>
      <c r="E1747" s="33">
        <f t="shared" si="55"/>
        <v>2024</v>
      </c>
    </row>
    <row r="1748" spans="1:5" x14ac:dyDescent="0.25">
      <c r="A1748" t="s">
        <v>158</v>
      </c>
      <c r="B1748" s="10">
        <f>VLOOKUP(A1748,'Datos generales'!A:B,2,0)</f>
        <v>45105.837500000001</v>
      </c>
      <c r="C1748" s="12">
        <f>VLOOKUP(A1748,'Datos generales'!A:H,8,0)</f>
        <v>1134.8</v>
      </c>
      <c r="D1748" s="12" t="str">
        <f t="shared" si="54"/>
        <v>junio</v>
      </c>
      <c r="E1748" s="33">
        <f t="shared" si="55"/>
        <v>2023</v>
      </c>
    </row>
    <row r="1749" spans="1:5" x14ac:dyDescent="0.25">
      <c r="A1749" t="s">
        <v>159</v>
      </c>
      <c r="B1749" s="10">
        <f>VLOOKUP(A1749,'Datos generales'!A:B,2,0)</f>
        <v>45470.283333333333</v>
      </c>
      <c r="C1749" s="12">
        <f>VLOOKUP(A1749,'Datos generales'!A:H,8,0)</f>
        <v>2062.5300000000002</v>
      </c>
      <c r="D1749" s="12" t="str">
        <f t="shared" si="54"/>
        <v>junio</v>
      </c>
      <c r="E1749" s="33">
        <f t="shared" si="55"/>
        <v>2024</v>
      </c>
    </row>
    <row r="1750" spans="1:5" x14ac:dyDescent="0.25">
      <c r="A1750" t="s">
        <v>160</v>
      </c>
      <c r="B1750" s="10">
        <f>VLOOKUP(A1750,'Datos generales'!A:B,2,0)</f>
        <v>45122.511805555558</v>
      </c>
      <c r="C1750" s="12">
        <f>VLOOKUP(A1750,'Datos generales'!A:H,8,0)</f>
        <v>564</v>
      </c>
      <c r="D1750" s="12" t="str">
        <f t="shared" si="54"/>
        <v>julio</v>
      </c>
      <c r="E1750" s="33">
        <f t="shared" si="55"/>
        <v>2023</v>
      </c>
    </row>
    <row r="1751" spans="1:5" x14ac:dyDescent="0.25">
      <c r="A1751" t="s">
        <v>161</v>
      </c>
      <c r="B1751" s="10">
        <f>VLOOKUP(A1751,'Datos generales'!A:B,2,0)</f>
        <v>45878.351388888892</v>
      </c>
      <c r="C1751" s="12">
        <f>VLOOKUP(A1751,'Datos generales'!A:H,8,0)</f>
        <v>5885.52</v>
      </c>
      <c r="D1751" s="12" t="str">
        <f t="shared" si="54"/>
        <v>agosto</v>
      </c>
      <c r="E1751" s="33">
        <f t="shared" si="55"/>
        <v>2025</v>
      </c>
    </row>
    <row r="1752" spans="1:5" x14ac:dyDescent="0.25">
      <c r="A1752" t="s">
        <v>162</v>
      </c>
      <c r="B1752" s="10">
        <f>VLOOKUP(A1752,'Datos generales'!A:B,2,0)</f>
        <v>45894.257638888892</v>
      </c>
      <c r="C1752" s="12">
        <f>VLOOKUP(A1752,'Datos generales'!A:H,8,0)</f>
        <v>1463.91</v>
      </c>
      <c r="D1752" s="12" t="str">
        <f t="shared" si="54"/>
        <v>agosto</v>
      </c>
      <c r="E1752" s="33">
        <f t="shared" si="55"/>
        <v>2025</v>
      </c>
    </row>
    <row r="1753" spans="1:5" x14ac:dyDescent="0.25">
      <c r="A1753" t="s">
        <v>163</v>
      </c>
      <c r="B1753" s="10">
        <f>VLOOKUP(A1753,'Datos generales'!A:B,2,0)</f>
        <v>45321.105555555558</v>
      </c>
      <c r="C1753" s="12">
        <f>VLOOKUP(A1753,'Datos generales'!A:H,8,0)</f>
        <v>6341.96</v>
      </c>
      <c r="D1753" s="12" t="str">
        <f t="shared" si="54"/>
        <v>enero</v>
      </c>
      <c r="E1753" s="33">
        <f t="shared" si="55"/>
        <v>2024</v>
      </c>
    </row>
    <row r="1754" spans="1:5" x14ac:dyDescent="0.25">
      <c r="A1754" t="s">
        <v>164</v>
      </c>
      <c r="B1754" s="10">
        <f>VLOOKUP(A1754,'Datos generales'!A:B,2,0)</f>
        <v>45571.035416666673</v>
      </c>
      <c r="C1754" s="12">
        <f>VLOOKUP(A1754,'Datos generales'!A:H,8,0)</f>
        <v>662.17</v>
      </c>
      <c r="D1754" s="12" t="str">
        <f t="shared" si="54"/>
        <v>octubre</v>
      </c>
      <c r="E1754" s="33">
        <f t="shared" si="55"/>
        <v>2024</v>
      </c>
    </row>
    <row r="1755" spans="1:5" x14ac:dyDescent="0.25">
      <c r="A1755" t="s">
        <v>165</v>
      </c>
      <c r="B1755" s="10">
        <f>VLOOKUP(A1755,'Datos generales'!A:B,2,0)</f>
        <v>45442.757638888892</v>
      </c>
      <c r="C1755" s="12">
        <f>VLOOKUP(A1755,'Datos generales'!A:H,8,0)</f>
        <v>273.36</v>
      </c>
      <c r="D1755" s="12" t="str">
        <f t="shared" si="54"/>
        <v>mayo</v>
      </c>
      <c r="E1755" s="33">
        <f t="shared" si="55"/>
        <v>2024</v>
      </c>
    </row>
    <row r="1756" spans="1:5" x14ac:dyDescent="0.25">
      <c r="A1756" t="s">
        <v>166</v>
      </c>
      <c r="B1756" s="10">
        <f>VLOOKUP(A1756,'Datos generales'!A:B,2,0)</f>
        <v>45889.054166666669</v>
      </c>
      <c r="C1756" s="12">
        <f>VLOOKUP(A1756,'Datos generales'!A:H,8,0)</f>
        <v>474.56</v>
      </c>
      <c r="D1756" s="12" t="str">
        <f t="shared" si="54"/>
        <v>agosto</v>
      </c>
      <c r="E1756" s="33">
        <f t="shared" si="55"/>
        <v>2025</v>
      </c>
    </row>
    <row r="1757" spans="1:5" x14ac:dyDescent="0.25">
      <c r="A1757" t="s">
        <v>167</v>
      </c>
      <c r="B1757" s="10">
        <f>VLOOKUP(A1757,'Datos generales'!A:B,2,0)</f>
        <v>45468.727083333331</v>
      </c>
      <c r="C1757" s="12">
        <f>VLOOKUP(A1757,'Datos generales'!A:H,8,0)</f>
        <v>2800.47</v>
      </c>
      <c r="D1757" s="12" t="str">
        <f t="shared" si="54"/>
        <v>junio</v>
      </c>
      <c r="E1757" s="33">
        <f t="shared" si="55"/>
        <v>2024</v>
      </c>
    </row>
    <row r="1758" spans="1:5" x14ac:dyDescent="0.25">
      <c r="A1758" t="s">
        <v>168</v>
      </c>
      <c r="B1758" s="10">
        <f>VLOOKUP(A1758,'Datos generales'!A:B,2,0)</f>
        <v>45202.955555555563</v>
      </c>
      <c r="C1758" s="12">
        <f>VLOOKUP(A1758,'Datos generales'!A:H,8,0)</f>
        <v>2070.1799999999998</v>
      </c>
      <c r="D1758" s="12" t="str">
        <f t="shared" si="54"/>
        <v>octubre</v>
      </c>
      <c r="E1758" s="33">
        <f t="shared" si="55"/>
        <v>2023</v>
      </c>
    </row>
    <row r="1759" spans="1:5" x14ac:dyDescent="0.25">
      <c r="A1759" t="s">
        <v>169</v>
      </c>
      <c r="B1759" s="10">
        <f>VLOOKUP(A1759,'Datos generales'!A:B,2,0)</f>
        <v>45323.202777777777</v>
      </c>
      <c r="C1759" s="12">
        <f>VLOOKUP(A1759,'Datos generales'!A:H,8,0)</f>
        <v>2650.02</v>
      </c>
      <c r="D1759" s="12" t="str">
        <f t="shared" si="54"/>
        <v>febrero</v>
      </c>
      <c r="E1759" s="33">
        <f t="shared" si="55"/>
        <v>2024</v>
      </c>
    </row>
    <row r="1760" spans="1:5" x14ac:dyDescent="0.25">
      <c r="A1760" t="s">
        <v>170</v>
      </c>
      <c r="B1760" s="10">
        <f>VLOOKUP(A1760,'Datos generales'!A:B,2,0)</f>
        <v>45288.395833333343</v>
      </c>
      <c r="C1760" s="12">
        <f>VLOOKUP(A1760,'Datos generales'!A:H,8,0)</f>
        <v>2843.36</v>
      </c>
      <c r="D1760" s="12" t="str">
        <f t="shared" si="54"/>
        <v>diciembre</v>
      </c>
      <c r="E1760" s="33">
        <f t="shared" si="55"/>
        <v>2023</v>
      </c>
    </row>
    <row r="1761" spans="1:5" x14ac:dyDescent="0.25">
      <c r="A1761" t="s">
        <v>171</v>
      </c>
      <c r="B1761" s="10">
        <f>VLOOKUP(A1761,'Datos generales'!A:B,2,0)</f>
        <v>45900.337500000001</v>
      </c>
      <c r="C1761" s="12">
        <f>VLOOKUP(A1761,'Datos generales'!A:H,8,0)</f>
        <v>291.81</v>
      </c>
      <c r="D1761" s="12" t="str">
        <f t="shared" si="54"/>
        <v>agosto</v>
      </c>
      <c r="E1761" s="33">
        <f t="shared" si="55"/>
        <v>2025</v>
      </c>
    </row>
    <row r="1762" spans="1:5" x14ac:dyDescent="0.25">
      <c r="A1762" t="s">
        <v>172</v>
      </c>
      <c r="B1762" s="10">
        <f>VLOOKUP(A1762,'Datos generales'!A:B,2,0)</f>
        <v>45576.732638888891</v>
      </c>
      <c r="C1762" s="12">
        <f>VLOOKUP(A1762,'Datos generales'!A:H,8,0)</f>
        <v>2491.8000000000002</v>
      </c>
      <c r="D1762" s="12" t="str">
        <f t="shared" si="54"/>
        <v>octubre</v>
      </c>
      <c r="E1762" s="33">
        <f t="shared" si="55"/>
        <v>2024</v>
      </c>
    </row>
    <row r="1763" spans="1:5" x14ac:dyDescent="0.25">
      <c r="A1763" t="s">
        <v>173</v>
      </c>
      <c r="B1763" s="10">
        <f>VLOOKUP(A1763,'Datos generales'!A:B,2,0)</f>
        <v>45392.97152777778</v>
      </c>
      <c r="C1763" s="12">
        <f>VLOOKUP(A1763,'Datos generales'!A:H,8,0)</f>
        <v>4904.45</v>
      </c>
      <c r="D1763" s="12" t="str">
        <f t="shared" si="54"/>
        <v>abril</v>
      </c>
      <c r="E1763" s="33">
        <f t="shared" si="55"/>
        <v>2024</v>
      </c>
    </row>
    <row r="1764" spans="1:5" x14ac:dyDescent="0.25">
      <c r="A1764" t="s">
        <v>174</v>
      </c>
      <c r="B1764" s="10">
        <f>VLOOKUP(A1764,'Datos generales'!A:B,2,0)</f>
        <v>45584.049305555563</v>
      </c>
      <c r="C1764" s="12">
        <f>VLOOKUP(A1764,'Datos generales'!A:H,8,0)</f>
        <v>1390.33</v>
      </c>
      <c r="D1764" s="12" t="str">
        <f t="shared" si="54"/>
        <v>octubre</v>
      </c>
      <c r="E1764" s="33">
        <f t="shared" si="55"/>
        <v>2024</v>
      </c>
    </row>
    <row r="1765" spans="1:5" x14ac:dyDescent="0.25">
      <c r="A1765" t="s">
        <v>175</v>
      </c>
      <c r="B1765" s="10">
        <f>VLOOKUP(A1765,'Datos generales'!A:B,2,0)</f>
        <v>44941.657638888893</v>
      </c>
      <c r="C1765" s="12">
        <f>VLOOKUP(A1765,'Datos generales'!A:H,8,0)</f>
        <v>8540.4499999999989</v>
      </c>
      <c r="D1765" s="12" t="str">
        <f t="shared" si="54"/>
        <v>enero</v>
      </c>
      <c r="E1765" s="33">
        <f t="shared" si="55"/>
        <v>2023</v>
      </c>
    </row>
    <row r="1766" spans="1:5" x14ac:dyDescent="0.25">
      <c r="A1766" t="s">
        <v>176</v>
      </c>
      <c r="B1766" s="10">
        <f>VLOOKUP(A1766,'Datos generales'!A:B,2,0)</f>
        <v>45238.718055555553</v>
      </c>
      <c r="C1766" s="12">
        <f>VLOOKUP(A1766,'Datos generales'!A:H,8,0)</f>
        <v>1378.2</v>
      </c>
      <c r="D1766" s="12" t="str">
        <f t="shared" si="54"/>
        <v>noviembre</v>
      </c>
      <c r="E1766" s="33">
        <f t="shared" si="55"/>
        <v>2023</v>
      </c>
    </row>
    <row r="1767" spans="1:5" x14ac:dyDescent="0.25">
      <c r="A1767" t="s">
        <v>177</v>
      </c>
      <c r="B1767" s="10">
        <f>VLOOKUP(A1767,'Datos generales'!A:B,2,0)</f>
        <v>44973.59652777778</v>
      </c>
      <c r="C1767" s="12">
        <f>VLOOKUP(A1767,'Datos generales'!A:H,8,0)</f>
        <v>1578.33</v>
      </c>
      <c r="D1767" s="12" t="str">
        <f t="shared" si="54"/>
        <v>febrero</v>
      </c>
      <c r="E1767" s="33">
        <f t="shared" si="55"/>
        <v>2023</v>
      </c>
    </row>
    <row r="1768" spans="1:5" x14ac:dyDescent="0.25">
      <c r="A1768" t="s">
        <v>178</v>
      </c>
      <c r="B1768" s="10">
        <f>VLOOKUP(A1768,'Datos generales'!A:B,2,0)</f>
        <v>45445.690972222219</v>
      </c>
      <c r="C1768" s="12">
        <f>VLOOKUP(A1768,'Datos generales'!A:H,8,0)</f>
        <v>8011.9500000000007</v>
      </c>
      <c r="D1768" s="12" t="str">
        <f t="shared" si="54"/>
        <v>junio</v>
      </c>
      <c r="E1768" s="33">
        <f t="shared" si="55"/>
        <v>2024</v>
      </c>
    </row>
    <row r="1769" spans="1:5" x14ac:dyDescent="0.25">
      <c r="A1769" t="s">
        <v>179</v>
      </c>
      <c r="B1769" s="10">
        <f>VLOOKUP(A1769,'Datos generales'!A:B,2,0)</f>
        <v>45035.472916666673</v>
      </c>
      <c r="C1769" s="12">
        <f>VLOOKUP(A1769,'Datos generales'!A:H,8,0)</f>
        <v>1429.1</v>
      </c>
      <c r="D1769" s="12" t="str">
        <f t="shared" si="54"/>
        <v>abril</v>
      </c>
      <c r="E1769" s="33">
        <f t="shared" si="55"/>
        <v>2023</v>
      </c>
    </row>
    <row r="1770" spans="1:5" x14ac:dyDescent="0.25">
      <c r="A1770" t="s">
        <v>180</v>
      </c>
      <c r="B1770" s="10">
        <f>VLOOKUP(A1770,'Datos generales'!A:B,2,0)</f>
        <v>45836.104166666657</v>
      </c>
      <c r="C1770" s="12">
        <f>VLOOKUP(A1770,'Datos generales'!A:H,8,0)</f>
        <v>281.08</v>
      </c>
      <c r="D1770" s="12" t="str">
        <f t="shared" si="54"/>
        <v>junio</v>
      </c>
      <c r="E1770" s="33">
        <f t="shared" si="55"/>
        <v>2025</v>
      </c>
    </row>
    <row r="1771" spans="1:5" x14ac:dyDescent="0.25">
      <c r="A1771" t="s">
        <v>181</v>
      </c>
      <c r="B1771" s="10">
        <f>VLOOKUP(A1771,'Datos generales'!A:B,2,0)</f>
        <v>45584.553472222222</v>
      </c>
      <c r="C1771" s="12">
        <f>VLOOKUP(A1771,'Datos generales'!A:H,8,0)</f>
        <v>1434.35</v>
      </c>
      <c r="D1771" s="12" t="str">
        <f t="shared" si="54"/>
        <v>octubre</v>
      </c>
      <c r="E1771" s="33">
        <f t="shared" si="55"/>
        <v>2024</v>
      </c>
    </row>
    <row r="1772" spans="1:5" x14ac:dyDescent="0.25">
      <c r="A1772" t="s">
        <v>182</v>
      </c>
      <c r="B1772" s="10">
        <f>VLOOKUP(A1772,'Datos generales'!A:B,2,0)</f>
        <v>45338.585416666669</v>
      </c>
      <c r="C1772" s="12">
        <f>VLOOKUP(A1772,'Datos generales'!A:H,8,0)</f>
        <v>9489.85</v>
      </c>
      <c r="D1772" s="12" t="str">
        <f t="shared" si="54"/>
        <v>febrero</v>
      </c>
      <c r="E1772" s="33">
        <f t="shared" si="55"/>
        <v>2024</v>
      </c>
    </row>
    <row r="1773" spans="1:5" x14ac:dyDescent="0.25">
      <c r="A1773" t="s">
        <v>183</v>
      </c>
      <c r="B1773" s="10">
        <f>VLOOKUP(A1773,'Datos generales'!A:B,2,0)</f>
        <v>45625.480555555558</v>
      </c>
      <c r="C1773" s="12">
        <f>VLOOKUP(A1773,'Datos generales'!A:H,8,0)</f>
        <v>1175.42</v>
      </c>
      <c r="D1773" s="12" t="str">
        <f t="shared" si="54"/>
        <v>noviembre</v>
      </c>
      <c r="E1773" s="33">
        <f t="shared" si="55"/>
        <v>2024</v>
      </c>
    </row>
    <row r="1774" spans="1:5" x14ac:dyDescent="0.25">
      <c r="A1774" t="s">
        <v>184</v>
      </c>
      <c r="B1774" s="10">
        <f>VLOOKUP(A1774,'Datos generales'!A:B,2,0)</f>
        <v>45291</v>
      </c>
      <c r="C1774" s="12">
        <f>VLOOKUP(A1774,'Datos generales'!A:H,8,0)</f>
        <v>3580.52</v>
      </c>
      <c r="D1774" s="12" t="str">
        <f t="shared" si="54"/>
        <v>diciembre</v>
      </c>
      <c r="E1774" s="33">
        <f t="shared" si="55"/>
        <v>2023</v>
      </c>
    </row>
    <row r="1775" spans="1:5" x14ac:dyDescent="0.25">
      <c r="A1775" t="s">
        <v>185</v>
      </c>
      <c r="B1775" s="10">
        <f>VLOOKUP(A1775,'Datos generales'!A:B,2,0)</f>
        <v>45548.488194444442</v>
      </c>
      <c r="C1775" s="12">
        <f>VLOOKUP(A1775,'Datos generales'!A:H,8,0)</f>
        <v>4372.0499999999993</v>
      </c>
      <c r="D1775" s="12" t="str">
        <f t="shared" si="54"/>
        <v>septiembre</v>
      </c>
      <c r="E1775" s="33">
        <f t="shared" si="55"/>
        <v>2024</v>
      </c>
    </row>
    <row r="1776" spans="1:5" x14ac:dyDescent="0.25">
      <c r="A1776" t="s">
        <v>186</v>
      </c>
      <c r="B1776" s="10">
        <f>VLOOKUP(A1776,'Datos generales'!A:B,2,0)</f>
        <v>45540.261805555558</v>
      </c>
      <c r="C1776" s="12">
        <f>VLOOKUP(A1776,'Datos generales'!A:H,8,0)</f>
        <v>3249.96</v>
      </c>
      <c r="D1776" s="12" t="str">
        <f t="shared" si="54"/>
        <v>septiembre</v>
      </c>
      <c r="E1776" s="33">
        <f t="shared" si="55"/>
        <v>2024</v>
      </c>
    </row>
    <row r="1777" spans="1:5" x14ac:dyDescent="0.25">
      <c r="A1777" t="s">
        <v>187</v>
      </c>
      <c r="B1777" s="10">
        <f>VLOOKUP(A1777,'Datos generales'!A:B,2,0)</f>
        <v>45783.684027777781</v>
      </c>
      <c r="C1777" s="12">
        <f>VLOOKUP(A1777,'Datos generales'!A:H,8,0)</f>
        <v>4628.13</v>
      </c>
      <c r="D1777" s="12" t="str">
        <f t="shared" si="54"/>
        <v>mayo</v>
      </c>
      <c r="E1777" s="33">
        <f t="shared" si="55"/>
        <v>2025</v>
      </c>
    </row>
    <row r="1778" spans="1:5" x14ac:dyDescent="0.25">
      <c r="A1778" t="s">
        <v>188</v>
      </c>
      <c r="B1778" s="10">
        <f>VLOOKUP(A1778,'Datos generales'!A:B,2,0)</f>
        <v>45692.470138888893</v>
      </c>
      <c r="C1778" s="12">
        <f>VLOOKUP(A1778,'Datos generales'!A:H,8,0)</f>
        <v>3619</v>
      </c>
      <c r="D1778" s="12" t="str">
        <f t="shared" si="54"/>
        <v>febrero</v>
      </c>
      <c r="E1778" s="33">
        <f t="shared" si="55"/>
        <v>2025</v>
      </c>
    </row>
    <row r="1779" spans="1:5" x14ac:dyDescent="0.25">
      <c r="A1779" t="s">
        <v>189</v>
      </c>
      <c r="B1779" s="10">
        <f>VLOOKUP(A1779,'Datos generales'!A:B,2,0)</f>
        <v>45186.410416666673</v>
      </c>
      <c r="C1779" s="12">
        <f>VLOOKUP(A1779,'Datos generales'!A:H,8,0)</f>
        <v>899.85</v>
      </c>
      <c r="D1779" s="12" t="str">
        <f t="shared" si="54"/>
        <v>septiembre</v>
      </c>
      <c r="E1779" s="33">
        <f t="shared" si="55"/>
        <v>2023</v>
      </c>
    </row>
    <row r="1780" spans="1:5" x14ac:dyDescent="0.25">
      <c r="A1780" t="s">
        <v>190</v>
      </c>
      <c r="B1780" s="10">
        <f>VLOOKUP(A1780,'Datos generales'!A:B,2,0)</f>
        <v>45539.616666666669</v>
      </c>
      <c r="C1780" s="12">
        <f>VLOOKUP(A1780,'Datos generales'!A:H,8,0)</f>
        <v>1318.43</v>
      </c>
      <c r="D1780" s="12" t="str">
        <f t="shared" si="54"/>
        <v>septiembre</v>
      </c>
      <c r="E1780" s="33">
        <f t="shared" si="55"/>
        <v>2024</v>
      </c>
    </row>
    <row r="1781" spans="1:5" x14ac:dyDescent="0.25">
      <c r="A1781" t="s">
        <v>191</v>
      </c>
      <c r="B1781" s="10">
        <f>VLOOKUP(A1781,'Datos generales'!A:B,2,0)</f>
        <v>45073.392361111109</v>
      </c>
      <c r="C1781" s="12">
        <f>VLOOKUP(A1781,'Datos generales'!A:H,8,0)</f>
        <v>614.74</v>
      </c>
      <c r="D1781" s="12" t="str">
        <f t="shared" si="54"/>
        <v>mayo</v>
      </c>
      <c r="E1781" s="33">
        <f t="shared" si="55"/>
        <v>2023</v>
      </c>
    </row>
    <row r="1782" spans="1:5" x14ac:dyDescent="0.25">
      <c r="A1782" t="s">
        <v>192</v>
      </c>
      <c r="B1782" s="10">
        <f>VLOOKUP(A1782,'Datos generales'!A:B,2,0)</f>
        <v>45287.277777777781</v>
      </c>
      <c r="C1782" s="12">
        <f>VLOOKUP(A1782,'Datos generales'!A:H,8,0)</f>
        <v>1364.97</v>
      </c>
      <c r="D1782" s="12" t="str">
        <f t="shared" si="54"/>
        <v>diciembre</v>
      </c>
      <c r="E1782" s="33">
        <f t="shared" si="55"/>
        <v>2023</v>
      </c>
    </row>
    <row r="1783" spans="1:5" x14ac:dyDescent="0.25">
      <c r="A1783" t="s">
        <v>193</v>
      </c>
      <c r="B1783" s="10">
        <f>VLOOKUP(A1783,'Datos generales'!A:B,2,0)</f>
        <v>45398.678472222222</v>
      </c>
      <c r="C1783" s="12">
        <f>VLOOKUP(A1783,'Datos generales'!A:H,8,0)</f>
        <v>732.68999999999994</v>
      </c>
      <c r="D1783" s="12" t="str">
        <f t="shared" si="54"/>
        <v>abril</v>
      </c>
      <c r="E1783" s="33">
        <f t="shared" si="55"/>
        <v>2024</v>
      </c>
    </row>
    <row r="1784" spans="1:5" x14ac:dyDescent="0.25">
      <c r="A1784" t="s">
        <v>194</v>
      </c>
      <c r="B1784" s="10">
        <f>VLOOKUP(A1784,'Datos generales'!A:B,2,0)</f>
        <v>44949.395833333343</v>
      </c>
      <c r="C1784" s="12">
        <f>VLOOKUP(A1784,'Datos generales'!A:H,8,0)</f>
        <v>736.92</v>
      </c>
      <c r="D1784" s="12" t="str">
        <f t="shared" si="54"/>
        <v>enero</v>
      </c>
      <c r="E1784" s="33">
        <f t="shared" si="55"/>
        <v>2023</v>
      </c>
    </row>
    <row r="1785" spans="1:5" x14ac:dyDescent="0.25">
      <c r="A1785" t="s">
        <v>195</v>
      </c>
      <c r="B1785" s="10">
        <f>VLOOKUP(A1785,'Datos generales'!A:B,2,0)</f>
        <v>45560.538194444453</v>
      </c>
      <c r="C1785" s="12">
        <f>VLOOKUP(A1785,'Datos generales'!A:H,8,0)</f>
        <v>1501.34</v>
      </c>
      <c r="D1785" s="12" t="str">
        <f t="shared" si="54"/>
        <v>septiembre</v>
      </c>
      <c r="E1785" s="33">
        <f t="shared" si="55"/>
        <v>2024</v>
      </c>
    </row>
    <row r="1786" spans="1:5" x14ac:dyDescent="0.25">
      <c r="A1786" t="s">
        <v>196</v>
      </c>
      <c r="B1786" s="10">
        <f>VLOOKUP(A1786,'Datos generales'!A:B,2,0)</f>
        <v>45636.231249999997</v>
      </c>
      <c r="C1786" s="12">
        <f>VLOOKUP(A1786,'Datos generales'!A:H,8,0)</f>
        <v>3980.72</v>
      </c>
      <c r="D1786" s="12" t="str">
        <f t="shared" si="54"/>
        <v>diciembre</v>
      </c>
      <c r="E1786" s="33">
        <f t="shared" si="55"/>
        <v>2024</v>
      </c>
    </row>
    <row r="1787" spans="1:5" x14ac:dyDescent="0.25">
      <c r="A1787" t="s">
        <v>197</v>
      </c>
      <c r="B1787" s="10">
        <f>VLOOKUP(A1787,'Datos generales'!A:B,2,0)</f>
        <v>45218.252083333333</v>
      </c>
      <c r="C1787" s="12">
        <f>VLOOKUP(A1787,'Datos generales'!A:H,8,0)</f>
        <v>3669.44</v>
      </c>
      <c r="D1787" s="12" t="str">
        <f t="shared" si="54"/>
        <v>octubre</v>
      </c>
      <c r="E1787" s="33">
        <f t="shared" si="55"/>
        <v>2023</v>
      </c>
    </row>
    <row r="1788" spans="1:5" x14ac:dyDescent="0.25">
      <c r="A1788" t="s">
        <v>198</v>
      </c>
      <c r="B1788" s="10">
        <f>VLOOKUP(A1788,'Datos generales'!A:B,2,0)</f>
        <v>45615.827777777777</v>
      </c>
      <c r="C1788" s="12">
        <f>VLOOKUP(A1788,'Datos generales'!A:H,8,0)</f>
        <v>3884.62</v>
      </c>
      <c r="D1788" s="12" t="str">
        <f t="shared" si="54"/>
        <v>noviembre</v>
      </c>
      <c r="E1788" s="33">
        <f t="shared" si="55"/>
        <v>2024</v>
      </c>
    </row>
    <row r="1789" spans="1:5" x14ac:dyDescent="0.25">
      <c r="A1789" t="s">
        <v>199</v>
      </c>
      <c r="B1789" s="10">
        <f>VLOOKUP(A1789,'Datos generales'!A:B,2,0)</f>
        <v>45755.705555555563</v>
      </c>
      <c r="C1789" s="12">
        <f>VLOOKUP(A1789,'Datos generales'!A:H,8,0)</f>
        <v>3076.71</v>
      </c>
      <c r="D1789" s="12" t="str">
        <f t="shared" si="54"/>
        <v>abril</v>
      </c>
      <c r="E1789" s="33">
        <f t="shared" si="55"/>
        <v>2025</v>
      </c>
    </row>
    <row r="1790" spans="1:5" x14ac:dyDescent="0.25">
      <c r="A1790" t="s">
        <v>200</v>
      </c>
      <c r="B1790" s="10">
        <f>VLOOKUP(A1790,'Datos generales'!A:B,2,0)</f>
        <v>44962.009722222218</v>
      </c>
      <c r="C1790" s="12">
        <f>VLOOKUP(A1790,'Datos generales'!A:H,8,0)</f>
        <v>2220.7600000000002</v>
      </c>
      <c r="D1790" s="12" t="str">
        <f t="shared" si="54"/>
        <v>febrero</v>
      </c>
      <c r="E1790" s="33">
        <f t="shared" si="55"/>
        <v>2023</v>
      </c>
    </row>
    <row r="1791" spans="1:5" x14ac:dyDescent="0.25">
      <c r="A1791" t="s">
        <v>201</v>
      </c>
      <c r="B1791" s="10">
        <f>VLOOKUP(A1791,'Datos generales'!A:B,2,0)</f>
        <v>45194.675000000003</v>
      </c>
      <c r="C1791" s="12">
        <f>VLOOKUP(A1791,'Datos generales'!A:H,8,0)</f>
        <v>3754.1</v>
      </c>
      <c r="D1791" s="12" t="str">
        <f t="shared" si="54"/>
        <v>septiembre</v>
      </c>
      <c r="E1791" s="33">
        <f t="shared" si="55"/>
        <v>2023</v>
      </c>
    </row>
    <row r="1792" spans="1:5" x14ac:dyDescent="0.25">
      <c r="A1792" t="s">
        <v>202</v>
      </c>
      <c r="B1792" s="10">
        <f>VLOOKUP(A1792,'Datos generales'!A:B,2,0)</f>
        <v>45818.179861111108</v>
      </c>
      <c r="C1792" s="12">
        <f>VLOOKUP(A1792,'Datos generales'!A:H,8,0)</f>
        <v>3219.8</v>
      </c>
      <c r="D1792" s="12" t="str">
        <f t="shared" si="54"/>
        <v>junio</v>
      </c>
      <c r="E1792" s="33">
        <f t="shared" si="55"/>
        <v>2025</v>
      </c>
    </row>
    <row r="1793" spans="1:5" x14ac:dyDescent="0.25">
      <c r="A1793" t="s">
        <v>203</v>
      </c>
      <c r="B1793" s="10">
        <f>VLOOKUP(A1793,'Datos generales'!A:B,2,0)</f>
        <v>45755.011111111111</v>
      </c>
      <c r="C1793" s="12">
        <f>VLOOKUP(A1793,'Datos generales'!A:H,8,0)</f>
        <v>83.67</v>
      </c>
      <c r="D1793" s="12" t="str">
        <f t="shared" si="54"/>
        <v>abril</v>
      </c>
      <c r="E1793" s="33">
        <f t="shared" si="55"/>
        <v>2025</v>
      </c>
    </row>
    <row r="1794" spans="1:5" x14ac:dyDescent="0.25">
      <c r="A1794" t="s">
        <v>204</v>
      </c>
      <c r="B1794" s="10">
        <f>VLOOKUP(A1794,'Datos generales'!A:B,2,0)</f>
        <v>45862.584722222222</v>
      </c>
      <c r="C1794" s="12">
        <f>VLOOKUP(A1794,'Datos generales'!A:H,8,0)</f>
        <v>1700.54</v>
      </c>
      <c r="D1794" s="12" t="str">
        <f t="shared" si="54"/>
        <v>julio</v>
      </c>
      <c r="E1794" s="33">
        <f t="shared" si="55"/>
        <v>2025</v>
      </c>
    </row>
    <row r="1795" spans="1:5" x14ac:dyDescent="0.25">
      <c r="A1795" t="s">
        <v>205</v>
      </c>
      <c r="B1795" s="10">
        <f>VLOOKUP(A1795,'Datos generales'!A:B,2,0)</f>
        <v>45802.370833333327</v>
      </c>
      <c r="C1795" s="12">
        <f>VLOOKUP(A1795,'Datos generales'!A:H,8,0)</f>
        <v>1420.2</v>
      </c>
      <c r="D1795" s="12" t="str">
        <f t="shared" ref="D1795:D1858" si="56">TEXT(B1795,"mmmm")</f>
        <v>mayo</v>
      </c>
      <c r="E1795" s="33">
        <f t="shared" ref="E1795:E1858" si="57">YEAR(B1795)</f>
        <v>2025</v>
      </c>
    </row>
    <row r="1796" spans="1:5" x14ac:dyDescent="0.25">
      <c r="A1796" t="s">
        <v>206</v>
      </c>
      <c r="B1796" s="10">
        <f>VLOOKUP(A1796,'Datos generales'!A:B,2,0)</f>
        <v>45178.038888888892</v>
      </c>
      <c r="C1796" s="12">
        <f>VLOOKUP(A1796,'Datos generales'!A:H,8,0)</f>
        <v>521.32000000000005</v>
      </c>
      <c r="D1796" s="12" t="str">
        <f t="shared" si="56"/>
        <v>septiembre</v>
      </c>
      <c r="E1796" s="33">
        <f t="shared" si="57"/>
        <v>2023</v>
      </c>
    </row>
    <row r="1797" spans="1:5" x14ac:dyDescent="0.25">
      <c r="A1797" t="s">
        <v>207</v>
      </c>
      <c r="B1797" s="10">
        <f>VLOOKUP(A1797,'Datos generales'!A:B,2,0)</f>
        <v>45748.34097222222</v>
      </c>
      <c r="C1797" s="12">
        <f>VLOOKUP(A1797,'Datos generales'!A:H,8,0)</f>
        <v>1067.6400000000001</v>
      </c>
      <c r="D1797" s="12" t="str">
        <f t="shared" si="56"/>
        <v>abril</v>
      </c>
      <c r="E1797" s="33">
        <f t="shared" si="57"/>
        <v>2025</v>
      </c>
    </row>
    <row r="1798" spans="1:5" x14ac:dyDescent="0.25">
      <c r="A1798" t="s">
        <v>208</v>
      </c>
      <c r="B1798" s="10">
        <f>VLOOKUP(A1798,'Datos generales'!A:B,2,0)</f>
        <v>45055.556250000001</v>
      </c>
      <c r="C1798" s="12">
        <f>VLOOKUP(A1798,'Datos generales'!A:H,8,0)</f>
        <v>1903.64</v>
      </c>
      <c r="D1798" s="12" t="str">
        <f t="shared" si="56"/>
        <v>mayo</v>
      </c>
      <c r="E1798" s="33">
        <f t="shared" si="57"/>
        <v>2023</v>
      </c>
    </row>
    <row r="1799" spans="1:5" x14ac:dyDescent="0.25">
      <c r="A1799" t="s">
        <v>209</v>
      </c>
      <c r="B1799" s="10">
        <f>VLOOKUP(A1799,'Datos generales'!A:B,2,0)</f>
        <v>44958.773611111108</v>
      </c>
      <c r="C1799" s="12">
        <f>VLOOKUP(A1799,'Datos generales'!A:H,8,0)</f>
        <v>2920.32</v>
      </c>
      <c r="D1799" s="12" t="str">
        <f t="shared" si="56"/>
        <v>febrero</v>
      </c>
      <c r="E1799" s="33">
        <f t="shared" si="57"/>
        <v>2023</v>
      </c>
    </row>
    <row r="1800" spans="1:5" x14ac:dyDescent="0.25">
      <c r="A1800" t="s">
        <v>210</v>
      </c>
      <c r="B1800" s="10">
        <f>VLOOKUP(A1800,'Datos generales'!A:B,2,0)</f>
        <v>45816.563888888893</v>
      </c>
      <c r="C1800" s="12">
        <f>VLOOKUP(A1800,'Datos generales'!A:H,8,0)</f>
        <v>3388</v>
      </c>
      <c r="D1800" s="12" t="str">
        <f t="shared" si="56"/>
        <v>junio</v>
      </c>
      <c r="E1800" s="33">
        <f t="shared" si="57"/>
        <v>2025</v>
      </c>
    </row>
    <row r="1801" spans="1:5" x14ac:dyDescent="0.25">
      <c r="A1801" t="s">
        <v>211</v>
      </c>
      <c r="B1801" s="10">
        <f>VLOOKUP(A1801,'Datos generales'!A:B,2,0)</f>
        <v>45089.396527777782</v>
      </c>
      <c r="C1801" s="12">
        <f>VLOOKUP(A1801,'Datos generales'!A:H,8,0)</f>
        <v>2486.6799999999998</v>
      </c>
      <c r="D1801" s="12" t="str">
        <f t="shared" si="56"/>
        <v>junio</v>
      </c>
      <c r="E1801" s="33">
        <f t="shared" si="57"/>
        <v>2023</v>
      </c>
    </row>
    <row r="1802" spans="1:5" x14ac:dyDescent="0.25">
      <c r="A1802" t="s">
        <v>12</v>
      </c>
      <c r="B1802" s="10">
        <f>VLOOKUP(A1802,'Datos generales'!A:B,2,0)</f>
        <v>45280.478472222218</v>
      </c>
      <c r="C1802" s="12">
        <f>VLOOKUP(A1802,'Datos generales'!A:H,8,0)</f>
        <v>7486.2</v>
      </c>
      <c r="D1802" s="12" t="str">
        <f t="shared" si="56"/>
        <v>diciembre</v>
      </c>
      <c r="E1802" s="33">
        <f t="shared" si="57"/>
        <v>2023</v>
      </c>
    </row>
    <row r="1803" spans="1:5" x14ac:dyDescent="0.25">
      <c r="A1803" t="s">
        <v>13</v>
      </c>
      <c r="B1803" s="10">
        <f>VLOOKUP(A1803,'Datos generales'!A:B,2,0)</f>
        <v>45008.840277777781</v>
      </c>
      <c r="C1803" s="12">
        <f>VLOOKUP(A1803,'Datos generales'!A:H,8,0)</f>
        <v>1687.54</v>
      </c>
      <c r="D1803" s="12" t="str">
        <f t="shared" si="56"/>
        <v>marzo</v>
      </c>
      <c r="E1803" s="33">
        <f t="shared" si="57"/>
        <v>2023</v>
      </c>
    </row>
    <row r="1804" spans="1:5" x14ac:dyDescent="0.25">
      <c r="A1804" t="s">
        <v>14</v>
      </c>
      <c r="B1804" s="10">
        <f>VLOOKUP(A1804,'Datos generales'!A:B,2,0)</f>
        <v>45355.443749999999</v>
      </c>
      <c r="C1804" s="12">
        <f>VLOOKUP(A1804,'Datos generales'!A:H,8,0)</f>
        <v>2306.4</v>
      </c>
      <c r="D1804" s="12" t="str">
        <f t="shared" si="56"/>
        <v>marzo</v>
      </c>
      <c r="E1804" s="33">
        <f t="shared" si="57"/>
        <v>2024</v>
      </c>
    </row>
    <row r="1805" spans="1:5" x14ac:dyDescent="0.25">
      <c r="A1805" t="s">
        <v>15</v>
      </c>
      <c r="B1805" s="10">
        <f>VLOOKUP(A1805,'Datos generales'!A:B,2,0)</f>
        <v>45704.374305555553</v>
      </c>
      <c r="C1805" s="12">
        <f>VLOOKUP(A1805,'Datos generales'!A:H,8,0)</f>
        <v>1532.67</v>
      </c>
      <c r="D1805" s="12" t="str">
        <f t="shared" si="56"/>
        <v>febrero</v>
      </c>
      <c r="E1805" s="33">
        <f t="shared" si="57"/>
        <v>2025</v>
      </c>
    </row>
    <row r="1806" spans="1:5" x14ac:dyDescent="0.25">
      <c r="A1806" t="s">
        <v>16</v>
      </c>
      <c r="B1806" s="10">
        <f>VLOOKUP(A1806,'Datos generales'!A:B,2,0)</f>
        <v>45772.848611111112</v>
      </c>
      <c r="C1806" s="12">
        <f>VLOOKUP(A1806,'Datos generales'!A:H,8,0)</f>
        <v>5128.41</v>
      </c>
      <c r="D1806" s="12" t="str">
        <f t="shared" si="56"/>
        <v>abril</v>
      </c>
      <c r="E1806" s="33">
        <f t="shared" si="57"/>
        <v>2025</v>
      </c>
    </row>
    <row r="1807" spans="1:5" x14ac:dyDescent="0.25">
      <c r="A1807" t="s">
        <v>17</v>
      </c>
      <c r="B1807" s="10">
        <f>VLOOKUP(A1807,'Datos generales'!A:B,2,0)</f>
        <v>45101.225694444453</v>
      </c>
      <c r="C1807" s="12">
        <f>VLOOKUP(A1807,'Datos generales'!A:H,8,0)</f>
        <v>892.62000000000012</v>
      </c>
      <c r="D1807" s="12" t="str">
        <f t="shared" si="56"/>
        <v>junio</v>
      </c>
      <c r="E1807" s="33">
        <f t="shared" si="57"/>
        <v>2023</v>
      </c>
    </row>
    <row r="1808" spans="1:5" x14ac:dyDescent="0.25">
      <c r="A1808" t="s">
        <v>18</v>
      </c>
      <c r="B1808" s="10">
        <f>VLOOKUP(A1808,'Datos generales'!A:B,2,0)</f>
        <v>45694.432638888888</v>
      </c>
      <c r="C1808" s="12">
        <f>VLOOKUP(A1808,'Datos generales'!A:H,8,0)</f>
        <v>6186.6</v>
      </c>
      <c r="D1808" s="12" t="str">
        <f t="shared" si="56"/>
        <v>febrero</v>
      </c>
      <c r="E1808" s="33">
        <f t="shared" si="57"/>
        <v>2025</v>
      </c>
    </row>
    <row r="1809" spans="1:5" x14ac:dyDescent="0.25">
      <c r="A1809" t="s">
        <v>19</v>
      </c>
      <c r="B1809" s="10">
        <f>VLOOKUP(A1809,'Datos generales'!A:B,2,0)</f>
        <v>45798.69027777778</v>
      </c>
      <c r="C1809" s="12">
        <f>VLOOKUP(A1809,'Datos generales'!A:H,8,0)</f>
        <v>1575.18</v>
      </c>
      <c r="D1809" s="12" t="str">
        <f t="shared" si="56"/>
        <v>mayo</v>
      </c>
      <c r="E1809" s="33">
        <f t="shared" si="57"/>
        <v>2025</v>
      </c>
    </row>
    <row r="1810" spans="1:5" x14ac:dyDescent="0.25">
      <c r="A1810" t="s">
        <v>20</v>
      </c>
      <c r="B1810" s="10">
        <f>VLOOKUP(A1810,'Datos generales'!A:B,2,0)</f>
        <v>45425.797222222223</v>
      </c>
      <c r="C1810" s="12">
        <f>VLOOKUP(A1810,'Datos generales'!A:H,8,0)</f>
        <v>9079.2999999999993</v>
      </c>
      <c r="D1810" s="12" t="str">
        <f t="shared" si="56"/>
        <v>mayo</v>
      </c>
      <c r="E1810" s="33">
        <f t="shared" si="57"/>
        <v>2024</v>
      </c>
    </row>
    <row r="1811" spans="1:5" x14ac:dyDescent="0.25">
      <c r="A1811" t="s">
        <v>21</v>
      </c>
      <c r="B1811" s="10">
        <f>VLOOKUP(A1811,'Datos generales'!A:B,2,0)</f>
        <v>45525.152083333327</v>
      </c>
      <c r="C1811" s="12">
        <f>VLOOKUP(A1811,'Datos generales'!A:H,8,0)</f>
        <v>564.11</v>
      </c>
      <c r="D1811" s="12" t="str">
        <f t="shared" si="56"/>
        <v>agosto</v>
      </c>
      <c r="E1811" s="33">
        <f t="shared" si="57"/>
        <v>2024</v>
      </c>
    </row>
    <row r="1812" spans="1:5" x14ac:dyDescent="0.25">
      <c r="A1812" t="s">
        <v>22</v>
      </c>
      <c r="B1812" s="10">
        <f>VLOOKUP(A1812,'Datos generales'!A:B,2,0)</f>
        <v>45580.043749999997</v>
      </c>
      <c r="C1812" s="12">
        <f>VLOOKUP(A1812,'Datos generales'!A:H,8,0)</f>
        <v>454.9</v>
      </c>
      <c r="D1812" s="12" t="str">
        <f t="shared" si="56"/>
        <v>octubre</v>
      </c>
      <c r="E1812" s="33">
        <f t="shared" si="57"/>
        <v>2024</v>
      </c>
    </row>
    <row r="1813" spans="1:5" x14ac:dyDescent="0.25">
      <c r="A1813" t="s">
        <v>23</v>
      </c>
      <c r="B1813" s="10">
        <f>VLOOKUP(A1813,'Datos generales'!A:B,2,0)</f>
        <v>45551.151388888888</v>
      </c>
      <c r="C1813" s="12">
        <f>VLOOKUP(A1813,'Datos generales'!A:H,8,0)</f>
        <v>3832.53</v>
      </c>
      <c r="D1813" s="12" t="str">
        <f t="shared" si="56"/>
        <v>septiembre</v>
      </c>
      <c r="E1813" s="33">
        <f t="shared" si="57"/>
        <v>2024</v>
      </c>
    </row>
    <row r="1814" spans="1:5" x14ac:dyDescent="0.25">
      <c r="A1814" t="s">
        <v>24</v>
      </c>
      <c r="B1814" s="10">
        <f>VLOOKUP(A1814,'Datos generales'!A:B,2,0)</f>
        <v>45230.395833333343</v>
      </c>
      <c r="C1814" s="12">
        <f>VLOOKUP(A1814,'Datos generales'!A:H,8,0)</f>
        <v>3741.9</v>
      </c>
      <c r="D1814" s="12" t="str">
        <f t="shared" si="56"/>
        <v>octubre</v>
      </c>
      <c r="E1814" s="33">
        <f t="shared" si="57"/>
        <v>2023</v>
      </c>
    </row>
    <row r="1815" spans="1:5" x14ac:dyDescent="0.25">
      <c r="A1815" t="s">
        <v>25</v>
      </c>
      <c r="B1815" s="10">
        <f>VLOOKUP(A1815,'Datos generales'!A:B,2,0)</f>
        <v>45234.645833333343</v>
      </c>
      <c r="C1815" s="12">
        <f>VLOOKUP(A1815,'Datos generales'!A:H,8,0)</f>
        <v>4908.92</v>
      </c>
      <c r="D1815" s="12" t="str">
        <f t="shared" si="56"/>
        <v>noviembre</v>
      </c>
      <c r="E1815" s="33">
        <f t="shared" si="57"/>
        <v>2023</v>
      </c>
    </row>
    <row r="1816" spans="1:5" x14ac:dyDescent="0.25">
      <c r="A1816" t="s">
        <v>26</v>
      </c>
      <c r="B1816" s="10">
        <f>VLOOKUP(A1816,'Datos generales'!A:B,2,0)</f>
        <v>45464.76666666667</v>
      </c>
      <c r="C1816" s="12">
        <f>VLOOKUP(A1816,'Datos generales'!A:H,8,0)</f>
        <v>1329.6</v>
      </c>
      <c r="D1816" s="12" t="str">
        <f t="shared" si="56"/>
        <v>junio</v>
      </c>
      <c r="E1816" s="33">
        <f t="shared" si="57"/>
        <v>2024</v>
      </c>
    </row>
    <row r="1817" spans="1:5" x14ac:dyDescent="0.25">
      <c r="A1817" t="s">
        <v>27</v>
      </c>
      <c r="B1817" s="10">
        <f>VLOOKUP(A1817,'Datos generales'!A:B,2,0)</f>
        <v>45138.240277777782</v>
      </c>
      <c r="C1817" s="12">
        <f>VLOOKUP(A1817,'Datos generales'!A:H,8,0)</f>
        <v>5202.3599999999997</v>
      </c>
      <c r="D1817" s="12" t="str">
        <f t="shared" si="56"/>
        <v>julio</v>
      </c>
      <c r="E1817" s="33">
        <f t="shared" si="57"/>
        <v>2023</v>
      </c>
    </row>
    <row r="1818" spans="1:5" x14ac:dyDescent="0.25">
      <c r="A1818" t="s">
        <v>28</v>
      </c>
      <c r="B1818" s="10">
        <f>VLOOKUP(A1818,'Datos generales'!A:B,2,0)</f>
        <v>45455.688888888893</v>
      </c>
      <c r="C1818" s="12">
        <f>VLOOKUP(A1818,'Datos generales'!A:H,8,0)</f>
        <v>1209.6199999999999</v>
      </c>
      <c r="D1818" s="12" t="str">
        <f t="shared" si="56"/>
        <v>junio</v>
      </c>
      <c r="E1818" s="33">
        <f t="shared" si="57"/>
        <v>2024</v>
      </c>
    </row>
    <row r="1819" spans="1:5" x14ac:dyDescent="0.25">
      <c r="A1819" t="s">
        <v>29</v>
      </c>
      <c r="B1819" s="10">
        <f>VLOOKUP(A1819,'Datos generales'!A:B,2,0)</f>
        <v>45301.151388888888</v>
      </c>
      <c r="C1819" s="12">
        <f>VLOOKUP(A1819,'Datos generales'!A:H,8,0)</f>
        <v>2766.99</v>
      </c>
      <c r="D1819" s="12" t="str">
        <f t="shared" si="56"/>
        <v>enero</v>
      </c>
      <c r="E1819" s="33">
        <f t="shared" si="57"/>
        <v>2024</v>
      </c>
    </row>
    <row r="1820" spans="1:5" x14ac:dyDescent="0.25">
      <c r="A1820" t="s">
        <v>30</v>
      </c>
      <c r="B1820" s="10">
        <f>VLOOKUP(A1820,'Datos generales'!A:B,2,0)</f>
        <v>45677.761111111111</v>
      </c>
      <c r="C1820" s="12">
        <f>VLOOKUP(A1820,'Datos generales'!A:H,8,0)</f>
        <v>217.68</v>
      </c>
      <c r="D1820" s="12" t="str">
        <f t="shared" si="56"/>
        <v>enero</v>
      </c>
      <c r="E1820" s="33">
        <f t="shared" si="57"/>
        <v>2025</v>
      </c>
    </row>
    <row r="1821" spans="1:5" x14ac:dyDescent="0.25">
      <c r="A1821" t="s">
        <v>31</v>
      </c>
      <c r="B1821" s="10">
        <f>VLOOKUP(A1821,'Datos generales'!A:B,2,0)</f>
        <v>45238.713888888888</v>
      </c>
      <c r="C1821" s="12">
        <f>VLOOKUP(A1821,'Datos generales'!A:H,8,0)</f>
        <v>3134.36</v>
      </c>
      <c r="D1821" s="12" t="str">
        <f t="shared" si="56"/>
        <v>noviembre</v>
      </c>
      <c r="E1821" s="33">
        <f t="shared" si="57"/>
        <v>2023</v>
      </c>
    </row>
    <row r="1822" spans="1:5" x14ac:dyDescent="0.25">
      <c r="A1822" t="s">
        <v>32</v>
      </c>
      <c r="B1822" s="10">
        <f>VLOOKUP(A1822,'Datos generales'!A:B,2,0)</f>
        <v>45231.386111111111</v>
      </c>
      <c r="C1822" s="12">
        <f>VLOOKUP(A1822,'Datos generales'!A:H,8,0)</f>
        <v>1039.5999999999999</v>
      </c>
      <c r="D1822" s="12" t="str">
        <f t="shared" si="56"/>
        <v>noviembre</v>
      </c>
      <c r="E1822" s="33">
        <f t="shared" si="57"/>
        <v>2023</v>
      </c>
    </row>
    <row r="1823" spans="1:5" x14ac:dyDescent="0.25">
      <c r="A1823" t="s">
        <v>33</v>
      </c>
      <c r="B1823" s="10">
        <f>VLOOKUP(A1823,'Datos generales'!A:B,2,0)</f>
        <v>45421.563888888893</v>
      </c>
      <c r="C1823" s="12">
        <f>VLOOKUP(A1823,'Datos generales'!A:H,8,0)</f>
        <v>1267.01</v>
      </c>
      <c r="D1823" s="12" t="str">
        <f t="shared" si="56"/>
        <v>mayo</v>
      </c>
      <c r="E1823" s="33">
        <f t="shared" si="57"/>
        <v>2024</v>
      </c>
    </row>
    <row r="1824" spans="1:5" x14ac:dyDescent="0.25">
      <c r="A1824" t="s">
        <v>34</v>
      </c>
      <c r="B1824" s="10">
        <f>VLOOKUP(A1824,'Datos generales'!A:B,2,0)</f>
        <v>45437.592361111107</v>
      </c>
      <c r="C1824" s="12">
        <f>VLOOKUP(A1824,'Datos generales'!A:H,8,0)</f>
        <v>4111.24</v>
      </c>
      <c r="D1824" s="12" t="str">
        <f t="shared" si="56"/>
        <v>mayo</v>
      </c>
      <c r="E1824" s="33">
        <f t="shared" si="57"/>
        <v>2024</v>
      </c>
    </row>
    <row r="1825" spans="1:5" x14ac:dyDescent="0.25">
      <c r="A1825" t="s">
        <v>35</v>
      </c>
      <c r="B1825" s="10">
        <f>VLOOKUP(A1825,'Datos generales'!A:B,2,0)</f>
        <v>45355.487500000003</v>
      </c>
      <c r="C1825" s="12">
        <f>VLOOKUP(A1825,'Datos generales'!A:H,8,0)</f>
        <v>2776.86</v>
      </c>
      <c r="D1825" s="12" t="str">
        <f t="shared" si="56"/>
        <v>marzo</v>
      </c>
      <c r="E1825" s="33">
        <f t="shared" si="57"/>
        <v>2024</v>
      </c>
    </row>
    <row r="1826" spans="1:5" x14ac:dyDescent="0.25">
      <c r="A1826" t="s">
        <v>36</v>
      </c>
      <c r="B1826" s="10">
        <f>VLOOKUP(A1826,'Datos generales'!A:B,2,0)</f>
        <v>45924.43472222222</v>
      </c>
      <c r="C1826" s="12">
        <f>VLOOKUP(A1826,'Datos generales'!A:H,8,0)</f>
        <v>641.13</v>
      </c>
      <c r="D1826" s="12" t="str">
        <f t="shared" si="56"/>
        <v>septiembre</v>
      </c>
      <c r="E1826" s="33">
        <f t="shared" si="57"/>
        <v>2025</v>
      </c>
    </row>
    <row r="1827" spans="1:5" x14ac:dyDescent="0.25">
      <c r="A1827" t="s">
        <v>37</v>
      </c>
      <c r="B1827" s="10">
        <f>VLOOKUP(A1827,'Datos generales'!A:B,2,0)</f>
        <v>45471.931250000001</v>
      </c>
      <c r="C1827" s="12">
        <f>VLOOKUP(A1827,'Datos generales'!A:H,8,0)</f>
        <v>2293.5</v>
      </c>
      <c r="D1827" s="12" t="str">
        <f t="shared" si="56"/>
        <v>junio</v>
      </c>
      <c r="E1827" s="33">
        <f t="shared" si="57"/>
        <v>2024</v>
      </c>
    </row>
    <row r="1828" spans="1:5" x14ac:dyDescent="0.25">
      <c r="A1828" t="s">
        <v>38</v>
      </c>
      <c r="B1828" s="10">
        <f>VLOOKUP(A1828,'Datos generales'!A:B,2,0)</f>
        <v>45003.59097222222</v>
      </c>
      <c r="C1828" s="12">
        <f>VLOOKUP(A1828,'Datos generales'!A:H,8,0)</f>
        <v>4536.3999999999996</v>
      </c>
      <c r="D1828" s="12" t="str">
        <f t="shared" si="56"/>
        <v>marzo</v>
      </c>
      <c r="E1828" s="33">
        <f t="shared" si="57"/>
        <v>2023</v>
      </c>
    </row>
    <row r="1829" spans="1:5" x14ac:dyDescent="0.25">
      <c r="A1829" t="s">
        <v>39</v>
      </c>
      <c r="B1829" s="10">
        <f>VLOOKUP(A1829,'Datos generales'!A:B,2,0)</f>
        <v>45206.394444444442</v>
      </c>
      <c r="C1829" s="12">
        <f>VLOOKUP(A1829,'Datos generales'!A:H,8,0)</f>
        <v>3468.88</v>
      </c>
      <c r="D1829" s="12" t="str">
        <f t="shared" si="56"/>
        <v>octubre</v>
      </c>
      <c r="E1829" s="33">
        <f t="shared" si="57"/>
        <v>2023</v>
      </c>
    </row>
    <row r="1830" spans="1:5" x14ac:dyDescent="0.25">
      <c r="A1830" t="s">
        <v>40</v>
      </c>
      <c r="B1830" s="10">
        <f>VLOOKUP(A1830,'Datos generales'!A:B,2,0)</f>
        <v>45595.773611111108</v>
      </c>
      <c r="C1830" s="12">
        <f>VLOOKUP(A1830,'Datos generales'!A:H,8,0)</f>
        <v>424.35</v>
      </c>
      <c r="D1830" s="12" t="str">
        <f t="shared" si="56"/>
        <v>octubre</v>
      </c>
      <c r="E1830" s="33">
        <f t="shared" si="57"/>
        <v>2024</v>
      </c>
    </row>
    <row r="1831" spans="1:5" x14ac:dyDescent="0.25">
      <c r="A1831" t="s">
        <v>41</v>
      </c>
      <c r="B1831" s="10">
        <f>VLOOKUP(A1831,'Datos generales'!A:B,2,0)</f>
        <v>45888.736805555563</v>
      </c>
      <c r="C1831" s="12">
        <f>VLOOKUP(A1831,'Datos generales'!A:H,8,0)</f>
        <v>252.57</v>
      </c>
      <c r="D1831" s="12" t="str">
        <f t="shared" si="56"/>
        <v>agosto</v>
      </c>
      <c r="E1831" s="33">
        <f t="shared" si="57"/>
        <v>2025</v>
      </c>
    </row>
    <row r="1832" spans="1:5" x14ac:dyDescent="0.25">
      <c r="A1832" t="s">
        <v>42</v>
      </c>
      <c r="B1832" s="10">
        <f>VLOOKUP(A1832,'Datos generales'!A:B,2,0)</f>
        <v>45478.06527777778</v>
      </c>
      <c r="C1832" s="12">
        <f>VLOOKUP(A1832,'Datos generales'!A:H,8,0)</f>
        <v>64.679999999999993</v>
      </c>
      <c r="D1832" s="12" t="str">
        <f t="shared" si="56"/>
        <v>julio</v>
      </c>
      <c r="E1832" s="33">
        <f t="shared" si="57"/>
        <v>2024</v>
      </c>
    </row>
    <row r="1833" spans="1:5" x14ac:dyDescent="0.25">
      <c r="A1833" t="s">
        <v>43</v>
      </c>
      <c r="B1833" s="10">
        <f>VLOOKUP(A1833,'Datos generales'!A:B,2,0)</f>
        <v>45402.668749999997</v>
      </c>
      <c r="C1833" s="12">
        <f>VLOOKUP(A1833,'Datos generales'!A:H,8,0)</f>
        <v>446.81</v>
      </c>
      <c r="D1833" s="12" t="str">
        <f t="shared" si="56"/>
        <v>abril</v>
      </c>
      <c r="E1833" s="33">
        <f t="shared" si="57"/>
        <v>2024</v>
      </c>
    </row>
    <row r="1834" spans="1:5" x14ac:dyDescent="0.25">
      <c r="A1834" t="s">
        <v>44</v>
      </c>
      <c r="B1834" s="10">
        <f>VLOOKUP(A1834,'Datos generales'!A:B,2,0)</f>
        <v>45033.806944444441</v>
      </c>
      <c r="C1834" s="12">
        <f>VLOOKUP(A1834,'Datos generales'!A:H,8,0)</f>
        <v>129.34</v>
      </c>
      <c r="D1834" s="12" t="str">
        <f t="shared" si="56"/>
        <v>abril</v>
      </c>
      <c r="E1834" s="33">
        <f t="shared" si="57"/>
        <v>2023</v>
      </c>
    </row>
    <row r="1835" spans="1:5" x14ac:dyDescent="0.25">
      <c r="A1835" t="s">
        <v>45</v>
      </c>
      <c r="B1835" s="10">
        <f>VLOOKUP(A1835,'Datos generales'!A:B,2,0)</f>
        <v>45432.781944444447</v>
      </c>
      <c r="C1835" s="12">
        <f>VLOOKUP(A1835,'Datos generales'!A:H,8,0)</f>
        <v>5841.75</v>
      </c>
      <c r="D1835" s="12" t="str">
        <f t="shared" si="56"/>
        <v>mayo</v>
      </c>
      <c r="E1835" s="33">
        <f t="shared" si="57"/>
        <v>2024</v>
      </c>
    </row>
    <row r="1836" spans="1:5" x14ac:dyDescent="0.25">
      <c r="A1836" t="s">
        <v>46</v>
      </c>
      <c r="B1836" s="10">
        <f>VLOOKUP(A1836,'Datos generales'!A:B,2,0)</f>
        <v>45746.083333333343</v>
      </c>
      <c r="C1836" s="12">
        <f>VLOOKUP(A1836,'Datos generales'!A:H,8,0)</f>
        <v>698.6</v>
      </c>
      <c r="D1836" s="12" t="str">
        <f t="shared" si="56"/>
        <v>marzo</v>
      </c>
      <c r="E1836" s="33">
        <f t="shared" si="57"/>
        <v>2025</v>
      </c>
    </row>
    <row r="1837" spans="1:5" x14ac:dyDescent="0.25">
      <c r="A1837" t="s">
        <v>47</v>
      </c>
      <c r="B1837" s="10">
        <f>VLOOKUP(A1837,'Datos generales'!A:B,2,0)</f>
        <v>45515.355555555558</v>
      </c>
      <c r="C1837" s="12">
        <f>VLOOKUP(A1837,'Datos generales'!A:H,8,0)</f>
        <v>3462.18</v>
      </c>
      <c r="D1837" s="12" t="str">
        <f t="shared" si="56"/>
        <v>agosto</v>
      </c>
      <c r="E1837" s="33">
        <f t="shared" si="57"/>
        <v>2024</v>
      </c>
    </row>
    <row r="1838" spans="1:5" x14ac:dyDescent="0.25">
      <c r="A1838" t="s">
        <v>48</v>
      </c>
      <c r="B1838" s="10">
        <f>VLOOKUP(A1838,'Datos generales'!A:B,2,0)</f>
        <v>45730.554861111108</v>
      </c>
      <c r="C1838" s="12">
        <f>VLOOKUP(A1838,'Datos generales'!A:H,8,0)</f>
        <v>6265.48</v>
      </c>
      <c r="D1838" s="12" t="str">
        <f t="shared" si="56"/>
        <v>marzo</v>
      </c>
      <c r="E1838" s="33">
        <f t="shared" si="57"/>
        <v>2025</v>
      </c>
    </row>
    <row r="1839" spans="1:5" x14ac:dyDescent="0.25">
      <c r="A1839" t="s">
        <v>49</v>
      </c>
      <c r="B1839" s="10">
        <f>VLOOKUP(A1839,'Datos generales'!A:B,2,0)</f>
        <v>45603.252083333333</v>
      </c>
      <c r="C1839" s="12">
        <f>VLOOKUP(A1839,'Datos generales'!A:H,8,0)</f>
        <v>1348.96</v>
      </c>
      <c r="D1839" s="12" t="str">
        <f t="shared" si="56"/>
        <v>noviembre</v>
      </c>
      <c r="E1839" s="33">
        <f t="shared" si="57"/>
        <v>2024</v>
      </c>
    </row>
    <row r="1840" spans="1:5" x14ac:dyDescent="0.25">
      <c r="A1840" t="s">
        <v>50</v>
      </c>
      <c r="B1840" s="10">
        <f>VLOOKUP(A1840,'Datos generales'!A:B,2,0)</f>
        <v>45420.054861111108</v>
      </c>
      <c r="C1840" s="12">
        <f>VLOOKUP(A1840,'Datos generales'!A:H,8,0)</f>
        <v>3087.96</v>
      </c>
      <c r="D1840" s="12" t="str">
        <f t="shared" si="56"/>
        <v>mayo</v>
      </c>
      <c r="E1840" s="33">
        <f t="shared" si="57"/>
        <v>2024</v>
      </c>
    </row>
    <row r="1841" spans="1:5" x14ac:dyDescent="0.25">
      <c r="A1841" t="s">
        <v>51</v>
      </c>
      <c r="B1841" s="10">
        <f>VLOOKUP(A1841,'Datos generales'!A:B,2,0)</f>
        <v>44931.743055555547</v>
      </c>
      <c r="C1841" s="12">
        <f>VLOOKUP(A1841,'Datos generales'!A:H,8,0)</f>
        <v>4586.5499999999993</v>
      </c>
      <c r="D1841" s="12" t="str">
        <f t="shared" si="56"/>
        <v>enero</v>
      </c>
      <c r="E1841" s="33">
        <f t="shared" si="57"/>
        <v>2023</v>
      </c>
    </row>
    <row r="1842" spans="1:5" x14ac:dyDescent="0.25">
      <c r="A1842" t="s">
        <v>52</v>
      </c>
      <c r="B1842" s="10">
        <f>VLOOKUP(A1842,'Datos generales'!A:B,2,0)</f>
        <v>45326.684027777781</v>
      </c>
      <c r="C1842" s="12">
        <f>VLOOKUP(A1842,'Datos generales'!A:H,8,0)</f>
        <v>1801.44</v>
      </c>
      <c r="D1842" s="12" t="str">
        <f t="shared" si="56"/>
        <v>febrero</v>
      </c>
      <c r="E1842" s="33">
        <f t="shared" si="57"/>
        <v>2024</v>
      </c>
    </row>
    <row r="1843" spans="1:5" x14ac:dyDescent="0.25">
      <c r="A1843" t="s">
        <v>53</v>
      </c>
      <c r="B1843" s="10">
        <f>VLOOKUP(A1843,'Datos generales'!A:B,2,0)</f>
        <v>45146.872916666667</v>
      </c>
      <c r="C1843" s="12">
        <f>VLOOKUP(A1843,'Datos generales'!A:H,8,0)</f>
        <v>1510.96</v>
      </c>
      <c r="D1843" s="12" t="str">
        <f t="shared" si="56"/>
        <v>agosto</v>
      </c>
      <c r="E1843" s="33">
        <f t="shared" si="57"/>
        <v>2023</v>
      </c>
    </row>
    <row r="1844" spans="1:5" x14ac:dyDescent="0.25">
      <c r="A1844" t="s">
        <v>54</v>
      </c>
      <c r="B1844" s="10">
        <f>VLOOKUP(A1844,'Datos generales'!A:B,2,0)</f>
        <v>45464.595833333333</v>
      </c>
      <c r="C1844" s="12">
        <f>VLOOKUP(A1844,'Datos generales'!A:H,8,0)</f>
        <v>5566.65</v>
      </c>
      <c r="D1844" s="12" t="str">
        <f t="shared" si="56"/>
        <v>junio</v>
      </c>
      <c r="E1844" s="33">
        <f t="shared" si="57"/>
        <v>2024</v>
      </c>
    </row>
    <row r="1845" spans="1:5" x14ac:dyDescent="0.25">
      <c r="A1845" t="s">
        <v>55</v>
      </c>
      <c r="B1845" s="10">
        <f>VLOOKUP(A1845,'Datos generales'!A:B,2,0)</f>
        <v>45171.9</v>
      </c>
      <c r="C1845" s="12">
        <f>VLOOKUP(A1845,'Datos generales'!A:H,8,0)</f>
        <v>5058.75</v>
      </c>
      <c r="D1845" s="12" t="str">
        <f t="shared" si="56"/>
        <v>septiembre</v>
      </c>
      <c r="E1845" s="33">
        <f t="shared" si="57"/>
        <v>2023</v>
      </c>
    </row>
    <row r="1846" spans="1:5" x14ac:dyDescent="0.25">
      <c r="A1846" t="s">
        <v>56</v>
      </c>
      <c r="B1846" s="10">
        <f>VLOOKUP(A1846,'Datos generales'!A:B,2,0)</f>
        <v>44992.136111111111</v>
      </c>
      <c r="C1846" s="12">
        <f>VLOOKUP(A1846,'Datos generales'!A:H,8,0)</f>
        <v>6091.7</v>
      </c>
      <c r="D1846" s="12" t="str">
        <f t="shared" si="56"/>
        <v>marzo</v>
      </c>
      <c r="E1846" s="33">
        <f t="shared" si="57"/>
        <v>2023</v>
      </c>
    </row>
    <row r="1847" spans="1:5" x14ac:dyDescent="0.25">
      <c r="A1847" t="s">
        <v>57</v>
      </c>
      <c r="B1847" s="10">
        <f>VLOOKUP(A1847,'Datos generales'!A:B,2,0)</f>
        <v>44927.061111111107</v>
      </c>
      <c r="C1847" s="12">
        <f>VLOOKUP(A1847,'Datos generales'!A:H,8,0)</f>
        <v>723.18</v>
      </c>
      <c r="D1847" s="12" t="str">
        <f t="shared" si="56"/>
        <v>enero</v>
      </c>
      <c r="E1847" s="33">
        <f t="shared" si="57"/>
        <v>2023</v>
      </c>
    </row>
    <row r="1848" spans="1:5" x14ac:dyDescent="0.25">
      <c r="A1848" t="s">
        <v>58</v>
      </c>
      <c r="B1848" s="10">
        <f>VLOOKUP(A1848,'Datos generales'!A:B,2,0)</f>
        <v>45097.359027777777</v>
      </c>
      <c r="C1848" s="12">
        <f>VLOOKUP(A1848,'Datos generales'!A:H,8,0)</f>
        <v>4794</v>
      </c>
      <c r="D1848" s="12" t="str">
        <f t="shared" si="56"/>
        <v>junio</v>
      </c>
      <c r="E1848" s="33">
        <f t="shared" si="57"/>
        <v>2023</v>
      </c>
    </row>
    <row r="1849" spans="1:5" x14ac:dyDescent="0.25">
      <c r="A1849" t="s">
        <v>59</v>
      </c>
      <c r="B1849" s="10">
        <f>VLOOKUP(A1849,'Datos generales'!A:B,2,0)</f>
        <v>45755.288194444453</v>
      </c>
      <c r="C1849" s="12">
        <f>VLOOKUP(A1849,'Datos generales'!A:H,8,0)</f>
        <v>8884.3499999999985</v>
      </c>
      <c r="D1849" s="12" t="str">
        <f t="shared" si="56"/>
        <v>abril</v>
      </c>
      <c r="E1849" s="33">
        <f t="shared" si="57"/>
        <v>2025</v>
      </c>
    </row>
    <row r="1850" spans="1:5" x14ac:dyDescent="0.25">
      <c r="A1850" t="s">
        <v>60</v>
      </c>
      <c r="B1850" s="10">
        <f>VLOOKUP(A1850,'Datos generales'!A:B,2,0)</f>
        <v>45782.866666666669</v>
      </c>
      <c r="C1850" s="12">
        <f>VLOOKUP(A1850,'Datos generales'!A:H,8,0)</f>
        <v>1467.34</v>
      </c>
      <c r="D1850" s="12" t="str">
        <f t="shared" si="56"/>
        <v>mayo</v>
      </c>
      <c r="E1850" s="33">
        <f t="shared" si="57"/>
        <v>2025</v>
      </c>
    </row>
    <row r="1851" spans="1:5" x14ac:dyDescent="0.25">
      <c r="A1851" t="s">
        <v>61</v>
      </c>
      <c r="B1851" s="10">
        <f>VLOOKUP(A1851,'Datos generales'!A:B,2,0)</f>
        <v>45819.341666666667</v>
      </c>
      <c r="C1851" s="12">
        <f>VLOOKUP(A1851,'Datos generales'!A:H,8,0)</f>
        <v>2051.73</v>
      </c>
      <c r="D1851" s="12" t="str">
        <f t="shared" si="56"/>
        <v>junio</v>
      </c>
      <c r="E1851" s="33">
        <f t="shared" si="57"/>
        <v>2025</v>
      </c>
    </row>
    <row r="1852" spans="1:5" x14ac:dyDescent="0.25">
      <c r="A1852" t="s">
        <v>62</v>
      </c>
      <c r="B1852" s="10">
        <f>VLOOKUP(A1852,'Datos generales'!A:B,2,0)</f>
        <v>45441.993055555547</v>
      </c>
      <c r="C1852" s="12">
        <f>VLOOKUP(A1852,'Datos generales'!A:H,8,0)</f>
        <v>1083.8599999999999</v>
      </c>
      <c r="D1852" s="12" t="str">
        <f t="shared" si="56"/>
        <v>mayo</v>
      </c>
      <c r="E1852" s="33">
        <f t="shared" si="57"/>
        <v>2024</v>
      </c>
    </row>
    <row r="1853" spans="1:5" x14ac:dyDescent="0.25">
      <c r="A1853" t="s">
        <v>63</v>
      </c>
      <c r="B1853" s="10">
        <f>VLOOKUP(A1853,'Datos generales'!A:B,2,0)</f>
        <v>45180.999305555553</v>
      </c>
      <c r="C1853" s="12">
        <f>VLOOKUP(A1853,'Datos generales'!A:H,8,0)</f>
        <v>3103.7</v>
      </c>
      <c r="D1853" s="12" t="str">
        <f t="shared" si="56"/>
        <v>septiembre</v>
      </c>
      <c r="E1853" s="33">
        <f t="shared" si="57"/>
        <v>2023</v>
      </c>
    </row>
    <row r="1854" spans="1:5" x14ac:dyDescent="0.25">
      <c r="A1854" t="s">
        <v>64</v>
      </c>
      <c r="B1854" s="10">
        <f>VLOOKUP(A1854,'Datos generales'!A:B,2,0)</f>
        <v>45624.619444444441</v>
      </c>
      <c r="C1854" s="12">
        <f>VLOOKUP(A1854,'Datos generales'!A:H,8,0)</f>
        <v>6841.35</v>
      </c>
      <c r="D1854" s="12" t="str">
        <f t="shared" si="56"/>
        <v>noviembre</v>
      </c>
      <c r="E1854" s="33">
        <f t="shared" si="57"/>
        <v>2024</v>
      </c>
    </row>
    <row r="1855" spans="1:5" x14ac:dyDescent="0.25">
      <c r="A1855" t="s">
        <v>65</v>
      </c>
      <c r="B1855" s="10">
        <f>VLOOKUP(A1855,'Datos generales'!A:B,2,0)</f>
        <v>45447.955555555563</v>
      </c>
      <c r="C1855" s="12">
        <f>VLOOKUP(A1855,'Datos generales'!A:H,8,0)</f>
        <v>7275.52</v>
      </c>
      <c r="D1855" s="12" t="str">
        <f t="shared" si="56"/>
        <v>junio</v>
      </c>
      <c r="E1855" s="33">
        <f t="shared" si="57"/>
        <v>2024</v>
      </c>
    </row>
    <row r="1856" spans="1:5" x14ac:dyDescent="0.25">
      <c r="A1856" t="s">
        <v>66</v>
      </c>
      <c r="B1856" s="10">
        <f>VLOOKUP(A1856,'Datos generales'!A:B,2,0)</f>
        <v>45051.74722222222</v>
      </c>
      <c r="C1856" s="12">
        <f>VLOOKUP(A1856,'Datos generales'!A:H,8,0)</f>
        <v>6405.28</v>
      </c>
      <c r="D1856" s="12" t="str">
        <f t="shared" si="56"/>
        <v>mayo</v>
      </c>
      <c r="E1856" s="33">
        <f t="shared" si="57"/>
        <v>2023</v>
      </c>
    </row>
    <row r="1857" spans="1:5" x14ac:dyDescent="0.25">
      <c r="A1857" t="s">
        <v>67</v>
      </c>
      <c r="B1857" s="10">
        <f>VLOOKUP(A1857,'Datos generales'!A:B,2,0)</f>
        <v>45019.26666666667</v>
      </c>
      <c r="C1857" s="12">
        <f>VLOOKUP(A1857,'Datos generales'!A:H,8,0)</f>
        <v>711.16</v>
      </c>
      <c r="D1857" s="12" t="str">
        <f t="shared" si="56"/>
        <v>abril</v>
      </c>
      <c r="E1857" s="33">
        <f t="shared" si="57"/>
        <v>2023</v>
      </c>
    </row>
    <row r="1858" spans="1:5" x14ac:dyDescent="0.25">
      <c r="A1858" t="s">
        <v>68</v>
      </c>
      <c r="B1858" s="10">
        <f>VLOOKUP(A1858,'Datos generales'!A:B,2,0)</f>
        <v>44969.094444444447</v>
      </c>
      <c r="C1858" s="12">
        <f>VLOOKUP(A1858,'Datos generales'!A:H,8,0)</f>
        <v>83.48</v>
      </c>
      <c r="D1858" s="12" t="str">
        <f t="shared" si="56"/>
        <v>febrero</v>
      </c>
      <c r="E1858" s="33">
        <f t="shared" si="57"/>
        <v>2023</v>
      </c>
    </row>
    <row r="1859" spans="1:5" x14ac:dyDescent="0.25">
      <c r="A1859" t="s">
        <v>69</v>
      </c>
      <c r="B1859" s="10">
        <f>VLOOKUP(A1859,'Datos generales'!A:B,2,0)</f>
        <v>45091.519444444442</v>
      </c>
      <c r="C1859" s="12">
        <f>VLOOKUP(A1859,'Datos generales'!A:H,8,0)</f>
        <v>1372.72</v>
      </c>
      <c r="D1859" s="12" t="str">
        <f t="shared" ref="D1859:D1922" si="58">TEXT(B1859,"mmmm")</f>
        <v>junio</v>
      </c>
      <c r="E1859" s="33">
        <f t="shared" ref="E1859:E1922" si="59">YEAR(B1859)</f>
        <v>2023</v>
      </c>
    </row>
    <row r="1860" spans="1:5" x14ac:dyDescent="0.25">
      <c r="A1860" t="s">
        <v>70</v>
      </c>
      <c r="B1860" s="10">
        <f>VLOOKUP(A1860,'Datos generales'!A:B,2,0)</f>
        <v>45494</v>
      </c>
      <c r="C1860" s="12">
        <f>VLOOKUP(A1860,'Datos generales'!A:H,8,0)</f>
        <v>1618.91</v>
      </c>
      <c r="D1860" s="12" t="str">
        <f t="shared" si="58"/>
        <v>julio</v>
      </c>
      <c r="E1860" s="33">
        <f t="shared" si="59"/>
        <v>2024</v>
      </c>
    </row>
    <row r="1861" spans="1:5" x14ac:dyDescent="0.25">
      <c r="A1861" t="s">
        <v>71</v>
      </c>
      <c r="B1861" s="10">
        <f>VLOOKUP(A1861,'Datos generales'!A:B,2,0)</f>
        <v>45364.463194444441</v>
      </c>
      <c r="C1861" s="12">
        <f>VLOOKUP(A1861,'Datos generales'!A:H,8,0)</f>
        <v>2122.6</v>
      </c>
      <c r="D1861" s="12" t="str">
        <f t="shared" si="58"/>
        <v>marzo</v>
      </c>
      <c r="E1861" s="33">
        <f t="shared" si="59"/>
        <v>2024</v>
      </c>
    </row>
    <row r="1862" spans="1:5" x14ac:dyDescent="0.25">
      <c r="A1862" t="s">
        <v>72</v>
      </c>
      <c r="B1862" s="10">
        <f>VLOOKUP(A1862,'Datos generales'!A:B,2,0)</f>
        <v>45583.023611111108</v>
      </c>
      <c r="C1862" s="12">
        <f>VLOOKUP(A1862,'Datos generales'!A:H,8,0)</f>
        <v>2094.15</v>
      </c>
      <c r="D1862" s="12" t="str">
        <f t="shared" si="58"/>
        <v>octubre</v>
      </c>
      <c r="E1862" s="33">
        <f t="shared" si="59"/>
        <v>2024</v>
      </c>
    </row>
    <row r="1863" spans="1:5" x14ac:dyDescent="0.25">
      <c r="A1863" t="s">
        <v>73</v>
      </c>
      <c r="B1863" s="10">
        <f>VLOOKUP(A1863,'Datos generales'!A:B,2,0)</f>
        <v>45779.546527777777</v>
      </c>
      <c r="C1863" s="12">
        <f>VLOOKUP(A1863,'Datos generales'!A:H,8,0)</f>
        <v>1994.94</v>
      </c>
      <c r="D1863" s="12" t="str">
        <f t="shared" si="58"/>
        <v>mayo</v>
      </c>
      <c r="E1863" s="33">
        <f t="shared" si="59"/>
        <v>2025</v>
      </c>
    </row>
    <row r="1864" spans="1:5" x14ac:dyDescent="0.25">
      <c r="A1864" t="s">
        <v>74</v>
      </c>
      <c r="B1864" s="10">
        <f>VLOOKUP(A1864,'Datos generales'!A:B,2,0)</f>
        <v>45516.480555555558</v>
      </c>
      <c r="C1864" s="12">
        <f>VLOOKUP(A1864,'Datos generales'!A:H,8,0)</f>
        <v>1322.41</v>
      </c>
      <c r="D1864" s="12" t="str">
        <f t="shared" si="58"/>
        <v>agosto</v>
      </c>
      <c r="E1864" s="33">
        <f t="shared" si="59"/>
        <v>2024</v>
      </c>
    </row>
    <row r="1865" spans="1:5" x14ac:dyDescent="0.25">
      <c r="A1865" t="s">
        <v>75</v>
      </c>
      <c r="B1865" s="10">
        <f>VLOOKUP(A1865,'Datos generales'!A:B,2,0)</f>
        <v>45285.25277777778</v>
      </c>
      <c r="C1865" s="12">
        <f>VLOOKUP(A1865,'Datos generales'!A:H,8,0)</f>
        <v>5869.08</v>
      </c>
      <c r="D1865" s="12" t="str">
        <f t="shared" si="58"/>
        <v>diciembre</v>
      </c>
      <c r="E1865" s="33">
        <f t="shared" si="59"/>
        <v>2023</v>
      </c>
    </row>
    <row r="1866" spans="1:5" x14ac:dyDescent="0.25">
      <c r="A1866" t="s">
        <v>76</v>
      </c>
      <c r="B1866" s="10">
        <f>VLOOKUP(A1866,'Datos generales'!A:B,2,0)</f>
        <v>45297.965277777781</v>
      </c>
      <c r="C1866" s="12">
        <f>VLOOKUP(A1866,'Datos generales'!A:H,8,0)</f>
        <v>7216.48</v>
      </c>
      <c r="D1866" s="12" t="str">
        <f t="shared" si="58"/>
        <v>enero</v>
      </c>
      <c r="E1866" s="33">
        <f t="shared" si="59"/>
        <v>2024</v>
      </c>
    </row>
    <row r="1867" spans="1:5" x14ac:dyDescent="0.25">
      <c r="A1867" t="s">
        <v>77</v>
      </c>
      <c r="B1867" s="10">
        <f>VLOOKUP(A1867,'Datos generales'!A:B,2,0)</f>
        <v>45434.519444444442</v>
      </c>
      <c r="C1867" s="12">
        <f>VLOOKUP(A1867,'Datos generales'!A:H,8,0)</f>
        <v>1172.72</v>
      </c>
      <c r="D1867" s="12" t="str">
        <f t="shared" si="58"/>
        <v>mayo</v>
      </c>
      <c r="E1867" s="33">
        <f t="shared" si="59"/>
        <v>2024</v>
      </c>
    </row>
    <row r="1868" spans="1:5" x14ac:dyDescent="0.25">
      <c r="A1868" t="s">
        <v>78</v>
      </c>
      <c r="B1868" s="10">
        <f>VLOOKUP(A1868,'Datos generales'!A:B,2,0)</f>
        <v>45290.050694444442</v>
      </c>
      <c r="C1868" s="12">
        <f>VLOOKUP(A1868,'Datos generales'!A:H,8,0)</f>
        <v>725.07</v>
      </c>
      <c r="D1868" s="12" t="str">
        <f t="shared" si="58"/>
        <v>diciembre</v>
      </c>
      <c r="E1868" s="33">
        <f t="shared" si="59"/>
        <v>2023</v>
      </c>
    </row>
    <row r="1869" spans="1:5" x14ac:dyDescent="0.25">
      <c r="A1869" t="s">
        <v>79</v>
      </c>
      <c r="B1869" s="10">
        <f>VLOOKUP(A1869,'Datos generales'!A:B,2,0)</f>
        <v>45684.334027777782</v>
      </c>
      <c r="C1869" s="12">
        <f>VLOOKUP(A1869,'Datos generales'!A:H,8,0)</f>
        <v>2818.45</v>
      </c>
      <c r="D1869" s="12" t="str">
        <f t="shared" si="58"/>
        <v>enero</v>
      </c>
      <c r="E1869" s="33">
        <f t="shared" si="59"/>
        <v>2025</v>
      </c>
    </row>
    <row r="1870" spans="1:5" x14ac:dyDescent="0.25">
      <c r="A1870" t="s">
        <v>80</v>
      </c>
      <c r="B1870" s="10">
        <f>VLOOKUP(A1870,'Datos generales'!A:B,2,0)</f>
        <v>45222.202777777777</v>
      </c>
      <c r="C1870" s="12">
        <f>VLOOKUP(A1870,'Datos generales'!A:H,8,0)</f>
        <v>7737.05</v>
      </c>
      <c r="D1870" s="12" t="str">
        <f t="shared" si="58"/>
        <v>octubre</v>
      </c>
      <c r="E1870" s="33">
        <f t="shared" si="59"/>
        <v>2023</v>
      </c>
    </row>
    <row r="1871" spans="1:5" x14ac:dyDescent="0.25">
      <c r="A1871" t="s">
        <v>81</v>
      </c>
      <c r="B1871" s="10">
        <f>VLOOKUP(A1871,'Datos generales'!A:B,2,0)</f>
        <v>45274.597916666673</v>
      </c>
      <c r="C1871" s="12">
        <f>VLOOKUP(A1871,'Datos generales'!A:H,8,0)</f>
        <v>3807.3</v>
      </c>
      <c r="D1871" s="12" t="str">
        <f t="shared" si="58"/>
        <v>diciembre</v>
      </c>
      <c r="E1871" s="33">
        <f t="shared" si="59"/>
        <v>2023</v>
      </c>
    </row>
    <row r="1872" spans="1:5" x14ac:dyDescent="0.25">
      <c r="A1872" t="s">
        <v>82</v>
      </c>
      <c r="B1872" s="10">
        <f>VLOOKUP(A1872,'Datos generales'!A:B,2,0)</f>
        <v>45358.874305555553</v>
      </c>
      <c r="C1872" s="12">
        <f>VLOOKUP(A1872,'Datos generales'!A:H,8,0)</f>
        <v>2396.4</v>
      </c>
      <c r="D1872" s="12" t="str">
        <f t="shared" si="58"/>
        <v>marzo</v>
      </c>
      <c r="E1872" s="33">
        <f t="shared" si="59"/>
        <v>2024</v>
      </c>
    </row>
    <row r="1873" spans="1:5" x14ac:dyDescent="0.25">
      <c r="A1873" t="s">
        <v>83</v>
      </c>
      <c r="B1873" s="10">
        <f>VLOOKUP(A1873,'Datos generales'!A:B,2,0)</f>
        <v>45850.171527777777</v>
      </c>
      <c r="C1873" s="12">
        <f>VLOOKUP(A1873,'Datos generales'!A:H,8,0)</f>
        <v>1631.16</v>
      </c>
      <c r="D1873" s="12" t="str">
        <f t="shared" si="58"/>
        <v>julio</v>
      </c>
      <c r="E1873" s="33">
        <f t="shared" si="59"/>
        <v>2025</v>
      </c>
    </row>
    <row r="1874" spans="1:5" x14ac:dyDescent="0.25">
      <c r="A1874" t="s">
        <v>84</v>
      </c>
      <c r="B1874" s="10">
        <f>VLOOKUP(A1874,'Datos generales'!A:B,2,0)</f>
        <v>45041.884027777778</v>
      </c>
      <c r="C1874" s="12">
        <f>VLOOKUP(A1874,'Datos generales'!A:H,8,0)</f>
        <v>2899.06</v>
      </c>
      <c r="D1874" s="12" t="str">
        <f t="shared" si="58"/>
        <v>abril</v>
      </c>
      <c r="E1874" s="33">
        <f t="shared" si="59"/>
        <v>2023</v>
      </c>
    </row>
    <row r="1875" spans="1:5" x14ac:dyDescent="0.25">
      <c r="A1875" t="s">
        <v>85</v>
      </c>
      <c r="B1875" s="10">
        <f>VLOOKUP(A1875,'Datos generales'!A:B,2,0)</f>
        <v>45564.772916666669</v>
      </c>
      <c r="C1875" s="12">
        <f>VLOOKUP(A1875,'Datos generales'!A:H,8,0)</f>
        <v>2362.1</v>
      </c>
      <c r="D1875" s="12" t="str">
        <f t="shared" si="58"/>
        <v>septiembre</v>
      </c>
      <c r="E1875" s="33">
        <f t="shared" si="59"/>
        <v>2024</v>
      </c>
    </row>
    <row r="1876" spans="1:5" x14ac:dyDescent="0.25">
      <c r="A1876" t="s">
        <v>86</v>
      </c>
      <c r="B1876" s="10">
        <f>VLOOKUP(A1876,'Datos generales'!A:B,2,0)</f>
        <v>45118.247916666667</v>
      </c>
      <c r="C1876" s="12">
        <f>VLOOKUP(A1876,'Datos generales'!A:H,8,0)</f>
        <v>1103.7</v>
      </c>
      <c r="D1876" s="12" t="str">
        <f t="shared" si="58"/>
        <v>julio</v>
      </c>
      <c r="E1876" s="33">
        <f t="shared" si="59"/>
        <v>2023</v>
      </c>
    </row>
    <row r="1877" spans="1:5" x14ac:dyDescent="0.25">
      <c r="A1877" t="s">
        <v>87</v>
      </c>
      <c r="B1877" s="10">
        <f>VLOOKUP(A1877,'Datos generales'!A:B,2,0)</f>
        <v>45717.986111111109</v>
      </c>
      <c r="C1877" s="12">
        <f>VLOOKUP(A1877,'Datos generales'!A:H,8,0)</f>
        <v>3697.55</v>
      </c>
      <c r="D1877" s="12" t="str">
        <f t="shared" si="58"/>
        <v>marzo</v>
      </c>
      <c r="E1877" s="33">
        <f t="shared" si="59"/>
        <v>2025</v>
      </c>
    </row>
    <row r="1878" spans="1:5" x14ac:dyDescent="0.25">
      <c r="A1878" t="s">
        <v>88</v>
      </c>
      <c r="B1878" s="10">
        <f>VLOOKUP(A1878,'Datos generales'!A:B,2,0)</f>
        <v>45162.795138888891</v>
      </c>
      <c r="C1878" s="12">
        <f>VLOOKUP(A1878,'Datos generales'!A:H,8,0)</f>
        <v>2178.2600000000002</v>
      </c>
      <c r="D1878" s="12" t="str">
        <f t="shared" si="58"/>
        <v>agosto</v>
      </c>
      <c r="E1878" s="33">
        <f t="shared" si="59"/>
        <v>2023</v>
      </c>
    </row>
    <row r="1879" spans="1:5" x14ac:dyDescent="0.25">
      <c r="A1879" t="s">
        <v>89</v>
      </c>
      <c r="B1879" s="10">
        <f>VLOOKUP(A1879,'Datos generales'!A:B,2,0)</f>
        <v>45517.353472222218</v>
      </c>
      <c r="C1879" s="12">
        <f>VLOOKUP(A1879,'Datos generales'!A:H,8,0)</f>
        <v>8163.75</v>
      </c>
      <c r="D1879" s="12" t="str">
        <f t="shared" si="58"/>
        <v>agosto</v>
      </c>
      <c r="E1879" s="33">
        <f t="shared" si="59"/>
        <v>2024</v>
      </c>
    </row>
    <row r="1880" spans="1:5" x14ac:dyDescent="0.25">
      <c r="A1880" t="s">
        <v>90</v>
      </c>
      <c r="B1880" s="10">
        <f>VLOOKUP(A1880,'Datos generales'!A:B,2,0)</f>
        <v>45245.664583333331</v>
      </c>
      <c r="C1880" s="12">
        <f>VLOOKUP(A1880,'Datos generales'!A:H,8,0)</f>
        <v>2452.0500000000002</v>
      </c>
      <c r="D1880" s="12" t="str">
        <f t="shared" si="58"/>
        <v>noviembre</v>
      </c>
      <c r="E1880" s="33">
        <f t="shared" si="59"/>
        <v>2023</v>
      </c>
    </row>
    <row r="1881" spans="1:5" x14ac:dyDescent="0.25">
      <c r="A1881" t="s">
        <v>91</v>
      </c>
      <c r="B1881" s="10">
        <f>VLOOKUP(A1881,'Datos generales'!A:B,2,0)</f>
        <v>45603.368055555547</v>
      </c>
      <c r="C1881" s="12">
        <f>VLOOKUP(A1881,'Datos generales'!A:H,8,0)</f>
        <v>2373.16</v>
      </c>
      <c r="D1881" s="12" t="str">
        <f t="shared" si="58"/>
        <v>noviembre</v>
      </c>
      <c r="E1881" s="33">
        <f t="shared" si="59"/>
        <v>2024</v>
      </c>
    </row>
    <row r="1882" spans="1:5" x14ac:dyDescent="0.25">
      <c r="A1882" t="s">
        <v>92</v>
      </c>
      <c r="B1882" s="10">
        <f>VLOOKUP(A1882,'Datos generales'!A:B,2,0)</f>
        <v>44990.597916666673</v>
      </c>
      <c r="C1882" s="12">
        <f>VLOOKUP(A1882,'Datos generales'!A:H,8,0)</f>
        <v>3745.6</v>
      </c>
      <c r="D1882" s="12" t="str">
        <f t="shared" si="58"/>
        <v>marzo</v>
      </c>
      <c r="E1882" s="33">
        <f t="shared" si="59"/>
        <v>2023</v>
      </c>
    </row>
    <row r="1883" spans="1:5" x14ac:dyDescent="0.25">
      <c r="A1883" t="s">
        <v>93</v>
      </c>
      <c r="B1883" s="10">
        <f>VLOOKUP(A1883,'Datos generales'!A:B,2,0)</f>
        <v>45273.106249999997</v>
      </c>
      <c r="C1883" s="12">
        <f>VLOOKUP(A1883,'Datos generales'!A:H,8,0)</f>
        <v>2040.57</v>
      </c>
      <c r="D1883" s="12" t="str">
        <f t="shared" si="58"/>
        <v>diciembre</v>
      </c>
      <c r="E1883" s="33">
        <f t="shared" si="59"/>
        <v>2023</v>
      </c>
    </row>
    <row r="1884" spans="1:5" x14ac:dyDescent="0.25">
      <c r="A1884" t="s">
        <v>94</v>
      </c>
      <c r="B1884" s="10">
        <f>VLOOKUP(A1884,'Datos generales'!A:B,2,0)</f>
        <v>45022.271527777782</v>
      </c>
      <c r="C1884" s="12">
        <f>VLOOKUP(A1884,'Datos generales'!A:H,8,0)</f>
        <v>1051.28</v>
      </c>
      <c r="D1884" s="12" t="str">
        <f t="shared" si="58"/>
        <v>abril</v>
      </c>
      <c r="E1884" s="33">
        <f t="shared" si="59"/>
        <v>2023</v>
      </c>
    </row>
    <row r="1885" spans="1:5" x14ac:dyDescent="0.25">
      <c r="A1885" t="s">
        <v>95</v>
      </c>
      <c r="B1885" s="10">
        <f>VLOOKUP(A1885,'Datos generales'!A:B,2,0)</f>
        <v>45682.68472222222</v>
      </c>
      <c r="C1885" s="12">
        <f>VLOOKUP(A1885,'Datos generales'!A:H,8,0)</f>
        <v>6127</v>
      </c>
      <c r="D1885" s="12" t="str">
        <f t="shared" si="58"/>
        <v>enero</v>
      </c>
      <c r="E1885" s="33">
        <f t="shared" si="59"/>
        <v>2025</v>
      </c>
    </row>
    <row r="1886" spans="1:5" x14ac:dyDescent="0.25">
      <c r="A1886" t="s">
        <v>96</v>
      </c>
      <c r="B1886" s="10">
        <f>VLOOKUP(A1886,'Datos generales'!A:B,2,0)</f>
        <v>45099.143750000003</v>
      </c>
      <c r="C1886" s="12">
        <f>VLOOKUP(A1886,'Datos generales'!A:H,8,0)</f>
        <v>503.84</v>
      </c>
      <c r="D1886" s="12" t="str">
        <f t="shared" si="58"/>
        <v>junio</v>
      </c>
      <c r="E1886" s="33">
        <f t="shared" si="59"/>
        <v>2023</v>
      </c>
    </row>
    <row r="1887" spans="1:5" x14ac:dyDescent="0.25">
      <c r="A1887" t="s">
        <v>97</v>
      </c>
      <c r="B1887" s="10">
        <f>VLOOKUP(A1887,'Datos generales'!A:B,2,0)</f>
        <v>45546.810416666667</v>
      </c>
      <c r="C1887" s="12">
        <f>VLOOKUP(A1887,'Datos generales'!A:H,8,0)</f>
        <v>7633.64</v>
      </c>
      <c r="D1887" s="12" t="str">
        <f t="shared" si="58"/>
        <v>septiembre</v>
      </c>
      <c r="E1887" s="33">
        <f t="shared" si="59"/>
        <v>2024</v>
      </c>
    </row>
    <row r="1888" spans="1:5" x14ac:dyDescent="0.25">
      <c r="A1888" t="s">
        <v>98</v>
      </c>
      <c r="B1888" s="10">
        <f>VLOOKUP(A1888,'Datos generales'!A:B,2,0)</f>
        <v>45451.106249999997</v>
      </c>
      <c r="C1888" s="12">
        <f>VLOOKUP(A1888,'Datos generales'!A:H,8,0)</f>
        <v>229.2</v>
      </c>
      <c r="D1888" s="12" t="str">
        <f t="shared" si="58"/>
        <v>junio</v>
      </c>
      <c r="E1888" s="33">
        <f t="shared" si="59"/>
        <v>2024</v>
      </c>
    </row>
    <row r="1889" spans="1:5" x14ac:dyDescent="0.25">
      <c r="A1889" t="s">
        <v>99</v>
      </c>
      <c r="B1889" s="10">
        <f>VLOOKUP(A1889,'Datos generales'!A:B,2,0)</f>
        <v>45101.551388888889</v>
      </c>
      <c r="C1889" s="12">
        <f>VLOOKUP(A1889,'Datos generales'!A:H,8,0)</f>
        <v>1191.56</v>
      </c>
      <c r="D1889" s="12" t="str">
        <f t="shared" si="58"/>
        <v>junio</v>
      </c>
      <c r="E1889" s="33">
        <f t="shared" si="59"/>
        <v>2023</v>
      </c>
    </row>
    <row r="1890" spans="1:5" x14ac:dyDescent="0.25">
      <c r="A1890" t="s">
        <v>100</v>
      </c>
      <c r="B1890" s="10">
        <f>VLOOKUP(A1890,'Datos generales'!A:B,2,0)</f>
        <v>45405.413194444453</v>
      </c>
      <c r="C1890" s="12">
        <f>VLOOKUP(A1890,'Datos generales'!A:H,8,0)</f>
        <v>150.04</v>
      </c>
      <c r="D1890" s="12" t="str">
        <f t="shared" si="58"/>
        <v>abril</v>
      </c>
      <c r="E1890" s="33">
        <f t="shared" si="59"/>
        <v>2024</v>
      </c>
    </row>
    <row r="1891" spans="1:5" x14ac:dyDescent="0.25">
      <c r="A1891" t="s">
        <v>101</v>
      </c>
      <c r="B1891" s="10">
        <f>VLOOKUP(A1891,'Datos generales'!A:B,2,0)</f>
        <v>45465.332638888889</v>
      </c>
      <c r="C1891" s="12">
        <f>VLOOKUP(A1891,'Datos generales'!A:H,8,0)</f>
        <v>2704.6</v>
      </c>
      <c r="D1891" s="12" t="str">
        <f t="shared" si="58"/>
        <v>junio</v>
      </c>
      <c r="E1891" s="33">
        <f t="shared" si="59"/>
        <v>2024</v>
      </c>
    </row>
    <row r="1892" spans="1:5" x14ac:dyDescent="0.25">
      <c r="A1892" t="s">
        <v>102</v>
      </c>
      <c r="B1892" s="10">
        <f>VLOOKUP(A1892,'Datos generales'!A:B,2,0)</f>
        <v>45863.330555555563</v>
      </c>
      <c r="C1892" s="12">
        <f>VLOOKUP(A1892,'Datos generales'!A:H,8,0)</f>
        <v>713.82</v>
      </c>
      <c r="D1892" s="12" t="str">
        <f t="shared" si="58"/>
        <v>julio</v>
      </c>
      <c r="E1892" s="33">
        <f t="shared" si="59"/>
        <v>2025</v>
      </c>
    </row>
    <row r="1893" spans="1:5" x14ac:dyDescent="0.25">
      <c r="A1893" t="s">
        <v>103</v>
      </c>
      <c r="B1893" s="10">
        <f>VLOOKUP(A1893,'Datos generales'!A:B,2,0)</f>
        <v>45727.712500000001</v>
      </c>
      <c r="C1893" s="12">
        <f>VLOOKUP(A1893,'Datos generales'!A:H,8,0)</f>
        <v>3407.01</v>
      </c>
      <c r="D1893" s="12" t="str">
        <f t="shared" si="58"/>
        <v>marzo</v>
      </c>
      <c r="E1893" s="33">
        <f t="shared" si="59"/>
        <v>2025</v>
      </c>
    </row>
    <row r="1894" spans="1:5" x14ac:dyDescent="0.25">
      <c r="A1894" t="s">
        <v>104</v>
      </c>
      <c r="B1894" s="10">
        <f>VLOOKUP(A1894,'Datos generales'!A:B,2,0)</f>
        <v>45676.398611111108</v>
      </c>
      <c r="C1894" s="12">
        <f>VLOOKUP(A1894,'Datos generales'!A:H,8,0)</f>
        <v>2417.0700000000002</v>
      </c>
      <c r="D1894" s="12" t="str">
        <f t="shared" si="58"/>
        <v>enero</v>
      </c>
      <c r="E1894" s="33">
        <f t="shared" si="59"/>
        <v>2025</v>
      </c>
    </row>
    <row r="1895" spans="1:5" x14ac:dyDescent="0.25">
      <c r="A1895" t="s">
        <v>105</v>
      </c>
      <c r="B1895" s="10">
        <f>VLOOKUP(A1895,'Datos generales'!A:B,2,0)</f>
        <v>45289.026388888888</v>
      </c>
      <c r="C1895" s="12">
        <f>VLOOKUP(A1895,'Datos generales'!A:H,8,0)</f>
        <v>2518.14</v>
      </c>
      <c r="D1895" s="12" t="str">
        <f t="shared" si="58"/>
        <v>diciembre</v>
      </c>
      <c r="E1895" s="33">
        <f t="shared" si="59"/>
        <v>2023</v>
      </c>
    </row>
    <row r="1896" spans="1:5" x14ac:dyDescent="0.25">
      <c r="A1896" t="s">
        <v>106</v>
      </c>
      <c r="B1896" s="10">
        <f>VLOOKUP(A1896,'Datos generales'!A:B,2,0)</f>
        <v>45473.418749999997</v>
      </c>
      <c r="C1896" s="12">
        <f>VLOOKUP(A1896,'Datos generales'!A:H,8,0)</f>
        <v>1801.2</v>
      </c>
      <c r="D1896" s="12" t="str">
        <f t="shared" si="58"/>
        <v>junio</v>
      </c>
      <c r="E1896" s="33">
        <f t="shared" si="59"/>
        <v>2024</v>
      </c>
    </row>
    <row r="1897" spans="1:5" x14ac:dyDescent="0.25">
      <c r="A1897" t="s">
        <v>107</v>
      </c>
      <c r="B1897" s="10">
        <f>VLOOKUP(A1897,'Datos generales'!A:B,2,0)</f>
        <v>45499.757638888892</v>
      </c>
      <c r="C1897" s="12">
        <f>VLOOKUP(A1897,'Datos generales'!A:H,8,0)</f>
        <v>959.62</v>
      </c>
      <c r="D1897" s="12" t="str">
        <f t="shared" si="58"/>
        <v>julio</v>
      </c>
      <c r="E1897" s="33">
        <f t="shared" si="59"/>
        <v>2024</v>
      </c>
    </row>
    <row r="1898" spans="1:5" x14ac:dyDescent="0.25">
      <c r="A1898" t="s">
        <v>108</v>
      </c>
      <c r="B1898" s="10">
        <f>VLOOKUP(A1898,'Datos generales'!A:B,2,0)</f>
        <v>45541.331250000003</v>
      </c>
      <c r="C1898" s="12">
        <f>VLOOKUP(A1898,'Datos generales'!A:H,8,0)</f>
        <v>1888.86</v>
      </c>
      <c r="D1898" s="12" t="str">
        <f t="shared" si="58"/>
        <v>septiembre</v>
      </c>
      <c r="E1898" s="33">
        <f t="shared" si="59"/>
        <v>2024</v>
      </c>
    </row>
    <row r="1899" spans="1:5" x14ac:dyDescent="0.25">
      <c r="A1899" t="s">
        <v>109</v>
      </c>
      <c r="B1899" s="10">
        <f>VLOOKUP(A1899,'Datos generales'!A:B,2,0)</f>
        <v>45542.574305555558</v>
      </c>
      <c r="C1899" s="12">
        <f>VLOOKUP(A1899,'Datos generales'!A:H,8,0)</f>
        <v>7284.2</v>
      </c>
      <c r="D1899" s="12" t="str">
        <f t="shared" si="58"/>
        <v>septiembre</v>
      </c>
      <c r="E1899" s="33">
        <f t="shared" si="59"/>
        <v>2024</v>
      </c>
    </row>
    <row r="1900" spans="1:5" x14ac:dyDescent="0.25">
      <c r="A1900" t="s">
        <v>110</v>
      </c>
      <c r="B1900" s="10">
        <f>VLOOKUP(A1900,'Datos generales'!A:B,2,0)</f>
        <v>45846.336805555547</v>
      </c>
      <c r="C1900" s="12">
        <f>VLOOKUP(A1900,'Datos generales'!A:H,8,0)</f>
        <v>4611.6900000000014</v>
      </c>
      <c r="D1900" s="12" t="str">
        <f t="shared" si="58"/>
        <v>julio</v>
      </c>
      <c r="E1900" s="33">
        <f t="shared" si="59"/>
        <v>2025</v>
      </c>
    </row>
    <row r="1901" spans="1:5" x14ac:dyDescent="0.25">
      <c r="A1901" t="s">
        <v>111</v>
      </c>
      <c r="B1901" s="10">
        <f>VLOOKUP(A1901,'Datos generales'!A:B,2,0)</f>
        <v>45318.705555555563</v>
      </c>
      <c r="C1901" s="12">
        <f>VLOOKUP(A1901,'Datos generales'!A:H,8,0)</f>
        <v>934.98</v>
      </c>
      <c r="D1901" s="12" t="str">
        <f t="shared" si="58"/>
        <v>enero</v>
      </c>
      <c r="E1901" s="33">
        <f t="shared" si="59"/>
        <v>2024</v>
      </c>
    </row>
    <row r="1902" spans="1:5" x14ac:dyDescent="0.25">
      <c r="A1902" t="s">
        <v>112</v>
      </c>
      <c r="B1902" s="10">
        <f>VLOOKUP(A1902,'Datos generales'!A:B,2,0)</f>
        <v>45595.668055555558</v>
      </c>
      <c r="C1902" s="12">
        <f>VLOOKUP(A1902,'Datos generales'!A:H,8,0)</f>
        <v>745.45</v>
      </c>
      <c r="D1902" s="12" t="str">
        <f t="shared" si="58"/>
        <v>octubre</v>
      </c>
      <c r="E1902" s="33">
        <f t="shared" si="59"/>
        <v>2024</v>
      </c>
    </row>
    <row r="1903" spans="1:5" x14ac:dyDescent="0.25">
      <c r="A1903" t="s">
        <v>113</v>
      </c>
      <c r="B1903" s="10">
        <f>VLOOKUP(A1903,'Datos generales'!A:B,2,0)</f>
        <v>44984.418055555558</v>
      </c>
      <c r="C1903" s="12">
        <f>VLOOKUP(A1903,'Datos generales'!A:H,8,0)</f>
        <v>9427.4</v>
      </c>
      <c r="D1903" s="12" t="str">
        <f t="shared" si="58"/>
        <v>febrero</v>
      </c>
      <c r="E1903" s="33">
        <f t="shared" si="59"/>
        <v>2023</v>
      </c>
    </row>
    <row r="1904" spans="1:5" x14ac:dyDescent="0.25">
      <c r="A1904" t="s">
        <v>114</v>
      </c>
      <c r="B1904" s="10">
        <f>VLOOKUP(A1904,'Datos generales'!A:B,2,0)</f>
        <v>45153.455555555563</v>
      </c>
      <c r="C1904" s="12">
        <f>VLOOKUP(A1904,'Datos generales'!A:H,8,0)</f>
        <v>4775.76</v>
      </c>
      <c r="D1904" s="12" t="str">
        <f t="shared" si="58"/>
        <v>agosto</v>
      </c>
      <c r="E1904" s="33">
        <f t="shared" si="59"/>
        <v>2023</v>
      </c>
    </row>
    <row r="1905" spans="1:5" x14ac:dyDescent="0.25">
      <c r="A1905" t="s">
        <v>115</v>
      </c>
      <c r="B1905" s="10">
        <f>VLOOKUP(A1905,'Datos generales'!A:B,2,0)</f>
        <v>45919.24722222222</v>
      </c>
      <c r="C1905" s="12">
        <f>VLOOKUP(A1905,'Datos generales'!A:H,8,0)</f>
        <v>6916.65</v>
      </c>
      <c r="D1905" s="12" t="str">
        <f t="shared" si="58"/>
        <v>septiembre</v>
      </c>
      <c r="E1905" s="33">
        <f t="shared" si="59"/>
        <v>2025</v>
      </c>
    </row>
    <row r="1906" spans="1:5" x14ac:dyDescent="0.25">
      <c r="A1906" t="s">
        <v>116</v>
      </c>
      <c r="B1906" s="10">
        <f>VLOOKUP(A1906,'Datos generales'!A:B,2,0)</f>
        <v>45815.543055555558</v>
      </c>
      <c r="C1906" s="12">
        <f>VLOOKUP(A1906,'Datos generales'!A:H,8,0)</f>
        <v>2102.46</v>
      </c>
      <c r="D1906" s="12" t="str">
        <f t="shared" si="58"/>
        <v>junio</v>
      </c>
      <c r="E1906" s="33">
        <f t="shared" si="59"/>
        <v>2025</v>
      </c>
    </row>
    <row r="1907" spans="1:5" x14ac:dyDescent="0.25">
      <c r="A1907" t="s">
        <v>117</v>
      </c>
      <c r="B1907" s="10">
        <f>VLOOKUP(A1907,'Datos generales'!A:B,2,0)</f>
        <v>45255.4</v>
      </c>
      <c r="C1907" s="12">
        <f>VLOOKUP(A1907,'Datos generales'!A:H,8,0)</f>
        <v>5097.84</v>
      </c>
      <c r="D1907" s="12" t="str">
        <f t="shared" si="58"/>
        <v>noviembre</v>
      </c>
      <c r="E1907" s="33">
        <f t="shared" si="59"/>
        <v>2023</v>
      </c>
    </row>
    <row r="1908" spans="1:5" x14ac:dyDescent="0.25">
      <c r="A1908" t="s">
        <v>118</v>
      </c>
      <c r="B1908" s="10">
        <f>VLOOKUP(A1908,'Datos generales'!A:B,2,0)</f>
        <v>45754.797222222223</v>
      </c>
      <c r="C1908" s="12">
        <f>VLOOKUP(A1908,'Datos generales'!A:H,8,0)</f>
        <v>1251.08</v>
      </c>
      <c r="D1908" s="12" t="str">
        <f t="shared" si="58"/>
        <v>abril</v>
      </c>
      <c r="E1908" s="33">
        <f t="shared" si="59"/>
        <v>2025</v>
      </c>
    </row>
    <row r="1909" spans="1:5" x14ac:dyDescent="0.25">
      <c r="A1909" t="s">
        <v>119</v>
      </c>
      <c r="B1909" s="10">
        <f>VLOOKUP(A1909,'Datos generales'!A:B,2,0)</f>
        <v>45764.185416666667</v>
      </c>
      <c r="C1909" s="12">
        <f>VLOOKUP(A1909,'Datos generales'!A:H,8,0)</f>
        <v>7911</v>
      </c>
      <c r="D1909" s="12" t="str">
        <f t="shared" si="58"/>
        <v>abril</v>
      </c>
      <c r="E1909" s="33">
        <f t="shared" si="59"/>
        <v>2025</v>
      </c>
    </row>
    <row r="1910" spans="1:5" x14ac:dyDescent="0.25">
      <c r="A1910" t="s">
        <v>120</v>
      </c>
      <c r="B1910" s="10">
        <f>VLOOKUP(A1910,'Datos generales'!A:B,2,0)</f>
        <v>45240.82916666667</v>
      </c>
      <c r="C1910" s="12">
        <f>VLOOKUP(A1910,'Datos generales'!A:H,8,0)</f>
        <v>81.92</v>
      </c>
      <c r="D1910" s="12" t="str">
        <f t="shared" si="58"/>
        <v>noviembre</v>
      </c>
      <c r="E1910" s="33">
        <f t="shared" si="59"/>
        <v>2023</v>
      </c>
    </row>
    <row r="1911" spans="1:5" x14ac:dyDescent="0.25">
      <c r="A1911" t="s">
        <v>121</v>
      </c>
      <c r="B1911" s="10">
        <f>VLOOKUP(A1911,'Datos generales'!A:B,2,0)</f>
        <v>45634.470138888893</v>
      </c>
      <c r="C1911" s="12">
        <f>VLOOKUP(A1911,'Datos generales'!A:H,8,0)</f>
        <v>1153.31</v>
      </c>
      <c r="D1911" s="12" t="str">
        <f t="shared" si="58"/>
        <v>diciembre</v>
      </c>
      <c r="E1911" s="33">
        <f t="shared" si="59"/>
        <v>2024</v>
      </c>
    </row>
    <row r="1912" spans="1:5" x14ac:dyDescent="0.25">
      <c r="A1912" t="s">
        <v>122</v>
      </c>
      <c r="B1912" s="10">
        <f>VLOOKUP(A1912,'Datos generales'!A:B,2,0)</f>
        <v>45913.939583333333</v>
      </c>
      <c r="C1912" s="12">
        <f>VLOOKUP(A1912,'Datos generales'!A:H,8,0)</f>
        <v>3234.24</v>
      </c>
      <c r="D1912" s="12" t="str">
        <f t="shared" si="58"/>
        <v>septiembre</v>
      </c>
      <c r="E1912" s="33">
        <f t="shared" si="59"/>
        <v>2025</v>
      </c>
    </row>
    <row r="1913" spans="1:5" x14ac:dyDescent="0.25">
      <c r="A1913" t="s">
        <v>123</v>
      </c>
      <c r="B1913" s="10">
        <f>VLOOKUP(A1913,'Datos generales'!A:B,2,0)</f>
        <v>45526.149305555547</v>
      </c>
      <c r="C1913" s="12">
        <f>VLOOKUP(A1913,'Datos generales'!A:H,8,0)</f>
        <v>201.91</v>
      </c>
      <c r="D1913" s="12" t="str">
        <f t="shared" si="58"/>
        <v>agosto</v>
      </c>
      <c r="E1913" s="33">
        <f t="shared" si="59"/>
        <v>2024</v>
      </c>
    </row>
    <row r="1914" spans="1:5" x14ac:dyDescent="0.25">
      <c r="A1914" t="s">
        <v>124</v>
      </c>
      <c r="B1914" s="10">
        <f>VLOOKUP(A1914,'Datos generales'!A:B,2,0)</f>
        <v>45487.067361111112</v>
      </c>
      <c r="C1914" s="12">
        <f>VLOOKUP(A1914,'Datos generales'!A:H,8,0)</f>
        <v>2182.08</v>
      </c>
      <c r="D1914" s="12" t="str">
        <f t="shared" si="58"/>
        <v>julio</v>
      </c>
      <c r="E1914" s="33">
        <f t="shared" si="59"/>
        <v>2024</v>
      </c>
    </row>
    <row r="1915" spans="1:5" x14ac:dyDescent="0.25">
      <c r="A1915" t="s">
        <v>125</v>
      </c>
      <c r="B1915" s="10">
        <f>VLOOKUP(A1915,'Datos generales'!A:B,2,0)</f>
        <v>45281.986805555563</v>
      </c>
      <c r="C1915" s="12">
        <f>VLOOKUP(A1915,'Datos generales'!A:H,8,0)</f>
        <v>4936.29</v>
      </c>
      <c r="D1915" s="12" t="str">
        <f t="shared" si="58"/>
        <v>diciembre</v>
      </c>
      <c r="E1915" s="33">
        <f t="shared" si="59"/>
        <v>2023</v>
      </c>
    </row>
    <row r="1916" spans="1:5" x14ac:dyDescent="0.25">
      <c r="A1916" t="s">
        <v>126</v>
      </c>
      <c r="B1916" s="10">
        <f>VLOOKUP(A1916,'Datos generales'!A:B,2,0)</f>
        <v>45468.378472222219</v>
      </c>
      <c r="C1916" s="12">
        <f>VLOOKUP(A1916,'Datos generales'!A:H,8,0)</f>
        <v>1260.1500000000001</v>
      </c>
      <c r="D1916" s="12" t="str">
        <f t="shared" si="58"/>
        <v>junio</v>
      </c>
      <c r="E1916" s="33">
        <f t="shared" si="59"/>
        <v>2024</v>
      </c>
    </row>
    <row r="1917" spans="1:5" x14ac:dyDescent="0.25">
      <c r="A1917" t="s">
        <v>127</v>
      </c>
      <c r="B1917" s="10">
        <f>VLOOKUP(A1917,'Datos generales'!A:B,2,0)</f>
        <v>45529.436805555553</v>
      </c>
      <c r="C1917" s="12">
        <f>VLOOKUP(A1917,'Datos generales'!A:H,8,0)</f>
        <v>1987.6</v>
      </c>
      <c r="D1917" s="12" t="str">
        <f t="shared" si="58"/>
        <v>agosto</v>
      </c>
      <c r="E1917" s="33">
        <f t="shared" si="59"/>
        <v>2024</v>
      </c>
    </row>
    <row r="1918" spans="1:5" x14ac:dyDescent="0.25">
      <c r="A1918" t="s">
        <v>128</v>
      </c>
      <c r="B1918" s="10">
        <f>VLOOKUP(A1918,'Datos generales'!A:B,2,0)</f>
        <v>44961.01666666667</v>
      </c>
      <c r="C1918" s="12">
        <f>VLOOKUP(A1918,'Datos generales'!A:H,8,0)</f>
        <v>1443.12</v>
      </c>
      <c r="D1918" s="12" t="str">
        <f t="shared" si="58"/>
        <v>febrero</v>
      </c>
      <c r="E1918" s="33">
        <f t="shared" si="59"/>
        <v>2023</v>
      </c>
    </row>
    <row r="1919" spans="1:5" x14ac:dyDescent="0.25">
      <c r="A1919" t="s">
        <v>129</v>
      </c>
      <c r="B1919" s="10">
        <f>VLOOKUP(A1919,'Datos generales'!A:B,2,0)</f>
        <v>45041.746527777781</v>
      </c>
      <c r="C1919" s="12">
        <f>VLOOKUP(A1919,'Datos generales'!A:H,8,0)</f>
        <v>5415.6</v>
      </c>
      <c r="D1919" s="12" t="str">
        <f t="shared" si="58"/>
        <v>abril</v>
      </c>
      <c r="E1919" s="33">
        <f t="shared" si="59"/>
        <v>2023</v>
      </c>
    </row>
    <row r="1920" spans="1:5" x14ac:dyDescent="0.25">
      <c r="A1920" t="s">
        <v>130</v>
      </c>
      <c r="B1920" s="10">
        <f>VLOOKUP(A1920,'Datos generales'!A:B,2,0)</f>
        <v>45400.756249999999</v>
      </c>
      <c r="C1920" s="12">
        <f>VLOOKUP(A1920,'Datos generales'!A:H,8,0)</f>
        <v>859.04</v>
      </c>
      <c r="D1920" s="12" t="str">
        <f t="shared" si="58"/>
        <v>abril</v>
      </c>
      <c r="E1920" s="33">
        <f t="shared" si="59"/>
        <v>2024</v>
      </c>
    </row>
    <row r="1921" spans="1:5" x14ac:dyDescent="0.25">
      <c r="A1921" t="s">
        <v>131</v>
      </c>
      <c r="B1921" s="10">
        <f>VLOOKUP(A1921,'Datos generales'!A:B,2,0)</f>
        <v>45465.772916666669</v>
      </c>
      <c r="C1921" s="12">
        <f>VLOOKUP(A1921,'Datos generales'!A:H,8,0)</f>
        <v>3649.92</v>
      </c>
      <c r="D1921" s="12" t="str">
        <f t="shared" si="58"/>
        <v>junio</v>
      </c>
      <c r="E1921" s="33">
        <f t="shared" si="59"/>
        <v>2024</v>
      </c>
    </row>
    <row r="1922" spans="1:5" x14ac:dyDescent="0.25">
      <c r="A1922" t="s">
        <v>132</v>
      </c>
      <c r="B1922" s="10">
        <f>VLOOKUP(A1922,'Datos generales'!A:B,2,0)</f>
        <v>45316.202777777777</v>
      </c>
      <c r="C1922" s="12">
        <f>VLOOKUP(A1922,'Datos generales'!A:H,8,0)</f>
        <v>5299.0499999999993</v>
      </c>
      <c r="D1922" s="12" t="str">
        <f t="shared" si="58"/>
        <v>enero</v>
      </c>
      <c r="E1922" s="33">
        <f t="shared" si="59"/>
        <v>2024</v>
      </c>
    </row>
    <row r="1923" spans="1:5" x14ac:dyDescent="0.25">
      <c r="A1923" t="s">
        <v>133</v>
      </c>
      <c r="B1923" s="10">
        <f>VLOOKUP(A1923,'Datos generales'!A:B,2,0)</f>
        <v>45118.634722222218</v>
      </c>
      <c r="C1923" s="12">
        <f>VLOOKUP(A1923,'Datos generales'!A:H,8,0)</f>
        <v>185.56</v>
      </c>
      <c r="D1923" s="12" t="str">
        <f t="shared" ref="D1923:D1986" si="60">TEXT(B1923,"mmmm")</f>
        <v>julio</v>
      </c>
      <c r="E1923" s="33">
        <f t="shared" ref="E1923:E1986" si="61">YEAR(B1923)</f>
        <v>2023</v>
      </c>
    </row>
    <row r="1924" spans="1:5" x14ac:dyDescent="0.25">
      <c r="A1924" t="s">
        <v>134</v>
      </c>
      <c r="B1924" s="10">
        <f>VLOOKUP(A1924,'Datos generales'!A:B,2,0)</f>
        <v>45232.75</v>
      </c>
      <c r="C1924" s="12">
        <f>VLOOKUP(A1924,'Datos generales'!A:H,8,0)</f>
        <v>754.07</v>
      </c>
      <c r="D1924" s="12" t="str">
        <f t="shared" si="60"/>
        <v>noviembre</v>
      </c>
      <c r="E1924" s="33">
        <f t="shared" si="61"/>
        <v>2023</v>
      </c>
    </row>
    <row r="1925" spans="1:5" x14ac:dyDescent="0.25">
      <c r="A1925" t="s">
        <v>135</v>
      </c>
      <c r="B1925" s="10">
        <f>VLOOKUP(A1925,'Datos generales'!A:B,2,0)</f>
        <v>45745.421527777777</v>
      </c>
      <c r="C1925" s="12">
        <f>VLOOKUP(A1925,'Datos generales'!A:H,8,0)</f>
        <v>1681.02</v>
      </c>
      <c r="D1925" s="12" t="str">
        <f t="shared" si="60"/>
        <v>marzo</v>
      </c>
      <c r="E1925" s="33">
        <f t="shared" si="61"/>
        <v>2025</v>
      </c>
    </row>
    <row r="1926" spans="1:5" x14ac:dyDescent="0.25">
      <c r="A1926" t="s">
        <v>136</v>
      </c>
      <c r="B1926" s="10">
        <f>VLOOKUP(A1926,'Datos generales'!A:B,2,0)</f>
        <v>45802.370833333327</v>
      </c>
      <c r="C1926" s="12">
        <f>VLOOKUP(A1926,'Datos generales'!A:H,8,0)</f>
        <v>2397.44</v>
      </c>
      <c r="D1926" s="12" t="str">
        <f t="shared" si="60"/>
        <v>mayo</v>
      </c>
      <c r="E1926" s="33">
        <f t="shared" si="61"/>
        <v>2025</v>
      </c>
    </row>
    <row r="1927" spans="1:5" x14ac:dyDescent="0.25">
      <c r="A1927" t="s">
        <v>137</v>
      </c>
      <c r="B1927" s="10">
        <f>VLOOKUP(A1927,'Datos generales'!A:B,2,0)</f>
        <v>45249.604861111111</v>
      </c>
      <c r="C1927" s="12">
        <f>VLOOKUP(A1927,'Datos generales'!A:H,8,0)</f>
        <v>2080.4</v>
      </c>
      <c r="D1927" s="12" t="str">
        <f t="shared" si="60"/>
        <v>noviembre</v>
      </c>
      <c r="E1927" s="33">
        <f t="shared" si="61"/>
        <v>2023</v>
      </c>
    </row>
    <row r="1928" spans="1:5" x14ac:dyDescent="0.25">
      <c r="A1928" t="s">
        <v>138</v>
      </c>
      <c r="B1928" s="10">
        <f>VLOOKUP(A1928,'Datos generales'!A:B,2,0)</f>
        <v>45854.013194444437</v>
      </c>
      <c r="C1928" s="12">
        <f>VLOOKUP(A1928,'Datos generales'!A:H,8,0)</f>
        <v>322.58999999999997</v>
      </c>
      <c r="D1928" s="12" t="str">
        <f t="shared" si="60"/>
        <v>julio</v>
      </c>
      <c r="E1928" s="33">
        <f t="shared" si="61"/>
        <v>2025</v>
      </c>
    </row>
    <row r="1929" spans="1:5" x14ac:dyDescent="0.25">
      <c r="A1929" t="s">
        <v>139</v>
      </c>
      <c r="B1929" s="10">
        <f>VLOOKUP(A1929,'Datos generales'!A:B,2,0)</f>
        <v>45828.018055555563</v>
      </c>
      <c r="C1929" s="12">
        <f>VLOOKUP(A1929,'Datos generales'!A:H,8,0)</f>
        <v>1522.64</v>
      </c>
      <c r="D1929" s="12" t="str">
        <f t="shared" si="60"/>
        <v>junio</v>
      </c>
      <c r="E1929" s="33">
        <f t="shared" si="61"/>
        <v>2025</v>
      </c>
    </row>
    <row r="1930" spans="1:5" x14ac:dyDescent="0.25">
      <c r="A1930" t="s">
        <v>140</v>
      </c>
      <c r="B1930" s="10">
        <f>VLOOKUP(A1930,'Datos generales'!A:B,2,0)</f>
        <v>45673.40902777778</v>
      </c>
      <c r="C1930" s="12">
        <f>VLOOKUP(A1930,'Datos generales'!A:H,8,0)</f>
        <v>1400.22</v>
      </c>
      <c r="D1930" s="12" t="str">
        <f t="shared" si="60"/>
        <v>enero</v>
      </c>
      <c r="E1930" s="33">
        <f t="shared" si="61"/>
        <v>2025</v>
      </c>
    </row>
    <row r="1931" spans="1:5" x14ac:dyDescent="0.25">
      <c r="A1931" t="s">
        <v>141</v>
      </c>
      <c r="B1931" s="10">
        <f>VLOOKUP(A1931,'Datos generales'!A:B,2,0)</f>
        <v>44932.951388888891</v>
      </c>
      <c r="C1931" s="12">
        <f>VLOOKUP(A1931,'Datos generales'!A:H,8,0)</f>
        <v>1792.4</v>
      </c>
      <c r="D1931" s="12" t="str">
        <f t="shared" si="60"/>
        <v>enero</v>
      </c>
      <c r="E1931" s="33">
        <f t="shared" si="61"/>
        <v>2023</v>
      </c>
    </row>
    <row r="1932" spans="1:5" x14ac:dyDescent="0.25">
      <c r="A1932" t="s">
        <v>142</v>
      </c>
      <c r="B1932" s="10">
        <f>VLOOKUP(A1932,'Datos generales'!A:B,2,0)</f>
        <v>45381.871527777781</v>
      </c>
      <c r="C1932" s="12">
        <f>VLOOKUP(A1932,'Datos generales'!A:H,8,0)</f>
        <v>2986.4</v>
      </c>
      <c r="D1932" s="12" t="str">
        <f t="shared" si="60"/>
        <v>marzo</v>
      </c>
      <c r="E1932" s="33">
        <f t="shared" si="61"/>
        <v>2024</v>
      </c>
    </row>
    <row r="1933" spans="1:5" x14ac:dyDescent="0.25">
      <c r="A1933" t="s">
        <v>143</v>
      </c>
      <c r="B1933" s="10">
        <f>VLOOKUP(A1933,'Datos generales'!A:B,2,0)</f>
        <v>45450.97152777778</v>
      </c>
      <c r="C1933" s="12">
        <f>VLOOKUP(A1933,'Datos generales'!A:H,8,0)</f>
        <v>751.43</v>
      </c>
      <c r="D1933" s="12" t="str">
        <f t="shared" si="60"/>
        <v>junio</v>
      </c>
      <c r="E1933" s="33">
        <f t="shared" si="61"/>
        <v>2024</v>
      </c>
    </row>
    <row r="1934" spans="1:5" x14ac:dyDescent="0.25">
      <c r="A1934" t="s">
        <v>144</v>
      </c>
      <c r="B1934" s="10">
        <f>VLOOKUP(A1934,'Datos generales'!A:B,2,0)</f>
        <v>45122.813888888893</v>
      </c>
      <c r="C1934" s="12">
        <f>VLOOKUP(A1934,'Datos generales'!A:H,8,0)</f>
        <v>5545.4</v>
      </c>
      <c r="D1934" s="12" t="str">
        <f t="shared" si="60"/>
        <v>julio</v>
      </c>
      <c r="E1934" s="33">
        <f t="shared" si="61"/>
        <v>2023</v>
      </c>
    </row>
    <row r="1935" spans="1:5" x14ac:dyDescent="0.25">
      <c r="A1935" t="s">
        <v>145</v>
      </c>
      <c r="B1935" s="10">
        <f>VLOOKUP(A1935,'Datos generales'!A:B,2,0)</f>
        <v>45329.842361111107</v>
      </c>
      <c r="C1935" s="12">
        <f>VLOOKUP(A1935,'Datos generales'!A:H,8,0)</f>
        <v>3213.7</v>
      </c>
      <c r="D1935" s="12" t="str">
        <f t="shared" si="60"/>
        <v>febrero</v>
      </c>
      <c r="E1935" s="33">
        <f t="shared" si="61"/>
        <v>2024</v>
      </c>
    </row>
    <row r="1936" spans="1:5" x14ac:dyDescent="0.25">
      <c r="A1936" t="s">
        <v>146</v>
      </c>
      <c r="B1936" s="10">
        <f>VLOOKUP(A1936,'Datos generales'!A:B,2,0)</f>
        <v>45615.539583333331</v>
      </c>
      <c r="C1936" s="12">
        <f>VLOOKUP(A1936,'Datos generales'!A:H,8,0)</f>
        <v>1228.6500000000001</v>
      </c>
      <c r="D1936" s="12" t="str">
        <f t="shared" si="60"/>
        <v>noviembre</v>
      </c>
      <c r="E1936" s="33">
        <f t="shared" si="61"/>
        <v>2024</v>
      </c>
    </row>
    <row r="1937" spans="1:5" x14ac:dyDescent="0.25">
      <c r="A1937" t="s">
        <v>147</v>
      </c>
      <c r="B1937" s="10">
        <f>VLOOKUP(A1937,'Datos generales'!A:B,2,0)</f>
        <v>45222.775694444441</v>
      </c>
      <c r="C1937" s="12">
        <f>VLOOKUP(A1937,'Datos generales'!A:H,8,0)</f>
        <v>5346.39</v>
      </c>
      <c r="D1937" s="12" t="str">
        <f t="shared" si="60"/>
        <v>octubre</v>
      </c>
      <c r="E1937" s="33">
        <f t="shared" si="61"/>
        <v>2023</v>
      </c>
    </row>
    <row r="1938" spans="1:5" x14ac:dyDescent="0.25">
      <c r="A1938" t="s">
        <v>148</v>
      </c>
      <c r="B1938" s="10">
        <f>VLOOKUP(A1938,'Datos generales'!A:B,2,0)</f>
        <v>45525.048611111109</v>
      </c>
      <c r="C1938" s="12">
        <f>VLOOKUP(A1938,'Datos generales'!A:H,8,0)</f>
        <v>5685.7000000000007</v>
      </c>
      <c r="D1938" s="12" t="str">
        <f t="shared" si="60"/>
        <v>agosto</v>
      </c>
      <c r="E1938" s="33">
        <f t="shared" si="61"/>
        <v>2024</v>
      </c>
    </row>
    <row r="1939" spans="1:5" x14ac:dyDescent="0.25">
      <c r="A1939" t="s">
        <v>149</v>
      </c>
      <c r="B1939" s="10">
        <f>VLOOKUP(A1939,'Datos generales'!A:B,2,0)</f>
        <v>45520.686111111107</v>
      </c>
      <c r="C1939" s="12">
        <f>VLOOKUP(A1939,'Datos generales'!A:H,8,0)</f>
        <v>3866.88</v>
      </c>
      <c r="D1939" s="12" t="str">
        <f t="shared" si="60"/>
        <v>agosto</v>
      </c>
      <c r="E1939" s="33">
        <f t="shared" si="61"/>
        <v>2024</v>
      </c>
    </row>
    <row r="1940" spans="1:5" x14ac:dyDescent="0.25">
      <c r="A1940" t="s">
        <v>150</v>
      </c>
      <c r="B1940" s="10">
        <f>VLOOKUP(A1940,'Datos generales'!A:B,2,0)</f>
        <v>45484.331944444442</v>
      </c>
      <c r="C1940" s="12">
        <f>VLOOKUP(A1940,'Datos generales'!A:H,8,0)</f>
        <v>3774.4</v>
      </c>
      <c r="D1940" s="12" t="str">
        <f t="shared" si="60"/>
        <v>julio</v>
      </c>
      <c r="E1940" s="33">
        <f t="shared" si="61"/>
        <v>2024</v>
      </c>
    </row>
    <row r="1941" spans="1:5" x14ac:dyDescent="0.25">
      <c r="A1941" t="s">
        <v>151</v>
      </c>
      <c r="B1941" s="10">
        <f>VLOOKUP(A1941,'Datos generales'!A:B,2,0)</f>
        <v>45842.433333333327</v>
      </c>
      <c r="C1941" s="12">
        <f>VLOOKUP(A1941,'Datos generales'!A:H,8,0)</f>
        <v>3610</v>
      </c>
      <c r="D1941" s="12" t="str">
        <f t="shared" si="60"/>
        <v>julio</v>
      </c>
      <c r="E1941" s="33">
        <f t="shared" si="61"/>
        <v>2025</v>
      </c>
    </row>
    <row r="1942" spans="1:5" x14ac:dyDescent="0.25">
      <c r="A1942" t="s">
        <v>152</v>
      </c>
      <c r="B1942" s="10">
        <f>VLOOKUP(A1942,'Datos generales'!A:B,2,0)</f>
        <v>45697.842361111107</v>
      </c>
      <c r="C1942" s="12">
        <f>VLOOKUP(A1942,'Datos generales'!A:H,8,0)</f>
        <v>156.36000000000001</v>
      </c>
      <c r="D1942" s="12" t="str">
        <f t="shared" si="60"/>
        <v>febrero</v>
      </c>
      <c r="E1942" s="33">
        <f t="shared" si="61"/>
        <v>2025</v>
      </c>
    </row>
    <row r="1943" spans="1:5" x14ac:dyDescent="0.25">
      <c r="A1943" t="s">
        <v>153</v>
      </c>
      <c r="B1943" s="10">
        <f>VLOOKUP(A1943,'Datos generales'!A:B,2,0)</f>
        <v>45927.180555555547</v>
      </c>
      <c r="C1943" s="12">
        <f>VLOOKUP(A1943,'Datos generales'!A:H,8,0)</f>
        <v>3230.82</v>
      </c>
      <c r="D1943" s="12" t="str">
        <f t="shared" si="60"/>
        <v>septiembre</v>
      </c>
      <c r="E1943" s="33">
        <f t="shared" si="61"/>
        <v>2025</v>
      </c>
    </row>
    <row r="1944" spans="1:5" x14ac:dyDescent="0.25">
      <c r="A1944" t="s">
        <v>154</v>
      </c>
      <c r="B1944" s="10">
        <f>VLOOKUP(A1944,'Datos generales'!A:B,2,0)</f>
        <v>45511.748611111107</v>
      </c>
      <c r="C1944" s="12">
        <f>VLOOKUP(A1944,'Datos generales'!A:H,8,0)</f>
        <v>747.69999999999993</v>
      </c>
      <c r="D1944" s="12" t="str">
        <f t="shared" si="60"/>
        <v>agosto</v>
      </c>
      <c r="E1944" s="33">
        <f t="shared" si="61"/>
        <v>2024</v>
      </c>
    </row>
    <row r="1945" spans="1:5" x14ac:dyDescent="0.25">
      <c r="A1945" t="s">
        <v>155</v>
      </c>
      <c r="B1945" s="10">
        <f>VLOOKUP(A1945,'Datos generales'!A:B,2,0)</f>
        <v>45867.710416666669</v>
      </c>
      <c r="C1945" s="12">
        <f>VLOOKUP(A1945,'Datos generales'!A:H,8,0)</f>
        <v>4776.95</v>
      </c>
      <c r="D1945" s="12" t="str">
        <f t="shared" si="60"/>
        <v>julio</v>
      </c>
      <c r="E1945" s="33">
        <f t="shared" si="61"/>
        <v>2025</v>
      </c>
    </row>
    <row r="1946" spans="1:5" x14ac:dyDescent="0.25">
      <c r="A1946" t="s">
        <v>156</v>
      </c>
      <c r="B1946" s="10">
        <f>VLOOKUP(A1946,'Datos generales'!A:B,2,0)</f>
        <v>45339.555555555547</v>
      </c>
      <c r="C1946" s="12">
        <f>VLOOKUP(A1946,'Datos generales'!A:H,8,0)</f>
        <v>3927.26</v>
      </c>
      <c r="D1946" s="12" t="str">
        <f t="shared" si="60"/>
        <v>febrero</v>
      </c>
      <c r="E1946" s="33">
        <f t="shared" si="61"/>
        <v>2024</v>
      </c>
    </row>
    <row r="1947" spans="1:5" x14ac:dyDescent="0.25">
      <c r="A1947" t="s">
        <v>157</v>
      </c>
      <c r="B1947" s="10">
        <f>VLOOKUP(A1947,'Datos generales'!A:B,2,0)</f>
        <v>45538.998611111107</v>
      </c>
      <c r="C1947" s="12">
        <f>VLOOKUP(A1947,'Datos generales'!A:H,8,0)</f>
        <v>7200.7000000000007</v>
      </c>
      <c r="D1947" s="12" t="str">
        <f t="shared" si="60"/>
        <v>septiembre</v>
      </c>
      <c r="E1947" s="33">
        <f t="shared" si="61"/>
        <v>2024</v>
      </c>
    </row>
    <row r="1948" spans="1:5" x14ac:dyDescent="0.25">
      <c r="A1948" t="s">
        <v>158</v>
      </c>
      <c r="B1948" s="10">
        <f>VLOOKUP(A1948,'Datos generales'!A:B,2,0)</f>
        <v>45105.837500000001</v>
      </c>
      <c r="C1948" s="12">
        <f>VLOOKUP(A1948,'Datos generales'!A:H,8,0)</f>
        <v>1134.8</v>
      </c>
      <c r="D1948" s="12" t="str">
        <f t="shared" si="60"/>
        <v>junio</v>
      </c>
      <c r="E1948" s="33">
        <f t="shared" si="61"/>
        <v>2023</v>
      </c>
    </row>
    <row r="1949" spans="1:5" x14ac:dyDescent="0.25">
      <c r="A1949" t="s">
        <v>159</v>
      </c>
      <c r="B1949" s="10">
        <f>VLOOKUP(A1949,'Datos generales'!A:B,2,0)</f>
        <v>45470.283333333333</v>
      </c>
      <c r="C1949" s="12">
        <f>VLOOKUP(A1949,'Datos generales'!A:H,8,0)</f>
        <v>2062.5300000000002</v>
      </c>
      <c r="D1949" s="12" t="str">
        <f t="shared" si="60"/>
        <v>junio</v>
      </c>
      <c r="E1949" s="33">
        <f t="shared" si="61"/>
        <v>2024</v>
      </c>
    </row>
    <row r="1950" spans="1:5" x14ac:dyDescent="0.25">
      <c r="A1950" t="s">
        <v>160</v>
      </c>
      <c r="B1950" s="10">
        <f>VLOOKUP(A1950,'Datos generales'!A:B,2,0)</f>
        <v>45122.511805555558</v>
      </c>
      <c r="C1950" s="12">
        <f>VLOOKUP(A1950,'Datos generales'!A:H,8,0)</f>
        <v>564</v>
      </c>
      <c r="D1950" s="12" t="str">
        <f t="shared" si="60"/>
        <v>julio</v>
      </c>
      <c r="E1950" s="33">
        <f t="shared" si="61"/>
        <v>2023</v>
      </c>
    </row>
    <row r="1951" spans="1:5" x14ac:dyDescent="0.25">
      <c r="A1951" t="s">
        <v>161</v>
      </c>
      <c r="B1951" s="10">
        <f>VLOOKUP(A1951,'Datos generales'!A:B,2,0)</f>
        <v>45878.351388888892</v>
      </c>
      <c r="C1951" s="12">
        <f>VLOOKUP(A1951,'Datos generales'!A:H,8,0)</f>
        <v>5885.52</v>
      </c>
      <c r="D1951" s="12" t="str">
        <f t="shared" si="60"/>
        <v>agosto</v>
      </c>
      <c r="E1951" s="33">
        <f t="shared" si="61"/>
        <v>2025</v>
      </c>
    </row>
    <row r="1952" spans="1:5" x14ac:dyDescent="0.25">
      <c r="A1952" t="s">
        <v>162</v>
      </c>
      <c r="B1952" s="10">
        <f>VLOOKUP(A1952,'Datos generales'!A:B,2,0)</f>
        <v>45894.257638888892</v>
      </c>
      <c r="C1952" s="12">
        <f>VLOOKUP(A1952,'Datos generales'!A:H,8,0)</f>
        <v>1463.91</v>
      </c>
      <c r="D1952" s="12" t="str">
        <f t="shared" si="60"/>
        <v>agosto</v>
      </c>
      <c r="E1952" s="33">
        <f t="shared" si="61"/>
        <v>2025</v>
      </c>
    </row>
    <row r="1953" spans="1:5" x14ac:dyDescent="0.25">
      <c r="A1953" t="s">
        <v>163</v>
      </c>
      <c r="B1953" s="10">
        <f>VLOOKUP(A1953,'Datos generales'!A:B,2,0)</f>
        <v>45321.105555555558</v>
      </c>
      <c r="C1953" s="12">
        <f>VLOOKUP(A1953,'Datos generales'!A:H,8,0)</f>
        <v>6341.96</v>
      </c>
      <c r="D1953" s="12" t="str">
        <f t="shared" si="60"/>
        <v>enero</v>
      </c>
      <c r="E1953" s="33">
        <f t="shared" si="61"/>
        <v>2024</v>
      </c>
    </row>
    <row r="1954" spans="1:5" x14ac:dyDescent="0.25">
      <c r="A1954" t="s">
        <v>164</v>
      </c>
      <c r="B1954" s="10">
        <f>VLOOKUP(A1954,'Datos generales'!A:B,2,0)</f>
        <v>45571.035416666673</v>
      </c>
      <c r="C1954" s="12">
        <f>VLOOKUP(A1954,'Datos generales'!A:H,8,0)</f>
        <v>662.17</v>
      </c>
      <c r="D1954" s="12" t="str">
        <f t="shared" si="60"/>
        <v>octubre</v>
      </c>
      <c r="E1954" s="33">
        <f t="shared" si="61"/>
        <v>2024</v>
      </c>
    </row>
    <row r="1955" spans="1:5" x14ac:dyDescent="0.25">
      <c r="A1955" t="s">
        <v>165</v>
      </c>
      <c r="B1955" s="10">
        <f>VLOOKUP(A1955,'Datos generales'!A:B,2,0)</f>
        <v>45442.757638888892</v>
      </c>
      <c r="C1955" s="12">
        <f>VLOOKUP(A1955,'Datos generales'!A:H,8,0)</f>
        <v>273.36</v>
      </c>
      <c r="D1955" s="12" t="str">
        <f t="shared" si="60"/>
        <v>mayo</v>
      </c>
      <c r="E1955" s="33">
        <f t="shared" si="61"/>
        <v>2024</v>
      </c>
    </row>
    <row r="1956" spans="1:5" x14ac:dyDescent="0.25">
      <c r="A1956" t="s">
        <v>166</v>
      </c>
      <c r="B1956" s="10">
        <f>VLOOKUP(A1956,'Datos generales'!A:B,2,0)</f>
        <v>45889.054166666669</v>
      </c>
      <c r="C1956" s="12">
        <f>VLOOKUP(A1956,'Datos generales'!A:H,8,0)</f>
        <v>474.56</v>
      </c>
      <c r="D1956" s="12" t="str">
        <f t="shared" si="60"/>
        <v>agosto</v>
      </c>
      <c r="E1956" s="33">
        <f t="shared" si="61"/>
        <v>2025</v>
      </c>
    </row>
    <row r="1957" spans="1:5" x14ac:dyDescent="0.25">
      <c r="A1957" t="s">
        <v>167</v>
      </c>
      <c r="B1957" s="10">
        <f>VLOOKUP(A1957,'Datos generales'!A:B,2,0)</f>
        <v>45468.727083333331</v>
      </c>
      <c r="C1957" s="12">
        <f>VLOOKUP(A1957,'Datos generales'!A:H,8,0)</f>
        <v>2800.47</v>
      </c>
      <c r="D1957" s="12" t="str">
        <f t="shared" si="60"/>
        <v>junio</v>
      </c>
      <c r="E1957" s="33">
        <f t="shared" si="61"/>
        <v>2024</v>
      </c>
    </row>
    <row r="1958" spans="1:5" x14ac:dyDescent="0.25">
      <c r="A1958" t="s">
        <v>168</v>
      </c>
      <c r="B1958" s="10">
        <f>VLOOKUP(A1958,'Datos generales'!A:B,2,0)</f>
        <v>45202.955555555563</v>
      </c>
      <c r="C1958" s="12">
        <f>VLOOKUP(A1958,'Datos generales'!A:H,8,0)</f>
        <v>2070.1799999999998</v>
      </c>
      <c r="D1958" s="12" t="str">
        <f t="shared" si="60"/>
        <v>octubre</v>
      </c>
      <c r="E1958" s="33">
        <f t="shared" si="61"/>
        <v>2023</v>
      </c>
    </row>
    <row r="1959" spans="1:5" x14ac:dyDescent="0.25">
      <c r="A1959" t="s">
        <v>169</v>
      </c>
      <c r="B1959" s="10">
        <f>VLOOKUP(A1959,'Datos generales'!A:B,2,0)</f>
        <v>45323.202777777777</v>
      </c>
      <c r="C1959" s="12">
        <f>VLOOKUP(A1959,'Datos generales'!A:H,8,0)</f>
        <v>2650.02</v>
      </c>
      <c r="D1959" s="12" t="str">
        <f t="shared" si="60"/>
        <v>febrero</v>
      </c>
      <c r="E1959" s="33">
        <f t="shared" si="61"/>
        <v>2024</v>
      </c>
    </row>
    <row r="1960" spans="1:5" x14ac:dyDescent="0.25">
      <c r="A1960" t="s">
        <v>170</v>
      </c>
      <c r="B1960" s="10">
        <f>VLOOKUP(A1960,'Datos generales'!A:B,2,0)</f>
        <v>45288.395833333343</v>
      </c>
      <c r="C1960" s="12">
        <f>VLOOKUP(A1960,'Datos generales'!A:H,8,0)</f>
        <v>2843.36</v>
      </c>
      <c r="D1960" s="12" t="str">
        <f t="shared" si="60"/>
        <v>diciembre</v>
      </c>
      <c r="E1960" s="33">
        <f t="shared" si="61"/>
        <v>2023</v>
      </c>
    </row>
    <row r="1961" spans="1:5" x14ac:dyDescent="0.25">
      <c r="A1961" t="s">
        <v>171</v>
      </c>
      <c r="B1961" s="10">
        <f>VLOOKUP(A1961,'Datos generales'!A:B,2,0)</f>
        <v>45900.337500000001</v>
      </c>
      <c r="C1961" s="12">
        <f>VLOOKUP(A1961,'Datos generales'!A:H,8,0)</f>
        <v>291.81</v>
      </c>
      <c r="D1961" s="12" t="str">
        <f t="shared" si="60"/>
        <v>agosto</v>
      </c>
      <c r="E1961" s="33">
        <f t="shared" si="61"/>
        <v>2025</v>
      </c>
    </row>
    <row r="1962" spans="1:5" x14ac:dyDescent="0.25">
      <c r="A1962" t="s">
        <v>172</v>
      </c>
      <c r="B1962" s="10">
        <f>VLOOKUP(A1962,'Datos generales'!A:B,2,0)</f>
        <v>45576.732638888891</v>
      </c>
      <c r="C1962" s="12">
        <f>VLOOKUP(A1962,'Datos generales'!A:H,8,0)</f>
        <v>2491.8000000000002</v>
      </c>
      <c r="D1962" s="12" t="str">
        <f t="shared" si="60"/>
        <v>octubre</v>
      </c>
      <c r="E1962" s="33">
        <f t="shared" si="61"/>
        <v>2024</v>
      </c>
    </row>
    <row r="1963" spans="1:5" x14ac:dyDescent="0.25">
      <c r="A1963" t="s">
        <v>173</v>
      </c>
      <c r="B1963" s="10">
        <f>VLOOKUP(A1963,'Datos generales'!A:B,2,0)</f>
        <v>45392.97152777778</v>
      </c>
      <c r="C1963" s="12">
        <f>VLOOKUP(A1963,'Datos generales'!A:H,8,0)</f>
        <v>4904.45</v>
      </c>
      <c r="D1963" s="12" t="str">
        <f t="shared" si="60"/>
        <v>abril</v>
      </c>
      <c r="E1963" s="33">
        <f t="shared" si="61"/>
        <v>2024</v>
      </c>
    </row>
    <row r="1964" spans="1:5" x14ac:dyDescent="0.25">
      <c r="A1964" t="s">
        <v>174</v>
      </c>
      <c r="B1964" s="10">
        <f>VLOOKUP(A1964,'Datos generales'!A:B,2,0)</f>
        <v>45584.049305555563</v>
      </c>
      <c r="C1964" s="12">
        <f>VLOOKUP(A1964,'Datos generales'!A:H,8,0)</f>
        <v>1390.33</v>
      </c>
      <c r="D1964" s="12" t="str">
        <f t="shared" si="60"/>
        <v>octubre</v>
      </c>
      <c r="E1964" s="33">
        <f t="shared" si="61"/>
        <v>2024</v>
      </c>
    </row>
    <row r="1965" spans="1:5" x14ac:dyDescent="0.25">
      <c r="A1965" t="s">
        <v>175</v>
      </c>
      <c r="B1965" s="10">
        <f>VLOOKUP(A1965,'Datos generales'!A:B,2,0)</f>
        <v>44941.657638888893</v>
      </c>
      <c r="C1965" s="12">
        <f>VLOOKUP(A1965,'Datos generales'!A:H,8,0)</f>
        <v>8540.4499999999989</v>
      </c>
      <c r="D1965" s="12" t="str">
        <f t="shared" si="60"/>
        <v>enero</v>
      </c>
      <c r="E1965" s="33">
        <f t="shared" si="61"/>
        <v>2023</v>
      </c>
    </row>
    <row r="1966" spans="1:5" x14ac:dyDescent="0.25">
      <c r="A1966" t="s">
        <v>176</v>
      </c>
      <c r="B1966" s="10">
        <f>VLOOKUP(A1966,'Datos generales'!A:B,2,0)</f>
        <v>45238.718055555553</v>
      </c>
      <c r="C1966" s="12">
        <f>VLOOKUP(A1966,'Datos generales'!A:H,8,0)</f>
        <v>1378.2</v>
      </c>
      <c r="D1966" s="12" t="str">
        <f t="shared" si="60"/>
        <v>noviembre</v>
      </c>
      <c r="E1966" s="33">
        <f t="shared" si="61"/>
        <v>2023</v>
      </c>
    </row>
    <row r="1967" spans="1:5" x14ac:dyDescent="0.25">
      <c r="A1967" t="s">
        <v>177</v>
      </c>
      <c r="B1967" s="10">
        <f>VLOOKUP(A1967,'Datos generales'!A:B,2,0)</f>
        <v>44973.59652777778</v>
      </c>
      <c r="C1967" s="12">
        <f>VLOOKUP(A1967,'Datos generales'!A:H,8,0)</f>
        <v>1578.33</v>
      </c>
      <c r="D1967" s="12" t="str">
        <f t="shared" si="60"/>
        <v>febrero</v>
      </c>
      <c r="E1967" s="33">
        <f t="shared" si="61"/>
        <v>2023</v>
      </c>
    </row>
    <row r="1968" spans="1:5" x14ac:dyDescent="0.25">
      <c r="A1968" t="s">
        <v>178</v>
      </c>
      <c r="B1968" s="10">
        <f>VLOOKUP(A1968,'Datos generales'!A:B,2,0)</f>
        <v>45445.690972222219</v>
      </c>
      <c r="C1968" s="12">
        <f>VLOOKUP(A1968,'Datos generales'!A:H,8,0)</f>
        <v>8011.9500000000007</v>
      </c>
      <c r="D1968" s="12" t="str">
        <f t="shared" si="60"/>
        <v>junio</v>
      </c>
      <c r="E1968" s="33">
        <f t="shared" si="61"/>
        <v>2024</v>
      </c>
    </row>
    <row r="1969" spans="1:5" x14ac:dyDescent="0.25">
      <c r="A1969" t="s">
        <v>179</v>
      </c>
      <c r="B1969" s="10">
        <f>VLOOKUP(A1969,'Datos generales'!A:B,2,0)</f>
        <v>45035.472916666673</v>
      </c>
      <c r="C1969" s="12">
        <f>VLOOKUP(A1969,'Datos generales'!A:H,8,0)</f>
        <v>1429.1</v>
      </c>
      <c r="D1969" s="12" t="str">
        <f t="shared" si="60"/>
        <v>abril</v>
      </c>
      <c r="E1969" s="33">
        <f t="shared" si="61"/>
        <v>2023</v>
      </c>
    </row>
    <row r="1970" spans="1:5" x14ac:dyDescent="0.25">
      <c r="A1970" t="s">
        <v>180</v>
      </c>
      <c r="B1970" s="10">
        <f>VLOOKUP(A1970,'Datos generales'!A:B,2,0)</f>
        <v>45836.104166666657</v>
      </c>
      <c r="C1970" s="12">
        <f>VLOOKUP(A1970,'Datos generales'!A:H,8,0)</f>
        <v>281.08</v>
      </c>
      <c r="D1970" s="12" t="str">
        <f t="shared" si="60"/>
        <v>junio</v>
      </c>
      <c r="E1970" s="33">
        <f t="shared" si="61"/>
        <v>2025</v>
      </c>
    </row>
    <row r="1971" spans="1:5" x14ac:dyDescent="0.25">
      <c r="A1971" t="s">
        <v>181</v>
      </c>
      <c r="B1971" s="10">
        <f>VLOOKUP(A1971,'Datos generales'!A:B,2,0)</f>
        <v>45584.553472222222</v>
      </c>
      <c r="C1971" s="12">
        <f>VLOOKUP(A1971,'Datos generales'!A:H,8,0)</f>
        <v>1434.35</v>
      </c>
      <c r="D1971" s="12" t="str">
        <f t="shared" si="60"/>
        <v>octubre</v>
      </c>
      <c r="E1971" s="33">
        <f t="shared" si="61"/>
        <v>2024</v>
      </c>
    </row>
    <row r="1972" spans="1:5" x14ac:dyDescent="0.25">
      <c r="A1972" t="s">
        <v>182</v>
      </c>
      <c r="B1972" s="10">
        <f>VLOOKUP(A1972,'Datos generales'!A:B,2,0)</f>
        <v>45338.585416666669</v>
      </c>
      <c r="C1972" s="12">
        <f>VLOOKUP(A1972,'Datos generales'!A:H,8,0)</f>
        <v>9489.85</v>
      </c>
      <c r="D1972" s="12" t="str">
        <f t="shared" si="60"/>
        <v>febrero</v>
      </c>
      <c r="E1972" s="33">
        <f t="shared" si="61"/>
        <v>2024</v>
      </c>
    </row>
    <row r="1973" spans="1:5" x14ac:dyDescent="0.25">
      <c r="A1973" t="s">
        <v>183</v>
      </c>
      <c r="B1973" s="10">
        <f>VLOOKUP(A1973,'Datos generales'!A:B,2,0)</f>
        <v>45625.480555555558</v>
      </c>
      <c r="C1973" s="12">
        <f>VLOOKUP(A1973,'Datos generales'!A:H,8,0)</f>
        <v>1175.42</v>
      </c>
      <c r="D1973" s="12" t="str">
        <f t="shared" si="60"/>
        <v>noviembre</v>
      </c>
      <c r="E1973" s="33">
        <f t="shared" si="61"/>
        <v>2024</v>
      </c>
    </row>
    <row r="1974" spans="1:5" x14ac:dyDescent="0.25">
      <c r="A1974" t="s">
        <v>184</v>
      </c>
      <c r="B1974" s="10">
        <f>VLOOKUP(A1974,'Datos generales'!A:B,2,0)</f>
        <v>45291</v>
      </c>
      <c r="C1974" s="12">
        <f>VLOOKUP(A1974,'Datos generales'!A:H,8,0)</f>
        <v>3580.52</v>
      </c>
      <c r="D1974" s="12" t="str">
        <f t="shared" si="60"/>
        <v>diciembre</v>
      </c>
      <c r="E1974" s="33">
        <f t="shared" si="61"/>
        <v>2023</v>
      </c>
    </row>
    <row r="1975" spans="1:5" x14ac:dyDescent="0.25">
      <c r="A1975" t="s">
        <v>185</v>
      </c>
      <c r="B1975" s="10">
        <f>VLOOKUP(A1975,'Datos generales'!A:B,2,0)</f>
        <v>45548.488194444442</v>
      </c>
      <c r="C1975" s="12">
        <f>VLOOKUP(A1975,'Datos generales'!A:H,8,0)</f>
        <v>4372.0499999999993</v>
      </c>
      <c r="D1975" s="12" t="str">
        <f t="shared" si="60"/>
        <v>septiembre</v>
      </c>
      <c r="E1975" s="33">
        <f t="shared" si="61"/>
        <v>2024</v>
      </c>
    </row>
    <row r="1976" spans="1:5" x14ac:dyDescent="0.25">
      <c r="A1976" t="s">
        <v>186</v>
      </c>
      <c r="B1976" s="10">
        <f>VLOOKUP(A1976,'Datos generales'!A:B,2,0)</f>
        <v>45540.261805555558</v>
      </c>
      <c r="C1976" s="12">
        <f>VLOOKUP(A1976,'Datos generales'!A:H,8,0)</f>
        <v>3249.96</v>
      </c>
      <c r="D1976" s="12" t="str">
        <f t="shared" si="60"/>
        <v>septiembre</v>
      </c>
      <c r="E1976" s="33">
        <f t="shared" si="61"/>
        <v>2024</v>
      </c>
    </row>
    <row r="1977" spans="1:5" x14ac:dyDescent="0.25">
      <c r="A1977" t="s">
        <v>187</v>
      </c>
      <c r="B1977" s="10">
        <f>VLOOKUP(A1977,'Datos generales'!A:B,2,0)</f>
        <v>45783.684027777781</v>
      </c>
      <c r="C1977" s="12">
        <f>VLOOKUP(A1977,'Datos generales'!A:H,8,0)</f>
        <v>4628.13</v>
      </c>
      <c r="D1977" s="12" t="str">
        <f t="shared" si="60"/>
        <v>mayo</v>
      </c>
      <c r="E1977" s="33">
        <f t="shared" si="61"/>
        <v>2025</v>
      </c>
    </row>
    <row r="1978" spans="1:5" x14ac:dyDescent="0.25">
      <c r="A1978" t="s">
        <v>188</v>
      </c>
      <c r="B1978" s="10">
        <f>VLOOKUP(A1978,'Datos generales'!A:B,2,0)</f>
        <v>45692.470138888893</v>
      </c>
      <c r="C1978" s="12">
        <f>VLOOKUP(A1978,'Datos generales'!A:H,8,0)</f>
        <v>3619</v>
      </c>
      <c r="D1978" s="12" t="str">
        <f t="shared" si="60"/>
        <v>febrero</v>
      </c>
      <c r="E1978" s="33">
        <f t="shared" si="61"/>
        <v>2025</v>
      </c>
    </row>
    <row r="1979" spans="1:5" x14ac:dyDescent="0.25">
      <c r="A1979" t="s">
        <v>189</v>
      </c>
      <c r="B1979" s="10">
        <f>VLOOKUP(A1979,'Datos generales'!A:B,2,0)</f>
        <v>45186.410416666673</v>
      </c>
      <c r="C1979" s="12">
        <f>VLOOKUP(A1979,'Datos generales'!A:H,8,0)</f>
        <v>899.85</v>
      </c>
      <c r="D1979" s="12" t="str">
        <f t="shared" si="60"/>
        <v>septiembre</v>
      </c>
      <c r="E1979" s="33">
        <f t="shared" si="61"/>
        <v>2023</v>
      </c>
    </row>
    <row r="1980" spans="1:5" x14ac:dyDescent="0.25">
      <c r="A1980" t="s">
        <v>190</v>
      </c>
      <c r="B1980" s="10">
        <f>VLOOKUP(A1980,'Datos generales'!A:B,2,0)</f>
        <v>45539.616666666669</v>
      </c>
      <c r="C1980" s="12">
        <f>VLOOKUP(A1980,'Datos generales'!A:H,8,0)</f>
        <v>1318.43</v>
      </c>
      <c r="D1980" s="12" t="str">
        <f t="shared" si="60"/>
        <v>septiembre</v>
      </c>
      <c r="E1980" s="33">
        <f t="shared" si="61"/>
        <v>2024</v>
      </c>
    </row>
    <row r="1981" spans="1:5" x14ac:dyDescent="0.25">
      <c r="A1981" t="s">
        <v>191</v>
      </c>
      <c r="B1981" s="10">
        <f>VLOOKUP(A1981,'Datos generales'!A:B,2,0)</f>
        <v>45073.392361111109</v>
      </c>
      <c r="C1981" s="12">
        <f>VLOOKUP(A1981,'Datos generales'!A:H,8,0)</f>
        <v>614.74</v>
      </c>
      <c r="D1981" s="12" t="str">
        <f t="shared" si="60"/>
        <v>mayo</v>
      </c>
      <c r="E1981" s="33">
        <f t="shared" si="61"/>
        <v>2023</v>
      </c>
    </row>
    <row r="1982" spans="1:5" x14ac:dyDescent="0.25">
      <c r="A1982" t="s">
        <v>192</v>
      </c>
      <c r="B1982" s="10">
        <f>VLOOKUP(A1982,'Datos generales'!A:B,2,0)</f>
        <v>45287.277777777781</v>
      </c>
      <c r="C1982" s="12">
        <f>VLOOKUP(A1982,'Datos generales'!A:H,8,0)</f>
        <v>1364.97</v>
      </c>
      <c r="D1982" s="12" t="str">
        <f t="shared" si="60"/>
        <v>diciembre</v>
      </c>
      <c r="E1982" s="33">
        <f t="shared" si="61"/>
        <v>2023</v>
      </c>
    </row>
    <row r="1983" spans="1:5" x14ac:dyDescent="0.25">
      <c r="A1983" t="s">
        <v>193</v>
      </c>
      <c r="B1983" s="10">
        <f>VLOOKUP(A1983,'Datos generales'!A:B,2,0)</f>
        <v>45398.678472222222</v>
      </c>
      <c r="C1983" s="12">
        <f>VLOOKUP(A1983,'Datos generales'!A:H,8,0)</f>
        <v>732.68999999999994</v>
      </c>
      <c r="D1983" s="12" t="str">
        <f t="shared" si="60"/>
        <v>abril</v>
      </c>
      <c r="E1983" s="33">
        <f t="shared" si="61"/>
        <v>2024</v>
      </c>
    </row>
    <row r="1984" spans="1:5" x14ac:dyDescent="0.25">
      <c r="A1984" t="s">
        <v>194</v>
      </c>
      <c r="B1984" s="10">
        <f>VLOOKUP(A1984,'Datos generales'!A:B,2,0)</f>
        <v>44949.395833333343</v>
      </c>
      <c r="C1984" s="12">
        <f>VLOOKUP(A1984,'Datos generales'!A:H,8,0)</f>
        <v>736.92</v>
      </c>
      <c r="D1984" s="12" t="str">
        <f t="shared" si="60"/>
        <v>enero</v>
      </c>
      <c r="E1984" s="33">
        <f t="shared" si="61"/>
        <v>2023</v>
      </c>
    </row>
    <row r="1985" spans="1:5" x14ac:dyDescent="0.25">
      <c r="A1985" t="s">
        <v>195</v>
      </c>
      <c r="B1985" s="10">
        <f>VLOOKUP(A1985,'Datos generales'!A:B,2,0)</f>
        <v>45560.538194444453</v>
      </c>
      <c r="C1985" s="12">
        <f>VLOOKUP(A1985,'Datos generales'!A:H,8,0)</f>
        <v>1501.34</v>
      </c>
      <c r="D1985" s="12" t="str">
        <f t="shared" si="60"/>
        <v>septiembre</v>
      </c>
      <c r="E1985" s="33">
        <f t="shared" si="61"/>
        <v>2024</v>
      </c>
    </row>
    <row r="1986" spans="1:5" x14ac:dyDescent="0.25">
      <c r="A1986" t="s">
        <v>196</v>
      </c>
      <c r="B1986" s="10">
        <f>VLOOKUP(A1986,'Datos generales'!A:B,2,0)</f>
        <v>45636.231249999997</v>
      </c>
      <c r="C1986" s="12">
        <f>VLOOKUP(A1986,'Datos generales'!A:H,8,0)</f>
        <v>3980.72</v>
      </c>
      <c r="D1986" s="12" t="str">
        <f t="shared" si="60"/>
        <v>diciembre</v>
      </c>
      <c r="E1986" s="33">
        <f t="shared" si="61"/>
        <v>2024</v>
      </c>
    </row>
    <row r="1987" spans="1:5" x14ac:dyDescent="0.25">
      <c r="A1987" t="s">
        <v>197</v>
      </c>
      <c r="B1987" s="10">
        <f>VLOOKUP(A1987,'Datos generales'!A:B,2,0)</f>
        <v>45218.252083333333</v>
      </c>
      <c r="C1987" s="12">
        <f>VLOOKUP(A1987,'Datos generales'!A:H,8,0)</f>
        <v>3669.44</v>
      </c>
      <c r="D1987" s="12" t="str">
        <f t="shared" ref="D1987:D2001" si="62">TEXT(B1987,"mmmm")</f>
        <v>octubre</v>
      </c>
      <c r="E1987" s="33">
        <f t="shared" ref="E1987:E2001" si="63">YEAR(B1987)</f>
        <v>2023</v>
      </c>
    </row>
    <row r="1988" spans="1:5" x14ac:dyDescent="0.25">
      <c r="A1988" t="s">
        <v>198</v>
      </c>
      <c r="B1988" s="10">
        <f>VLOOKUP(A1988,'Datos generales'!A:B,2,0)</f>
        <v>45615.827777777777</v>
      </c>
      <c r="C1988" s="12">
        <f>VLOOKUP(A1988,'Datos generales'!A:H,8,0)</f>
        <v>3884.62</v>
      </c>
      <c r="D1988" s="12" t="str">
        <f t="shared" si="62"/>
        <v>noviembre</v>
      </c>
      <c r="E1988" s="33">
        <f t="shared" si="63"/>
        <v>2024</v>
      </c>
    </row>
    <row r="1989" spans="1:5" x14ac:dyDescent="0.25">
      <c r="A1989" t="s">
        <v>199</v>
      </c>
      <c r="B1989" s="10">
        <f>VLOOKUP(A1989,'Datos generales'!A:B,2,0)</f>
        <v>45755.705555555563</v>
      </c>
      <c r="C1989" s="12">
        <f>VLOOKUP(A1989,'Datos generales'!A:H,8,0)</f>
        <v>3076.71</v>
      </c>
      <c r="D1989" s="12" t="str">
        <f t="shared" si="62"/>
        <v>abril</v>
      </c>
      <c r="E1989" s="33">
        <f t="shared" si="63"/>
        <v>2025</v>
      </c>
    </row>
    <row r="1990" spans="1:5" x14ac:dyDescent="0.25">
      <c r="A1990" t="s">
        <v>200</v>
      </c>
      <c r="B1990" s="10">
        <f>VLOOKUP(A1990,'Datos generales'!A:B,2,0)</f>
        <v>44962.009722222218</v>
      </c>
      <c r="C1990" s="12">
        <f>VLOOKUP(A1990,'Datos generales'!A:H,8,0)</f>
        <v>2220.7600000000002</v>
      </c>
      <c r="D1990" s="12" t="str">
        <f t="shared" si="62"/>
        <v>febrero</v>
      </c>
      <c r="E1990" s="33">
        <f t="shared" si="63"/>
        <v>2023</v>
      </c>
    </row>
    <row r="1991" spans="1:5" x14ac:dyDescent="0.25">
      <c r="A1991" t="s">
        <v>201</v>
      </c>
      <c r="B1991" s="10">
        <f>VLOOKUP(A1991,'Datos generales'!A:B,2,0)</f>
        <v>45194.675000000003</v>
      </c>
      <c r="C1991" s="12">
        <f>VLOOKUP(A1991,'Datos generales'!A:H,8,0)</f>
        <v>3754.1</v>
      </c>
      <c r="D1991" s="12" t="str">
        <f t="shared" si="62"/>
        <v>septiembre</v>
      </c>
      <c r="E1991" s="33">
        <f t="shared" si="63"/>
        <v>2023</v>
      </c>
    </row>
    <row r="1992" spans="1:5" x14ac:dyDescent="0.25">
      <c r="A1992" t="s">
        <v>202</v>
      </c>
      <c r="B1992" s="10">
        <f>VLOOKUP(A1992,'Datos generales'!A:B,2,0)</f>
        <v>45818.179861111108</v>
      </c>
      <c r="C1992" s="12">
        <f>VLOOKUP(A1992,'Datos generales'!A:H,8,0)</f>
        <v>3219.8</v>
      </c>
      <c r="D1992" s="12" t="str">
        <f t="shared" si="62"/>
        <v>junio</v>
      </c>
      <c r="E1992" s="33">
        <f t="shared" si="63"/>
        <v>2025</v>
      </c>
    </row>
    <row r="1993" spans="1:5" x14ac:dyDescent="0.25">
      <c r="A1993" t="s">
        <v>203</v>
      </c>
      <c r="B1993" s="10">
        <f>VLOOKUP(A1993,'Datos generales'!A:B,2,0)</f>
        <v>45755.011111111111</v>
      </c>
      <c r="C1993" s="12">
        <f>VLOOKUP(A1993,'Datos generales'!A:H,8,0)</f>
        <v>83.67</v>
      </c>
      <c r="D1993" s="12" t="str">
        <f t="shared" si="62"/>
        <v>abril</v>
      </c>
      <c r="E1993" s="33">
        <f t="shared" si="63"/>
        <v>2025</v>
      </c>
    </row>
    <row r="1994" spans="1:5" x14ac:dyDescent="0.25">
      <c r="A1994" t="s">
        <v>204</v>
      </c>
      <c r="B1994" s="10">
        <f>VLOOKUP(A1994,'Datos generales'!A:B,2,0)</f>
        <v>45862.584722222222</v>
      </c>
      <c r="C1994" s="12">
        <f>VLOOKUP(A1994,'Datos generales'!A:H,8,0)</f>
        <v>1700.54</v>
      </c>
      <c r="D1994" s="12" t="str">
        <f t="shared" si="62"/>
        <v>julio</v>
      </c>
      <c r="E1994" s="33">
        <f t="shared" si="63"/>
        <v>2025</v>
      </c>
    </row>
    <row r="1995" spans="1:5" x14ac:dyDescent="0.25">
      <c r="A1995" t="s">
        <v>205</v>
      </c>
      <c r="B1995" s="10">
        <f>VLOOKUP(A1995,'Datos generales'!A:B,2,0)</f>
        <v>45802.370833333327</v>
      </c>
      <c r="C1995" s="12">
        <f>VLOOKUP(A1995,'Datos generales'!A:H,8,0)</f>
        <v>1420.2</v>
      </c>
      <c r="D1995" s="12" t="str">
        <f t="shared" si="62"/>
        <v>mayo</v>
      </c>
      <c r="E1995" s="33">
        <f t="shared" si="63"/>
        <v>2025</v>
      </c>
    </row>
    <row r="1996" spans="1:5" x14ac:dyDescent="0.25">
      <c r="A1996" t="s">
        <v>206</v>
      </c>
      <c r="B1996" s="10">
        <f>VLOOKUP(A1996,'Datos generales'!A:B,2,0)</f>
        <v>45178.038888888892</v>
      </c>
      <c r="C1996" s="12">
        <f>VLOOKUP(A1996,'Datos generales'!A:H,8,0)</f>
        <v>521.32000000000005</v>
      </c>
      <c r="D1996" s="12" t="str">
        <f t="shared" si="62"/>
        <v>septiembre</v>
      </c>
      <c r="E1996" s="33">
        <f t="shared" si="63"/>
        <v>2023</v>
      </c>
    </row>
    <row r="1997" spans="1:5" x14ac:dyDescent="0.25">
      <c r="A1997" t="s">
        <v>207</v>
      </c>
      <c r="B1997" s="10">
        <f>VLOOKUP(A1997,'Datos generales'!A:B,2,0)</f>
        <v>45748.34097222222</v>
      </c>
      <c r="C1997" s="12">
        <f>VLOOKUP(A1997,'Datos generales'!A:H,8,0)</f>
        <v>1067.6400000000001</v>
      </c>
      <c r="D1997" s="12" t="str">
        <f t="shared" si="62"/>
        <v>abril</v>
      </c>
      <c r="E1997" s="33">
        <f t="shared" si="63"/>
        <v>2025</v>
      </c>
    </row>
    <row r="1998" spans="1:5" x14ac:dyDescent="0.25">
      <c r="A1998" t="s">
        <v>208</v>
      </c>
      <c r="B1998" s="10">
        <f>VLOOKUP(A1998,'Datos generales'!A:B,2,0)</f>
        <v>45055.556250000001</v>
      </c>
      <c r="C1998" s="12">
        <f>VLOOKUP(A1998,'Datos generales'!A:H,8,0)</f>
        <v>1903.64</v>
      </c>
      <c r="D1998" s="12" t="str">
        <f t="shared" si="62"/>
        <v>mayo</v>
      </c>
      <c r="E1998" s="33">
        <f t="shared" si="63"/>
        <v>2023</v>
      </c>
    </row>
    <row r="1999" spans="1:5" x14ac:dyDescent="0.25">
      <c r="A1999" t="s">
        <v>209</v>
      </c>
      <c r="B1999" s="10">
        <f>VLOOKUP(A1999,'Datos generales'!A:B,2,0)</f>
        <v>44958.773611111108</v>
      </c>
      <c r="C1999" s="12">
        <f>VLOOKUP(A1999,'Datos generales'!A:H,8,0)</f>
        <v>2920.32</v>
      </c>
      <c r="D1999" s="12" t="str">
        <f t="shared" si="62"/>
        <v>febrero</v>
      </c>
      <c r="E1999" s="33">
        <f t="shared" si="63"/>
        <v>2023</v>
      </c>
    </row>
    <row r="2000" spans="1:5" x14ac:dyDescent="0.25">
      <c r="A2000" t="s">
        <v>210</v>
      </c>
      <c r="B2000" s="10">
        <f>VLOOKUP(A2000,'Datos generales'!A:B,2,0)</f>
        <v>45816.563888888893</v>
      </c>
      <c r="C2000" s="12">
        <f>VLOOKUP(A2000,'Datos generales'!A:H,8,0)</f>
        <v>3388</v>
      </c>
      <c r="D2000" s="12" t="str">
        <f t="shared" si="62"/>
        <v>junio</v>
      </c>
      <c r="E2000" s="33">
        <f t="shared" si="63"/>
        <v>2025</v>
      </c>
    </row>
    <row r="2001" spans="1:5" x14ac:dyDescent="0.25">
      <c r="A2001" t="s">
        <v>211</v>
      </c>
      <c r="B2001" s="10">
        <f>VLOOKUP(A2001,'Datos generales'!A:B,2,0)</f>
        <v>45089.396527777782</v>
      </c>
      <c r="C2001" s="12">
        <f>VLOOKUP(A2001,'Datos generales'!A:H,8,0)</f>
        <v>2486.6799999999998</v>
      </c>
      <c r="D2001" s="12" t="str">
        <f t="shared" si="62"/>
        <v>junio</v>
      </c>
      <c r="E2001" s="33">
        <f t="shared" si="63"/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E95F-79B9-4D09-B2DB-EF12FE717864}">
  <sheetPr>
    <tabColor theme="6" tint="0.39997558519241921"/>
  </sheetPr>
  <dimension ref="A1:G2001"/>
  <sheetViews>
    <sheetView workbookViewId="0">
      <selection activeCell="D24" sqref="D24"/>
    </sheetView>
  </sheetViews>
  <sheetFormatPr baseColWidth="10" defaultRowHeight="15" x14ac:dyDescent="0.25"/>
  <cols>
    <col min="1" max="1" width="12.7109375" customWidth="1"/>
    <col min="2" max="2" width="11.85546875" style="5" customWidth="1"/>
    <col min="3" max="3" width="13.7109375" style="5" customWidth="1"/>
    <col min="4" max="4" width="16.42578125" style="5" customWidth="1"/>
    <col min="5" max="5" width="18.42578125" style="5" customWidth="1"/>
    <col min="6" max="6" width="14" style="5" customWidth="1"/>
    <col min="7" max="7" width="11.42578125" style="4"/>
  </cols>
  <sheetData>
    <row r="1" spans="1:7" x14ac:dyDescent="0.25">
      <c r="A1" s="1" t="s">
        <v>0</v>
      </c>
      <c r="B1" s="3" t="s">
        <v>4</v>
      </c>
      <c r="C1" s="3" t="s">
        <v>3</v>
      </c>
      <c r="D1" s="3" t="s">
        <v>5</v>
      </c>
      <c r="E1" s="3" t="s">
        <v>11</v>
      </c>
      <c r="F1" s="3" t="s">
        <v>6</v>
      </c>
      <c r="G1" s="34" t="s">
        <v>8</v>
      </c>
    </row>
    <row r="2" spans="1:7" x14ac:dyDescent="0.25">
      <c r="A2" t="s">
        <v>12</v>
      </c>
      <c r="B2" s="4">
        <f>VLOOKUP(A2,'Datos generales'!A:L,5,0)</f>
        <v>5</v>
      </c>
      <c r="C2" s="4" t="str">
        <f>VLOOKUP(A2,'Datos generales'!A:L,4,0)</f>
        <v>Monitor</v>
      </c>
      <c r="D2" s="4">
        <f>VLOOKUP(A2,'Datos generales'!A:L,6,0)</f>
        <v>1497.24</v>
      </c>
      <c r="E2" s="4">
        <f>VLOOKUP(A2,'Datos generales'!A:L,12,0)</f>
        <v>1497.24</v>
      </c>
      <c r="F2" s="4" t="str">
        <f>VLOOKUP(A2,'Datos generales'!A:L,7,0)</f>
        <v>Electrónica</v>
      </c>
      <c r="G2" s="4">
        <v>2023</v>
      </c>
    </row>
    <row r="3" spans="1:7" x14ac:dyDescent="0.25">
      <c r="A3" t="s">
        <v>13</v>
      </c>
      <c r="B3" s="4">
        <f>VLOOKUP(A3,'Datos generales'!A:L,5,0)</f>
        <v>1</v>
      </c>
      <c r="C3" s="4" t="str">
        <f>VLOOKUP(A3,'Datos generales'!A:L,4,0)</f>
        <v>Monitor</v>
      </c>
      <c r="D3" s="4">
        <f>VLOOKUP(A3,'Datos generales'!A:L,6,0)</f>
        <v>1687.54</v>
      </c>
      <c r="E3" s="4">
        <f>VLOOKUP(A3,'Datos generales'!A:L,12,0)</f>
        <v>1687.54</v>
      </c>
      <c r="F3" s="4" t="str">
        <f>VLOOKUP(A3,'Datos generales'!A:L,7,0)</f>
        <v>Electrónica</v>
      </c>
      <c r="G3" s="4">
        <v>2023</v>
      </c>
    </row>
    <row r="4" spans="1:7" x14ac:dyDescent="0.25">
      <c r="A4" t="s">
        <v>14</v>
      </c>
      <c r="B4" s="4">
        <f>VLOOKUP(A4,'Datos generales'!A:L,5,0)</f>
        <v>3</v>
      </c>
      <c r="C4" s="4" t="str">
        <f>VLOOKUP(A4,'Datos generales'!A:L,4,0)</f>
        <v>Teclado</v>
      </c>
      <c r="D4" s="4">
        <f>VLOOKUP(A4,'Datos generales'!A:L,6,0)</f>
        <v>768.8</v>
      </c>
      <c r="E4" s="4">
        <f>VLOOKUP(A4,'Datos generales'!A:L,12,0)</f>
        <v>768.79999999999984</v>
      </c>
      <c r="F4" s="4" t="str">
        <f>VLOOKUP(A4,'Datos generales'!A:L,7,0)</f>
        <v>Accesorios</v>
      </c>
      <c r="G4" s="4">
        <v>2024</v>
      </c>
    </row>
    <row r="5" spans="1:7" x14ac:dyDescent="0.25">
      <c r="A5" t="s">
        <v>15</v>
      </c>
      <c r="B5" s="4">
        <f>VLOOKUP(A5,'Datos generales'!A:L,5,0)</f>
        <v>1</v>
      </c>
      <c r="C5" s="4" t="str">
        <f>VLOOKUP(A5,'Datos generales'!A:L,4,0)</f>
        <v>Silla Gamer</v>
      </c>
      <c r="D5" s="4">
        <f>VLOOKUP(A5,'Datos generales'!A:L,6,0)</f>
        <v>1532.67</v>
      </c>
      <c r="E5" s="4">
        <f>VLOOKUP(A5,'Datos generales'!A:L,12,0)</f>
        <v>1532.67</v>
      </c>
      <c r="F5" s="4" t="str">
        <f>VLOOKUP(A5,'Datos generales'!A:L,7,0)</f>
        <v>Muebles</v>
      </c>
      <c r="G5" s="4">
        <v>2025</v>
      </c>
    </row>
    <row r="6" spans="1:7" x14ac:dyDescent="0.25">
      <c r="A6" t="s">
        <v>16</v>
      </c>
      <c r="B6" s="4">
        <f>VLOOKUP(A6,'Datos generales'!A:L,5,0)</f>
        <v>3</v>
      </c>
      <c r="C6" s="4" t="str">
        <f>VLOOKUP(A6,'Datos generales'!A:L,4,0)</f>
        <v>Silla Gamer</v>
      </c>
      <c r="D6" s="4">
        <f>VLOOKUP(A6,'Datos generales'!A:L,6,0)</f>
        <v>1709.47</v>
      </c>
      <c r="E6" s="4">
        <f>VLOOKUP(A6,'Datos generales'!A:L,12,0)</f>
        <v>1709.47</v>
      </c>
      <c r="F6" s="4" t="str">
        <f>VLOOKUP(A6,'Datos generales'!A:L,7,0)</f>
        <v>Muebles</v>
      </c>
      <c r="G6" s="4">
        <v>2025</v>
      </c>
    </row>
    <row r="7" spans="1:7" x14ac:dyDescent="0.25">
      <c r="A7" t="s">
        <v>17</v>
      </c>
      <c r="B7" s="4">
        <f>VLOOKUP(A7,'Datos generales'!A:L,5,0)</f>
        <v>3</v>
      </c>
      <c r="C7" s="4" t="str">
        <f>VLOOKUP(A7,'Datos generales'!A:L,4,0)</f>
        <v>Impresora</v>
      </c>
      <c r="D7" s="4">
        <f>VLOOKUP(A7,'Datos generales'!A:L,6,0)</f>
        <v>297.54000000000002</v>
      </c>
      <c r="E7" s="4">
        <f>VLOOKUP(A7,'Datos generales'!A:L,12,0)</f>
        <v>297.54000000000002</v>
      </c>
      <c r="F7" s="4" t="str">
        <f>VLOOKUP(A7,'Datos generales'!A:L,7,0)</f>
        <v>Electrónica</v>
      </c>
      <c r="G7" s="4">
        <v>2023</v>
      </c>
    </row>
    <row r="8" spans="1:7" x14ac:dyDescent="0.25">
      <c r="A8" t="s">
        <v>18</v>
      </c>
      <c r="B8" s="4">
        <f>VLOOKUP(A8,'Datos generales'!A:L,5,0)</f>
        <v>4</v>
      </c>
      <c r="C8" s="4" t="str">
        <f>VLOOKUP(A8,'Datos generales'!A:L,4,0)</f>
        <v>Webcam</v>
      </c>
      <c r="D8" s="4">
        <f>VLOOKUP(A8,'Datos generales'!A:L,6,0)</f>
        <v>1546.65</v>
      </c>
      <c r="E8" s="4">
        <f>VLOOKUP(A8,'Datos generales'!A:L,12,0)</f>
        <v>1546.65</v>
      </c>
      <c r="F8" s="4" t="str">
        <f>VLOOKUP(A8,'Datos generales'!A:L,7,0)</f>
        <v>Accesorios</v>
      </c>
      <c r="G8" s="4">
        <v>2025</v>
      </c>
    </row>
    <row r="9" spans="1:7" x14ac:dyDescent="0.25">
      <c r="A9" t="s">
        <v>19</v>
      </c>
      <c r="B9" s="4">
        <f>VLOOKUP(A9,'Datos generales'!A:L,5,0)</f>
        <v>1</v>
      </c>
      <c r="C9" s="4" t="str">
        <f>VLOOKUP(A9,'Datos generales'!A:L,4,0)</f>
        <v>Monitor</v>
      </c>
      <c r="D9" s="4">
        <f>VLOOKUP(A9,'Datos generales'!A:L,6,0)</f>
        <v>1575.18</v>
      </c>
      <c r="E9" s="4">
        <f>VLOOKUP(A9,'Datos generales'!A:L,12,0)</f>
        <v>1575.18</v>
      </c>
      <c r="F9" s="4" t="str">
        <f>VLOOKUP(A9,'Datos generales'!A:L,7,0)</f>
        <v>Electrónica</v>
      </c>
      <c r="G9" s="4">
        <v>2025</v>
      </c>
    </row>
    <row r="10" spans="1:7" x14ac:dyDescent="0.25">
      <c r="A10" t="s">
        <v>20</v>
      </c>
      <c r="B10" s="4">
        <f>VLOOKUP(A10,'Datos generales'!A:L,5,0)</f>
        <v>5</v>
      </c>
      <c r="C10" s="4" t="str">
        <f>VLOOKUP(A10,'Datos generales'!A:L,4,0)</f>
        <v>Laptop</v>
      </c>
      <c r="D10" s="4">
        <f>VLOOKUP(A10,'Datos generales'!A:L,6,0)</f>
        <v>1815.86</v>
      </c>
      <c r="E10" s="4">
        <f>VLOOKUP(A10,'Datos generales'!A:L,12,0)</f>
        <v>1815.86</v>
      </c>
      <c r="F10" s="4" t="str">
        <f>VLOOKUP(A10,'Datos generales'!A:L,7,0)</f>
        <v>Electrónica</v>
      </c>
      <c r="G10" s="4">
        <v>2024</v>
      </c>
    </row>
    <row r="11" spans="1:7" x14ac:dyDescent="0.25">
      <c r="A11" t="s">
        <v>21</v>
      </c>
      <c r="B11" s="4">
        <f>VLOOKUP(A11,'Datos generales'!A:L,5,0)</f>
        <v>1</v>
      </c>
      <c r="C11" s="4" t="str">
        <f>VLOOKUP(A11,'Datos generales'!A:L,4,0)</f>
        <v>Monitor</v>
      </c>
      <c r="D11" s="4">
        <f>VLOOKUP(A11,'Datos generales'!A:L,6,0)</f>
        <v>564.11</v>
      </c>
      <c r="E11" s="4">
        <f>VLOOKUP(A11,'Datos generales'!A:L,12,0)</f>
        <v>564.11</v>
      </c>
      <c r="F11" s="4" t="str">
        <f>VLOOKUP(A11,'Datos generales'!A:L,7,0)</f>
        <v>Electrónica</v>
      </c>
      <c r="G11" s="4">
        <v>2024</v>
      </c>
    </row>
    <row r="12" spans="1:7" x14ac:dyDescent="0.25">
      <c r="A12" t="s">
        <v>22</v>
      </c>
      <c r="B12" s="4">
        <f>VLOOKUP(A12,'Datos generales'!A:L,5,0)</f>
        <v>1</v>
      </c>
      <c r="C12" s="4" t="str">
        <f>VLOOKUP(A12,'Datos generales'!A:L,4,0)</f>
        <v>Laptop</v>
      </c>
      <c r="D12" s="4">
        <f>VLOOKUP(A12,'Datos generales'!A:L,6,0)</f>
        <v>454.9</v>
      </c>
      <c r="E12" s="4">
        <f>VLOOKUP(A12,'Datos generales'!A:L,12,0)</f>
        <v>454.9</v>
      </c>
      <c r="F12" s="4" t="str">
        <f>VLOOKUP(A12,'Datos generales'!A:L,7,0)</f>
        <v>Electrónica</v>
      </c>
      <c r="G12" s="4">
        <v>2024</v>
      </c>
    </row>
    <row r="13" spans="1:7" x14ac:dyDescent="0.25">
      <c r="A13" t="s">
        <v>23</v>
      </c>
      <c r="B13" s="4">
        <f>VLOOKUP(A13,'Datos generales'!A:L,5,0)</f>
        <v>3</v>
      </c>
      <c r="C13" s="4" t="str">
        <f>VLOOKUP(A13,'Datos generales'!A:L,4,0)</f>
        <v>Mouse</v>
      </c>
      <c r="D13" s="4">
        <f>VLOOKUP(A13,'Datos generales'!A:L,6,0)</f>
        <v>1277.51</v>
      </c>
      <c r="E13" s="4">
        <f>VLOOKUP(A13,'Datos generales'!A:L,12,0)</f>
        <v>1277.51</v>
      </c>
      <c r="F13" s="4" t="str">
        <f>VLOOKUP(A13,'Datos generales'!A:L,7,0)</f>
        <v>Accesorios</v>
      </c>
      <c r="G13" s="4">
        <v>2024</v>
      </c>
    </row>
    <row r="14" spans="1:7" x14ac:dyDescent="0.25">
      <c r="A14" t="s">
        <v>24</v>
      </c>
      <c r="B14" s="4">
        <f>VLOOKUP(A14,'Datos generales'!A:L,5,0)</f>
        <v>2</v>
      </c>
      <c r="C14" s="4" t="str">
        <f>VLOOKUP(A14,'Datos generales'!A:L,4,0)</f>
        <v>Silla Gamer</v>
      </c>
      <c r="D14" s="4">
        <f>VLOOKUP(A14,'Datos generales'!A:L,6,0)</f>
        <v>1870.95</v>
      </c>
      <c r="E14" s="4">
        <f>VLOOKUP(A14,'Datos generales'!A:L,12,0)</f>
        <v>1870.95</v>
      </c>
      <c r="F14" s="4" t="str">
        <f>VLOOKUP(A14,'Datos generales'!A:L,7,0)</f>
        <v>Muebles</v>
      </c>
      <c r="G14" s="4">
        <v>2023</v>
      </c>
    </row>
    <row r="15" spans="1:7" x14ac:dyDescent="0.25">
      <c r="A15" t="s">
        <v>25</v>
      </c>
      <c r="B15" s="4">
        <f>VLOOKUP(A15,'Datos generales'!A:L,5,0)</f>
        <v>4</v>
      </c>
      <c r="C15" s="4" t="str">
        <f>VLOOKUP(A15,'Datos generales'!A:L,4,0)</f>
        <v>Monitor</v>
      </c>
      <c r="D15" s="4">
        <f>VLOOKUP(A15,'Datos generales'!A:L,6,0)</f>
        <v>1227.23</v>
      </c>
      <c r="E15" s="4">
        <f>VLOOKUP(A15,'Datos generales'!A:L,12,0)</f>
        <v>1227.23</v>
      </c>
      <c r="F15" s="4" t="str">
        <f>VLOOKUP(A15,'Datos generales'!A:L,7,0)</f>
        <v>Electrónica</v>
      </c>
      <c r="G15" s="4">
        <v>2023</v>
      </c>
    </row>
    <row r="16" spans="1:7" x14ac:dyDescent="0.25">
      <c r="A16" t="s">
        <v>26</v>
      </c>
      <c r="B16" s="4">
        <f>VLOOKUP(A16,'Datos generales'!A:L,5,0)</f>
        <v>1</v>
      </c>
      <c r="C16" s="4" t="str">
        <f>VLOOKUP(A16,'Datos generales'!A:L,4,0)</f>
        <v>Impresora</v>
      </c>
      <c r="D16" s="4">
        <f>VLOOKUP(A16,'Datos generales'!A:L,6,0)</f>
        <v>1329.6</v>
      </c>
      <c r="E16" s="4">
        <f>VLOOKUP(A16,'Datos generales'!A:L,12,0)</f>
        <v>1329.6</v>
      </c>
      <c r="F16" s="4" t="str">
        <f>VLOOKUP(A16,'Datos generales'!A:L,7,0)</f>
        <v>Electrónica</v>
      </c>
      <c r="G16" s="4">
        <v>2024</v>
      </c>
    </row>
    <row r="17" spans="1:7" x14ac:dyDescent="0.25">
      <c r="A17" t="s">
        <v>27</v>
      </c>
      <c r="B17" s="4">
        <f>VLOOKUP(A17,'Datos generales'!A:L,5,0)</f>
        <v>3</v>
      </c>
      <c r="C17" s="4" t="str">
        <f>VLOOKUP(A17,'Datos generales'!A:L,4,0)</f>
        <v>Monitor</v>
      </c>
      <c r="D17" s="4">
        <f>VLOOKUP(A17,'Datos generales'!A:L,6,0)</f>
        <v>1734.12</v>
      </c>
      <c r="E17" s="4">
        <f>VLOOKUP(A17,'Datos generales'!A:L,12,0)</f>
        <v>1734.12</v>
      </c>
      <c r="F17" s="4" t="str">
        <f>VLOOKUP(A17,'Datos generales'!A:L,7,0)</f>
        <v>Electrónica</v>
      </c>
      <c r="G17" s="4">
        <v>2023</v>
      </c>
    </row>
    <row r="18" spans="1:7" x14ac:dyDescent="0.25">
      <c r="A18" t="s">
        <v>28</v>
      </c>
      <c r="B18" s="4">
        <f>VLOOKUP(A18,'Datos generales'!A:L,5,0)</f>
        <v>1</v>
      </c>
      <c r="C18" s="4" t="str">
        <f>VLOOKUP(A18,'Datos generales'!A:L,4,0)</f>
        <v>Monitor</v>
      </c>
      <c r="D18" s="4">
        <f>VLOOKUP(A18,'Datos generales'!A:L,6,0)</f>
        <v>1209.6199999999999</v>
      </c>
      <c r="E18" s="4">
        <f>VLOOKUP(A18,'Datos generales'!A:L,12,0)</f>
        <v>1209.6199999999999</v>
      </c>
      <c r="F18" s="4" t="str">
        <f>VLOOKUP(A18,'Datos generales'!A:L,7,0)</f>
        <v>Electrónica</v>
      </c>
      <c r="G18" s="4">
        <v>2024</v>
      </c>
    </row>
    <row r="19" spans="1:7" x14ac:dyDescent="0.25">
      <c r="A19" t="s">
        <v>29</v>
      </c>
      <c r="B19" s="4">
        <f>VLOOKUP(A19,'Datos generales'!A:L,5,0)</f>
        <v>3</v>
      </c>
      <c r="C19" s="4" t="str">
        <f>VLOOKUP(A19,'Datos generales'!A:L,4,0)</f>
        <v>Mouse</v>
      </c>
      <c r="D19" s="4">
        <f>VLOOKUP(A19,'Datos generales'!A:L,6,0)</f>
        <v>922.33</v>
      </c>
      <c r="E19" s="4">
        <f>VLOOKUP(A19,'Datos generales'!A:L,12,0)</f>
        <v>922.33</v>
      </c>
      <c r="F19" s="4" t="str">
        <f>VLOOKUP(A19,'Datos generales'!A:L,7,0)</f>
        <v>Accesorios</v>
      </c>
      <c r="G19" s="4">
        <v>2024</v>
      </c>
    </row>
    <row r="20" spans="1:7" x14ac:dyDescent="0.25">
      <c r="A20" t="s">
        <v>30</v>
      </c>
      <c r="B20" s="4">
        <f>VLOOKUP(A20,'Datos generales'!A:L,5,0)</f>
        <v>4</v>
      </c>
      <c r="C20" s="4" t="str">
        <f>VLOOKUP(A20,'Datos generales'!A:L,4,0)</f>
        <v>Webcam</v>
      </c>
      <c r="D20" s="4">
        <f>VLOOKUP(A20,'Datos generales'!A:L,6,0)</f>
        <v>54.42</v>
      </c>
      <c r="E20" s="4">
        <f>VLOOKUP(A20,'Datos generales'!A:L,12,0)</f>
        <v>54.42</v>
      </c>
      <c r="F20" s="4" t="str">
        <f>VLOOKUP(A20,'Datos generales'!A:L,7,0)</f>
        <v>Accesorios</v>
      </c>
      <c r="G20" s="4">
        <v>2025</v>
      </c>
    </row>
    <row r="21" spans="1:7" x14ac:dyDescent="0.25">
      <c r="A21" t="s">
        <v>31</v>
      </c>
      <c r="B21" s="4">
        <f>VLOOKUP(A21,'Datos generales'!A:L,5,0)</f>
        <v>2</v>
      </c>
      <c r="C21" s="4" t="str">
        <f>VLOOKUP(A21,'Datos generales'!A:L,4,0)</f>
        <v>Mouse</v>
      </c>
      <c r="D21" s="4">
        <f>VLOOKUP(A21,'Datos generales'!A:L,6,0)</f>
        <v>1567.18</v>
      </c>
      <c r="E21" s="4">
        <f>VLOOKUP(A21,'Datos generales'!A:L,12,0)</f>
        <v>1567.18</v>
      </c>
      <c r="F21" s="4" t="str">
        <f>VLOOKUP(A21,'Datos generales'!A:L,7,0)</f>
        <v>Accesorios</v>
      </c>
      <c r="G21" s="4">
        <v>2023</v>
      </c>
    </row>
    <row r="22" spans="1:7" x14ac:dyDescent="0.25">
      <c r="A22" t="s">
        <v>32</v>
      </c>
      <c r="B22" s="4">
        <f>VLOOKUP(A22,'Datos generales'!A:L,5,0)</f>
        <v>2</v>
      </c>
      <c r="C22" s="4" t="str">
        <f>VLOOKUP(A22,'Datos generales'!A:L,4,0)</f>
        <v>Teclado</v>
      </c>
      <c r="D22" s="4">
        <f>VLOOKUP(A22,'Datos generales'!A:L,6,0)</f>
        <v>519.79999999999995</v>
      </c>
      <c r="E22" s="4">
        <f>VLOOKUP(A22,'Datos generales'!A:L,12,0)</f>
        <v>519.79999999999995</v>
      </c>
      <c r="F22" s="4" t="str">
        <f>VLOOKUP(A22,'Datos generales'!A:L,7,0)</f>
        <v>Accesorios</v>
      </c>
      <c r="G22" s="4">
        <v>2023</v>
      </c>
    </row>
    <row r="23" spans="1:7" x14ac:dyDescent="0.25">
      <c r="A23" t="s">
        <v>33</v>
      </c>
      <c r="B23" s="4">
        <f>VLOOKUP(A23,'Datos generales'!A:L,5,0)</f>
        <v>1</v>
      </c>
      <c r="C23" s="4" t="str">
        <f>VLOOKUP(A23,'Datos generales'!A:L,4,0)</f>
        <v>Silla Gamer</v>
      </c>
      <c r="D23" s="4">
        <f>VLOOKUP(A23,'Datos generales'!A:L,6,0)</f>
        <v>1267.01</v>
      </c>
      <c r="E23" s="4">
        <f>VLOOKUP(A23,'Datos generales'!A:L,12,0)</f>
        <v>1267.01</v>
      </c>
      <c r="F23" s="4" t="str">
        <f>VLOOKUP(A23,'Datos generales'!A:L,7,0)</f>
        <v>Muebles</v>
      </c>
      <c r="G23" s="4">
        <v>2024</v>
      </c>
    </row>
    <row r="24" spans="1:7" x14ac:dyDescent="0.25">
      <c r="A24" t="s">
        <v>34</v>
      </c>
      <c r="B24" s="4">
        <f>VLOOKUP(A24,'Datos generales'!A:L,5,0)</f>
        <v>4</v>
      </c>
      <c r="C24" s="4" t="str">
        <f>VLOOKUP(A24,'Datos generales'!A:L,4,0)</f>
        <v>Monitor</v>
      </c>
      <c r="D24" s="4">
        <f>VLOOKUP(A24,'Datos generales'!A:L,6,0)</f>
        <v>1027.81</v>
      </c>
      <c r="E24" s="4">
        <f>VLOOKUP(A24,'Datos generales'!A:L,12,0)</f>
        <v>1027.81</v>
      </c>
      <c r="F24" s="4" t="str">
        <f>VLOOKUP(A24,'Datos generales'!A:L,7,0)</f>
        <v>Electrónica</v>
      </c>
      <c r="G24" s="4">
        <v>2024</v>
      </c>
    </row>
    <row r="25" spans="1:7" x14ac:dyDescent="0.25">
      <c r="A25" t="s">
        <v>35</v>
      </c>
      <c r="B25" s="4">
        <f>VLOOKUP(A25,'Datos generales'!A:L,5,0)</f>
        <v>3</v>
      </c>
      <c r="C25" s="4" t="str">
        <f>VLOOKUP(A25,'Datos generales'!A:L,4,0)</f>
        <v>Webcam</v>
      </c>
      <c r="D25" s="4">
        <f>VLOOKUP(A25,'Datos generales'!A:L,6,0)</f>
        <v>925.62</v>
      </c>
      <c r="E25" s="4">
        <f>VLOOKUP(A25,'Datos generales'!A:L,12,0)</f>
        <v>925.62</v>
      </c>
      <c r="F25" s="4" t="str">
        <f>VLOOKUP(A25,'Datos generales'!A:L,7,0)</f>
        <v>Accesorios</v>
      </c>
      <c r="G25" s="4">
        <v>2024</v>
      </c>
    </row>
    <row r="26" spans="1:7" x14ac:dyDescent="0.25">
      <c r="A26" t="s">
        <v>36</v>
      </c>
      <c r="B26" s="4">
        <f>VLOOKUP(A26,'Datos generales'!A:L,5,0)</f>
        <v>3</v>
      </c>
      <c r="C26" s="4" t="str">
        <f>VLOOKUP(A26,'Datos generales'!A:L,4,0)</f>
        <v>Monitor</v>
      </c>
      <c r="D26" s="4">
        <f>VLOOKUP(A26,'Datos generales'!A:L,6,0)</f>
        <v>213.71</v>
      </c>
      <c r="E26" s="4">
        <f>VLOOKUP(A26,'Datos generales'!A:L,12,0)</f>
        <v>213.71</v>
      </c>
      <c r="F26" s="4" t="str">
        <f>VLOOKUP(A26,'Datos generales'!A:L,7,0)</f>
        <v>Electrónica</v>
      </c>
      <c r="G26" s="4">
        <v>2025</v>
      </c>
    </row>
    <row r="27" spans="1:7" x14ac:dyDescent="0.25">
      <c r="A27" t="s">
        <v>37</v>
      </c>
      <c r="B27" s="4">
        <f>VLOOKUP(A27,'Datos generales'!A:L,5,0)</f>
        <v>2</v>
      </c>
      <c r="C27" s="4" t="str">
        <f>VLOOKUP(A27,'Datos generales'!A:L,4,0)</f>
        <v>Laptop</v>
      </c>
      <c r="D27" s="4">
        <f>VLOOKUP(A27,'Datos generales'!A:L,6,0)</f>
        <v>1146.75</v>
      </c>
      <c r="E27" s="4">
        <f>VLOOKUP(A27,'Datos generales'!A:L,12,0)</f>
        <v>1146.75</v>
      </c>
      <c r="F27" s="4" t="str">
        <f>VLOOKUP(A27,'Datos generales'!A:L,7,0)</f>
        <v>Electrónica</v>
      </c>
      <c r="G27" s="4">
        <v>2024</v>
      </c>
    </row>
    <row r="28" spans="1:7" x14ac:dyDescent="0.25">
      <c r="A28" t="s">
        <v>38</v>
      </c>
      <c r="B28" s="4">
        <f>VLOOKUP(A28,'Datos generales'!A:L,5,0)</f>
        <v>5</v>
      </c>
      <c r="C28" s="4" t="str">
        <f>VLOOKUP(A28,'Datos generales'!A:L,4,0)</f>
        <v>Laptop</v>
      </c>
      <c r="D28" s="4">
        <f>VLOOKUP(A28,'Datos generales'!A:L,6,0)</f>
        <v>907.28</v>
      </c>
      <c r="E28" s="4">
        <f>VLOOKUP(A28,'Datos generales'!A:L,12,0)</f>
        <v>907.28</v>
      </c>
      <c r="F28" s="4" t="str">
        <f>VLOOKUP(A28,'Datos generales'!A:L,7,0)</f>
        <v>Electrónica</v>
      </c>
      <c r="G28" s="4">
        <v>2023</v>
      </c>
    </row>
    <row r="29" spans="1:7" x14ac:dyDescent="0.25">
      <c r="A29" t="s">
        <v>39</v>
      </c>
      <c r="B29" s="4">
        <f>VLOOKUP(A29,'Datos generales'!A:L,5,0)</f>
        <v>2</v>
      </c>
      <c r="C29" s="4" t="str">
        <f>VLOOKUP(A29,'Datos generales'!A:L,4,0)</f>
        <v>Webcam</v>
      </c>
      <c r="D29" s="4">
        <f>VLOOKUP(A29,'Datos generales'!A:L,6,0)</f>
        <v>1734.44</v>
      </c>
      <c r="E29" s="4">
        <f>VLOOKUP(A29,'Datos generales'!A:L,12,0)</f>
        <v>1734.44</v>
      </c>
      <c r="F29" s="4" t="str">
        <f>VLOOKUP(A29,'Datos generales'!A:L,7,0)</f>
        <v>Accesorios</v>
      </c>
      <c r="G29" s="4">
        <v>2023</v>
      </c>
    </row>
    <row r="30" spans="1:7" x14ac:dyDescent="0.25">
      <c r="A30" t="s">
        <v>40</v>
      </c>
      <c r="B30" s="4">
        <f>VLOOKUP(A30,'Datos generales'!A:L,5,0)</f>
        <v>1</v>
      </c>
      <c r="C30" s="4" t="str">
        <f>VLOOKUP(A30,'Datos generales'!A:L,4,0)</f>
        <v>Teclado</v>
      </c>
      <c r="D30" s="4">
        <f>VLOOKUP(A30,'Datos generales'!A:L,6,0)</f>
        <v>424.35</v>
      </c>
      <c r="E30" s="4">
        <f>VLOOKUP(A30,'Datos generales'!A:L,12,0)</f>
        <v>424.35</v>
      </c>
      <c r="F30" s="4" t="str">
        <f>VLOOKUP(A30,'Datos generales'!A:L,7,0)</f>
        <v>Accesorios</v>
      </c>
      <c r="G30" s="4">
        <v>2024</v>
      </c>
    </row>
    <row r="31" spans="1:7" x14ac:dyDescent="0.25">
      <c r="A31" t="s">
        <v>41</v>
      </c>
      <c r="B31" s="4">
        <f>VLOOKUP(A31,'Datos generales'!A:L,5,0)</f>
        <v>1</v>
      </c>
      <c r="C31" s="4" t="str">
        <f>VLOOKUP(A31,'Datos generales'!A:L,4,0)</f>
        <v>Monitor</v>
      </c>
      <c r="D31" s="4">
        <f>VLOOKUP(A31,'Datos generales'!A:L,6,0)</f>
        <v>252.57</v>
      </c>
      <c r="E31" s="4">
        <f>VLOOKUP(A31,'Datos generales'!A:L,12,0)</f>
        <v>252.57</v>
      </c>
      <c r="F31" s="4" t="str">
        <f>VLOOKUP(A31,'Datos generales'!A:L,7,0)</f>
        <v>Electrónica</v>
      </c>
      <c r="G31" s="4">
        <v>2025</v>
      </c>
    </row>
    <row r="32" spans="1:7" x14ac:dyDescent="0.25">
      <c r="A32" t="s">
        <v>42</v>
      </c>
      <c r="B32" s="4">
        <f>VLOOKUP(A32,'Datos generales'!A:L,5,0)</f>
        <v>3</v>
      </c>
      <c r="C32" s="4" t="str">
        <f>VLOOKUP(A32,'Datos generales'!A:L,4,0)</f>
        <v>Mouse</v>
      </c>
      <c r="D32" s="4">
        <f>VLOOKUP(A32,'Datos generales'!A:L,6,0)</f>
        <v>21.56</v>
      </c>
      <c r="E32" s="4">
        <f>VLOOKUP(A32,'Datos generales'!A:L,12,0)</f>
        <v>21.56</v>
      </c>
      <c r="F32" s="4" t="str">
        <f>VLOOKUP(A32,'Datos generales'!A:L,7,0)</f>
        <v>Accesorios</v>
      </c>
      <c r="G32" s="4">
        <v>2024</v>
      </c>
    </row>
    <row r="33" spans="1:7" x14ac:dyDescent="0.25">
      <c r="A33" t="s">
        <v>43</v>
      </c>
      <c r="B33" s="4">
        <f>VLOOKUP(A33,'Datos generales'!A:L,5,0)</f>
        <v>1</v>
      </c>
      <c r="C33" s="4" t="str">
        <f>VLOOKUP(A33,'Datos generales'!A:L,4,0)</f>
        <v>Silla Gamer</v>
      </c>
      <c r="D33" s="4">
        <f>VLOOKUP(A33,'Datos generales'!A:L,6,0)</f>
        <v>446.81</v>
      </c>
      <c r="E33" s="4">
        <f>VLOOKUP(A33,'Datos generales'!A:L,12,0)</f>
        <v>446.81</v>
      </c>
      <c r="F33" s="4" t="str">
        <f>VLOOKUP(A33,'Datos generales'!A:L,7,0)</f>
        <v>Muebles</v>
      </c>
      <c r="G33" s="4">
        <v>2024</v>
      </c>
    </row>
    <row r="34" spans="1:7" x14ac:dyDescent="0.25">
      <c r="A34" t="s">
        <v>44</v>
      </c>
      <c r="B34" s="4">
        <f>VLOOKUP(A34,'Datos generales'!A:L,5,0)</f>
        <v>2</v>
      </c>
      <c r="C34" s="4" t="str">
        <f>VLOOKUP(A34,'Datos generales'!A:L,4,0)</f>
        <v>Mouse</v>
      </c>
      <c r="D34" s="4">
        <f>VLOOKUP(A34,'Datos generales'!A:L,6,0)</f>
        <v>64.67</v>
      </c>
      <c r="E34" s="4">
        <f>VLOOKUP(A34,'Datos generales'!A:L,12,0)</f>
        <v>64.67</v>
      </c>
      <c r="F34" s="4" t="str">
        <f>VLOOKUP(A34,'Datos generales'!A:L,7,0)</f>
        <v>Accesorios</v>
      </c>
      <c r="G34" s="4">
        <v>2023</v>
      </c>
    </row>
    <row r="35" spans="1:7" x14ac:dyDescent="0.25">
      <c r="A35" t="s">
        <v>45</v>
      </c>
      <c r="B35" s="4">
        <f>VLOOKUP(A35,'Datos generales'!A:L,5,0)</f>
        <v>5</v>
      </c>
      <c r="C35" s="4" t="str">
        <f>VLOOKUP(A35,'Datos generales'!A:L,4,0)</f>
        <v>Webcam</v>
      </c>
      <c r="D35" s="4">
        <f>VLOOKUP(A35,'Datos generales'!A:L,6,0)</f>
        <v>1168.3499999999999</v>
      </c>
      <c r="E35" s="4">
        <f>VLOOKUP(A35,'Datos generales'!A:L,12,0)</f>
        <v>1168.3499999999999</v>
      </c>
      <c r="F35" s="4" t="str">
        <f>VLOOKUP(A35,'Datos generales'!A:L,7,0)</f>
        <v>Accesorios</v>
      </c>
      <c r="G35" s="4">
        <v>2024</v>
      </c>
    </row>
    <row r="36" spans="1:7" x14ac:dyDescent="0.25">
      <c r="A36" t="s">
        <v>46</v>
      </c>
      <c r="B36" s="4">
        <f>VLOOKUP(A36,'Datos generales'!A:L,5,0)</f>
        <v>2</v>
      </c>
      <c r="C36" s="4" t="str">
        <f>VLOOKUP(A36,'Datos generales'!A:L,4,0)</f>
        <v>Silla Gamer</v>
      </c>
      <c r="D36" s="4">
        <f>VLOOKUP(A36,'Datos generales'!A:L,6,0)</f>
        <v>349.3</v>
      </c>
      <c r="E36" s="4">
        <f>VLOOKUP(A36,'Datos generales'!A:L,12,0)</f>
        <v>349.3</v>
      </c>
      <c r="F36" s="4" t="str">
        <f>VLOOKUP(A36,'Datos generales'!A:L,7,0)</f>
        <v>Muebles</v>
      </c>
      <c r="G36" s="4">
        <v>2025</v>
      </c>
    </row>
    <row r="37" spans="1:7" x14ac:dyDescent="0.25">
      <c r="A37" t="s">
        <v>47</v>
      </c>
      <c r="B37" s="4">
        <f>VLOOKUP(A37,'Datos generales'!A:L,5,0)</f>
        <v>3</v>
      </c>
      <c r="C37" s="4" t="str">
        <f>VLOOKUP(A37,'Datos generales'!A:L,4,0)</f>
        <v>Webcam</v>
      </c>
      <c r="D37" s="4">
        <f>VLOOKUP(A37,'Datos generales'!A:L,6,0)</f>
        <v>1154.06</v>
      </c>
      <c r="E37" s="4">
        <f>VLOOKUP(A37,'Datos generales'!A:L,12,0)</f>
        <v>1154.06</v>
      </c>
      <c r="F37" s="4" t="str">
        <f>VLOOKUP(A37,'Datos generales'!A:L,7,0)</f>
        <v>Accesorios</v>
      </c>
      <c r="G37" s="4">
        <v>2024</v>
      </c>
    </row>
    <row r="38" spans="1:7" x14ac:dyDescent="0.25">
      <c r="A38" t="s">
        <v>48</v>
      </c>
      <c r="B38" s="4">
        <f>VLOOKUP(A38,'Datos generales'!A:L,5,0)</f>
        <v>4</v>
      </c>
      <c r="C38" s="4" t="str">
        <f>VLOOKUP(A38,'Datos generales'!A:L,4,0)</f>
        <v>Impresora</v>
      </c>
      <c r="D38" s="4">
        <f>VLOOKUP(A38,'Datos generales'!A:L,6,0)</f>
        <v>1566.37</v>
      </c>
      <c r="E38" s="4">
        <f>VLOOKUP(A38,'Datos generales'!A:L,12,0)</f>
        <v>1566.37</v>
      </c>
      <c r="F38" s="4" t="str">
        <f>VLOOKUP(A38,'Datos generales'!A:L,7,0)</f>
        <v>Electrónica</v>
      </c>
      <c r="G38" s="4">
        <v>2025</v>
      </c>
    </row>
    <row r="39" spans="1:7" x14ac:dyDescent="0.25">
      <c r="A39" t="s">
        <v>49</v>
      </c>
      <c r="B39" s="4">
        <f>VLOOKUP(A39,'Datos generales'!A:L,5,0)</f>
        <v>2</v>
      </c>
      <c r="C39" s="4" t="str">
        <f>VLOOKUP(A39,'Datos generales'!A:L,4,0)</f>
        <v>Monitor</v>
      </c>
      <c r="D39" s="4">
        <f>VLOOKUP(A39,'Datos generales'!A:L,6,0)</f>
        <v>674.48</v>
      </c>
      <c r="E39" s="4">
        <f>VLOOKUP(A39,'Datos generales'!A:L,12,0)</f>
        <v>674.48</v>
      </c>
      <c r="F39" s="4" t="str">
        <f>VLOOKUP(A39,'Datos generales'!A:L,7,0)</f>
        <v>Electrónica</v>
      </c>
      <c r="G39" s="4">
        <v>2024</v>
      </c>
    </row>
    <row r="40" spans="1:7" x14ac:dyDescent="0.25">
      <c r="A40" t="s">
        <v>50</v>
      </c>
      <c r="B40" s="4">
        <f>VLOOKUP(A40,'Datos generales'!A:L,5,0)</f>
        <v>2</v>
      </c>
      <c r="C40" s="4" t="str">
        <f>VLOOKUP(A40,'Datos generales'!A:L,4,0)</f>
        <v>Monitor</v>
      </c>
      <c r="D40" s="4">
        <f>VLOOKUP(A40,'Datos generales'!A:L,6,0)</f>
        <v>1543.98</v>
      </c>
      <c r="E40" s="4">
        <f>VLOOKUP(A40,'Datos generales'!A:L,12,0)</f>
        <v>1543.98</v>
      </c>
      <c r="F40" s="4" t="str">
        <f>VLOOKUP(A40,'Datos generales'!A:L,7,0)</f>
        <v>Electrónica</v>
      </c>
      <c r="G40" s="4">
        <v>2024</v>
      </c>
    </row>
    <row r="41" spans="1:7" x14ac:dyDescent="0.25">
      <c r="A41" t="s">
        <v>51</v>
      </c>
      <c r="B41" s="4">
        <f>VLOOKUP(A41,'Datos generales'!A:L,5,0)</f>
        <v>5</v>
      </c>
      <c r="C41" s="4" t="str">
        <f>VLOOKUP(A41,'Datos generales'!A:L,4,0)</f>
        <v>Laptop</v>
      </c>
      <c r="D41" s="4">
        <f>VLOOKUP(A41,'Datos generales'!A:L,6,0)</f>
        <v>917.31</v>
      </c>
      <c r="E41" s="4">
        <f>VLOOKUP(A41,'Datos generales'!A:L,12,0)</f>
        <v>917.30999999999983</v>
      </c>
      <c r="F41" s="4" t="str">
        <f>VLOOKUP(A41,'Datos generales'!A:L,7,0)</f>
        <v>Electrónica</v>
      </c>
      <c r="G41" s="4">
        <v>2023</v>
      </c>
    </row>
    <row r="42" spans="1:7" x14ac:dyDescent="0.25">
      <c r="A42" t="s">
        <v>52</v>
      </c>
      <c r="B42" s="4">
        <f>VLOOKUP(A42,'Datos generales'!A:L,5,0)</f>
        <v>4</v>
      </c>
      <c r="C42" s="4" t="str">
        <f>VLOOKUP(A42,'Datos generales'!A:L,4,0)</f>
        <v>Audífonos</v>
      </c>
      <c r="D42" s="4">
        <f>VLOOKUP(A42,'Datos generales'!A:L,6,0)</f>
        <v>450.36</v>
      </c>
      <c r="E42" s="4">
        <f>VLOOKUP(A42,'Datos generales'!A:L,12,0)</f>
        <v>450.36</v>
      </c>
      <c r="F42" s="4" t="str">
        <f>VLOOKUP(A42,'Datos generales'!A:L,7,0)</f>
        <v>Accesorios</v>
      </c>
      <c r="G42" s="4">
        <v>2024</v>
      </c>
    </row>
    <row r="43" spans="1:7" x14ac:dyDescent="0.25">
      <c r="A43" t="s">
        <v>53</v>
      </c>
      <c r="B43" s="4">
        <f>VLOOKUP(A43,'Datos generales'!A:L,5,0)</f>
        <v>2</v>
      </c>
      <c r="C43" s="4" t="str">
        <f>VLOOKUP(A43,'Datos generales'!A:L,4,0)</f>
        <v>Impresora</v>
      </c>
      <c r="D43" s="4">
        <f>VLOOKUP(A43,'Datos generales'!A:L,6,0)</f>
        <v>755.48</v>
      </c>
      <c r="E43" s="4">
        <f>VLOOKUP(A43,'Datos generales'!A:L,12,0)</f>
        <v>755.48</v>
      </c>
      <c r="F43" s="4" t="str">
        <f>VLOOKUP(A43,'Datos generales'!A:L,7,0)</f>
        <v>Electrónica</v>
      </c>
      <c r="G43" s="4">
        <v>2023</v>
      </c>
    </row>
    <row r="44" spans="1:7" x14ac:dyDescent="0.25">
      <c r="A44" t="s">
        <v>54</v>
      </c>
      <c r="B44" s="4">
        <f>VLOOKUP(A44,'Datos generales'!A:L,5,0)</f>
        <v>3</v>
      </c>
      <c r="C44" s="4" t="str">
        <f>VLOOKUP(A44,'Datos generales'!A:L,4,0)</f>
        <v>Teclado</v>
      </c>
      <c r="D44" s="4">
        <f>VLOOKUP(A44,'Datos generales'!A:L,6,0)</f>
        <v>1855.55</v>
      </c>
      <c r="E44" s="4">
        <f>VLOOKUP(A44,'Datos generales'!A:L,12,0)</f>
        <v>1855.55</v>
      </c>
      <c r="F44" s="4" t="str">
        <f>VLOOKUP(A44,'Datos generales'!A:L,7,0)</f>
        <v>Accesorios</v>
      </c>
      <c r="G44" s="4">
        <v>2024</v>
      </c>
    </row>
    <row r="45" spans="1:7" x14ac:dyDescent="0.25">
      <c r="A45" t="s">
        <v>55</v>
      </c>
      <c r="B45" s="4">
        <f>VLOOKUP(A45,'Datos generales'!A:L,5,0)</f>
        <v>5</v>
      </c>
      <c r="C45" s="4" t="str">
        <f>VLOOKUP(A45,'Datos generales'!A:L,4,0)</f>
        <v>Webcam</v>
      </c>
      <c r="D45" s="4">
        <f>VLOOKUP(A45,'Datos generales'!A:L,6,0)</f>
        <v>1011.75</v>
      </c>
      <c r="E45" s="4">
        <f>VLOOKUP(A45,'Datos generales'!A:L,12,0)</f>
        <v>1011.75</v>
      </c>
      <c r="F45" s="4" t="str">
        <f>VLOOKUP(A45,'Datos generales'!A:L,7,0)</f>
        <v>Accesorios</v>
      </c>
      <c r="G45" s="4">
        <v>2023</v>
      </c>
    </row>
    <row r="46" spans="1:7" x14ac:dyDescent="0.25">
      <c r="A46" t="s">
        <v>56</v>
      </c>
      <c r="B46" s="4">
        <f>VLOOKUP(A46,'Datos generales'!A:L,5,0)</f>
        <v>5</v>
      </c>
      <c r="C46" s="4" t="str">
        <f>VLOOKUP(A46,'Datos generales'!A:L,4,0)</f>
        <v>Teclado</v>
      </c>
      <c r="D46" s="4">
        <f>VLOOKUP(A46,'Datos generales'!A:L,6,0)</f>
        <v>1218.3399999999999</v>
      </c>
      <c r="E46" s="4">
        <f>VLOOKUP(A46,'Datos generales'!A:L,12,0)</f>
        <v>1218.3399999999999</v>
      </c>
      <c r="F46" s="4" t="str">
        <f>VLOOKUP(A46,'Datos generales'!A:L,7,0)</f>
        <v>Accesorios</v>
      </c>
      <c r="G46" s="4">
        <v>2023</v>
      </c>
    </row>
    <row r="47" spans="1:7" x14ac:dyDescent="0.25">
      <c r="A47" t="s">
        <v>57</v>
      </c>
      <c r="B47" s="4">
        <f>VLOOKUP(A47,'Datos generales'!A:L,5,0)</f>
        <v>2</v>
      </c>
      <c r="C47" s="4" t="str">
        <f>VLOOKUP(A47,'Datos generales'!A:L,4,0)</f>
        <v>Webcam</v>
      </c>
      <c r="D47" s="4">
        <f>VLOOKUP(A47,'Datos generales'!A:L,6,0)</f>
        <v>361.59</v>
      </c>
      <c r="E47" s="4">
        <f>VLOOKUP(A47,'Datos generales'!A:L,12,0)</f>
        <v>361.59</v>
      </c>
      <c r="F47" s="4" t="str">
        <f>VLOOKUP(A47,'Datos generales'!A:L,7,0)</f>
        <v>Accesorios</v>
      </c>
      <c r="G47" s="4">
        <v>2023</v>
      </c>
    </row>
    <row r="48" spans="1:7" x14ac:dyDescent="0.25">
      <c r="A48" t="s">
        <v>58</v>
      </c>
      <c r="B48" s="4">
        <f>VLOOKUP(A48,'Datos generales'!A:L,5,0)</f>
        <v>5</v>
      </c>
      <c r="C48" s="4" t="str">
        <f>VLOOKUP(A48,'Datos generales'!A:L,4,0)</f>
        <v>Teclado</v>
      </c>
      <c r="D48" s="4">
        <f>VLOOKUP(A48,'Datos generales'!A:L,6,0)</f>
        <v>958.8</v>
      </c>
      <c r="E48" s="4">
        <f>VLOOKUP(A48,'Datos generales'!A:L,12,0)</f>
        <v>958.8</v>
      </c>
      <c r="F48" s="4" t="str">
        <f>VLOOKUP(A48,'Datos generales'!A:L,7,0)</f>
        <v>Accesorios</v>
      </c>
      <c r="G48" s="4">
        <v>2023</v>
      </c>
    </row>
    <row r="49" spans="1:7" x14ac:dyDescent="0.25">
      <c r="A49" t="s">
        <v>59</v>
      </c>
      <c r="B49" s="4">
        <f>VLOOKUP(A49,'Datos generales'!A:L,5,0)</f>
        <v>5</v>
      </c>
      <c r="C49" s="4" t="str">
        <f>VLOOKUP(A49,'Datos generales'!A:L,4,0)</f>
        <v>Silla Gamer</v>
      </c>
      <c r="D49" s="4">
        <f>VLOOKUP(A49,'Datos generales'!A:L,6,0)</f>
        <v>1776.87</v>
      </c>
      <c r="E49" s="4">
        <f>VLOOKUP(A49,'Datos generales'!A:L,12,0)</f>
        <v>1776.87</v>
      </c>
      <c r="F49" s="4" t="str">
        <f>VLOOKUP(A49,'Datos generales'!A:L,7,0)</f>
        <v>Muebles</v>
      </c>
      <c r="G49" s="4">
        <v>2025</v>
      </c>
    </row>
    <row r="50" spans="1:7" x14ac:dyDescent="0.25">
      <c r="A50" t="s">
        <v>60</v>
      </c>
      <c r="B50" s="4">
        <f>VLOOKUP(A50,'Datos generales'!A:L,5,0)</f>
        <v>1</v>
      </c>
      <c r="C50" s="4" t="str">
        <f>VLOOKUP(A50,'Datos generales'!A:L,4,0)</f>
        <v>Audífonos</v>
      </c>
      <c r="D50" s="4">
        <f>VLOOKUP(A50,'Datos generales'!A:L,6,0)</f>
        <v>1467.34</v>
      </c>
      <c r="E50" s="4">
        <f>VLOOKUP(A50,'Datos generales'!A:L,12,0)</f>
        <v>1467.34</v>
      </c>
      <c r="F50" s="4" t="str">
        <f>VLOOKUP(A50,'Datos generales'!A:L,7,0)</f>
        <v>Accesorios</v>
      </c>
      <c r="G50" s="4">
        <v>2025</v>
      </c>
    </row>
    <row r="51" spans="1:7" x14ac:dyDescent="0.25">
      <c r="A51" t="s">
        <v>61</v>
      </c>
      <c r="B51" s="4">
        <f>VLOOKUP(A51,'Datos generales'!A:L,5,0)</f>
        <v>3</v>
      </c>
      <c r="C51" s="4" t="str">
        <f>VLOOKUP(A51,'Datos generales'!A:L,4,0)</f>
        <v>Silla Gamer</v>
      </c>
      <c r="D51" s="4">
        <f>VLOOKUP(A51,'Datos generales'!A:L,6,0)</f>
        <v>683.91</v>
      </c>
      <c r="E51" s="4">
        <f>VLOOKUP(A51,'Datos generales'!A:L,12,0)</f>
        <v>683.91</v>
      </c>
      <c r="F51" s="4" t="str">
        <f>VLOOKUP(A51,'Datos generales'!A:L,7,0)</f>
        <v>Muebles</v>
      </c>
      <c r="G51" s="4">
        <v>2025</v>
      </c>
    </row>
    <row r="52" spans="1:7" x14ac:dyDescent="0.25">
      <c r="A52" t="s">
        <v>62</v>
      </c>
      <c r="B52" s="4">
        <f>VLOOKUP(A52,'Datos generales'!A:L,5,0)</f>
        <v>1</v>
      </c>
      <c r="C52" s="4" t="str">
        <f>VLOOKUP(A52,'Datos generales'!A:L,4,0)</f>
        <v>Silla Gamer</v>
      </c>
      <c r="D52" s="4">
        <f>VLOOKUP(A52,'Datos generales'!A:L,6,0)</f>
        <v>1083.8599999999999</v>
      </c>
      <c r="E52" s="4">
        <f>VLOOKUP(A52,'Datos generales'!A:L,12,0)</f>
        <v>1083.8599999999999</v>
      </c>
      <c r="F52" s="4" t="str">
        <f>VLOOKUP(A52,'Datos generales'!A:L,7,0)</f>
        <v>Muebles</v>
      </c>
      <c r="G52" s="4">
        <v>2024</v>
      </c>
    </row>
    <row r="53" spans="1:7" x14ac:dyDescent="0.25">
      <c r="A53" t="s">
        <v>63</v>
      </c>
      <c r="B53" s="4">
        <f>VLOOKUP(A53,'Datos generales'!A:L,5,0)</f>
        <v>2</v>
      </c>
      <c r="C53" s="4" t="str">
        <f>VLOOKUP(A53,'Datos generales'!A:L,4,0)</f>
        <v>Monitor</v>
      </c>
      <c r="D53" s="4">
        <f>VLOOKUP(A53,'Datos generales'!A:L,6,0)</f>
        <v>1551.85</v>
      </c>
      <c r="E53" s="4">
        <f>VLOOKUP(A53,'Datos generales'!A:L,12,0)</f>
        <v>1551.85</v>
      </c>
      <c r="F53" s="4" t="str">
        <f>VLOOKUP(A53,'Datos generales'!A:L,7,0)</f>
        <v>Electrónica</v>
      </c>
      <c r="G53" s="4">
        <v>2023</v>
      </c>
    </row>
    <row r="54" spans="1:7" x14ac:dyDescent="0.25">
      <c r="A54" t="s">
        <v>64</v>
      </c>
      <c r="B54" s="4">
        <f>VLOOKUP(A54,'Datos generales'!A:L,5,0)</f>
        <v>5</v>
      </c>
      <c r="C54" s="4" t="str">
        <f>VLOOKUP(A54,'Datos generales'!A:L,4,0)</f>
        <v>Laptop</v>
      </c>
      <c r="D54" s="4">
        <f>VLOOKUP(A54,'Datos generales'!A:L,6,0)</f>
        <v>1368.27</v>
      </c>
      <c r="E54" s="4">
        <f>VLOOKUP(A54,'Datos generales'!A:L,12,0)</f>
        <v>1368.27</v>
      </c>
      <c r="F54" s="4" t="str">
        <f>VLOOKUP(A54,'Datos generales'!A:L,7,0)</f>
        <v>Electrónica</v>
      </c>
      <c r="G54" s="4">
        <v>2024</v>
      </c>
    </row>
    <row r="55" spans="1:7" x14ac:dyDescent="0.25">
      <c r="A55" t="s">
        <v>65</v>
      </c>
      <c r="B55" s="4">
        <f>VLOOKUP(A55,'Datos generales'!A:L,5,0)</f>
        <v>4</v>
      </c>
      <c r="C55" s="4" t="str">
        <f>VLOOKUP(A55,'Datos generales'!A:L,4,0)</f>
        <v>Laptop</v>
      </c>
      <c r="D55" s="4">
        <f>VLOOKUP(A55,'Datos generales'!A:L,6,0)</f>
        <v>1818.88</v>
      </c>
      <c r="E55" s="4">
        <f>VLOOKUP(A55,'Datos generales'!A:L,12,0)</f>
        <v>1818.88</v>
      </c>
      <c r="F55" s="4" t="str">
        <f>VLOOKUP(A55,'Datos generales'!A:L,7,0)</f>
        <v>Electrónica</v>
      </c>
      <c r="G55" s="4">
        <v>2024</v>
      </c>
    </row>
    <row r="56" spans="1:7" x14ac:dyDescent="0.25">
      <c r="A56" t="s">
        <v>66</v>
      </c>
      <c r="B56" s="4">
        <f>VLOOKUP(A56,'Datos generales'!A:L,5,0)</f>
        <v>4</v>
      </c>
      <c r="C56" s="4" t="str">
        <f>VLOOKUP(A56,'Datos generales'!A:L,4,0)</f>
        <v>Mouse</v>
      </c>
      <c r="D56" s="4">
        <f>VLOOKUP(A56,'Datos generales'!A:L,6,0)</f>
        <v>1601.32</v>
      </c>
      <c r="E56" s="4">
        <f>VLOOKUP(A56,'Datos generales'!A:L,12,0)</f>
        <v>1601.32</v>
      </c>
      <c r="F56" s="4" t="str">
        <f>VLOOKUP(A56,'Datos generales'!A:L,7,0)</f>
        <v>Accesorios</v>
      </c>
      <c r="G56" s="4">
        <v>2023</v>
      </c>
    </row>
    <row r="57" spans="1:7" x14ac:dyDescent="0.25">
      <c r="A57" t="s">
        <v>67</v>
      </c>
      <c r="B57" s="4">
        <f>VLOOKUP(A57,'Datos generales'!A:L,5,0)</f>
        <v>4</v>
      </c>
      <c r="C57" s="4" t="str">
        <f>VLOOKUP(A57,'Datos generales'!A:L,4,0)</f>
        <v>Teclado</v>
      </c>
      <c r="D57" s="4">
        <f>VLOOKUP(A57,'Datos generales'!A:L,6,0)</f>
        <v>177.79</v>
      </c>
      <c r="E57" s="4">
        <f>VLOOKUP(A57,'Datos generales'!A:L,12,0)</f>
        <v>177.79</v>
      </c>
      <c r="F57" s="4" t="str">
        <f>VLOOKUP(A57,'Datos generales'!A:L,7,0)</f>
        <v>Accesorios</v>
      </c>
      <c r="G57" s="4">
        <v>2023</v>
      </c>
    </row>
    <row r="58" spans="1:7" x14ac:dyDescent="0.25">
      <c r="A58" t="s">
        <v>68</v>
      </c>
      <c r="B58" s="4">
        <f>VLOOKUP(A58,'Datos generales'!A:L,5,0)</f>
        <v>1</v>
      </c>
      <c r="C58" s="4" t="str">
        <f>VLOOKUP(A58,'Datos generales'!A:L,4,0)</f>
        <v>Teclado</v>
      </c>
      <c r="D58" s="4">
        <f>VLOOKUP(A58,'Datos generales'!A:L,6,0)</f>
        <v>83.48</v>
      </c>
      <c r="E58" s="4">
        <f>VLOOKUP(A58,'Datos generales'!A:L,12,0)</f>
        <v>83.48</v>
      </c>
      <c r="F58" s="4" t="str">
        <f>VLOOKUP(A58,'Datos generales'!A:L,7,0)</f>
        <v>Accesorios</v>
      </c>
      <c r="G58" s="4">
        <v>2023</v>
      </c>
    </row>
    <row r="59" spans="1:7" x14ac:dyDescent="0.25">
      <c r="A59" t="s">
        <v>69</v>
      </c>
      <c r="B59" s="4">
        <f>VLOOKUP(A59,'Datos generales'!A:L,5,0)</f>
        <v>1</v>
      </c>
      <c r="C59" s="4" t="str">
        <f>VLOOKUP(A59,'Datos generales'!A:L,4,0)</f>
        <v>Audífonos</v>
      </c>
      <c r="D59" s="4">
        <f>VLOOKUP(A59,'Datos generales'!A:L,6,0)</f>
        <v>1372.72</v>
      </c>
      <c r="E59" s="4">
        <f>VLOOKUP(A59,'Datos generales'!A:L,12,0)</f>
        <v>1372.72</v>
      </c>
      <c r="F59" s="4" t="str">
        <f>VLOOKUP(A59,'Datos generales'!A:L,7,0)</f>
        <v>Accesorios</v>
      </c>
      <c r="G59" s="4">
        <v>2023</v>
      </c>
    </row>
    <row r="60" spans="1:7" x14ac:dyDescent="0.25">
      <c r="A60" t="s">
        <v>70</v>
      </c>
      <c r="B60" s="4">
        <f>VLOOKUP(A60,'Datos generales'!A:L,5,0)</f>
        <v>1</v>
      </c>
      <c r="C60" s="4" t="str">
        <f>VLOOKUP(A60,'Datos generales'!A:L,4,0)</f>
        <v>Monitor</v>
      </c>
      <c r="D60" s="4">
        <f>VLOOKUP(A60,'Datos generales'!A:L,6,0)</f>
        <v>1618.91</v>
      </c>
      <c r="E60" s="4">
        <f>VLOOKUP(A60,'Datos generales'!A:L,12,0)</f>
        <v>1618.91</v>
      </c>
      <c r="F60" s="4" t="str">
        <f>VLOOKUP(A60,'Datos generales'!A:L,7,0)</f>
        <v>Electrónica</v>
      </c>
      <c r="G60" s="4">
        <v>2024</v>
      </c>
    </row>
    <row r="61" spans="1:7" x14ac:dyDescent="0.25">
      <c r="A61" t="s">
        <v>71</v>
      </c>
      <c r="B61" s="4">
        <f>VLOOKUP(A61,'Datos generales'!A:L,5,0)</f>
        <v>4</v>
      </c>
      <c r="C61" s="4" t="str">
        <f>VLOOKUP(A61,'Datos generales'!A:L,4,0)</f>
        <v>Impresora</v>
      </c>
      <c r="D61" s="4">
        <f>VLOOKUP(A61,'Datos generales'!A:L,6,0)</f>
        <v>530.65</v>
      </c>
      <c r="E61" s="4">
        <f>VLOOKUP(A61,'Datos generales'!A:L,12,0)</f>
        <v>530.65</v>
      </c>
      <c r="F61" s="4" t="str">
        <f>VLOOKUP(A61,'Datos generales'!A:L,7,0)</f>
        <v>Electrónica</v>
      </c>
      <c r="G61" s="4">
        <v>2024</v>
      </c>
    </row>
    <row r="62" spans="1:7" x14ac:dyDescent="0.25">
      <c r="A62" t="s">
        <v>72</v>
      </c>
      <c r="B62" s="4">
        <f>VLOOKUP(A62,'Datos generales'!A:L,5,0)</f>
        <v>5</v>
      </c>
      <c r="C62" s="4" t="str">
        <f>VLOOKUP(A62,'Datos generales'!A:L,4,0)</f>
        <v>Webcam</v>
      </c>
      <c r="D62" s="4">
        <f>VLOOKUP(A62,'Datos generales'!A:L,6,0)</f>
        <v>418.83</v>
      </c>
      <c r="E62" s="4">
        <f>VLOOKUP(A62,'Datos generales'!A:L,12,0)</f>
        <v>418.83</v>
      </c>
      <c r="F62" s="4" t="str">
        <f>VLOOKUP(A62,'Datos generales'!A:L,7,0)</f>
        <v>Accesorios</v>
      </c>
      <c r="G62" s="4">
        <v>2024</v>
      </c>
    </row>
    <row r="63" spans="1:7" x14ac:dyDescent="0.25">
      <c r="A63" t="s">
        <v>73</v>
      </c>
      <c r="B63" s="4">
        <f>VLOOKUP(A63,'Datos generales'!A:L,5,0)</f>
        <v>3</v>
      </c>
      <c r="C63" s="4" t="str">
        <f>VLOOKUP(A63,'Datos generales'!A:L,4,0)</f>
        <v>Silla Gamer</v>
      </c>
      <c r="D63" s="4">
        <f>VLOOKUP(A63,'Datos generales'!A:L,6,0)</f>
        <v>664.98</v>
      </c>
      <c r="E63" s="4">
        <f>VLOOKUP(A63,'Datos generales'!A:L,12,0)</f>
        <v>664.98</v>
      </c>
      <c r="F63" s="4" t="str">
        <f>VLOOKUP(A63,'Datos generales'!A:L,7,0)</f>
        <v>Muebles</v>
      </c>
      <c r="G63" s="4">
        <v>2025</v>
      </c>
    </row>
    <row r="64" spans="1:7" x14ac:dyDescent="0.25">
      <c r="A64" t="s">
        <v>74</v>
      </c>
      <c r="B64" s="4">
        <f>VLOOKUP(A64,'Datos generales'!A:L,5,0)</f>
        <v>1</v>
      </c>
      <c r="C64" s="4" t="str">
        <f>VLOOKUP(A64,'Datos generales'!A:L,4,0)</f>
        <v>Laptop</v>
      </c>
      <c r="D64" s="4">
        <f>VLOOKUP(A64,'Datos generales'!A:L,6,0)</f>
        <v>1322.41</v>
      </c>
      <c r="E64" s="4">
        <f>VLOOKUP(A64,'Datos generales'!A:L,12,0)</f>
        <v>1322.41</v>
      </c>
      <c r="F64" s="4" t="str">
        <f>VLOOKUP(A64,'Datos generales'!A:L,7,0)</f>
        <v>Electrónica</v>
      </c>
      <c r="G64" s="4">
        <v>2024</v>
      </c>
    </row>
    <row r="65" spans="1:7" x14ac:dyDescent="0.25">
      <c r="A65" t="s">
        <v>75</v>
      </c>
      <c r="B65" s="4">
        <f>VLOOKUP(A65,'Datos generales'!A:L,5,0)</f>
        <v>4</v>
      </c>
      <c r="C65" s="4" t="str">
        <f>VLOOKUP(A65,'Datos generales'!A:L,4,0)</f>
        <v>Monitor</v>
      </c>
      <c r="D65" s="4">
        <f>VLOOKUP(A65,'Datos generales'!A:L,6,0)</f>
        <v>1467.27</v>
      </c>
      <c r="E65" s="4">
        <f>VLOOKUP(A65,'Datos generales'!A:L,12,0)</f>
        <v>1467.27</v>
      </c>
      <c r="F65" s="4" t="str">
        <f>VLOOKUP(A65,'Datos generales'!A:L,7,0)</f>
        <v>Electrónica</v>
      </c>
      <c r="G65" s="4">
        <v>2023</v>
      </c>
    </row>
    <row r="66" spans="1:7" x14ac:dyDescent="0.25">
      <c r="A66" t="s">
        <v>76</v>
      </c>
      <c r="B66" s="4">
        <f>VLOOKUP(A66,'Datos generales'!A:L,5,0)</f>
        <v>4</v>
      </c>
      <c r="C66" s="4" t="str">
        <f>VLOOKUP(A66,'Datos generales'!A:L,4,0)</f>
        <v>Impresora</v>
      </c>
      <c r="D66" s="4">
        <f>VLOOKUP(A66,'Datos generales'!A:L,6,0)</f>
        <v>1804.12</v>
      </c>
      <c r="E66" s="4">
        <f>VLOOKUP(A66,'Datos generales'!A:L,12,0)</f>
        <v>1804.12</v>
      </c>
      <c r="F66" s="4" t="str">
        <f>VLOOKUP(A66,'Datos generales'!A:L,7,0)</f>
        <v>Electrónica</v>
      </c>
      <c r="G66" s="4">
        <v>2024</v>
      </c>
    </row>
    <row r="67" spans="1:7" x14ac:dyDescent="0.25">
      <c r="A67" t="s">
        <v>77</v>
      </c>
      <c r="B67" s="4">
        <f>VLOOKUP(A67,'Datos generales'!A:L,5,0)</f>
        <v>1</v>
      </c>
      <c r="C67" s="4" t="str">
        <f>VLOOKUP(A67,'Datos generales'!A:L,4,0)</f>
        <v>Audífonos</v>
      </c>
      <c r="D67" s="4">
        <f>VLOOKUP(A67,'Datos generales'!A:L,6,0)</f>
        <v>1172.72</v>
      </c>
      <c r="E67" s="4">
        <f>VLOOKUP(A67,'Datos generales'!A:L,12,0)</f>
        <v>1172.72</v>
      </c>
      <c r="F67" s="4" t="str">
        <f>VLOOKUP(A67,'Datos generales'!A:L,7,0)</f>
        <v>Accesorios</v>
      </c>
      <c r="G67" s="4">
        <v>2024</v>
      </c>
    </row>
    <row r="68" spans="1:7" x14ac:dyDescent="0.25">
      <c r="A68" t="s">
        <v>78</v>
      </c>
      <c r="B68" s="4">
        <f>VLOOKUP(A68,'Datos generales'!A:L,5,0)</f>
        <v>1</v>
      </c>
      <c r="C68" s="4" t="str">
        <f>VLOOKUP(A68,'Datos generales'!A:L,4,0)</f>
        <v>Mouse</v>
      </c>
      <c r="D68" s="4">
        <f>VLOOKUP(A68,'Datos generales'!A:L,6,0)</f>
        <v>725.07</v>
      </c>
      <c r="E68" s="4">
        <f>VLOOKUP(A68,'Datos generales'!A:L,12,0)</f>
        <v>725.07</v>
      </c>
      <c r="F68" s="4" t="str">
        <f>VLOOKUP(A68,'Datos generales'!A:L,7,0)</f>
        <v>Accesorios</v>
      </c>
      <c r="G68" s="4">
        <v>2023</v>
      </c>
    </row>
    <row r="69" spans="1:7" x14ac:dyDescent="0.25">
      <c r="A69" t="s">
        <v>79</v>
      </c>
      <c r="B69" s="4">
        <f>VLOOKUP(A69,'Datos generales'!A:L,5,0)</f>
        <v>5</v>
      </c>
      <c r="C69" s="4" t="str">
        <f>VLOOKUP(A69,'Datos generales'!A:L,4,0)</f>
        <v>Monitor</v>
      </c>
      <c r="D69" s="4">
        <f>VLOOKUP(A69,'Datos generales'!A:L,6,0)</f>
        <v>563.69000000000005</v>
      </c>
      <c r="E69" s="4">
        <f>VLOOKUP(A69,'Datos generales'!A:L,12,0)</f>
        <v>563.69000000000005</v>
      </c>
      <c r="F69" s="4" t="str">
        <f>VLOOKUP(A69,'Datos generales'!A:L,7,0)</f>
        <v>Electrónica</v>
      </c>
      <c r="G69" s="4">
        <v>2025</v>
      </c>
    </row>
    <row r="70" spans="1:7" x14ac:dyDescent="0.25">
      <c r="A70" t="s">
        <v>80</v>
      </c>
      <c r="B70" s="4">
        <f>VLOOKUP(A70,'Datos generales'!A:L,5,0)</f>
        <v>5</v>
      </c>
      <c r="C70" s="4" t="str">
        <f>VLOOKUP(A70,'Datos generales'!A:L,4,0)</f>
        <v>Audífonos</v>
      </c>
      <c r="D70" s="4">
        <f>VLOOKUP(A70,'Datos generales'!A:L,6,0)</f>
        <v>1547.41</v>
      </c>
      <c r="E70" s="4">
        <f>VLOOKUP(A70,'Datos generales'!A:L,12,0)</f>
        <v>1547.41</v>
      </c>
      <c r="F70" s="4" t="str">
        <f>VLOOKUP(A70,'Datos generales'!A:L,7,0)</f>
        <v>Accesorios</v>
      </c>
      <c r="G70" s="4">
        <v>2023</v>
      </c>
    </row>
    <row r="71" spans="1:7" x14ac:dyDescent="0.25">
      <c r="A71" t="s">
        <v>81</v>
      </c>
      <c r="B71" s="4">
        <f>VLOOKUP(A71,'Datos generales'!A:L,5,0)</f>
        <v>2</v>
      </c>
      <c r="C71" s="4" t="str">
        <f>VLOOKUP(A71,'Datos generales'!A:L,4,0)</f>
        <v>Webcam</v>
      </c>
      <c r="D71" s="4">
        <f>VLOOKUP(A71,'Datos generales'!A:L,6,0)</f>
        <v>1903.65</v>
      </c>
      <c r="E71" s="4">
        <f>VLOOKUP(A71,'Datos generales'!A:L,12,0)</f>
        <v>1903.65</v>
      </c>
      <c r="F71" s="4" t="str">
        <f>VLOOKUP(A71,'Datos generales'!A:L,7,0)</f>
        <v>Accesorios</v>
      </c>
      <c r="G71" s="4">
        <v>2023</v>
      </c>
    </row>
    <row r="72" spans="1:7" x14ac:dyDescent="0.25">
      <c r="A72" t="s">
        <v>82</v>
      </c>
      <c r="B72" s="4">
        <f>VLOOKUP(A72,'Datos generales'!A:L,5,0)</f>
        <v>2</v>
      </c>
      <c r="C72" s="4" t="str">
        <f>VLOOKUP(A72,'Datos generales'!A:L,4,0)</f>
        <v>Impresora</v>
      </c>
      <c r="D72" s="4">
        <f>VLOOKUP(A72,'Datos generales'!A:L,6,0)</f>
        <v>1198.2</v>
      </c>
      <c r="E72" s="4">
        <f>VLOOKUP(A72,'Datos generales'!A:L,12,0)</f>
        <v>1198.2</v>
      </c>
      <c r="F72" s="4" t="str">
        <f>VLOOKUP(A72,'Datos generales'!A:L,7,0)</f>
        <v>Electrónica</v>
      </c>
      <c r="G72" s="4">
        <v>2024</v>
      </c>
    </row>
    <row r="73" spans="1:7" x14ac:dyDescent="0.25">
      <c r="A73" t="s">
        <v>83</v>
      </c>
      <c r="B73" s="4">
        <f>VLOOKUP(A73,'Datos generales'!A:L,5,0)</f>
        <v>3</v>
      </c>
      <c r="C73" s="4" t="str">
        <f>VLOOKUP(A73,'Datos generales'!A:L,4,0)</f>
        <v>Teclado</v>
      </c>
      <c r="D73" s="4">
        <f>VLOOKUP(A73,'Datos generales'!A:L,6,0)</f>
        <v>543.72</v>
      </c>
      <c r="E73" s="4">
        <f>VLOOKUP(A73,'Datos generales'!A:L,12,0)</f>
        <v>543.72</v>
      </c>
      <c r="F73" s="4" t="str">
        <f>VLOOKUP(A73,'Datos generales'!A:L,7,0)</f>
        <v>Accesorios</v>
      </c>
      <c r="G73" s="4">
        <v>2025</v>
      </c>
    </row>
    <row r="74" spans="1:7" x14ac:dyDescent="0.25">
      <c r="A74" t="s">
        <v>84</v>
      </c>
      <c r="B74" s="4">
        <f>VLOOKUP(A74,'Datos generales'!A:L,5,0)</f>
        <v>2</v>
      </c>
      <c r="C74" s="4" t="str">
        <f>VLOOKUP(A74,'Datos generales'!A:L,4,0)</f>
        <v>Webcam</v>
      </c>
      <c r="D74" s="4">
        <f>VLOOKUP(A74,'Datos generales'!A:L,6,0)</f>
        <v>1449.53</v>
      </c>
      <c r="E74" s="4">
        <f>VLOOKUP(A74,'Datos generales'!A:L,12,0)</f>
        <v>1449.53</v>
      </c>
      <c r="F74" s="4" t="str">
        <f>VLOOKUP(A74,'Datos generales'!A:L,7,0)</f>
        <v>Accesorios</v>
      </c>
      <c r="G74" s="4">
        <v>2023</v>
      </c>
    </row>
    <row r="75" spans="1:7" x14ac:dyDescent="0.25">
      <c r="A75" t="s">
        <v>85</v>
      </c>
      <c r="B75" s="4">
        <f>VLOOKUP(A75,'Datos generales'!A:L,5,0)</f>
        <v>5</v>
      </c>
      <c r="C75" s="4" t="str">
        <f>VLOOKUP(A75,'Datos generales'!A:L,4,0)</f>
        <v>Silla Gamer</v>
      </c>
      <c r="D75" s="4">
        <f>VLOOKUP(A75,'Datos generales'!A:L,6,0)</f>
        <v>472.42</v>
      </c>
      <c r="E75" s="4">
        <f>VLOOKUP(A75,'Datos generales'!A:L,12,0)</f>
        <v>472.42</v>
      </c>
      <c r="F75" s="4" t="str">
        <f>VLOOKUP(A75,'Datos generales'!A:L,7,0)</f>
        <v>Muebles</v>
      </c>
      <c r="G75" s="4">
        <v>2024</v>
      </c>
    </row>
    <row r="76" spans="1:7" x14ac:dyDescent="0.25">
      <c r="A76" t="s">
        <v>86</v>
      </c>
      <c r="B76" s="4">
        <f>VLOOKUP(A76,'Datos generales'!A:L,5,0)</f>
        <v>3</v>
      </c>
      <c r="C76" s="4" t="str">
        <f>VLOOKUP(A76,'Datos generales'!A:L,4,0)</f>
        <v>Audífonos</v>
      </c>
      <c r="D76" s="4">
        <f>VLOOKUP(A76,'Datos generales'!A:L,6,0)</f>
        <v>367.9</v>
      </c>
      <c r="E76" s="4">
        <f>VLOOKUP(A76,'Datos generales'!A:L,12,0)</f>
        <v>367.89999999999992</v>
      </c>
      <c r="F76" s="4" t="str">
        <f>VLOOKUP(A76,'Datos generales'!A:L,7,0)</f>
        <v>Accesorios</v>
      </c>
      <c r="G76" s="4">
        <v>2023</v>
      </c>
    </row>
    <row r="77" spans="1:7" x14ac:dyDescent="0.25">
      <c r="A77" t="s">
        <v>87</v>
      </c>
      <c r="B77" s="4">
        <f>VLOOKUP(A77,'Datos generales'!A:L,5,0)</f>
        <v>5</v>
      </c>
      <c r="C77" s="4" t="str">
        <f>VLOOKUP(A77,'Datos generales'!A:L,4,0)</f>
        <v>Audífonos</v>
      </c>
      <c r="D77" s="4">
        <f>VLOOKUP(A77,'Datos generales'!A:L,6,0)</f>
        <v>739.51</v>
      </c>
      <c r="E77" s="4">
        <f>VLOOKUP(A77,'Datos generales'!A:L,12,0)</f>
        <v>739.51</v>
      </c>
      <c r="F77" s="4" t="str">
        <f>VLOOKUP(A77,'Datos generales'!A:L,7,0)</f>
        <v>Accesorios</v>
      </c>
      <c r="G77" s="4">
        <v>2025</v>
      </c>
    </row>
    <row r="78" spans="1:7" x14ac:dyDescent="0.25">
      <c r="A78" t="s">
        <v>88</v>
      </c>
      <c r="B78" s="4">
        <f>VLOOKUP(A78,'Datos generales'!A:L,5,0)</f>
        <v>2</v>
      </c>
      <c r="C78" s="4" t="str">
        <f>VLOOKUP(A78,'Datos generales'!A:L,4,0)</f>
        <v>Laptop</v>
      </c>
      <c r="D78" s="4">
        <f>VLOOKUP(A78,'Datos generales'!A:L,6,0)</f>
        <v>1089.1300000000001</v>
      </c>
      <c r="E78" s="4">
        <f>VLOOKUP(A78,'Datos generales'!A:L,12,0)</f>
        <v>1089.1300000000001</v>
      </c>
      <c r="F78" s="4" t="str">
        <f>VLOOKUP(A78,'Datos generales'!A:L,7,0)</f>
        <v>Electrónica</v>
      </c>
      <c r="G78" s="4">
        <v>2023</v>
      </c>
    </row>
    <row r="79" spans="1:7" x14ac:dyDescent="0.25">
      <c r="A79" t="s">
        <v>89</v>
      </c>
      <c r="B79" s="4">
        <f>VLOOKUP(A79,'Datos generales'!A:L,5,0)</f>
        <v>5</v>
      </c>
      <c r="C79" s="4" t="str">
        <f>VLOOKUP(A79,'Datos generales'!A:L,4,0)</f>
        <v>Webcam</v>
      </c>
      <c r="D79" s="4">
        <f>VLOOKUP(A79,'Datos generales'!A:L,6,0)</f>
        <v>1632.75</v>
      </c>
      <c r="E79" s="4">
        <f>VLOOKUP(A79,'Datos generales'!A:L,12,0)</f>
        <v>1632.75</v>
      </c>
      <c r="F79" s="4" t="str">
        <f>VLOOKUP(A79,'Datos generales'!A:L,7,0)</f>
        <v>Accesorios</v>
      </c>
      <c r="G79" s="4">
        <v>2024</v>
      </c>
    </row>
    <row r="80" spans="1:7" x14ac:dyDescent="0.25">
      <c r="A80" t="s">
        <v>90</v>
      </c>
      <c r="B80" s="4">
        <f>VLOOKUP(A80,'Datos generales'!A:L,5,0)</f>
        <v>3</v>
      </c>
      <c r="C80" s="4" t="str">
        <f>VLOOKUP(A80,'Datos generales'!A:L,4,0)</f>
        <v>Monitor</v>
      </c>
      <c r="D80" s="4">
        <f>VLOOKUP(A80,'Datos generales'!A:L,6,0)</f>
        <v>817.35</v>
      </c>
      <c r="E80" s="4">
        <f>VLOOKUP(A80,'Datos generales'!A:L,12,0)</f>
        <v>817.35</v>
      </c>
      <c r="F80" s="4" t="str">
        <f>VLOOKUP(A80,'Datos generales'!A:L,7,0)</f>
        <v>Electrónica</v>
      </c>
      <c r="G80" s="4">
        <v>2023</v>
      </c>
    </row>
    <row r="81" spans="1:7" x14ac:dyDescent="0.25">
      <c r="A81" t="s">
        <v>91</v>
      </c>
      <c r="B81" s="4">
        <f>VLOOKUP(A81,'Datos generales'!A:L,5,0)</f>
        <v>2</v>
      </c>
      <c r="C81" s="4" t="str">
        <f>VLOOKUP(A81,'Datos generales'!A:L,4,0)</f>
        <v>Teclado</v>
      </c>
      <c r="D81" s="4">
        <f>VLOOKUP(A81,'Datos generales'!A:L,6,0)</f>
        <v>1186.58</v>
      </c>
      <c r="E81" s="4">
        <f>VLOOKUP(A81,'Datos generales'!A:L,12,0)</f>
        <v>1186.58</v>
      </c>
      <c r="F81" s="4" t="str">
        <f>VLOOKUP(A81,'Datos generales'!A:L,7,0)</f>
        <v>Accesorios</v>
      </c>
      <c r="G81" s="4">
        <v>2024</v>
      </c>
    </row>
    <row r="82" spans="1:7" x14ac:dyDescent="0.25">
      <c r="A82" t="s">
        <v>92</v>
      </c>
      <c r="B82" s="4">
        <f>VLOOKUP(A82,'Datos generales'!A:L,5,0)</f>
        <v>2</v>
      </c>
      <c r="C82" s="4" t="str">
        <f>VLOOKUP(A82,'Datos generales'!A:L,4,0)</f>
        <v>Impresora</v>
      </c>
      <c r="D82" s="4">
        <f>VLOOKUP(A82,'Datos generales'!A:L,6,0)</f>
        <v>1872.8</v>
      </c>
      <c r="E82" s="4">
        <f>VLOOKUP(A82,'Datos generales'!A:L,12,0)</f>
        <v>1872.8</v>
      </c>
      <c r="F82" s="4" t="str">
        <f>VLOOKUP(A82,'Datos generales'!A:L,7,0)</f>
        <v>Electrónica</v>
      </c>
      <c r="G82" s="4">
        <v>2023</v>
      </c>
    </row>
    <row r="83" spans="1:7" x14ac:dyDescent="0.25">
      <c r="A83" t="s">
        <v>93</v>
      </c>
      <c r="B83" s="4">
        <f>VLOOKUP(A83,'Datos generales'!A:L,5,0)</f>
        <v>3</v>
      </c>
      <c r="C83" s="4" t="str">
        <f>VLOOKUP(A83,'Datos generales'!A:L,4,0)</f>
        <v>Silla Gamer</v>
      </c>
      <c r="D83" s="4">
        <f>VLOOKUP(A83,'Datos generales'!A:L,6,0)</f>
        <v>680.19</v>
      </c>
      <c r="E83" s="4">
        <f>VLOOKUP(A83,'Datos generales'!A:L,12,0)</f>
        <v>680.19</v>
      </c>
      <c r="F83" s="4" t="str">
        <f>VLOOKUP(A83,'Datos generales'!A:L,7,0)</f>
        <v>Muebles</v>
      </c>
      <c r="G83" s="4">
        <v>2023</v>
      </c>
    </row>
    <row r="84" spans="1:7" x14ac:dyDescent="0.25">
      <c r="A84" t="s">
        <v>94</v>
      </c>
      <c r="B84" s="4">
        <f>VLOOKUP(A84,'Datos generales'!A:L,5,0)</f>
        <v>4</v>
      </c>
      <c r="C84" s="4" t="str">
        <f>VLOOKUP(A84,'Datos generales'!A:L,4,0)</f>
        <v>Webcam</v>
      </c>
      <c r="D84" s="4">
        <f>VLOOKUP(A84,'Datos generales'!A:L,6,0)</f>
        <v>262.82</v>
      </c>
      <c r="E84" s="4">
        <f>VLOOKUP(A84,'Datos generales'!A:L,12,0)</f>
        <v>262.82</v>
      </c>
      <c r="F84" s="4" t="str">
        <f>VLOOKUP(A84,'Datos generales'!A:L,7,0)</f>
        <v>Accesorios</v>
      </c>
      <c r="G84" s="4">
        <v>2023</v>
      </c>
    </row>
    <row r="85" spans="1:7" x14ac:dyDescent="0.25">
      <c r="A85" t="s">
        <v>95</v>
      </c>
      <c r="B85" s="4">
        <f>VLOOKUP(A85,'Datos generales'!A:L,5,0)</f>
        <v>4</v>
      </c>
      <c r="C85" s="4" t="str">
        <f>VLOOKUP(A85,'Datos generales'!A:L,4,0)</f>
        <v>Impresora</v>
      </c>
      <c r="D85" s="4">
        <f>VLOOKUP(A85,'Datos generales'!A:L,6,0)</f>
        <v>1531.75</v>
      </c>
      <c r="E85" s="4">
        <f>VLOOKUP(A85,'Datos generales'!A:L,12,0)</f>
        <v>1531.75</v>
      </c>
      <c r="F85" s="4" t="str">
        <f>VLOOKUP(A85,'Datos generales'!A:L,7,0)</f>
        <v>Electrónica</v>
      </c>
      <c r="G85" s="4">
        <v>2025</v>
      </c>
    </row>
    <row r="86" spans="1:7" x14ac:dyDescent="0.25">
      <c r="A86" t="s">
        <v>96</v>
      </c>
      <c r="B86" s="4">
        <f>VLOOKUP(A86,'Datos generales'!A:L,5,0)</f>
        <v>1</v>
      </c>
      <c r="C86" s="4" t="str">
        <f>VLOOKUP(A86,'Datos generales'!A:L,4,0)</f>
        <v>Impresora</v>
      </c>
      <c r="D86" s="4">
        <f>VLOOKUP(A86,'Datos generales'!A:L,6,0)</f>
        <v>503.84</v>
      </c>
      <c r="E86" s="4">
        <f>VLOOKUP(A86,'Datos generales'!A:L,12,0)</f>
        <v>503.84</v>
      </c>
      <c r="F86" s="4" t="str">
        <f>VLOOKUP(A86,'Datos generales'!A:L,7,0)</f>
        <v>Electrónica</v>
      </c>
      <c r="G86" s="4">
        <v>2023</v>
      </c>
    </row>
    <row r="87" spans="1:7" x14ac:dyDescent="0.25">
      <c r="A87" t="s">
        <v>97</v>
      </c>
      <c r="B87" s="4">
        <f>VLOOKUP(A87,'Datos generales'!A:L,5,0)</f>
        <v>4</v>
      </c>
      <c r="C87" s="4" t="str">
        <f>VLOOKUP(A87,'Datos generales'!A:L,4,0)</f>
        <v>Laptop</v>
      </c>
      <c r="D87" s="4">
        <f>VLOOKUP(A87,'Datos generales'!A:L,6,0)</f>
        <v>1908.41</v>
      </c>
      <c r="E87" s="4">
        <f>VLOOKUP(A87,'Datos generales'!A:L,12,0)</f>
        <v>1908.41</v>
      </c>
      <c r="F87" s="4" t="str">
        <f>VLOOKUP(A87,'Datos generales'!A:L,7,0)</f>
        <v>Electrónica</v>
      </c>
      <c r="G87" s="4">
        <v>2024</v>
      </c>
    </row>
    <row r="88" spans="1:7" x14ac:dyDescent="0.25">
      <c r="A88" t="s">
        <v>98</v>
      </c>
      <c r="B88" s="4">
        <f>VLOOKUP(A88,'Datos generales'!A:L,5,0)</f>
        <v>2</v>
      </c>
      <c r="C88" s="4" t="str">
        <f>VLOOKUP(A88,'Datos generales'!A:L,4,0)</f>
        <v>Impresora</v>
      </c>
      <c r="D88" s="4">
        <f>VLOOKUP(A88,'Datos generales'!A:L,6,0)</f>
        <v>114.6</v>
      </c>
      <c r="E88" s="4">
        <f>VLOOKUP(A88,'Datos generales'!A:L,12,0)</f>
        <v>114.6</v>
      </c>
      <c r="F88" s="4" t="str">
        <f>VLOOKUP(A88,'Datos generales'!A:L,7,0)</f>
        <v>Electrónica</v>
      </c>
      <c r="G88" s="4">
        <v>2024</v>
      </c>
    </row>
    <row r="89" spans="1:7" x14ac:dyDescent="0.25">
      <c r="A89" t="s">
        <v>99</v>
      </c>
      <c r="B89" s="4">
        <f>VLOOKUP(A89,'Datos generales'!A:L,5,0)</f>
        <v>2</v>
      </c>
      <c r="C89" s="4" t="str">
        <f>VLOOKUP(A89,'Datos generales'!A:L,4,0)</f>
        <v>Impresora</v>
      </c>
      <c r="D89" s="4">
        <f>VLOOKUP(A89,'Datos generales'!A:L,6,0)</f>
        <v>595.78</v>
      </c>
      <c r="E89" s="4">
        <f>VLOOKUP(A89,'Datos generales'!A:L,12,0)</f>
        <v>595.78</v>
      </c>
      <c r="F89" s="4" t="str">
        <f>VLOOKUP(A89,'Datos generales'!A:L,7,0)</f>
        <v>Electrónica</v>
      </c>
      <c r="G89" s="4">
        <v>2023</v>
      </c>
    </row>
    <row r="90" spans="1:7" x14ac:dyDescent="0.25">
      <c r="A90" t="s">
        <v>100</v>
      </c>
      <c r="B90" s="4">
        <f>VLOOKUP(A90,'Datos generales'!A:L,5,0)</f>
        <v>2</v>
      </c>
      <c r="C90" s="4" t="str">
        <f>VLOOKUP(A90,'Datos generales'!A:L,4,0)</f>
        <v>Laptop</v>
      </c>
      <c r="D90" s="4">
        <f>VLOOKUP(A90,'Datos generales'!A:L,6,0)</f>
        <v>75.02</v>
      </c>
      <c r="E90" s="4">
        <f>VLOOKUP(A90,'Datos generales'!A:L,12,0)</f>
        <v>75.02</v>
      </c>
      <c r="F90" s="4" t="str">
        <f>VLOOKUP(A90,'Datos generales'!A:L,7,0)</f>
        <v>Electrónica</v>
      </c>
      <c r="G90" s="4">
        <v>2024</v>
      </c>
    </row>
    <row r="91" spans="1:7" x14ac:dyDescent="0.25">
      <c r="A91" t="s">
        <v>101</v>
      </c>
      <c r="B91" s="4">
        <f>VLOOKUP(A91,'Datos generales'!A:L,5,0)</f>
        <v>5</v>
      </c>
      <c r="C91" s="4" t="str">
        <f>VLOOKUP(A91,'Datos generales'!A:L,4,0)</f>
        <v>Webcam</v>
      </c>
      <c r="D91" s="4">
        <f>VLOOKUP(A91,'Datos generales'!A:L,6,0)</f>
        <v>540.91999999999996</v>
      </c>
      <c r="E91" s="4">
        <f>VLOOKUP(A91,'Datos generales'!A:L,12,0)</f>
        <v>540.91999999999996</v>
      </c>
      <c r="F91" s="4" t="str">
        <f>VLOOKUP(A91,'Datos generales'!A:L,7,0)</f>
        <v>Accesorios</v>
      </c>
      <c r="G91" s="4">
        <v>2024</v>
      </c>
    </row>
    <row r="92" spans="1:7" x14ac:dyDescent="0.25">
      <c r="A92" t="s">
        <v>102</v>
      </c>
      <c r="B92" s="4">
        <f>VLOOKUP(A92,'Datos generales'!A:L,5,0)</f>
        <v>2</v>
      </c>
      <c r="C92" s="4" t="str">
        <f>VLOOKUP(A92,'Datos generales'!A:L,4,0)</f>
        <v>Monitor</v>
      </c>
      <c r="D92" s="4">
        <f>VLOOKUP(A92,'Datos generales'!A:L,6,0)</f>
        <v>356.91</v>
      </c>
      <c r="E92" s="4">
        <f>VLOOKUP(A92,'Datos generales'!A:L,12,0)</f>
        <v>356.91</v>
      </c>
      <c r="F92" s="4" t="str">
        <f>VLOOKUP(A92,'Datos generales'!A:L,7,0)</f>
        <v>Electrónica</v>
      </c>
      <c r="G92" s="4">
        <v>2025</v>
      </c>
    </row>
    <row r="93" spans="1:7" x14ac:dyDescent="0.25">
      <c r="A93" t="s">
        <v>103</v>
      </c>
      <c r="B93" s="4">
        <f>VLOOKUP(A93,'Datos generales'!A:L,5,0)</f>
        <v>3</v>
      </c>
      <c r="C93" s="4" t="str">
        <f>VLOOKUP(A93,'Datos generales'!A:L,4,0)</f>
        <v>Audífonos</v>
      </c>
      <c r="D93" s="4">
        <f>VLOOKUP(A93,'Datos generales'!A:L,6,0)</f>
        <v>1135.67</v>
      </c>
      <c r="E93" s="4">
        <f>VLOOKUP(A93,'Datos generales'!A:L,12,0)</f>
        <v>1135.67</v>
      </c>
      <c r="F93" s="4" t="str">
        <f>VLOOKUP(A93,'Datos generales'!A:L,7,0)</f>
        <v>Accesorios</v>
      </c>
      <c r="G93" s="4">
        <v>2025</v>
      </c>
    </row>
    <row r="94" spans="1:7" x14ac:dyDescent="0.25">
      <c r="A94" t="s">
        <v>104</v>
      </c>
      <c r="B94" s="4">
        <f>VLOOKUP(A94,'Datos generales'!A:L,5,0)</f>
        <v>3</v>
      </c>
      <c r="C94" s="4" t="str">
        <f>VLOOKUP(A94,'Datos generales'!A:L,4,0)</f>
        <v>Impresora</v>
      </c>
      <c r="D94" s="4">
        <f>VLOOKUP(A94,'Datos generales'!A:L,6,0)</f>
        <v>805.69</v>
      </c>
      <c r="E94" s="4">
        <f>VLOOKUP(A94,'Datos generales'!A:L,12,0)</f>
        <v>805.69</v>
      </c>
      <c r="F94" s="4" t="str">
        <f>VLOOKUP(A94,'Datos generales'!A:L,7,0)</f>
        <v>Electrónica</v>
      </c>
      <c r="G94" s="4">
        <v>2025</v>
      </c>
    </row>
    <row r="95" spans="1:7" x14ac:dyDescent="0.25">
      <c r="A95" t="s">
        <v>105</v>
      </c>
      <c r="B95" s="4">
        <f>VLOOKUP(A95,'Datos generales'!A:L,5,0)</f>
        <v>2</v>
      </c>
      <c r="C95" s="4" t="str">
        <f>VLOOKUP(A95,'Datos generales'!A:L,4,0)</f>
        <v>Laptop</v>
      </c>
      <c r="D95" s="4">
        <f>VLOOKUP(A95,'Datos generales'!A:L,6,0)</f>
        <v>1259.07</v>
      </c>
      <c r="E95" s="4">
        <f>VLOOKUP(A95,'Datos generales'!A:L,12,0)</f>
        <v>1259.07</v>
      </c>
      <c r="F95" s="4" t="str">
        <f>VLOOKUP(A95,'Datos generales'!A:L,7,0)</f>
        <v>Electrónica</v>
      </c>
      <c r="G95" s="4">
        <v>2023</v>
      </c>
    </row>
    <row r="96" spans="1:7" x14ac:dyDescent="0.25">
      <c r="A96" t="s">
        <v>106</v>
      </c>
      <c r="B96" s="4">
        <f>VLOOKUP(A96,'Datos generales'!A:L,5,0)</f>
        <v>3</v>
      </c>
      <c r="C96" s="4" t="str">
        <f>VLOOKUP(A96,'Datos generales'!A:L,4,0)</f>
        <v>Mouse</v>
      </c>
      <c r="D96" s="4">
        <f>VLOOKUP(A96,'Datos generales'!A:L,6,0)</f>
        <v>600.4</v>
      </c>
      <c r="E96" s="4">
        <f>VLOOKUP(A96,'Datos generales'!A:L,12,0)</f>
        <v>600.4</v>
      </c>
      <c r="F96" s="4" t="str">
        <f>VLOOKUP(A96,'Datos generales'!A:L,7,0)</f>
        <v>Accesorios</v>
      </c>
      <c r="G96" s="4">
        <v>2024</v>
      </c>
    </row>
    <row r="97" spans="1:7" x14ac:dyDescent="0.25">
      <c r="A97" t="s">
        <v>107</v>
      </c>
      <c r="B97" s="4">
        <f>VLOOKUP(A97,'Datos generales'!A:L,5,0)</f>
        <v>2</v>
      </c>
      <c r="C97" s="4" t="str">
        <f>VLOOKUP(A97,'Datos generales'!A:L,4,0)</f>
        <v>Silla Gamer</v>
      </c>
      <c r="D97" s="4">
        <f>VLOOKUP(A97,'Datos generales'!A:L,6,0)</f>
        <v>479.81</v>
      </c>
      <c r="E97" s="4">
        <f>VLOOKUP(A97,'Datos generales'!A:L,12,0)</f>
        <v>479.81</v>
      </c>
      <c r="F97" s="4" t="str">
        <f>VLOOKUP(A97,'Datos generales'!A:L,7,0)</f>
        <v>Muebles</v>
      </c>
      <c r="G97" s="4">
        <v>2024</v>
      </c>
    </row>
    <row r="98" spans="1:7" x14ac:dyDescent="0.25">
      <c r="A98" t="s">
        <v>108</v>
      </c>
      <c r="B98" s="4">
        <f>VLOOKUP(A98,'Datos generales'!A:L,5,0)</f>
        <v>1</v>
      </c>
      <c r="C98" s="4" t="str">
        <f>VLOOKUP(A98,'Datos generales'!A:L,4,0)</f>
        <v>Webcam</v>
      </c>
      <c r="D98" s="4">
        <f>VLOOKUP(A98,'Datos generales'!A:L,6,0)</f>
        <v>1888.86</v>
      </c>
      <c r="E98" s="4">
        <f>VLOOKUP(A98,'Datos generales'!A:L,12,0)</f>
        <v>1888.86</v>
      </c>
      <c r="F98" s="4" t="str">
        <f>VLOOKUP(A98,'Datos generales'!A:L,7,0)</f>
        <v>Accesorios</v>
      </c>
      <c r="G98" s="4">
        <v>2024</v>
      </c>
    </row>
    <row r="99" spans="1:7" x14ac:dyDescent="0.25">
      <c r="A99" t="s">
        <v>109</v>
      </c>
      <c r="B99" s="4">
        <f>VLOOKUP(A99,'Datos generales'!A:L,5,0)</f>
        <v>4</v>
      </c>
      <c r="C99" s="4" t="str">
        <f>VLOOKUP(A99,'Datos generales'!A:L,4,0)</f>
        <v>Laptop</v>
      </c>
      <c r="D99" s="4">
        <f>VLOOKUP(A99,'Datos generales'!A:L,6,0)</f>
        <v>1821.05</v>
      </c>
      <c r="E99" s="4">
        <f>VLOOKUP(A99,'Datos generales'!A:L,12,0)</f>
        <v>1821.05</v>
      </c>
      <c r="F99" s="4" t="str">
        <f>VLOOKUP(A99,'Datos generales'!A:L,7,0)</f>
        <v>Electrónica</v>
      </c>
      <c r="G99" s="4">
        <v>2024</v>
      </c>
    </row>
    <row r="100" spans="1:7" x14ac:dyDescent="0.25">
      <c r="A100" t="s">
        <v>110</v>
      </c>
      <c r="B100" s="4">
        <f>VLOOKUP(A100,'Datos generales'!A:L,5,0)</f>
        <v>3</v>
      </c>
      <c r="C100" s="4" t="str">
        <f>VLOOKUP(A100,'Datos generales'!A:L,4,0)</f>
        <v>Mouse</v>
      </c>
      <c r="D100" s="4">
        <f>VLOOKUP(A100,'Datos generales'!A:L,6,0)</f>
        <v>1537.23</v>
      </c>
      <c r="E100" s="4">
        <f>VLOOKUP(A100,'Datos generales'!A:L,12,0)</f>
        <v>1537.23</v>
      </c>
      <c r="F100" s="4" t="str">
        <f>VLOOKUP(A100,'Datos generales'!A:L,7,0)</f>
        <v>Accesorios</v>
      </c>
      <c r="G100" s="4">
        <v>2025</v>
      </c>
    </row>
    <row r="101" spans="1:7" x14ac:dyDescent="0.25">
      <c r="A101" t="s">
        <v>111</v>
      </c>
      <c r="B101" s="4">
        <f>VLOOKUP(A101,'Datos generales'!A:L,5,0)</f>
        <v>3</v>
      </c>
      <c r="C101" s="4" t="str">
        <f>VLOOKUP(A101,'Datos generales'!A:L,4,0)</f>
        <v>Silla Gamer</v>
      </c>
      <c r="D101" s="4">
        <f>VLOOKUP(A101,'Datos generales'!A:L,6,0)</f>
        <v>311.66000000000003</v>
      </c>
      <c r="E101" s="4">
        <f>VLOOKUP(A101,'Datos generales'!A:L,12,0)</f>
        <v>311.66000000000003</v>
      </c>
      <c r="F101" s="4" t="str">
        <f>VLOOKUP(A101,'Datos generales'!A:L,7,0)</f>
        <v>Muebles</v>
      </c>
      <c r="G101" s="4">
        <v>2024</v>
      </c>
    </row>
    <row r="102" spans="1:7" x14ac:dyDescent="0.25">
      <c r="A102" t="s">
        <v>112</v>
      </c>
      <c r="B102" s="4">
        <f>VLOOKUP(A102,'Datos generales'!A:L,5,0)</f>
        <v>5</v>
      </c>
      <c r="C102" s="4" t="str">
        <f>VLOOKUP(A102,'Datos generales'!A:L,4,0)</f>
        <v>Teclado</v>
      </c>
      <c r="D102" s="4">
        <f>VLOOKUP(A102,'Datos generales'!A:L,6,0)</f>
        <v>149.09</v>
      </c>
      <c r="E102" s="4">
        <f>VLOOKUP(A102,'Datos generales'!A:L,12,0)</f>
        <v>149.09</v>
      </c>
      <c r="F102" s="4" t="str">
        <f>VLOOKUP(A102,'Datos generales'!A:L,7,0)</f>
        <v>Accesorios</v>
      </c>
      <c r="G102" s="4">
        <v>2024</v>
      </c>
    </row>
    <row r="103" spans="1:7" x14ac:dyDescent="0.25">
      <c r="A103" t="s">
        <v>113</v>
      </c>
      <c r="B103" s="4">
        <f>VLOOKUP(A103,'Datos generales'!A:L,5,0)</f>
        <v>5</v>
      </c>
      <c r="C103" s="4" t="str">
        <f>VLOOKUP(A103,'Datos generales'!A:L,4,0)</f>
        <v>Laptop</v>
      </c>
      <c r="D103" s="4">
        <f>VLOOKUP(A103,'Datos generales'!A:L,6,0)</f>
        <v>1885.48</v>
      </c>
      <c r="E103" s="4">
        <f>VLOOKUP(A103,'Datos generales'!A:L,12,0)</f>
        <v>1885.48</v>
      </c>
      <c r="F103" s="4" t="str">
        <f>VLOOKUP(A103,'Datos generales'!A:L,7,0)</f>
        <v>Electrónica</v>
      </c>
      <c r="G103" s="4">
        <v>2023</v>
      </c>
    </row>
    <row r="104" spans="1:7" x14ac:dyDescent="0.25">
      <c r="A104" t="s">
        <v>114</v>
      </c>
      <c r="B104" s="4">
        <f>VLOOKUP(A104,'Datos generales'!A:L,5,0)</f>
        <v>3</v>
      </c>
      <c r="C104" s="4" t="str">
        <f>VLOOKUP(A104,'Datos generales'!A:L,4,0)</f>
        <v>Webcam</v>
      </c>
      <c r="D104" s="4">
        <f>VLOOKUP(A104,'Datos generales'!A:L,6,0)</f>
        <v>1591.92</v>
      </c>
      <c r="E104" s="4">
        <f>VLOOKUP(A104,'Datos generales'!A:L,12,0)</f>
        <v>1591.92</v>
      </c>
      <c r="F104" s="4" t="str">
        <f>VLOOKUP(A104,'Datos generales'!A:L,7,0)</f>
        <v>Accesorios</v>
      </c>
      <c r="G104" s="4">
        <v>2023</v>
      </c>
    </row>
    <row r="105" spans="1:7" x14ac:dyDescent="0.25">
      <c r="A105" t="s">
        <v>115</v>
      </c>
      <c r="B105" s="4">
        <f>VLOOKUP(A105,'Datos generales'!A:L,5,0)</f>
        <v>5</v>
      </c>
      <c r="C105" s="4" t="str">
        <f>VLOOKUP(A105,'Datos generales'!A:L,4,0)</f>
        <v>Webcam</v>
      </c>
      <c r="D105" s="4">
        <f>VLOOKUP(A105,'Datos generales'!A:L,6,0)</f>
        <v>1383.33</v>
      </c>
      <c r="E105" s="4">
        <f>VLOOKUP(A105,'Datos generales'!A:L,12,0)</f>
        <v>1383.33</v>
      </c>
      <c r="F105" s="4" t="str">
        <f>VLOOKUP(A105,'Datos generales'!A:L,7,0)</f>
        <v>Accesorios</v>
      </c>
      <c r="G105" s="4">
        <v>2025</v>
      </c>
    </row>
    <row r="106" spans="1:7" x14ac:dyDescent="0.25">
      <c r="A106" t="s">
        <v>116</v>
      </c>
      <c r="B106" s="4">
        <f>VLOOKUP(A106,'Datos generales'!A:L,5,0)</f>
        <v>2</v>
      </c>
      <c r="C106" s="4" t="str">
        <f>VLOOKUP(A106,'Datos generales'!A:L,4,0)</f>
        <v>Silla Gamer</v>
      </c>
      <c r="D106" s="4">
        <f>VLOOKUP(A106,'Datos generales'!A:L,6,0)</f>
        <v>1051.23</v>
      </c>
      <c r="E106" s="4">
        <f>VLOOKUP(A106,'Datos generales'!A:L,12,0)</f>
        <v>1051.23</v>
      </c>
      <c r="F106" s="4" t="str">
        <f>VLOOKUP(A106,'Datos generales'!A:L,7,0)</f>
        <v>Muebles</v>
      </c>
      <c r="G106" s="4">
        <v>2025</v>
      </c>
    </row>
    <row r="107" spans="1:7" x14ac:dyDescent="0.25">
      <c r="A107" t="s">
        <v>117</v>
      </c>
      <c r="B107" s="4">
        <f>VLOOKUP(A107,'Datos generales'!A:L,5,0)</f>
        <v>4</v>
      </c>
      <c r="C107" s="4" t="str">
        <f>VLOOKUP(A107,'Datos generales'!A:L,4,0)</f>
        <v>Audífonos</v>
      </c>
      <c r="D107" s="4">
        <f>VLOOKUP(A107,'Datos generales'!A:L,6,0)</f>
        <v>1274.46</v>
      </c>
      <c r="E107" s="4">
        <f>VLOOKUP(A107,'Datos generales'!A:L,12,0)</f>
        <v>1274.46</v>
      </c>
      <c r="F107" s="4" t="str">
        <f>VLOOKUP(A107,'Datos generales'!A:L,7,0)</f>
        <v>Accesorios</v>
      </c>
      <c r="G107" s="4">
        <v>2023</v>
      </c>
    </row>
    <row r="108" spans="1:7" x14ac:dyDescent="0.25">
      <c r="A108" t="s">
        <v>118</v>
      </c>
      <c r="B108" s="4">
        <f>VLOOKUP(A108,'Datos generales'!A:L,5,0)</f>
        <v>1</v>
      </c>
      <c r="C108" s="4" t="str">
        <f>VLOOKUP(A108,'Datos generales'!A:L,4,0)</f>
        <v>Monitor</v>
      </c>
      <c r="D108" s="4">
        <f>VLOOKUP(A108,'Datos generales'!A:L,6,0)</f>
        <v>1251.08</v>
      </c>
      <c r="E108" s="4">
        <f>VLOOKUP(A108,'Datos generales'!A:L,12,0)</f>
        <v>1251.08</v>
      </c>
      <c r="F108" s="4" t="str">
        <f>VLOOKUP(A108,'Datos generales'!A:L,7,0)</f>
        <v>Electrónica</v>
      </c>
      <c r="G108" s="4">
        <v>2025</v>
      </c>
    </row>
    <row r="109" spans="1:7" x14ac:dyDescent="0.25">
      <c r="A109" t="s">
        <v>119</v>
      </c>
      <c r="B109" s="4">
        <f>VLOOKUP(A109,'Datos generales'!A:L,5,0)</f>
        <v>5</v>
      </c>
      <c r="C109" s="4" t="str">
        <f>VLOOKUP(A109,'Datos generales'!A:L,4,0)</f>
        <v>Audífonos</v>
      </c>
      <c r="D109" s="4">
        <f>VLOOKUP(A109,'Datos generales'!A:L,6,0)</f>
        <v>1582.2</v>
      </c>
      <c r="E109" s="4">
        <f>VLOOKUP(A109,'Datos generales'!A:L,12,0)</f>
        <v>1582.2</v>
      </c>
      <c r="F109" s="4" t="str">
        <f>VLOOKUP(A109,'Datos generales'!A:L,7,0)</f>
        <v>Accesorios</v>
      </c>
      <c r="G109" s="4">
        <v>2025</v>
      </c>
    </row>
    <row r="110" spans="1:7" x14ac:dyDescent="0.25">
      <c r="A110" t="s">
        <v>120</v>
      </c>
      <c r="B110" s="4">
        <f>VLOOKUP(A110,'Datos generales'!A:L,5,0)</f>
        <v>1</v>
      </c>
      <c r="C110" s="4" t="str">
        <f>VLOOKUP(A110,'Datos generales'!A:L,4,0)</f>
        <v>Silla Gamer</v>
      </c>
      <c r="D110" s="4">
        <f>VLOOKUP(A110,'Datos generales'!A:L,6,0)</f>
        <v>81.92</v>
      </c>
      <c r="E110" s="4">
        <f>VLOOKUP(A110,'Datos generales'!A:L,12,0)</f>
        <v>81.92</v>
      </c>
      <c r="F110" s="4" t="str">
        <f>VLOOKUP(A110,'Datos generales'!A:L,7,0)</f>
        <v>Muebles</v>
      </c>
      <c r="G110" s="4">
        <v>2023</v>
      </c>
    </row>
    <row r="111" spans="1:7" x14ac:dyDescent="0.25">
      <c r="A111" t="s">
        <v>121</v>
      </c>
      <c r="B111" s="4">
        <f>VLOOKUP(A111,'Datos generales'!A:L,5,0)</f>
        <v>1</v>
      </c>
      <c r="C111" s="4" t="str">
        <f>VLOOKUP(A111,'Datos generales'!A:L,4,0)</f>
        <v>Mouse</v>
      </c>
      <c r="D111" s="4">
        <f>VLOOKUP(A111,'Datos generales'!A:L,6,0)</f>
        <v>1153.31</v>
      </c>
      <c r="E111" s="4">
        <f>VLOOKUP(A111,'Datos generales'!A:L,12,0)</f>
        <v>1153.31</v>
      </c>
      <c r="F111" s="4" t="str">
        <f>VLOOKUP(A111,'Datos generales'!A:L,7,0)</f>
        <v>Accesorios</v>
      </c>
      <c r="G111" s="4">
        <v>2024</v>
      </c>
    </row>
    <row r="112" spans="1:7" x14ac:dyDescent="0.25">
      <c r="A112" t="s">
        <v>122</v>
      </c>
      <c r="B112" s="4">
        <f>VLOOKUP(A112,'Datos generales'!A:L,5,0)</f>
        <v>3</v>
      </c>
      <c r="C112" s="4" t="str">
        <f>VLOOKUP(A112,'Datos generales'!A:L,4,0)</f>
        <v>Mouse</v>
      </c>
      <c r="D112" s="4">
        <f>VLOOKUP(A112,'Datos generales'!A:L,6,0)</f>
        <v>1078.08</v>
      </c>
      <c r="E112" s="4">
        <f>VLOOKUP(A112,'Datos generales'!A:L,12,0)</f>
        <v>1078.08</v>
      </c>
      <c r="F112" s="4" t="str">
        <f>VLOOKUP(A112,'Datos generales'!A:L,7,0)</f>
        <v>Accesorios</v>
      </c>
      <c r="G112" s="4">
        <v>2025</v>
      </c>
    </row>
    <row r="113" spans="1:7" x14ac:dyDescent="0.25">
      <c r="A113" t="s">
        <v>123</v>
      </c>
      <c r="B113" s="4">
        <f>VLOOKUP(A113,'Datos generales'!A:L,5,0)</f>
        <v>1</v>
      </c>
      <c r="C113" s="4" t="str">
        <f>VLOOKUP(A113,'Datos generales'!A:L,4,0)</f>
        <v>Impresora</v>
      </c>
      <c r="D113" s="4">
        <f>VLOOKUP(A113,'Datos generales'!A:L,6,0)</f>
        <v>201.91</v>
      </c>
      <c r="E113" s="4">
        <f>VLOOKUP(A113,'Datos generales'!A:L,12,0)</f>
        <v>201.91</v>
      </c>
      <c r="F113" s="4" t="str">
        <f>VLOOKUP(A113,'Datos generales'!A:L,7,0)</f>
        <v>Electrónica</v>
      </c>
      <c r="G113" s="4">
        <v>2024</v>
      </c>
    </row>
    <row r="114" spans="1:7" x14ac:dyDescent="0.25">
      <c r="A114" t="s">
        <v>124</v>
      </c>
      <c r="B114" s="4">
        <f>VLOOKUP(A114,'Datos generales'!A:L,5,0)</f>
        <v>3</v>
      </c>
      <c r="C114" s="4" t="str">
        <f>VLOOKUP(A114,'Datos generales'!A:L,4,0)</f>
        <v>Webcam</v>
      </c>
      <c r="D114" s="4">
        <f>VLOOKUP(A114,'Datos generales'!A:L,6,0)</f>
        <v>727.36</v>
      </c>
      <c r="E114" s="4">
        <f>VLOOKUP(A114,'Datos generales'!A:L,12,0)</f>
        <v>727.36</v>
      </c>
      <c r="F114" s="4" t="str">
        <f>VLOOKUP(A114,'Datos generales'!A:L,7,0)</f>
        <v>Accesorios</v>
      </c>
      <c r="G114" s="4">
        <v>2024</v>
      </c>
    </row>
    <row r="115" spans="1:7" x14ac:dyDescent="0.25">
      <c r="A115" t="s">
        <v>125</v>
      </c>
      <c r="B115" s="4">
        <f>VLOOKUP(A115,'Datos generales'!A:L,5,0)</f>
        <v>3</v>
      </c>
      <c r="C115" s="4" t="str">
        <f>VLOOKUP(A115,'Datos generales'!A:L,4,0)</f>
        <v>Audífonos</v>
      </c>
      <c r="D115" s="4">
        <f>VLOOKUP(A115,'Datos generales'!A:L,6,0)</f>
        <v>1645.43</v>
      </c>
      <c r="E115" s="4">
        <f>VLOOKUP(A115,'Datos generales'!A:L,12,0)</f>
        <v>1645.43</v>
      </c>
      <c r="F115" s="4" t="str">
        <f>VLOOKUP(A115,'Datos generales'!A:L,7,0)</f>
        <v>Accesorios</v>
      </c>
      <c r="G115" s="4">
        <v>2023</v>
      </c>
    </row>
    <row r="116" spans="1:7" x14ac:dyDescent="0.25">
      <c r="A116" t="s">
        <v>126</v>
      </c>
      <c r="B116" s="4">
        <f>VLOOKUP(A116,'Datos generales'!A:L,5,0)</f>
        <v>3</v>
      </c>
      <c r="C116" s="4" t="str">
        <f>VLOOKUP(A116,'Datos generales'!A:L,4,0)</f>
        <v>Laptop</v>
      </c>
      <c r="D116" s="4">
        <f>VLOOKUP(A116,'Datos generales'!A:L,6,0)</f>
        <v>420.05</v>
      </c>
      <c r="E116" s="4">
        <f>VLOOKUP(A116,'Datos generales'!A:L,12,0)</f>
        <v>420.05</v>
      </c>
      <c r="F116" s="4" t="str">
        <f>VLOOKUP(A116,'Datos generales'!A:L,7,0)</f>
        <v>Electrónica</v>
      </c>
      <c r="G116" s="4">
        <v>2024</v>
      </c>
    </row>
    <row r="117" spans="1:7" x14ac:dyDescent="0.25">
      <c r="A117" t="s">
        <v>127</v>
      </c>
      <c r="B117" s="4">
        <f>VLOOKUP(A117,'Datos generales'!A:L,5,0)</f>
        <v>4</v>
      </c>
      <c r="C117" s="4" t="str">
        <f>VLOOKUP(A117,'Datos generales'!A:L,4,0)</f>
        <v>Silla Gamer</v>
      </c>
      <c r="D117" s="4">
        <f>VLOOKUP(A117,'Datos generales'!A:L,6,0)</f>
        <v>496.9</v>
      </c>
      <c r="E117" s="4">
        <f>VLOOKUP(A117,'Datos generales'!A:L,12,0)</f>
        <v>496.9</v>
      </c>
      <c r="F117" s="4" t="str">
        <f>VLOOKUP(A117,'Datos generales'!A:L,7,0)</f>
        <v>Muebles</v>
      </c>
      <c r="G117" s="4">
        <v>2024</v>
      </c>
    </row>
    <row r="118" spans="1:7" x14ac:dyDescent="0.25">
      <c r="A118" t="s">
        <v>128</v>
      </c>
      <c r="B118" s="4">
        <f>VLOOKUP(A118,'Datos generales'!A:L,5,0)</f>
        <v>2</v>
      </c>
      <c r="C118" s="4" t="str">
        <f>VLOOKUP(A118,'Datos generales'!A:L,4,0)</f>
        <v>Teclado</v>
      </c>
      <c r="D118" s="4">
        <f>VLOOKUP(A118,'Datos generales'!A:L,6,0)</f>
        <v>721.56</v>
      </c>
      <c r="E118" s="4">
        <f>VLOOKUP(A118,'Datos generales'!A:L,12,0)</f>
        <v>721.56</v>
      </c>
      <c r="F118" s="4" t="str">
        <f>VLOOKUP(A118,'Datos generales'!A:L,7,0)</f>
        <v>Accesorios</v>
      </c>
      <c r="G118" s="4">
        <v>2023</v>
      </c>
    </row>
    <row r="119" spans="1:7" x14ac:dyDescent="0.25">
      <c r="A119" t="s">
        <v>129</v>
      </c>
      <c r="B119" s="4">
        <f>VLOOKUP(A119,'Datos generales'!A:L,5,0)</f>
        <v>4</v>
      </c>
      <c r="C119" s="4" t="str">
        <f>VLOOKUP(A119,'Datos generales'!A:L,4,0)</f>
        <v>Audífonos</v>
      </c>
      <c r="D119" s="4">
        <f>VLOOKUP(A119,'Datos generales'!A:L,6,0)</f>
        <v>1353.9</v>
      </c>
      <c r="E119" s="4">
        <f>VLOOKUP(A119,'Datos generales'!A:L,12,0)</f>
        <v>1353.9</v>
      </c>
      <c r="F119" s="4" t="str">
        <f>VLOOKUP(A119,'Datos generales'!A:L,7,0)</f>
        <v>Accesorios</v>
      </c>
      <c r="G119" s="4">
        <v>2023</v>
      </c>
    </row>
    <row r="120" spans="1:7" x14ac:dyDescent="0.25">
      <c r="A120" t="s">
        <v>130</v>
      </c>
      <c r="B120" s="4">
        <f>VLOOKUP(A120,'Datos generales'!A:L,5,0)</f>
        <v>2</v>
      </c>
      <c r="C120" s="4" t="str">
        <f>VLOOKUP(A120,'Datos generales'!A:L,4,0)</f>
        <v>Impresora</v>
      </c>
      <c r="D120" s="4">
        <f>VLOOKUP(A120,'Datos generales'!A:L,6,0)</f>
        <v>429.52</v>
      </c>
      <c r="E120" s="4">
        <f>VLOOKUP(A120,'Datos generales'!A:L,12,0)</f>
        <v>429.52</v>
      </c>
      <c r="F120" s="4" t="str">
        <f>VLOOKUP(A120,'Datos generales'!A:L,7,0)</f>
        <v>Electrónica</v>
      </c>
      <c r="G120" s="4">
        <v>2024</v>
      </c>
    </row>
    <row r="121" spans="1:7" x14ac:dyDescent="0.25">
      <c r="A121" t="s">
        <v>131</v>
      </c>
      <c r="B121" s="4">
        <f>VLOOKUP(A121,'Datos generales'!A:L,5,0)</f>
        <v>2</v>
      </c>
      <c r="C121" s="4" t="str">
        <f>VLOOKUP(A121,'Datos generales'!A:L,4,0)</f>
        <v>Silla Gamer</v>
      </c>
      <c r="D121" s="4">
        <f>VLOOKUP(A121,'Datos generales'!A:L,6,0)</f>
        <v>1824.96</v>
      </c>
      <c r="E121" s="4">
        <f>VLOOKUP(A121,'Datos generales'!A:L,12,0)</f>
        <v>1824.96</v>
      </c>
      <c r="F121" s="4" t="str">
        <f>VLOOKUP(A121,'Datos generales'!A:L,7,0)</f>
        <v>Muebles</v>
      </c>
      <c r="G121" s="4">
        <v>2024</v>
      </c>
    </row>
    <row r="122" spans="1:7" x14ac:dyDescent="0.25">
      <c r="A122" t="s">
        <v>132</v>
      </c>
      <c r="B122" s="4">
        <f>VLOOKUP(A122,'Datos generales'!A:L,5,0)</f>
        <v>5</v>
      </c>
      <c r="C122" s="4" t="str">
        <f>VLOOKUP(A122,'Datos generales'!A:L,4,0)</f>
        <v>Mouse</v>
      </c>
      <c r="D122" s="4">
        <f>VLOOKUP(A122,'Datos generales'!A:L,6,0)</f>
        <v>1059.81</v>
      </c>
      <c r="E122" s="4">
        <f>VLOOKUP(A122,'Datos generales'!A:L,12,0)</f>
        <v>1059.81</v>
      </c>
      <c r="F122" s="4" t="str">
        <f>VLOOKUP(A122,'Datos generales'!A:L,7,0)</f>
        <v>Accesorios</v>
      </c>
      <c r="G122" s="4">
        <v>2024</v>
      </c>
    </row>
    <row r="123" spans="1:7" x14ac:dyDescent="0.25">
      <c r="A123" t="s">
        <v>133</v>
      </c>
      <c r="B123" s="4">
        <f>VLOOKUP(A123,'Datos generales'!A:L,5,0)</f>
        <v>4</v>
      </c>
      <c r="C123" s="4" t="str">
        <f>VLOOKUP(A123,'Datos generales'!A:L,4,0)</f>
        <v>Silla Gamer</v>
      </c>
      <c r="D123" s="4">
        <f>VLOOKUP(A123,'Datos generales'!A:L,6,0)</f>
        <v>46.39</v>
      </c>
      <c r="E123" s="4">
        <f>VLOOKUP(A123,'Datos generales'!A:L,12,0)</f>
        <v>46.39</v>
      </c>
      <c r="F123" s="4" t="str">
        <f>VLOOKUP(A123,'Datos generales'!A:L,7,0)</f>
        <v>Muebles</v>
      </c>
      <c r="G123" s="4">
        <v>2023</v>
      </c>
    </row>
    <row r="124" spans="1:7" x14ac:dyDescent="0.25">
      <c r="A124" t="s">
        <v>134</v>
      </c>
      <c r="B124" s="4">
        <f>VLOOKUP(A124,'Datos generales'!A:L,5,0)</f>
        <v>1</v>
      </c>
      <c r="C124" s="4" t="str">
        <f>VLOOKUP(A124,'Datos generales'!A:L,4,0)</f>
        <v>Laptop</v>
      </c>
      <c r="D124" s="4">
        <f>VLOOKUP(A124,'Datos generales'!A:L,6,0)</f>
        <v>754.07</v>
      </c>
      <c r="E124" s="4">
        <f>VLOOKUP(A124,'Datos generales'!A:L,12,0)</f>
        <v>754.07</v>
      </c>
      <c r="F124" s="4" t="str">
        <f>VLOOKUP(A124,'Datos generales'!A:L,7,0)</f>
        <v>Electrónica</v>
      </c>
      <c r="G124" s="4">
        <v>2023</v>
      </c>
    </row>
    <row r="125" spans="1:7" x14ac:dyDescent="0.25">
      <c r="A125" t="s">
        <v>135</v>
      </c>
      <c r="B125" s="4">
        <f>VLOOKUP(A125,'Datos generales'!A:L,5,0)</f>
        <v>1</v>
      </c>
      <c r="C125" s="4" t="str">
        <f>VLOOKUP(A125,'Datos generales'!A:L,4,0)</f>
        <v>Audífonos</v>
      </c>
      <c r="D125" s="4">
        <f>VLOOKUP(A125,'Datos generales'!A:L,6,0)</f>
        <v>1681.02</v>
      </c>
      <c r="E125" s="4">
        <f>VLOOKUP(A125,'Datos generales'!A:L,12,0)</f>
        <v>1681.02</v>
      </c>
      <c r="F125" s="4" t="str">
        <f>VLOOKUP(A125,'Datos generales'!A:L,7,0)</f>
        <v>Accesorios</v>
      </c>
      <c r="G125" s="4">
        <v>2025</v>
      </c>
    </row>
    <row r="126" spans="1:7" x14ac:dyDescent="0.25">
      <c r="A126" t="s">
        <v>136</v>
      </c>
      <c r="B126" s="4">
        <f>VLOOKUP(A126,'Datos generales'!A:L,5,0)</f>
        <v>2</v>
      </c>
      <c r="C126" s="4" t="str">
        <f>VLOOKUP(A126,'Datos generales'!A:L,4,0)</f>
        <v>Monitor</v>
      </c>
      <c r="D126" s="4">
        <f>VLOOKUP(A126,'Datos generales'!A:L,6,0)</f>
        <v>1198.72</v>
      </c>
      <c r="E126" s="4">
        <f>VLOOKUP(A126,'Datos generales'!A:L,12,0)</f>
        <v>1198.72</v>
      </c>
      <c r="F126" s="4" t="str">
        <f>VLOOKUP(A126,'Datos generales'!A:L,7,0)</f>
        <v>Electrónica</v>
      </c>
      <c r="G126" s="4">
        <v>2025</v>
      </c>
    </row>
    <row r="127" spans="1:7" x14ac:dyDescent="0.25">
      <c r="A127" t="s">
        <v>137</v>
      </c>
      <c r="B127" s="4">
        <f>VLOOKUP(A127,'Datos generales'!A:L,5,0)</f>
        <v>2</v>
      </c>
      <c r="C127" s="4" t="str">
        <f>VLOOKUP(A127,'Datos generales'!A:L,4,0)</f>
        <v>Audífonos</v>
      </c>
      <c r="D127" s="4">
        <f>VLOOKUP(A127,'Datos generales'!A:L,6,0)</f>
        <v>1040.2</v>
      </c>
      <c r="E127" s="4">
        <f>VLOOKUP(A127,'Datos generales'!A:L,12,0)</f>
        <v>1040.2</v>
      </c>
      <c r="F127" s="4" t="str">
        <f>VLOOKUP(A127,'Datos generales'!A:L,7,0)</f>
        <v>Accesorios</v>
      </c>
      <c r="G127" s="4">
        <v>2023</v>
      </c>
    </row>
    <row r="128" spans="1:7" x14ac:dyDescent="0.25">
      <c r="A128" t="s">
        <v>138</v>
      </c>
      <c r="B128" s="4">
        <f>VLOOKUP(A128,'Datos generales'!A:L,5,0)</f>
        <v>3</v>
      </c>
      <c r="C128" s="4" t="str">
        <f>VLOOKUP(A128,'Datos generales'!A:L,4,0)</f>
        <v>Teclado</v>
      </c>
      <c r="D128" s="4">
        <f>VLOOKUP(A128,'Datos generales'!A:L,6,0)</f>
        <v>107.53</v>
      </c>
      <c r="E128" s="4">
        <f>VLOOKUP(A128,'Datos generales'!A:L,12,0)</f>
        <v>107.53</v>
      </c>
      <c r="F128" s="4" t="str">
        <f>VLOOKUP(A128,'Datos generales'!A:L,7,0)</f>
        <v>Accesorios</v>
      </c>
      <c r="G128" s="4">
        <v>2025</v>
      </c>
    </row>
    <row r="129" spans="1:7" x14ac:dyDescent="0.25">
      <c r="A129" t="s">
        <v>139</v>
      </c>
      <c r="B129" s="4">
        <f>VLOOKUP(A129,'Datos generales'!A:L,5,0)</f>
        <v>4</v>
      </c>
      <c r="C129" s="4" t="str">
        <f>VLOOKUP(A129,'Datos generales'!A:L,4,0)</f>
        <v>Impresora</v>
      </c>
      <c r="D129" s="4">
        <f>VLOOKUP(A129,'Datos generales'!A:L,6,0)</f>
        <v>380.66</v>
      </c>
      <c r="E129" s="4">
        <f>VLOOKUP(A129,'Datos generales'!A:L,12,0)</f>
        <v>380.66</v>
      </c>
      <c r="F129" s="4" t="str">
        <f>VLOOKUP(A129,'Datos generales'!A:L,7,0)</f>
        <v>Electrónica</v>
      </c>
      <c r="G129" s="4">
        <v>2025</v>
      </c>
    </row>
    <row r="130" spans="1:7" x14ac:dyDescent="0.25">
      <c r="A130" t="s">
        <v>140</v>
      </c>
      <c r="B130" s="4">
        <f>VLOOKUP(A130,'Datos generales'!A:L,5,0)</f>
        <v>2</v>
      </c>
      <c r="C130" s="4" t="str">
        <f>VLOOKUP(A130,'Datos generales'!A:L,4,0)</f>
        <v>Monitor</v>
      </c>
      <c r="D130" s="4">
        <f>VLOOKUP(A130,'Datos generales'!A:L,6,0)</f>
        <v>700.11</v>
      </c>
      <c r="E130" s="4">
        <f>VLOOKUP(A130,'Datos generales'!A:L,12,0)</f>
        <v>700.11</v>
      </c>
      <c r="F130" s="4" t="str">
        <f>VLOOKUP(A130,'Datos generales'!A:L,7,0)</f>
        <v>Electrónica</v>
      </c>
      <c r="G130" s="4">
        <v>2025</v>
      </c>
    </row>
    <row r="131" spans="1:7" x14ac:dyDescent="0.25">
      <c r="A131" t="s">
        <v>141</v>
      </c>
      <c r="B131" s="4">
        <f>VLOOKUP(A131,'Datos generales'!A:L,5,0)</f>
        <v>5</v>
      </c>
      <c r="C131" s="4" t="str">
        <f>VLOOKUP(A131,'Datos generales'!A:L,4,0)</f>
        <v>Impresora</v>
      </c>
      <c r="D131" s="4">
        <f>VLOOKUP(A131,'Datos generales'!A:L,6,0)</f>
        <v>358.48</v>
      </c>
      <c r="E131" s="4">
        <f>VLOOKUP(A131,'Datos generales'!A:L,12,0)</f>
        <v>358.48</v>
      </c>
      <c r="F131" s="4" t="str">
        <f>VLOOKUP(A131,'Datos generales'!A:L,7,0)</f>
        <v>Electrónica</v>
      </c>
      <c r="G131" s="4">
        <v>2023</v>
      </c>
    </row>
    <row r="132" spans="1:7" x14ac:dyDescent="0.25">
      <c r="A132" t="s">
        <v>142</v>
      </c>
      <c r="B132" s="4">
        <f>VLOOKUP(A132,'Datos generales'!A:L,5,0)</f>
        <v>4</v>
      </c>
      <c r="C132" s="4" t="str">
        <f>VLOOKUP(A132,'Datos generales'!A:L,4,0)</f>
        <v>Silla Gamer</v>
      </c>
      <c r="D132" s="4">
        <f>VLOOKUP(A132,'Datos generales'!A:L,6,0)</f>
        <v>746.6</v>
      </c>
      <c r="E132" s="4">
        <f>VLOOKUP(A132,'Datos generales'!A:L,12,0)</f>
        <v>746.6</v>
      </c>
      <c r="F132" s="4" t="str">
        <f>VLOOKUP(A132,'Datos generales'!A:L,7,0)</f>
        <v>Muebles</v>
      </c>
      <c r="G132" s="4">
        <v>2024</v>
      </c>
    </row>
    <row r="133" spans="1:7" x14ac:dyDescent="0.25">
      <c r="A133" t="s">
        <v>143</v>
      </c>
      <c r="B133" s="4">
        <f>VLOOKUP(A133,'Datos generales'!A:L,5,0)</f>
        <v>1</v>
      </c>
      <c r="C133" s="4" t="str">
        <f>VLOOKUP(A133,'Datos generales'!A:L,4,0)</f>
        <v>Laptop</v>
      </c>
      <c r="D133" s="4">
        <f>VLOOKUP(A133,'Datos generales'!A:L,6,0)</f>
        <v>751.43</v>
      </c>
      <c r="E133" s="4">
        <f>VLOOKUP(A133,'Datos generales'!A:L,12,0)</f>
        <v>751.43</v>
      </c>
      <c r="F133" s="4" t="str">
        <f>VLOOKUP(A133,'Datos generales'!A:L,7,0)</f>
        <v>Electrónica</v>
      </c>
      <c r="G133" s="4">
        <v>2024</v>
      </c>
    </row>
    <row r="134" spans="1:7" x14ac:dyDescent="0.25">
      <c r="A134" t="s">
        <v>144</v>
      </c>
      <c r="B134" s="4">
        <f>VLOOKUP(A134,'Datos generales'!A:L,5,0)</f>
        <v>5</v>
      </c>
      <c r="C134" s="4" t="str">
        <f>VLOOKUP(A134,'Datos generales'!A:L,4,0)</f>
        <v>Mouse</v>
      </c>
      <c r="D134" s="4">
        <f>VLOOKUP(A134,'Datos generales'!A:L,6,0)</f>
        <v>1109.08</v>
      </c>
      <c r="E134" s="4">
        <f>VLOOKUP(A134,'Datos generales'!A:L,12,0)</f>
        <v>1109.08</v>
      </c>
      <c r="F134" s="4" t="str">
        <f>VLOOKUP(A134,'Datos generales'!A:L,7,0)</f>
        <v>Accesorios</v>
      </c>
      <c r="G134" s="4">
        <v>2023</v>
      </c>
    </row>
    <row r="135" spans="1:7" x14ac:dyDescent="0.25">
      <c r="A135" t="s">
        <v>145</v>
      </c>
      <c r="B135" s="4">
        <f>VLOOKUP(A135,'Datos generales'!A:L,5,0)</f>
        <v>5</v>
      </c>
      <c r="C135" s="4" t="str">
        <f>VLOOKUP(A135,'Datos generales'!A:L,4,0)</f>
        <v>Monitor</v>
      </c>
      <c r="D135" s="4">
        <f>VLOOKUP(A135,'Datos generales'!A:L,6,0)</f>
        <v>642.74</v>
      </c>
      <c r="E135" s="4">
        <f>VLOOKUP(A135,'Datos generales'!A:L,12,0)</f>
        <v>642.74</v>
      </c>
      <c r="F135" s="4" t="str">
        <f>VLOOKUP(A135,'Datos generales'!A:L,7,0)</f>
        <v>Electrónica</v>
      </c>
      <c r="G135" s="4">
        <v>2024</v>
      </c>
    </row>
    <row r="136" spans="1:7" x14ac:dyDescent="0.25">
      <c r="A136" t="s">
        <v>146</v>
      </c>
      <c r="B136" s="4">
        <f>VLOOKUP(A136,'Datos generales'!A:L,5,0)</f>
        <v>5</v>
      </c>
      <c r="C136" s="4" t="str">
        <f>VLOOKUP(A136,'Datos generales'!A:L,4,0)</f>
        <v>Audífonos</v>
      </c>
      <c r="D136" s="4">
        <f>VLOOKUP(A136,'Datos generales'!A:L,6,0)</f>
        <v>245.73</v>
      </c>
      <c r="E136" s="4">
        <f>VLOOKUP(A136,'Datos generales'!A:L,12,0)</f>
        <v>245.73</v>
      </c>
      <c r="F136" s="4" t="str">
        <f>VLOOKUP(A136,'Datos generales'!A:L,7,0)</f>
        <v>Accesorios</v>
      </c>
      <c r="G136" s="4">
        <v>2024</v>
      </c>
    </row>
    <row r="137" spans="1:7" x14ac:dyDescent="0.25">
      <c r="A137" t="s">
        <v>147</v>
      </c>
      <c r="B137" s="4">
        <f>VLOOKUP(A137,'Datos generales'!A:L,5,0)</f>
        <v>3</v>
      </c>
      <c r="C137" s="4" t="str">
        <f>VLOOKUP(A137,'Datos generales'!A:L,4,0)</f>
        <v>Webcam</v>
      </c>
      <c r="D137" s="4">
        <f>VLOOKUP(A137,'Datos generales'!A:L,6,0)</f>
        <v>1782.13</v>
      </c>
      <c r="E137" s="4">
        <f>VLOOKUP(A137,'Datos generales'!A:L,12,0)</f>
        <v>1782.13</v>
      </c>
      <c r="F137" s="4" t="str">
        <f>VLOOKUP(A137,'Datos generales'!A:L,7,0)</f>
        <v>Accesorios</v>
      </c>
      <c r="G137" s="4">
        <v>2023</v>
      </c>
    </row>
    <row r="138" spans="1:7" x14ac:dyDescent="0.25">
      <c r="A138" t="s">
        <v>148</v>
      </c>
      <c r="B138" s="4">
        <f>VLOOKUP(A138,'Datos generales'!A:L,5,0)</f>
        <v>5</v>
      </c>
      <c r="C138" s="4" t="str">
        <f>VLOOKUP(A138,'Datos generales'!A:L,4,0)</f>
        <v>Impresora</v>
      </c>
      <c r="D138" s="4">
        <f>VLOOKUP(A138,'Datos generales'!A:L,6,0)</f>
        <v>1137.1400000000001</v>
      </c>
      <c r="E138" s="4">
        <f>VLOOKUP(A138,'Datos generales'!A:L,12,0)</f>
        <v>1137.1400000000001</v>
      </c>
      <c r="F138" s="4" t="str">
        <f>VLOOKUP(A138,'Datos generales'!A:L,7,0)</f>
        <v>Electrónica</v>
      </c>
      <c r="G138" s="4">
        <v>2024</v>
      </c>
    </row>
    <row r="139" spans="1:7" x14ac:dyDescent="0.25">
      <c r="A139" t="s">
        <v>149</v>
      </c>
      <c r="B139" s="4">
        <f>VLOOKUP(A139,'Datos generales'!A:L,5,0)</f>
        <v>4</v>
      </c>
      <c r="C139" s="4" t="str">
        <f>VLOOKUP(A139,'Datos generales'!A:L,4,0)</f>
        <v>Teclado</v>
      </c>
      <c r="D139" s="4">
        <f>VLOOKUP(A139,'Datos generales'!A:L,6,0)</f>
        <v>966.72</v>
      </c>
      <c r="E139" s="4">
        <f>VLOOKUP(A139,'Datos generales'!A:L,12,0)</f>
        <v>966.72</v>
      </c>
      <c r="F139" s="4" t="str">
        <f>VLOOKUP(A139,'Datos generales'!A:L,7,0)</f>
        <v>Accesorios</v>
      </c>
      <c r="G139" s="4">
        <v>2024</v>
      </c>
    </row>
    <row r="140" spans="1:7" x14ac:dyDescent="0.25">
      <c r="A140" t="s">
        <v>150</v>
      </c>
      <c r="B140" s="4">
        <f>VLOOKUP(A140,'Datos generales'!A:L,5,0)</f>
        <v>5</v>
      </c>
      <c r="C140" s="4" t="str">
        <f>VLOOKUP(A140,'Datos generales'!A:L,4,0)</f>
        <v>Impresora</v>
      </c>
      <c r="D140" s="4">
        <f>VLOOKUP(A140,'Datos generales'!A:L,6,0)</f>
        <v>754.88</v>
      </c>
      <c r="E140" s="4">
        <f>VLOOKUP(A140,'Datos generales'!A:L,12,0)</f>
        <v>754.88</v>
      </c>
      <c r="F140" s="4" t="str">
        <f>VLOOKUP(A140,'Datos generales'!A:L,7,0)</f>
        <v>Electrónica</v>
      </c>
      <c r="G140" s="4">
        <v>2024</v>
      </c>
    </row>
    <row r="141" spans="1:7" x14ac:dyDescent="0.25">
      <c r="A141" t="s">
        <v>151</v>
      </c>
      <c r="B141" s="4">
        <f>VLOOKUP(A141,'Datos generales'!A:L,5,0)</f>
        <v>4</v>
      </c>
      <c r="C141" s="4" t="str">
        <f>VLOOKUP(A141,'Datos generales'!A:L,4,0)</f>
        <v>Webcam</v>
      </c>
      <c r="D141" s="4">
        <f>VLOOKUP(A141,'Datos generales'!A:L,6,0)</f>
        <v>902.5</v>
      </c>
      <c r="E141" s="4">
        <f>VLOOKUP(A141,'Datos generales'!A:L,12,0)</f>
        <v>902.5</v>
      </c>
      <c r="F141" s="4" t="str">
        <f>VLOOKUP(A141,'Datos generales'!A:L,7,0)</f>
        <v>Accesorios</v>
      </c>
      <c r="G141" s="4">
        <v>2025</v>
      </c>
    </row>
    <row r="142" spans="1:7" x14ac:dyDescent="0.25">
      <c r="A142" t="s">
        <v>152</v>
      </c>
      <c r="B142" s="4">
        <f>VLOOKUP(A142,'Datos generales'!A:L,5,0)</f>
        <v>2</v>
      </c>
      <c r="C142" s="4" t="str">
        <f>VLOOKUP(A142,'Datos generales'!A:L,4,0)</f>
        <v>Mouse</v>
      </c>
      <c r="D142" s="4">
        <f>VLOOKUP(A142,'Datos generales'!A:L,6,0)</f>
        <v>78.180000000000007</v>
      </c>
      <c r="E142" s="4">
        <f>VLOOKUP(A142,'Datos generales'!A:L,12,0)</f>
        <v>78.180000000000007</v>
      </c>
      <c r="F142" s="4" t="str">
        <f>VLOOKUP(A142,'Datos generales'!A:L,7,0)</f>
        <v>Accesorios</v>
      </c>
      <c r="G142" s="4">
        <v>2025</v>
      </c>
    </row>
    <row r="143" spans="1:7" x14ac:dyDescent="0.25">
      <c r="A143" t="s">
        <v>153</v>
      </c>
      <c r="B143" s="4">
        <f>VLOOKUP(A143,'Datos generales'!A:L,5,0)</f>
        <v>2</v>
      </c>
      <c r="C143" s="4" t="str">
        <f>VLOOKUP(A143,'Datos generales'!A:L,4,0)</f>
        <v>Monitor</v>
      </c>
      <c r="D143" s="4">
        <f>VLOOKUP(A143,'Datos generales'!A:L,6,0)</f>
        <v>1615.41</v>
      </c>
      <c r="E143" s="4">
        <f>VLOOKUP(A143,'Datos generales'!A:L,12,0)</f>
        <v>1615.41</v>
      </c>
      <c r="F143" s="4" t="str">
        <f>VLOOKUP(A143,'Datos generales'!A:L,7,0)</f>
        <v>Electrónica</v>
      </c>
      <c r="G143" s="4">
        <v>2025</v>
      </c>
    </row>
    <row r="144" spans="1:7" x14ac:dyDescent="0.25">
      <c r="A144" t="s">
        <v>154</v>
      </c>
      <c r="B144" s="4">
        <f>VLOOKUP(A144,'Datos generales'!A:L,5,0)</f>
        <v>5</v>
      </c>
      <c r="C144" s="4" t="str">
        <f>VLOOKUP(A144,'Datos generales'!A:L,4,0)</f>
        <v>Monitor</v>
      </c>
      <c r="D144" s="4">
        <f>VLOOKUP(A144,'Datos generales'!A:L,6,0)</f>
        <v>149.54</v>
      </c>
      <c r="E144" s="4">
        <f>VLOOKUP(A144,'Datos generales'!A:L,12,0)</f>
        <v>149.54</v>
      </c>
      <c r="F144" s="4" t="str">
        <f>VLOOKUP(A144,'Datos generales'!A:L,7,0)</f>
        <v>Electrónica</v>
      </c>
      <c r="G144" s="4">
        <v>2024</v>
      </c>
    </row>
    <row r="145" spans="1:7" x14ac:dyDescent="0.25">
      <c r="A145" t="s">
        <v>155</v>
      </c>
      <c r="B145" s="4">
        <f>VLOOKUP(A145,'Datos generales'!A:L,5,0)</f>
        <v>5</v>
      </c>
      <c r="C145" s="4" t="str">
        <f>VLOOKUP(A145,'Datos generales'!A:L,4,0)</f>
        <v>Teclado</v>
      </c>
      <c r="D145" s="4">
        <f>VLOOKUP(A145,'Datos generales'!A:L,6,0)</f>
        <v>955.39</v>
      </c>
      <c r="E145" s="4">
        <f>VLOOKUP(A145,'Datos generales'!A:L,12,0)</f>
        <v>955.39</v>
      </c>
      <c r="F145" s="4" t="str">
        <f>VLOOKUP(A145,'Datos generales'!A:L,7,0)</f>
        <v>Accesorios</v>
      </c>
      <c r="G145" s="4">
        <v>2025</v>
      </c>
    </row>
    <row r="146" spans="1:7" x14ac:dyDescent="0.25">
      <c r="A146" t="s">
        <v>156</v>
      </c>
      <c r="B146" s="4">
        <f>VLOOKUP(A146,'Datos generales'!A:L,5,0)</f>
        <v>2</v>
      </c>
      <c r="C146" s="4" t="str">
        <f>VLOOKUP(A146,'Datos generales'!A:L,4,0)</f>
        <v>Silla Gamer</v>
      </c>
      <c r="D146" s="4">
        <f>VLOOKUP(A146,'Datos generales'!A:L,6,0)</f>
        <v>1963.63</v>
      </c>
      <c r="E146" s="4">
        <f>VLOOKUP(A146,'Datos generales'!A:L,12,0)</f>
        <v>1963.63</v>
      </c>
      <c r="F146" s="4" t="str">
        <f>VLOOKUP(A146,'Datos generales'!A:L,7,0)</f>
        <v>Muebles</v>
      </c>
      <c r="G146" s="4">
        <v>2024</v>
      </c>
    </row>
    <row r="147" spans="1:7" x14ac:dyDescent="0.25">
      <c r="A147" t="s">
        <v>157</v>
      </c>
      <c r="B147" s="4">
        <f>VLOOKUP(A147,'Datos generales'!A:L,5,0)</f>
        <v>5</v>
      </c>
      <c r="C147" s="4" t="str">
        <f>VLOOKUP(A147,'Datos generales'!A:L,4,0)</f>
        <v>Webcam</v>
      </c>
      <c r="D147" s="4">
        <f>VLOOKUP(A147,'Datos generales'!A:L,6,0)</f>
        <v>1440.14</v>
      </c>
      <c r="E147" s="4">
        <f>VLOOKUP(A147,'Datos generales'!A:L,12,0)</f>
        <v>1440.14</v>
      </c>
      <c r="F147" s="4" t="str">
        <f>VLOOKUP(A147,'Datos generales'!A:L,7,0)</f>
        <v>Accesorios</v>
      </c>
      <c r="G147" s="4">
        <v>2024</v>
      </c>
    </row>
    <row r="148" spans="1:7" x14ac:dyDescent="0.25">
      <c r="A148" t="s">
        <v>158</v>
      </c>
      <c r="B148" s="4">
        <f>VLOOKUP(A148,'Datos generales'!A:L,5,0)</f>
        <v>4</v>
      </c>
      <c r="C148" s="4" t="str">
        <f>VLOOKUP(A148,'Datos generales'!A:L,4,0)</f>
        <v>Monitor</v>
      </c>
      <c r="D148" s="4">
        <f>VLOOKUP(A148,'Datos generales'!A:L,6,0)</f>
        <v>283.7</v>
      </c>
      <c r="E148" s="4">
        <f>VLOOKUP(A148,'Datos generales'!A:L,12,0)</f>
        <v>283.7</v>
      </c>
      <c r="F148" s="4" t="str">
        <f>VLOOKUP(A148,'Datos generales'!A:L,7,0)</f>
        <v>Electrónica</v>
      </c>
      <c r="G148" s="4">
        <v>2023</v>
      </c>
    </row>
    <row r="149" spans="1:7" x14ac:dyDescent="0.25">
      <c r="A149" t="s">
        <v>159</v>
      </c>
      <c r="B149" s="4">
        <f>VLOOKUP(A149,'Datos generales'!A:L,5,0)</f>
        <v>3</v>
      </c>
      <c r="C149" s="4" t="str">
        <f>VLOOKUP(A149,'Datos generales'!A:L,4,0)</f>
        <v>Impresora</v>
      </c>
      <c r="D149" s="4">
        <f>VLOOKUP(A149,'Datos generales'!A:L,6,0)</f>
        <v>687.51</v>
      </c>
      <c r="E149" s="4">
        <f>VLOOKUP(A149,'Datos generales'!A:L,12,0)</f>
        <v>687.50999999999988</v>
      </c>
      <c r="F149" s="4" t="str">
        <f>VLOOKUP(A149,'Datos generales'!A:L,7,0)</f>
        <v>Electrónica</v>
      </c>
      <c r="G149" s="4">
        <v>2024</v>
      </c>
    </row>
    <row r="150" spans="1:7" x14ac:dyDescent="0.25">
      <c r="A150" t="s">
        <v>160</v>
      </c>
      <c r="B150" s="4">
        <f>VLOOKUP(A150,'Datos generales'!A:L,5,0)</f>
        <v>2</v>
      </c>
      <c r="C150" s="4" t="str">
        <f>VLOOKUP(A150,'Datos generales'!A:L,4,0)</f>
        <v>Webcam</v>
      </c>
      <c r="D150" s="4">
        <f>VLOOKUP(A150,'Datos generales'!A:L,6,0)</f>
        <v>282</v>
      </c>
      <c r="E150" s="4">
        <f>VLOOKUP(A150,'Datos generales'!A:L,12,0)</f>
        <v>282</v>
      </c>
      <c r="F150" s="4" t="str">
        <f>VLOOKUP(A150,'Datos generales'!A:L,7,0)</f>
        <v>Accesorios</v>
      </c>
      <c r="G150" s="4">
        <v>2023</v>
      </c>
    </row>
    <row r="151" spans="1:7" x14ac:dyDescent="0.25">
      <c r="A151" t="s">
        <v>161</v>
      </c>
      <c r="B151" s="4">
        <f>VLOOKUP(A151,'Datos generales'!A:L,5,0)</f>
        <v>4</v>
      </c>
      <c r="C151" s="4" t="str">
        <f>VLOOKUP(A151,'Datos generales'!A:L,4,0)</f>
        <v>Impresora</v>
      </c>
      <c r="D151" s="4">
        <f>VLOOKUP(A151,'Datos generales'!A:L,6,0)</f>
        <v>1471.38</v>
      </c>
      <c r="E151" s="4">
        <f>VLOOKUP(A151,'Datos generales'!A:L,12,0)</f>
        <v>1471.38</v>
      </c>
      <c r="F151" s="4" t="str">
        <f>VLOOKUP(A151,'Datos generales'!A:L,7,0)</f>
        <v>Electrónica</v>
      </c>
      <c r="G151" s="4">
        <v>2025</v>
      </c>
    </row>
    <row r="152" spans="1:7" x14ac:dyDescent="0.25">
      <c r="A152" t="s">
        <v>162</v>
      </c>
      <c r="B152" s="4">
        <f>VLOOKUP(A152,'Datos generales'!A:L,5,0)</f>
        <v>1</v>
      </c>
      <c r="C152" s="4" t="str">
        <f>VLOOKUP(A152,'Datos generales'!A:L,4,0)</f>
        <v>Webcam</v>
      </c>
      <c r="D152" s="4">
        <f>VLOOKUP(A152,'Datos generales'!A:L,6,0)</f>
        <v>1463.91</v>
      </c>
      <c r="E152" s="4">
        <f>VLOOKUP(A152,'Datos generales'!A:L,12,0)</f>
        <v>1463.91</v>
      </c>
      <c r="F152" s="4" t="str">
        <f>VLOOKUP(A152,'Datos generales'!A:L,7,0)</f>
        <v>Accesorios</v>
      </c>
      <c r="G152" s="4">
        <v>2025</v>
      </c>
    </row>
    <row r="153" spans="1:7" x14ac:dyDescent="0.25">
      <c r="A153" t="s">
        <v>163</v>
      </c>
      <c r="B153" s="4">
        <f>VLOOKUP(A153,'Datos generales'!A:L,5,0)</f>
        <v>4</v>
      </c>
      <c r="C153" s="4" t="str">
        <f>VLOOKUP(A153,'Datos generales'!A:L,4,0)</f>
        <v>Teclado</v>
      </c>
      <c r="D153" s="4">
        <f>VLOOKUP(A153,'Datos generales'!A:L,6,0)</f>
        <v>1585.49</v>
      </c>
      <c r="E153" s="4">
        <f>VLOOKUP(A153,'Datos generales'!A:L,12,0)</f>
        <v>1585.49</v>
      </c>
      <c r="F153" s="4" t="str">
        <f>VLOOKUP(A153,'Datos generales'!A:L,7,0)</f>
        <v>Accesorios</v>
      </c>
      <c r="G153" s="4">
        <v>2024</v>
      </c>
    </row>
    <row r="154" spans="1:7" x14ac:dyDescent="0.25">
      <c r="A154" t="s">
        <v>164</v>
      </c>
      <c r="B154" s="4">
        <f>VLOOKUP(A154,'Datos generales'!A:L,5,0)</f>
        <v>1</v>
      </c>
      <c r="C154" s="4" t="str">
        <f>VLOOKUP(A154,'Datos generales'!A:L,4,0)</f>
        <v>Teclado</v>
      </c>
      <c r="D154" s="4">
        <f>VLOOKUP(A154,'Datos generales'!A:L,6,0)</f>
        <v>662.17</v>
      </c>
      <c r="E154" s="4">
        <f>VLOOKUP(A154,'Datos generales'!A:L,12,0)</f>
        <v>662.17</v>
      </c>
      <c r="F154" s="4" t="str">
        <f>VLOOKUP(A154,'Datos generales'!A:L,7,0)</f>
        <v>Accesorios</v>
      </c>
      <c r="G154" s="4">
        <v>2024</v>
      </c>
    </row>
    <row r="155" spans="1:7" x14ac:dyDescent="0.25">
      <c r="A155" t="s">
        <v>165</v>
      </c>
      <c r="B155" s="4">
        <f>VLOOKUP(A155,'Datos generales'!A:L,5,0)</f>
        <v>2</v>
      </c>
      <c r="C155" s="4" t="str">
        <f>VLOOKUP(A155,'Datos generales'!A:L,4,0)</f>
        <v>Webcam</v>
      </c>
      <c r="D155" s="4">
        <f>VLOOKUP(A155,'Datos generales'!A:L,6,0)</f>
        <v>136.68</v>
      </c>
      <c r="E155" s="4">
        <f>VLOOKUP(A155,'Datos generales'!A:L,12,0)</f>
        <v>136.68</v>
      </c>
      <c r="F155" s="4" t="str">
        <f>VLOOKUP(A155,'Datos generales'!A:L,7,0)</f>
        <v>Accesorios</v>
      </c>
      <c r="G155" s="4">
        <v>2024</v>
      </c>
    </row>
    <row r="156" spans="1:7" x14ac:dyDescent="0.25">
      <c r="A156" t="s">
        <v>166</v>
      </c>
      <c r="B156" s="4">
        <f>VLOOKUP(A156,'Datos generales'!A:L,5,0)</f>
        <v>4</v>
      </c>
      <c r="C156" s="4" t="str">
        <f>VLOOKUP(A156,'Datos generales'!A:L,4,0)</f>
        <v>Impresora</v>
      </c>
      <c r="D156" s="4">
        <f>VLOOKUP(A156,'Datos generales'!A:L,6,0)</f>
        <v>118.64</v>
      </c>
      <c r="E156" s="4">
        <f>VLOOKUP(A156,'Datos generales'!A:L,12,0)</f>
        <v>118.64</v>
      </c>
      <c r="F156" s="4" t="str">
        <f>VLOOKUP(A156,'Datos generales'!A:L,7,0)</f>
        <v>Electrónica</v>
      </c>
      <c r="G156" s="4">
        <v>2025</v>
      </c>
    </row>
    <row r="157" spans="1:7" x14ac:dyDescent="0.25">
      <c r="A157" t="s">
        <v>167</v>
      </c>
      <c r="B157" s="4">
        <f>VLOOKUP(A157,'Datos generales'!A:L,5,0)</f>
        <v>3</v>
      </c>
      <c r="C157" s="4" t="str">
        <f>VLOOKUP(A157,'Datos generales'!A:L,4,0)</f>
        <v>Laptop</v>
      </c>
      <c r="D157" s="4">
        <f>VLOOKUP(A157,'Datos generales'!A:L,6,0)</f>
        <v>933.49</v>
      </c>
      <c r="E157" s="4">
        <f>VLOOKUP(A157,'Datos generales'!A:L,12,0)</f>
        <v>933.49000000000012</v>
      </c>
      <c r="F157" s="4" t="str">
        <f>VLOOKUP(A157,'Datos generales'!A:L,7,0)</f>
        <v>Electrónica</v>
      </c>
      <c r="G157" s="4">
        <v>2024</v>
      </c>
    </row>
    <row r="158" spans="1:7" x14ac:dyDescent="0.25">
      <c r="A158" t="s">
        <v>168</v>
      </c>
      <c r="B158" s="4">
        <f>VLOOKUP(A158,'Datos generales'!A:L,5,0)</f>
        <v>2</v>
      </c>
      <c r="C158" s="4" t="str">
        <f>VLOOKUP(A158,'Datos generales'!A:L,4,0)</f>
        <v>Audífonos</v>
      </c>
      <c r="D158" s="4">
        <f>VLOOKUP(A158,'Datos generales'!A:L,6,0)</f>
        <v>1035.0899999999999</v>
      </c>
      <c r="E158" s="4">
        <f>VLOOKUP(A158,'Datos generales'!A:L,12,0)</f>
        <v>1035.0899999999999</v>
      </c>
      <c r="F158" s="4" t="str">
        <f>VLOOKUP(A158,'Datos generales'!A:L,7,0)</f>
        <v>Accesorios</v>
      </c>
      <c r="G158" s="4">
        <v>2023</v>
      </c>
    </row>
    <row r="159" spans="1:7" x14ac:dyDescent="0.25">
      <c r="A159" t="s">
        <v>169</v>
      </c>
      <c r="B159" s="4">
        <f>VLOOKUP(A159,'Datos generales'!A:L,5,0)</f>
        <v>2</v>
      </c>
      <c r="C159" s="4" t="str">
        <f>VLOOKUP(A159,'Datos generales'!A:L,4,0)</f>
        <v>Impresora</v>
      </c>
      <c r="D159" s="4">
        <f>VLOOKUP(A159,'Datos generales'!A:L,6,0)</f>
        <v>1325.01</v>
      </c>
      <c r="E159" s="4">
        <f>VLOOKUP(A159,'Datos generales'!A:L,12,0)</f>
        <v>1325.01</v>
      </c>
      <c r="F159" s="4" t="str">
        <f>VLOOKUP(A159,'Datos generales'!A:L,7,0)</f>
        <v>Electrónica</v>
      </c>
      <c r="G159" s="4">
        <v>2024</v>
      </c>
    </row>
    <row r="160" spans="1:7" x14ac:dyDescent="0.25">
      <c r="A160" t="s">
        <v>170</v>
      </c>
      <c r="B160" s="4">
        <f>VLOOKUP(A160,'Datos generales'!A:L,5,0)</f>
        <v>4</v>
      </c>
      <c r="C160" s="4" t="str">
        <f>VLOOKUP(A160,'Datos generales'!A:L,4,0)</f>
        <v>Teclado</v>
      </c>
      <c r="D160" s="4">
        <f>VLOOKUP(A160,'Datos generales'!A:L,6,0)</f>
        <v>710.84</v>
      </c>
      <c r="E160" s="4">
        <f>VLOOKUP(A160,'Datos generales'!A:L,12,0)</f>
        <v>710.84</v>
      </c>
      <c r="F160" s="4" t="str">
        <f>VLOOKUP(A160,'Datos generales'!A:L,7,0)</f>
        <v>Accesorios</v>
      </c>
      <c r="G160" s="4">
        <v>2023</v>
      </c>
    </row>
    <row r="161" spans="1:7" x14ac:dyDescent="0.25">
      <c r="A161" t="s">
        <v>171</v>
      </c>
      <c r="B161" s="4">
        <f>VLOOKUP(A161,'Datos generales'!A:L,5,0)</f>
        <v>3</v>
      </c>
      <c r="C161" s="4" t="str">
        <f>VLOOKUP(A161,'Datos generales'!A:L,4,0)</f>
        <v>Silla Gamer</v>
      </c>
      <c r="D161" s="4">
        <f>VLOOKUP(A161,'Datos generales'!A:L,6,0)</f>
        <v>97.27</v>
      </c>
      <c r="E161" s="4">
        <f>VLOOKUP(A161,'Datos generales'!A:L,12,0)</f>
        <v>97.27</v>
      </c>
      <c r="F161" s="4" t="str">
        <f>VLOOKUP(A161,'Datos generales'!A:L,7,0)</f>
        <v>Muebles</v>
      </c>
      <c r="G161" s="4">
        <v>2025</v>
      </c>
    </row>
    <row r="162" spans="1:7" x14ac:dyDescent="0.25">
      <c r="A162" t="s">
        <v>172</v>
      </c>
      <c r="B162" s="4">
        <f>VLOOKUP(A162,'Datos generales'!A:L,5,0)</f>
        <v>5</v>
      </c>
      <c r="C162" s="4" t="str">
        <f>VLOOKUP(A162,'Datos generales'!A:L,4,0)</f>
        <v>Impresora</v>
      </c>
      <c r="D162" s="4">
        <f>VLOOKUP(A162,'Datos generales'!A:L,6,0)</f>
        <v>498.36</v>
      </c>
      <c r="E162" s="4">
        <f>VLOOKUP(A162,'Datos generales'!A:L,12,0)</f>
        <v>498.36</v>
      </c>
      <c r="F162" s="4" t="str">
        <f>VLOOKUP(A162,'Datos generales'!A:L,7,0)</f>
        <v>Electrónica</v>
      </c>
      <c r="G162" s="4">
        <v>2024</v>
      </c>
    </row>
    <row r="163" spans="1:7" x14ac:dyDescent="0.25">
      <c r="A163" t="s">
        <v>173</v>
      </c>
      <c r="B163" s="4">
        <f>VLOOKUP(A163,'Datos generales'!A:L,5,0)</f>
        <v>5</v>
      </c>
      <c r="C163" s="4" t="str">
        <f>VLOOKUP(A163,'Datos generales'!A:L,4,0)</f>
        <v>Silla Gamer</v>
      </c>
      <c r="D163" s="4">
        <f>VLOOKUP(A163,'Datos generales'!A:L,6,0)</f>
        <v>980.89</v>
      </c>
      <c r="E163" s="4">
        <f>VLOOKUP(A163,'Datos generales'!A:L,12,0)</f>
        <v>980.89</v>
      </c>
      <c r="F163" s="4" t="str">
        <f>VLOOKUP(A163,'Datos generales'!A:L,7,0)</f>
        <v>Muebles</v>
      </c>
      <c r="G163" s="4">
        <v>2024</v>
      </c>
    </row>
    <row r="164" spans="1:7" x14ac:dyDescent="0.25">
      <c r="A164" t="s">
        <v>174</v>
      </c>
      <c r="B164" s="4">
        <f>VLOOKUP(A164,'Datos generales'!A:L,5,0)</f>
        <v>1</v>
      </c>
      <c r="C164" s="4" t="str">
        <f>VLOOKUP(A164,'Datos generales'!A:L,4,0)</f>
        <v>Teclado</v>
      </c>
      <c r="D164" s="4">
        <f>VLOOKUP(A164,'Datos generales'!A:L,6,0)</f>
        <v>1390.33</v>
      </c>
      <c r="E164" s="4">
        <f>VLOOKUP(A164,'Datos generales'!A:L,12,0)</f>
        <v>1390.33</v>
      </c>
      <c r="F164" s="4" t="str">
        <f>VLOOKUP(A164,'Datos generales'!A:L,7,0)</f>
        <v>Accesorios</v>
      </c>
      <c r="G164" s="4">
        <v>2024</v>
      </c>
    </row>
    <row r="165" spans="1:7" x14ac:dyDescent="0.25">
      <c r="A165" t="s">
        <v>175</v>
      </c>
      <c r="B165" s="4">
        <f>VLOOKUP(A165,'Datos generales'!A:L,5,0)</f>
        <v>5</v>
      </c>
      <c r="C165" s="4" t="str">
        <f>VLOOKUP(A165,'Datos generales'!A:L,4,0)</f>
        <v>Laptop</v>
      </c>
      <c r="D165" s="4">
        <f>VLOOKUP(A165,'Datos generales'!A:L,6,0)</f>
        <v>1708.09</v>
      </c>
      <c r="E165" s="4">
        <f>VLOOKUP(A165,'Datos generales'!A:L,12,0)</f>
        <v>1708.09</v>
      </c>
      <c r="F165" s="4" t="str">
        <f>VLOOKUP(A165,'Datos generales'!A:L,7,0)</f>
        <v>Electrónica</v>
      </c>
      <c r="G165" s="4">
        <v>2023</v>
      </c>
    </row>
    <row r="166" spans="1:7" x14ac:dyDescent="0.25">
      <c r="A166" t="s">
        <v>176</v>
      </c>
      <c r="B166" s="4">
        <f>VLOOKUP(A166,'Datos generales'!A:L,5,0)</f>
        <v>3</v>
      </c>
      <c r="C166" s="4" t="str">
        <f>VLOOKUP(A166,'Datos generales'!A:L,4,0)</f>
        <v>Audífonos</v>
      </c>
      <c r="D166" s="4">
        <f>VLOOKUP(A166,'Datos generales'!A:L,6,0)</f>
        <v>459.4</v>
      </c>
      <c r="E166" s="4">
        <f>VLOOKUP(A166,'Datos generales'!A:L,12,0)</f>
        <v>459.39999999999992</v>
      </c>
      <c r="F166" s="4" t="str">
        <f>VLOOKUP(A166,'Datos generales'!A:L,7,0)</f>
        <v>Accesorios</v>
      </c>
      <c r="G166" s="4">
        <v>2023</v>
      </c>
    </row>
    <row r="167" spans="1:7" x14ac:dyDescent="0.25">
      <c r="A167" t="s">
        <v>177</v>
      </c>
      <c r="B167" s="4">
        <f>VLOOKUP(A167,'Datos generales'!A:L,5,0)</f>
        <v>1</v>
      </c>
      <c r="C167" s="4" t="str">
        <f>VLOOKUP(A167,'Datos generales'!A:L,4,0)</f>
        <v>Impresora</v>
      </c>
      <c r="D167" s="4">
        <f>VLOOKUP(A167,'Datos generales'!A:L,6,0)</f>
        <v>1578.33</v>
      </c>
      <c r="E167" s="4">
        <f>VLOOKUP(A167,'Datos generales'!A:L,12,0)</f>
        <v>1578.33</v>
      </c>
      <c r="F167" s="4" t="str">
        <f>VLOOKUP(A167,'Datos generales'!A:L,7,0)</f>
        <v>Electrónica</v>
      </c>
      <c r="G167" s="4">
        <v>2023</v>
      </c>
    </row>
    <row r="168" spans="1:7" x14ac:dyDescent="0.25">
      <c r="A168" t="s">
        <v>178</v>
      </c>
      <c r="B168" s="4">
        <f>VLOOKUP(A168,'Datos generales'!A:L,5,0)</f>
        <v>5</v>
      </c>
      <c r="C168" s="4" t="str">
        <f>VLOOKUP(A168,'Datos generales'!A:L,4,0)</f>
        <v>Teclado</v>
      </c>
      <c r="D168" s="4">
        <f>VLOOKUP(A168,'Datos generales'!A:L,6,0)</f>
        <v>1602.39</v>
      </c>
      <c r="E168" s="4">
        <f>VLOOKUP(A168,'Datos generales'!A:L,12,0)</f>
        <v>1602.39</v>
      </c>
      <c r="F168" s="4" t="str">
        <f>VLOOKUP(A168,'Datos generales'!A:L,7,0)</f>
        <v>Accesorios</v>
      </c>
      <c r="G168" s="4">
        <v>2024</v>
      </c>
    </row>
    <row r="169" spans="1:7" x14ac:dyDescent="0.25">
      <c r="A169" t="s">
        <v>179</v>
      </c>
      <c r="B169" s="4">
        <f>VLOOKUP(A169,'Datos generales'!A:L,5,0)</f>
        <v>2</v>
      </c>
      <c r="C169" s="4" t="str">
        <f>VLOOKUP(A169,'Datos generales'!A:L,4,0)</f>
        <v>Teclado</v>
      </c>
      <c r="D169" s="4">
        <f>VLOOKUP(A169,'Datos generales'!A:L,6,0)</f>
        <v>714.55</v>
      </c>
      <c r="E169" s="4">
        <f>VLOOKUP(A169,'Datos generales'!A:L,12,0)</f>
        <v>714.55</v>
      </c>
      <c r="F169" s="4" t="str">
        <f>VLOOKUP(A169,'Datos generales'!A:L,7,0)</f>
        <v>Accesorios</v>
      </c>
      <c r="G169" s="4">
        <v>2023</v>
      </c>
    </row>
    <row r="170" spans="1:7" x14ac:dyDescent="0.25">
      <c r="A170" t="s">
        <v>180</v>
      </c>
      <c r="B170" s="4">
        <f>VLOOKUP(A170,'Datos generales'!A:L,5,0)</f>
        <v>2</v>
      </c>
      <c r="C170" s="4" t="str">
        <f>VLOOKUP(A170,'Datos generales'!A:L,4,0)</f>
        <v>Silla Gamer</v>
      </c>
      <c r="D170" s="4">
        <f>VLOOKUP(A170,'Datos generales'!A:L,6,0)</f>
        <v>140.54</v>
      </c>
      <c r="E170" s="4">
        <f>VLOOKUP(A170,'Datos generales'!A:L,12,0)</f>
        <v>140.54</v>
      </c>
      <c r="F170" s="4" t="str">
        <f>VLOOKUP(A170,'Datos generales'!A:L,7,0)</f>
        <v>Muebles</v>
      </c>
      <c r="G170" s="4">
        <v>2025</v>
      </c>
    </row>
    <row r="171" spans="1:7" x14ac:dyDescent="0.25">
      <c r="A171" t="s">
        <v>181</v>
      </c>
      <c r="B171" s="4">
        <f>VLOOKUP(A171,'Datos generales'!A:L,5,0)</f>
        <v>5</v>
      </c>
      <c r="C171" s="4" t="str">
        <f>VLOOKUP(A171,'Datos generales'!A:L,4,0)</f>
        <v>Mouse</v>
      </c>
      <c r="D171" s="4">
        <f>VLOOKUP(A171,'Datos generales'!A:L,6,0)</f>
        <v>286.87</v>
      </c>
      <c r="E171" s="4">
        <f>VLOOKUP(A171,'Datos generales'!A:L,12,0)</f>
        <v>286.87</v>
      </c>
      <c r="F171" s="4" t="str">
        <f>VLOOKUP(A171,'Datos generales'!A:L,7,0)</f>
        <v>Accesorios</v>
      </c>
      <c r="G171" s="4">
        <v>2024</v>
      </c>
    </row>
    <row r="172" spans="1:7" x14ac:dyDescent="0.25">
      <c r="A172" t="s">
        <v>182</v>
      </c>
      <c r="B172" s="4">
        <f>VLOOKUP(A172,'Datos generales'!A:L,5,0)</f>
        <v>5</v>
      </c>
      <c r="C172" s="4" t="str">
        <f>VLOOKUP(A172,'Datos generales'!A:L,4,0)</f>
        <v>Webcam</v>
      </c>
      <c r="D172" s="4">
        <f>VLOOKUP(A172,'Datos generales'!A:L,6,0)</f>
        <v>1897.97</v>
      </c>
      <c r="E172" s="4">
        <f>VLOOKUP(A172,'Datos generales'!A:L,12,0)</f>
        <v>1897.97</v>
      </c>
      <c r="F172" s="4" t="str">
        <f>VLOOKUP(A172,'Datos generales'!A:L,7,0)</f>
        <v>Accesorios</v>
      </c>
      <c r="G172" s="4">
        <v>2024</v>
      </c>
    </row>
    <row r="173" spans="1:7" x14ac:dyDescent="0.25">
      <c r="A173" t="s">
        <v>183</v>
      </c>
      <c r="B173" s="4">
        <f>VLOOKUP(A173,'Datos generales'!A:L,5,0)</f>
        <v>2</v>
      </c>
      <c r="C173" s="4" t="str">
        <f>VLOOKUP(A173,'Datos generales'!A:L,4,0)</f>
        <v>Teclado</v>
      </c>
      <c r="D173" s="4">
        <f>VLOOKUP(A173,'Datos generales'!A:L,6,0)</f>
        <v>587.71</v>
      </c>
      <c r="E173" s="4">
        <f>VLOOKUP(A173,'Datos generales'!A:L,12,0)</f>
        <v>587.71</v>
      </c>
      <c r="F173" s="4" t="str">
        <f>VLOOKUP(A173,'Datos generales'!A:L,7,0)</f>
        <v>Accesorios</v>
      </c>
      <c r="G173" s="4">
        <v>2024</v>
      </c>
    </row>
    <row r="174" spans="1:7" x14ac:dyDescent="0.25">
      <c r="A174" t="s">
        <v>184</v>
      </c>
      <c r="B174" s="4">
        <f>VLOOKUP(A174,'Datos generales'!A:L,5,0)</f>
        <v>4</v>
      </c>
      <c r="C174" s="4" t="str">
        <f>VLOOKUP(A174,'Datos generales'!A:L,4,0)</f>
        <v>Webcam</v>
      </c>
      <c r="D174" s="4">
        <f>VLOOKUP(A174,'Datos generales'!A:L,6,0)</f>
        <v>895.13</v>
      </c>
      <c r="E174" s="4">
        <f>VLOOKUP(A174,'Datos generales'!A:L,12,0)</f>
        <v>895.13</v>
      </c>
      <c r="F174" s="4" t="str">
        <f>VLOOKUP(A174,'Datos generales'!A:L,7,0)</f>
        <v>Accesorios</v>
      </c>
      <c r="G174" s="4">
        <v>2023</v>
      </c>
    </row>
    <row r="175" spans="1:7" x14ac:dyDescent="0.25">
      <c r="A175" t="s">
        <v>185</v>
      </c>
      <c r="B175" s="4">
        <f>VLOOKUP(A175,'Datos generales'!A:L,5,0)</f>
        <v>3</v>
      </c>
      <c r="C175" s="4" t="str">
        <f>VLOOKUP(A175,'Datos generales'!A:L,4,0)</f>
        <v>Impresora</v>
      </c>
      <c r="D175" s="4">
        <f>VLOOKUP(A175,'Datos generales'!A:L,6,0)</f>
        <v>1457.35</v>
      </c>
      <c r="E175" s="4">
        <f>VLOOKUP(A175,'Datos generales'!A:L,12,0)</f>
        <v>1457.35</v>
      </c>
      <c r="F175" s="4" t="str">
        <f>VLOOKUP(A175,'Datos generales'!A:L,7,0)</f>
        <v>Electrónica</v>
      </c>
      <c r="G175" s="4">
        <v>2024</v>
      </c>
    </row>
    <row r="176" spans="1:7" x14ac:dyDescent="0.25">
      <c r="A176" t="s">
        <v>186</v>
      </c>
      <c r="B176" s="4">
        <f>VLOOKUP(A176,'Datos generales'!A:L,5,0)</f>
        <v>3</v>
      </c>
      <c r="C176" s="4" t="str">
        <f>VLOOKUP(A176,'Datos generales'!A:L,4,0)</f>
        <v>Silla Gamer</v>
      </c>
      <c r="D176" s="4">
        <f>VLOOKUP(A176,'Datos generales'!A:L,6,0)</f>
        <v>1083.32</v>
      </c>
      <c r="E176" s="4">
        <f>VLOOKUP(A176,'Datos generales'!A:L,12,0)</f>
        <v>1083.32</v>
      </c>
      <c r="F176" s="4" t="str">
        <f>VLOOKUP(A176,'Datos generales'!A:L,7,0)</f>
        <v>Muebles</v>
      </c>
      <c r="G176" s="4">
        <v>2024</v>
      </c>
    </row>
    <row r="177" spans="1:7" x14ac:dyDescent="0.25">
      <c r="A177" t="s">
        <v>187</v>
      </c>
      <c r="B177" s="4">
        <f>VLOOKUP(A177,'Datos generales'!A:L,5,0)</f>
        <v>3</v>
      </c>
      <c r="C177" s="4" t="str">
        <f>VLOOKUP(A177,'Datos generales'!A:L,4,0)</f>
        <v>Laptop</v>
      </c>
      <c r="D177" s="4">
        <f>VLOOKUP(A177,'Datos generales'!A:L,6,0)</f>
        <v>1542.71</v>
      </c>
      <c r="E177" s="4">
        <f>VLOOKUP(A177,'Datos generales'!A:L,12,0)</f>
        <v>1542.71</v>
      </c>
      <c r="F177" s="4" t="str">
        <f>VLOOKUP(A177,'Datos generales'!A:L,7,0)</f>
        <v>Electrónica</v>
      </c>
      <c r="G177" s="4">
        <v>2025</v>
      </c>
    </row>
    <row r="178" spans="1:7" x14ac:dyDescent="0.25">
      <c r="A178" t="s">
        <v>188</v>
      </c>
      <c r="B178" s="4">
        <f>VLOOKUP(A178,'Datos generales'!A:L,5,0)</f>
        <v>5</v>
      </c>
      <c r="C178" s="4" t="str">
        <f>VLOOKUP(A178,'Datos generales'!A:L,4,0)</f>
        <v>Impresora</v>
      </c>
      <c r="D178" s="4">
        <f>VLOOKUP(A178,'Datos generales'!A:L,6,0)</f>
        <v>723.8</v>
      </c>
      <c r="E178" s="4">
        <f>VLOOKUP(A178,'Datos generales'!A:L,12,0)</f>
        <v>723.8</v>
      </c>
      <c r="F178" s="4" t="str">
        <f>VLOOKUP(A178,'Datos generales'!A:L,7,0)</f>
        <v>Electrónica</v>
      </c>
      <c r="G178" s="4">
        <v>2025</v>
      </c>
    </row>
    <row r="179" spans="1:7" x14ac:dyDescent="0.25">
      <c r="A179" t="s">
        <v>189</v>
      </c>
      <c r="B179" s="4">
        <f>VLOOKUP(A179,'Datos generales'!A:L,5,0)</f>
        <v>5</v>
      </c>
      <c r="C179" s="4" t="str">
        <f>VLOOKUP(A179,'Datos generales'!A:L,4,0)</f>
        <v>Teclado</v>
      </c>
      <c r="D179" s="4">
        <f>VLOOKUP(A179,'Datos generales'!A:L,6,0)</f>
        <v>179.97</v>
      </c>
      <c r="E179" s="4">
        <f>VLOOKUP(A179,'Datos generales'!A:L,12,0)</f>
        <v>179.97</v>
      </c>
      <c r="F179" s="4" t="str">
        <f>VLOOKUP(A179,'Datos generales'!A:L,7,0)</f>
        <v>Accesorios</v>
      </c>
      <c r="G179" s="4">
        <v>2023</v>
      </c>
    </row>
    <row r="180" spans="1:7" x14ac:dyDescent="0.25">
      <c r="A180" t="s">
        <v>190</v>
      </c>
      <c r="B180" s="4">
        <f>VLOOKUP(A180,'Datos generales'!A:L,5,0)</f>
        <v>1</v>
      </c>
      <c r="C180" s="4" t="str">
        <f>VLOOKUP(A180,'Datos generales'!A:L,4,0)</f>
        <v>Laptop</v>
      </c>
      <c r="D180" s="4">
        <f>VLOOKUP(A180,'Datos generales'!A:L,6,0)</f>
        <v>1318.43</v>
      </c>
      <c r="E180" s="4">
        <f>VLOOKUP(A180,'Datos generales'!A:L,12,0)</f>
        <v>1318.43</v>
      </c>
      <c r="F180" s="4" t="str">
        <f>VLOOKUP(A180,'Datos generales'!A:L,7,0)</f>
        <v>Electrónica</v>
      </c>
      <c r="G180" s="4">
        <v>2024</v>
      </c>
    </row>
    <row r="181" spans="1:7" x14ac:dyDescent="0.25">
      <c r="A181" t="s">
        <v>191</v>
      </c>
      <c r="B181" s="4">
        <f>VLOOKUP(A181,'Datos generales'!A:L,5,0)</f>
        <v>2</v>
      </c>
      <c r="C181" s="4" t="str">
        <f>VLOOKUP(A181,'Datos generales'!A:L,4,0)</f>
        <v>Impresora</v>
      </c>
      <c r="D181" s="4">
        <f>VLOOKUP(A181,'Datos generales'!A:L,6,0)</f>
        <v>307.37</v>
      </c>
      <c r="E181" s="4">
        <f>VLOOKUP(A181,'Datos generales'!A:L,12,0)</f>
        <v>307.37</v>
      </c>
      <c r="F181" s="4" t="str">
        <f>VLOOKUP(A181,'Datos generales'!A:L,7,0)</f>
        <v>Electrónica</v>
      </c>
      <c r="G181" s="4">
        <v>2023</v>
      </c>
    </row>
    <row r="182" spans="1:7" x14ac:dyDescent="0.25">
      <c r="A182" t="s">
        <v>192</v>
      </c>
      <c r="B182" s="4">
        <f>VLOOKUP(A182,'Datos generales'!A:L,5,0)</f>
        <v>1</v>
      </c>
      <c r="C182" s="4" t="str">
        <f>VLOOKUP(A182,'Datos generales'!A:L,4,0)</f>
        <v>Silla Gamer</v>
      </c>
      <c r="D182" s="4">
        <f>VLOOKUP(A182,'Datos generales'!A:L,6,0)</f>
        <v>1364.97</v>
      </c>
      <c r="E182" s="4">
        <f>VLOOKUP(A182,'Datos generales'!A:L,12,0)</f>
        <v>1364.97</v>
      </c>
      <c r="F182" s="4" t="str">
        <f>VLOOKUP(A182,'Datos generales'!A:L,7,0)</f>
        <v>Muebles</v>
      </c>
      <c r="G182" s="4">
        <v>2023</v>
      </c>
    </row>
    <row r="183" spans="1:7" x14ac:dyDescent="0.25">
      <c r="A183" t="s">
        <v>193</v>
      </c>
      <c r="B183" s="4">
        <f>VLOOKUP(A183,'Datos generales'!A:L,5,0)</f>
        <v>3</v>
      </c>
      <c r="C183" s="4" t="str">
        <f>VLOOKUP(A183,'Datos generales'!A:L,4,0)</f>
        <v>Audífonos</v>
      </c>
      <c r="D183" s="4">
        <f>VLOOKUP(A183,'Datos generales'!A:L,6,0)</f>
        <v>244.23</v>
      </c>
      <c r="E183" s="4">
        <f>VLOOKUP(A183,'Datos generales'!A:L,12,0)</f>
        <v>244.23</v>
      </c>
      <c r="F183" s="4" t="str">
        <f>VLOOKUP(A183,'Datos generales'!A:L,7,0)</f>
        <v>Accesorios</v>
      </c>
      <c r="G183" s="4">
        <v>2024</v>
      </c>
    </row>
    <row r="184" spans="1:7" x14ac:dyDescent="0.25">
      <c r="A184" t="s">
        <v>194</v>
      </c>
      <c r="B184" s="4">
        <f>VLOOKUP(A184,'Datos generales'!A:L,5,0)</f>
        <v>3</v>
      </c>
      <c r="C184" s="4" t="str">
        <f>VLOOKUP(A184,'Datos generales'!A:L,4,0)</f>
        <v>Webcam</v>
      </c>
      <c r="D184" s="4">
        <f>VLOOKUP(A184,'Datos generales'!A:L,6,0)</f>
        <v>245.64</v>
      </c>
      <c r="E184" s="4">
        <f>VLOOKUP(A184,'Datos generales'!A:L,12,0)</f>
        <v>245.64</v>
      </c>
      <c r="F184" s="4" t="str">
        <f>VLOOKUP(A184,'Datos generales'!A:L,7,0)</f>
        <v>Accesorios</v>
      </c>
      <c r="G184" s="4">
        <v>2023</v>
      </c>
    </row>
    <row r="185" spans="1:7" x14ac:dyDescent="0.25">
      <c r="A185" t="s">
        <v>195</v>
      </c>
      <c r="B185" s="4">
        <f>VLOOKUP(A185,'Datos generales'!A:L,5,0)</f>
        <v>1</v>
      </c>
      <c r="C185" s="4" t="str">
        <f>VLOOKUP(A185,'Datos generales'!A:L,4,0)</f>
        <v>Webcam</v>
      </c>
      <c r="D185" s="4">
        <f>VLOOKUP(A185,'Datos generales'!A:L,6,0)</f>
        <v>1501.34</v>
      </c>
      <c r="E185" s="4">
        <f>VLOOKUP(A185,'Datos generales'!A:L,12,0)</f>
        <v>1501.34</v>
      </c>
      <c r="F185" s="4" t="str">
        <f>VLOOKUP(A185,'Datos generales'!A:L,7,0)</f>
        <v>Accesorios</v>
      </c>
      <c r="G185" s="4">
        <v>2024</v>
      </c>
    </row>
    <row r="186" spans="1:7" x14ac:dyDescent="0.25">
      <c r="A186" t="s">
        <v>196</v>
      </c>
      <c r="B186" s="4">
        <f>VLOOKUP(A186,'Datos generales'!A:L,5,0)</f>
        <v>4</v>
      </c>
      <c r="C186" s="4" t="str">
        <f>VLOOKUP(A186,'Datos generales'!A:L,4,0)</f>
        <v>Teclado</v>
      </c>
      <c r="D186" s="4">
        <f>VLOOKUP(A186,'Datos generales'!A:L,6,0)</f>
        <v>995.18</v>
      </c>
      <c r="E186" s="4">
        <f>VLOOKUP(A186,'Datos generales'!A:L,12,0)</f>
        <v>995.18</v>
      </c>
      <c r="F186" s="4" t="str">
        <f>VLOOKUP(A186,'Datos generales'!A:L,7,0)</f>
        <v>Accesorios</v>
      </c>
      <c r="G186" s="4">
        <v>2024</v>
      </c>
    </row>
    <row r="187" spans="1:7" x14ac:dyDescent="0.25">
      <c r="A187" t="s">
        <v>197</v>
      </c>
      <c r="B187" s="4">
        <f>VLOOKUP(A187,'Datos generales'!A:L,5,0)</f>
        <v>2</v>
      </c>
      <c r="C187" s="4" t="str">
        <f>VLOOKUP(A187,'Datos generales'!A:L,4,0)</f>
        <v>Teclado</v>
      </c>
      <c r="D187" s="4">
        <f>VLOOKUP(A187,'Datos generales'!A:L,6,0)</f>
        <v>1834.72</v>
      </c>
      <c r="E187" s="4">
        <f>VLOOKUP(A187,'Datos generales'!A:L,12,0)</f>
        <v>1834.72</v>
      </c>
      <c r="F187" s="4" t="str">
        <f>VLOOKUP(A187,'Datos generales'!A:L,7,0)</f>
        <v>Accesorios</v>
      </c>
      <c r="G187" s="4">
        <v>2023</v>
      </c>
    </row>
    <row r="188" spans="1:7" x14ac:dyDescent="0.25">
      <c r="A188" t="s">
        <v>198</v>
      </c>
      <c r="B188" s="4">
        <f>VLOOKUP(A188,'Datos generales'!A:L,5,0)</f>
        <v>2</v>
      </c>
      <c r="C188" s="4" t="str">
        <f>VLOOKUP(A188,'Datos generales'!A:L,4,0)</f>
        <v>Audífonos</v>
      </c>
      <c r="D188" s="4">
        <f>VLOOKUP(A188,'Datos generales'!A:L,6,0)</f>
        <v>1942.31</v>
      </c>
      <c r="E188" s="4">
        <f>VLOOKUP(A188,'Datos generales'!A:L,12,0)</f>
        <v>1942.31</v>
      </c>
      <c r="F188" s="4" t="str">
        <f>VLOOKUP(A188,'Datos generales'!A:L,7,0)</f>
        <v>Accesorios</v>
      </c>
      <c r="G188" s="4">
        <v>2024</v>
      </c>
    </row>
    <row r="189" spans="1:7" x14ac:dyDescent="0.25">
      <c r="A189" t="s">
        <v>199</v>
      </c>
      <c r="B189" s="4">
        <f>VLOOKUP(A189,'Datos generales'!A:L,5,0)</f>
        <v>3</v>
      </c>
      <c r="C189" s="4" t="str">
        <f>VLOOKUP(A189,'Datos generales'!A:L,4,0)</f>
        <v>Audífonos</v>
      </c>
      <c r="D189" s="4">
        <f>VLOOKUP(A189,'Datos generales'!A:L,6,0)</f>
        <v>1025.57</v>
      </c>
      <c r="E189" s="4">
        <f>VLOOKUP(A189,'Datos generales'!A:L,12,0)</f>
        <v>1025.57</v>
      </c>
      <c r="F189" s="4" t="str">
        <f>VLOOKUP(A189,'Datos generales'!A:L,7,0)</f>
        <v>Accesorios</v>
      </c>
      <c r="G189" s="4">
        <v>2025</v>
      </c>
    </row>
    <row r="190" spans="1:7" x14ac:dyDescent="0.25">
      <c r="A190" t="s">
        <v>200</v>
      </c>
      <c r="B190" s="4">
        <f>VLOOKUP(A190,'Datos generales'!A:L,5,0)</f>
        <v>4</v>
      </c>
      <c r="C190" s="4" t="str">
        <f>VLOOKUP(A190,'Datos generales'!A:L,4,0)</f>
        <v>Impresora</v>
      </c>
      <c r="D190" s="4">
        <f>VLOOKUP(A190,'Datos generales'!A:L,6,0)</f>
        <v>555.19000000000005</v>
      </c>
      <c r="E190" s="4">
        <f>VLOOKUP(A190,'Datos generales'!A:L,12,0)</f>
        <v>555.19000000000005</v>
      </c>
      <c r="F190" s="4" t="str">
        <f>VLOOKUP(A190,'Datos generales'!A:L,7,0)</f>
        <v>Electrónica</v>
      </c>
      <c r="G190" s="4">
        <v>2023</v>
      </c>
    </row>
    <row r="191" spans="1:7" x14ac:dyDescent="0.25">
      <c r="A191" t="s">
        <v>201</v>
      </c>
      <c r="B191" s="4">
        <f>VLOOKUP(A191,'Datos generales'!A:L,5,0)</f>
        <v>5</v>
      </c>
      <c r="C191" s="4" t="str">
        <f>VLOOKUP(A191,'Datos generales'!A:L,4,0)</f>
        <v>Silla Gamer</v>
      </c>
      <c r="D191" s="4">
        <f>VLOOKUP(A191,'Datos generales'!A:L,6,0)</f>
        <v>750.82</v>
      </c>
      <c r="E191" s="4">
        <f>VLOOKUP(A191,'Datos generales'!A:L,12,0)</f>
        <v>750.82</v>
      </c>
      <c r="F191" s="4" t="str">
        <f>VLOOKUP(A191,'Datos generales'!A:L,7,0)</f>
        <v>Muebles</v>
      </c>
      <c r="G191" s="4">
        <v>2023</v>
      </c>
    </row>
    <row r="192" spans="1:7" x14ac:dyDescent="0.25">
      <c r="A192" t="s">
        <v>202</v>
      </c>
      <c r="B192" s="4">
        <f>VLOOKUP(A192,'Datos generales'!A:L,5,0)</f>
        <v>2</v>
      </c>
      <c r="C192" s="4" t="str">
        <f>VLOOKUP(A192,'Datos generales'!A:L,4,0)</f>
        <v>Impresora</v>
      </c>
      <c r="D192" s="4">
        <f>VLOOKUP(A192,'Datos generales'!A:L,6,0)</f>
        <v>1609.9</v>
      </c>
      <c r="E192" s="4">
        <f>VLOOKUP(A192,'Datos generales'!A:L,12,0)</f>
        <v>1609.9</v>
      </c>
      <c r="F192" s="4" t="str">
        <f>VLOOKUP(A192,'Datos generales'!A:L,7,0)</f>
        <v>Electrónica</v>
      </c>
      <c r="G192" s="4">
        <v>2025</v>
      </c>
    </row>
    <row r="193" spans="1:7" x14ac:dyDescent="0.25">
      <c r="A193" t="s">
        <v>203</v>
      </c>
      <c r="B193" s="4">
        <f>VLOOKUP(A193,'Datos generales'!A:L,5,0)</f>
        <v>3</v>
      </c>
      <c r="C193" s="4" t="str">
        <f>VLOOKUP(A193,'Datos generales'!A:L,4,0)</f>
        <v>Silla Gamer</v>
      </c>
      <c r="D193" s="4">
        <f>VLOOKUP(A193,'Datos generales'!A:L,6,0)</f>
        <v>27.89</v>
      </c>
      <c r="E193" s="4">
        <f>VLOOKUP(A193,'Datos generales'!A:L,12,0)</f>
        <v>27.89</v>
      </c>
      <c r="F193" s="4" t="str">
        <f>VLOOKUP(A193,'Datos generales'!A:L,7,0)</f>
        <v>Muebles</v>
      </c>
      <c r="G193" s="4">
        <v>2025</v>
      </c>
    </row>
    <row r="194" spans="1:7" x14ac:dyDescent="0.25">
      <c r="A194" t="s">
        <v>204</v>
      </c>
      <c r="B194" s="4">
        <f>VLOOKUP(A194,'Datos generales'!A:L,5,0)</f>
        <v>1</v>
      </c>
      <c r="C194" s="4" t="str">
        <f>VLOOKUP(A194,'Datos generales'!A:L,4,0)</f>
        <v>Audífonos</v>
      </c>
      <c r="D194" s="4">
        <f>VLOOKUP(A194,'Datos generales'!A:L,6,0)</f>
        <v>1700.54</v>
      </c>
      <c r="E194" s="4">
        <f>VLOOKUP(A194,'Datos generales'!A:L,12,0)</f>
        <v>1700.54</v>
      </c>
      <c r="F194" s="4" t="str">
        <f>VLOOKUP(A194,'Datos generales'!A:L,7,0)</f>
        <v>Accesorios</v>
      </c>
      <c r="G194" s="4">
        <v>2025</v>
      </c>
    </row>
    <row r="195" spans="1:7" x14ac:dyDescent="0.25">
      <c r="A195" t="s">
        <v>205</v>
      </c>
      <c r="B195" s="4">
        <f>VLOOKUP(A195,'Datos generales'!A:L,5,0)</f>
        <v>3</v>
      </c>
      <c r="C195" s="4" t="str">
        <f>VLOOKUP(A195,'Datos generales'!A:L,4,0)</f>
        <v>Audífonos</v>
      </c>
      <c r="D195" s="4">
        <f>VLOOKUP(A195,'Datos generales'!A:L,6,0)</f>
        <v>473.4</v>
      </c>
      <c r="E195" s="4">
        <f>VLOOKUP(A195,'Datos generales'!A:L,12,0)</f>
        <v>473.39999999999992</v>
      </c>
      <c r="F195" s="4" t="str">
        <f>VLOOKUP(A195,'Datos generales'!A:L,7,0)</f>
        <v>Accesorios</v>
      </c>
      <c r="G195" s="4">
        <v>2025</v>
      </c>
    </row>
    <row r="196" spans="1:7" x14ac:dyDescent="0.25">
      <c r="A196" t="s">
        <v>206</v>
      </c>
      <c r="B196" s="4">
        <f>VLOOKUP(A196,'Datos generales'!A:L,5,0)</f>
        <v>1</v>
      </c>
      <c r="C196" s="4" t="str">
        <f>VLOOKUP(A196,'Datos generales'!A:L,4,0)</f>
        <v>Impresora</v>
      </c>
      <c r="D196" s="4">
        <f>VLOOKUP(A196,'Datos generales'!A:L,6,0)</f>
        <v>521.32000000000005</v>
      </c>
      <c r="E196" s="4">
        <f>VLOOKUP(A196,'Datos generales'!A:L,12,0)</f>
        <v>521.32000000000005</v>
      </c>
      <c r="F196" s="4" t="str">
        <f>VLOOKUP(A196,'Datos generales'!A:L,7,0)</f>
        <v>Electrónica</v>
      </c>
      <c r="G196" s="4">
        <v>2023</v>
      </c>
    </row>
    <row r="197" spans="1:7" x14ac:dyDescent="0.25">
      <c r="A197" t="s">
        <v>207</v>
      </c>
      <c r="B197" s="4">
        <f>VLOOKUP(A197,'Datos generales'!A:L,5,0)</f>
        <v>1</v>
      </c>
      <c r="C197" s="4" t="str">
        <f>VLOOKUP(A197,'Datos generales'!A:L,4,0)</f>
        <v>Teclado</v>
      </c>
      <c r="D197" s="4">
        <f>VLOOKUP(A197,'Datos generales'!A:L,6,0)</f>
        <v>1067.6400000000001</v>
      </c>
      <c r="E197" s="4">
        <f>VLOOKUP(A197,'Datos generales'!A:L,12,0)</f>
        <v>1067.6400000000001</v>
      </c>
      <c r="F197" s="4" t="str">
        <f>VLOOKUP(A197,'Datos generales'!A:L,7,0)</f>
        <v>Accesorios</v>
      </c>
      <c r="G197" s="4">
        <v>2025</v>
      </c>
    </row>
    <row r="198" spans="1:7" x14ac:dyDescent="0.25">
      <c r="A198" t="s">
        <v>208</v>
      </c>
      <c r="B198" s="4">
        <f>VLOOKUP(A198,'Datos generales'!A:L,5,0)</f>
        <v>1</v>
      </c>
      <c r="C198" s="4" t="str">
        <f>VLOOKUP(A198,'Datos generales'!A:L,4,0)</f>
        <v>Mouse</v>
      </c>
      <c r="D198" s="4">
        <f>VLOOKUP(A198,'Datos generales'!A:L,6,0)</f>
        <v>1903.64</v>
      </c>
      <c r="E198" s="4">
        <f>VLOOKUP(A198,'Datos generales'!A:L,12,0)</f>
        <v>1903.64</v>
      </c>
      <c r="F198" s="4" t="str">
        <f>VLOOKUP(A198,'Datos generales'!A:L,7,0)</f>
        <v>Accesorios</v>
      </c>
      <c r="G198" s="4">
        <v>2023</v>
      </c>
    </row>
    <row r="199" spans="1:7" x14ac:dyDescent="0.25">
      <c r="A199" t="s">
        <v>209</v>
      </c>
      <c r="B199" s="4">
        <f>VLOOKUP(A199,'Datos generales'!A:L,5,0)</f>
        <v>2</v>
      </c>
      <c r="C199" s="4" t="str">
        <f>VLOOKUP(A199,'Datos generales'!A:L,4,0)</f>
        <v>Silla Gamer</v>
      </c>
      <c r="D199" s="4">
        <f>VLOOKUP(A199,'Datos generales'!A:L,6,0)</f>
        <v>1460.16</v>
      </c>
      <c r="E199" s="4">
        <f>VLOOKUP(A199,'Datos generales'!A:L,12,0)</f>
        <v>1460.16</v>
      </c>
      <c r="F199" s="4" t="str">
        <f>VLOOKUP(A199,'Datos generales'!A:L,7,0)</f>
        <v>Muebles</v>
      </c>
      <c r="G199" s="4">
        <v>2023</v>
      </c>
    </row>
    <row r="200" spans="1:7" x14ac:dyDescent="0.25">
      <c r="A200" t="s">
        <v>210</v>
      </c>
      <c r="B200" s="4">
        <f>VLOOKUP(A200,'Datos generales'!A:L,5,0)</f>
        <v>4</v>
      </c>
      <c r="C200" s="4" t="str">
        <f>VLOOKUP(A200,'Datos generales'!A:L,4,0)</f>
        <v>Monitor</v>
      </c>
      <c r="D200" s="4">
        <f>VLOOKUP(A200,'Datos generales'!A:L,6,0)</f>
        <v>847</v>
      </c>
      <c r="E200" s="4">
        <f>VLOOKUP(A200,'Datos generales'!A:L,12,0)</f>
        <v>847</v>
      </c>
      <c r="F200" s="4" t="str">
        <f>VLOOKUP(A200,'Datos generales'!A:L,7,0)</f>
        <v>Electrónica</v>
      </c>
      <c r="G200" s="4">
        <v>2025</v>
      </c>
    </row>
    <row r="201" spans="1:7" x14ac:dyDescent="0.25">
      <c r="A201" t="s">
        <v>211</v>
      </c>
      <c r="B201" s="4">
        <f>VLOOKUP(A201,'Datos generales'!A:L,5,0)</f>
        <v>2</v>
      </c>
      <c r="C201" s="4" t="str">
        <f>VLOOKUP(A201,'Datos generales'!A:L,4,0)</f>
        <v>Mouse</v>
      </c>
      <c r="D201" s="4">
        <f>VLOOKUP(A201,'Datos generales'!A:L,6,0)</f>
        <v>1243.3399999999999</v>
      </c>
      <c r="E201" s="4">
        <f>VLOOKUP(A201,'Datos generales'!A:L,12,0)</f>
        <v>1243.3399999999999</v>
      </c>
      <c r="F201" s="4" t="str">
        <f>VLOOKUP(A201,'Datos generales'!A:L,7,0)</f>
        <v>Accesorios</v>
      </c>
      <c r="G201" s="4">
        <v>2023</v>
      </c>
    </row>
    <row r="202" spans="1:7" x14ac:dyDescent="0.25">
      <c r="A202" t="s">
        <v>12</v>
      </c>
      <c r="B202" s="4">
        <f>VLOOKUP(A202,'Datos generales'!A:L,5,0)</f>
        <v>5</v>
      </c>
      <c r="C202" s="4" t="str">
        <f>VLOOKUP(A202,'Datos generales'!A:L,4,0)</f>
        <v>Monitor</v>
      </c>
      <c r="D202" s="4">
        <f>VLOOKUP(A202,'Datos generales'!A:L,6,0)</f>
        <v>1497.24</v>
      </c>
      <c r="E202" s="4">
        <f>VLOOKUP(A202,'Datos generales'!A:L,12,0)</f>
        <v>1497.24</v>
      </c>
      <c r="F202" s="4" t="str">
        <f>VLOOKUP(A202,'Datos generales'!A:L,7,0)</f>
        <v>Electrónica</v>
      </c>
      <c r="G202" s="4">
        <v>2023</v>
      </c>
    </row>
    <row r="203" spans="1:7" x14ac:dyDescent="0.25">
      <c r="A203" t="s">
        <v>13</v>
      </c>
      <c r="B203" s="4">
        <f>VLOOKUP(A203,'Datos generales'!A:L,5,0)</f>
        <v>1</v>
      </c>
      <c r="C203" s="4" t="str">
        <f>VLOOKUP(A203,'Datos generales'!A:L,4,0)</f>
        <v>Monitor</v>
      </c>
      <c r="D203" s="4">
        <f>VLOOKUP(A203,'Datos generales'!A:L,6,0)</f>
        <v>1687.54</v>
      </c>
      <c r="E203" s="4">
        <f>VLOOKUP(A203,'Datos generales'!A:L,12,0)</f>
        <v>1687.54</v>
      </c>
      <c r="F203" s="4" t="str">
        <f>VLOOKUP(A203,'Datos generales'!A:L,7,0)</f>
        <v>Electrónica</v>
      </c>
      <c r="G203" s="4">
        <v>2023</v>
      </c>
    </row>
    <row r="204" spans="1:7" x14ac:dyDescent="0.25">
      <c r="A204" t="s">
        <v>14</v>
      </c>
      <c r="B204" s="4">
        <f>VLOOKUP(A204,'Datos generales'!A:L,5,0)</f>
        <v>3</v>
      </c>
      <c r="C204" s="4" t="str">
        <f>VLOOKUP(A204,'Datos generales'!A:L,4,0)</f>
        <v>Teclado</v>
      </c>
      <c r="D204" s="4">
        <f>VLOOKUP(A204,'Datos generales'!A:L,6,0)</f>
        <v>768.8</v>
      </c>
      <c r="E204" s="4">
        <f>VLOOKUP(A204,'Datos generales'!A:L,12,0)</f>
        <v>768.79999999999984</v>
      </c>
      <c r="F204" s="4" t="str">
        <f>VLOOKUP(A204,'Datos generales'!A:L,7,0)</f>
        <v>Accesorios</v>
      </c>
      <c r="G204" s="4">
        <v>2024</v>
      </c>
    </row>
    <row r="205" spans="1:7" x14ac:dyDescent="0.25">
      <c r="A205" t="s">
        <v>15</v>
      </c>
      <c r="B205" s="4">
        <f>VLOOKUP(A205,'Datos generales'!A:L,5,0)</f>
        <v>1</v>
      </c>
      <c r="C205" s="4" t="str">
        <f>VLOOKUP(A205,'Datos generales'!A:L,4,0)</f>
        <v>Silla Gamer</v>
      </c>
      <c r="D205" s="4">
        <f>VLOOKUP(A205,'Datos generales'!A:L,6,0)</f>
        <v>1532.67</v>
      </c>
      <c r="E205" s="4">
        <f>VLOOKUP(A205,'Datos generales'!A:L,12,0)</f>
        <v>1532.67</v>
      </c>
      <c r="F205" s="4" t="str">
        <f>VLOOKUP(A205,'Datos generales'!A:L,7,0)</f>
        <v>Muebles</v>
      </c>
      <c r="G205" s="4">
        <v>2025</v>
      </c>
    </row>
    <row r="206" spans="1:7" x14ac:dyDescent="0.25">
      <c r="A206" t="s">
        <v>16</v>
      </c>
      <c r="B206" s="4">
        <f>VLOOKUP(A206,'Datos generales'!A:L,5,0)</f>
        <v>3</v>
      </c>
      <c r="C206" s="4" t="str">
        <f>VLOOKUP(A206,'Datos generales'!A:L,4,0)</f>
        <v>Silla Gamer</v>
      </c>
      <c r="D206" s="4">
        <f>VLOOKUP(A206,'Datos generales'!A:L,6,0)</f>
        <v>1709.47</v>
      </c>
      <c r="E206" s="4">
        <f>VLOOKUP(A206,'Datos generales'!A:L,12,0)</f>
        <v>1709.47</v>
      </c>
      <c r="F206" s="4" t="str">
        <f>VLOOKUP(A206,'Datos generales'!A:L,7,0)</f>
        <v>Muebles</v>
      </c>
      <c r="G206" s="4">
        <v>2025</v>
      </c>
    </row>
    <row r="207" spans="1:7" x14ac:dyDescent="0.25">
      <c r="A207" t="s">
        <v>17</v>
      </c>
      <c r="B207" s="4">
        <f>VLOOKUP(A207,'Datos generales'!A:L,5,0)</f>
        <v>3</v>
      </c>
      <c r="C207" s="4" t="str">
        <f>VLOOKUP(A207,'Datos generales'!A:L,4,0)</f>
        <v>Impresora</v>
      </c>
      <c r="D207" s="4">
        <f>VLOOKUP(A207,'Datos generales'!A:L,6,0)</f>
        <v>297.54000000000002</v>
      </c>
      <c r="E207" s="4">
        <f>VLOOKUP(A207,'Datos generales'!A:L,12,0)</f>
        <v>297.54000000000002</v>
      </c>
      <c r="F207" s="4" t="str">
        <f>VLOOKUP(A207,'Datos generales'!A:L,7,0)</f>
        <v>Electrónica</v>
      </c>
      <c r="G207" s="4">
        <v>2023</v>
      </c>
    </row>
    <row r="208" spans="1:7" x14ac:dyDescent="0.25">
      <c r="A208" t="s">
        <v>18</v>
      </c>
      <c r="B208" s="4">
        <f>VLOOKUP(A208,'Datos generales'!A:L,5,0)</f>
        <v>4</v>
      </c>
      <c r="C208" s="4" t="str">
        <f>VLOOKUP(A208,'Datos generales'!A:L,4,0)</f>
        <v>Webcam</v>
      </c>
      <c r="D208" s="4">
        <f>VLOOKUP(A208,'Datos generales'!A:L,6,0)</f>
        <v>1546.65</v>
      </c>
      <c r="E208" s="4">
        <f>VLOOKUP(A208,'Datos generales'!A:L,12,0)</f>
        <v>1546.65</v>
      </c>
      <c r="F208" s="4" t="str">
        <f>VLOOKUP(A208,'Datos generales'!A:L,7,0)</f>
        <v>Accesorios</v>
      </c>
      <c r="G208" s="4">
        <v>2025</v>
      </c>
    </row>
    <row r="209" spans="1:7" x14ac:dyDescent="0.25">
      <c r="A209" t="s">
        <v>19</v>
      </c>
      <c r="B209" s="4">
        <f>VLOOKUP(A209,'Datos generales'!A:L,5,0)</f>
        <v>1</v>
      </c>
      <c r="C209" s="4" t="str">
        <f>VLOOKUP(A209,'Datos generales'!A:L,4,0)</f>
        <v>Monitor</v>
      </c>
      <c r="D209" s="4">
        <f>VLOOKUP(A209,'Datos generales'!A:L,6,0)</f>
        <v>1575.18</v>
      </c>
      <c r="E209" s="4">
        <f>VLOOKUP(A209,'Datos generales'!A:L,12,0)</f>
        <v>1575.18</v>
      </c>
      <c r="F209" s="4" t="str">
        <f>VLOOKUP(A209,'Datos generales'!A:L,7,0)</f>
        <v>Electrónica</v>
      </c>
      <c r="G209" s="4">
        <v>2025</v>
      </c>
    </row>
    <row r="210" spans="1:7" x14ac:dyDescent="0.25">
      <c r="A210" t="s">
        <v>20</v>
      </c>
      <c r="B210" s="4">
        <f>VLOOKUP(A210,'Datos generales'!A:L,5,0)</f>
        <v>5</v>
      </c>
      <c r="C210" s="4" t="str">
        <f>VLOOKUP(A210,'Datos generales'!A:L,4,0)</f>
        <v>Laptop</v>
      </c>
      <c r="D210" s="4">
        <f>VLOOKUP(A210,'Datos generales'!A:L,6,0)</f>
        <v>1815.86</v>
      </c>
      <c r="E210" s="4">
        <f>VLOOKUP(A210,'Datos generales'!A:L,12,0)</f>
        <v>1815.86</v>
      </c>
      <c r="F210" s="4" t="str">
        <f>VLOOKUP(A210,'Datos generales'!A:L,7,0)</f>
        <v>Electrónica</v>
      </c>
      <c r="G210" s="4">
        <v>2024</v>
      </c>
    </row>
    <row r="211" spans="1:7" x14ac:dyDescent="0.25">
      <c r="A211" t="s">
        <v>21</v>
      </c>
      <c r="B211" s="4">
        <f>VLOOKUP(A211,'Datos generales'!A:L,5,0)</f>
        <v>1</v>
      </c>
      <c r="C211" s="4" t="str">
        <f>VLOOKUP(A211,'Datos generales'!A:L,4,0)</f>
        <v>Monitor</v>
      </c>
      <c r="D211" s="4">
        <f>VLOOKUP(A211,'Datos generales'!A:L,6,0)</f>
        <v>564.11</v>
      </c>
      <c r="E211" s="4">
        <f>VLOOKUP(A211,'Datos generales'!A:L,12,0)</f>
        <v>564.11</v>
      </c>
      <c r="F211" s="4" t="str">
        <f>VLOOKUP(A211,'Datos generales'!A:L,7,0)</f>
        <v>Electrónica</v>
      </c>
      <c r="G211" s="4">
        <v>2024</v>
      </c>
    </row>
    <row r="212" spans="1:7" x14ac:dyDescent="0.25">
      <c r="A212" t="s">
        <v>22</v>
      </c>
      <c r="B212" s="4">
        <f>VLOOKUP(A212,'Datos generales'!A:L,5,0)</f>
        <v>1</v>
      </c>
      <c r="C212" s="4" t="str">
        <f>VLOOKUP(A212,'Datos generales'!A:L,4,0)</f>
        <v>Laptop</v>
      </c>
      <c r="D212" s="4">
        <f>VLOOKUP(A212,'Datos generales'!A:L,6,0)</f>
        <v>454.9</v>
      </c>
      <c r="E212" s="4">
        <f>VLOOKUP(A212,'Datos generales'!A:L,12,0)</f>
        <v>454.9</v>
      </c>
      <c r="F212" s="4" t="str">
        <f>VLOOKUP(A212,'Datos generales'!A:L,7,0)</f>
        <v>Electrónica</v>
      </c>
      <c r="G212" s="4">
        <v>2024</v>
      </c>
    </row>
    <row r="213" spans="1:7" x14ac:dyDescent="0.25">
      <c r="A213" t="s">
        <v>23</v>
      </c>
      <c r="B213" s="4">
        <f>VLOOKUP(A213,'Datos generales'!A:L,5,0)</f>
        <v>3</v>
      </c>
      <c r="C213" s="4" t="str">
        <f>VLOOKUP(A213,'Datos generales'!A:L,4,0)</f>
        <v>Mouse</v>
      </c>
      <c r="D213" s="4">
        <f>VLOOKUP(A213,'Datos generales'!A:L,6,0)</f>
        <v>1277.51</v>
      </c>
      <c r="E213" s="4">
        <f>VLOOKUP(A213,'Datos generales'!A:L,12,0)</f>
        <v>1277.51</v>
      </c>
      <c r="F213" s="4" t="str">
        <f>VLOOKUP(A213,'Datos generales'!A:L,7,0)</f>
        <v>Accesorios</v>
      </c>
      <c r="G213" s="4">
        <v>2024</v>
      </c>
    </row>
    <row r="214" spans="1:7" x14ac:dyDescent="0.25">
      <c r="A214" t="s">
        <v>24</v>
      </c>
      <c r="B214" s="4">
        <f>VLOOKUP(A214,'Datos generales'!A:L,5,0)</f>
        <v>2</v>
      </c>
      <c r="C214" s="4" t="str">
        <f>VLOOKUP(A214,'Datos generales'!A:L,4,0)</f>
        <v>Silla Gamer</v>
      </c>
      <c r="D214" s="4">
        <f>VLOOKUP(A214,'Datos generales'!A:L,6,0)</f>
        <v>1870.95</v>
      </c>
      <c r="E214" s="4">
        <f>VLOOKUP(A214,'Datos generales'!A:L,12,0)</f>
        <v>1870.95</v>
      </c>
      <c r="F214" s="4" t="str">
        <f>VLOOKUP(A214,'Datos generales'!A:L,7,0)</f>
        <v>Muebles</v>
      </c>
      <c r="G214" s="4">
        <v>2023</v>
      </c>
    </row>
    <row r="215" spans="1:7" x14ac:dyDescent="0.25">
      <c r="A215" t="s">
        <v>25</v>
      </c>
      <c r="B215" s="4">
        <f>VLOOKUP(A215,'Datos generales'!A:L,5,0)</f>
        <v>4</v>
      </c>
      <c r="C215" s="4" t="str">
        <f>VLOOKUP(A215,'Datos generales'!A:L,4,0)</f>
        <v>Monitor</v>
      </c>
      <c r="D215" s="4">
        <f>VLOOKUP(A215,'Datos generales'!A:L,6,0)</f>
        <v>1227.23</v>
      </c>
      <c r="E215" s="4">
        <f>VLOOKUP(A215,'Datos generales'!A:L,12,0)</f>
        <v>1227.23</v>
      </c>
      <c r="F215" s="4" t="str">
        <f>VLOOKUP(A215,'Datos generales'!A:L,7,0)</f>
        <v>Electrónica</v>
      </c>
      <c r="G215" s="4">
        <v>2023</v>
      </c>
    </row>
    <row r="216" spans="1:7" x14ac:dyDescent="0.25">
      <c r="A216" t="s">
        <v>26</v>
      </c>
      <c r="B216" s="4">
        <f>VLOOKUP(A216,'Datos generales'!A:L,5,0)</f>
        <v>1</v>
      </c>
      <c r="C216" s="4" t="str">
        <f>VLOOKUP(A216,'Datos generales'!A:L,4,0)</f>
        <v>Impresora</v>
      </c>
      <c r="D216" s="4">
        <f>VLOOKUP(A216,'Datos generales'!A:L,6,0)</f>
        <v>1329.6</v>
      </c>
      <c r="E216" s="4">
        <f>VLOOKUP(A216,'Datos generales'!A:L,12,0)</f>
        <v>1329.6</v>
      </c>
      <c r="F216" s="4" t="str">
        <f>VLOOKUP(A216,'Datos generales'!A:L,7,0)</f>
        <v>Electrónica</v>
      </c>
      <c r="G216" s="4">
        <v>2024</v>
      </c>
    </row>
    <row r="217" spans="1:7" x14ac:dyDescent="0.25">
      <c r="A217" t="s">
        <v>27</v>
      </c>
      <c r="B217" s="4">
        <f>VLOOKUP(A217,'Datos generales'!A:L,5,0)</f>
        <v>3</v>
      </c>
      <c r="C217" s="4" t="str">
        <f>VLOOKUP(A217,'Datos generales'!A:L,4,0)</f>
        <v>Monitor</v>
      </c>
      <c r="D217" s="4">
        <f>VLOOKUP(A217,'Datos generales'!A:L,6,0)</f>
        <v>1734.12</v>
      </c>
      <c r="E217" s="4">
        <f>VLOOKUP(A217,'Datos generales'!A:L,12,0)</f>
        <v>1734.12</v>
      </c>
      <c r="F217" s="4" t="str">
        <f>VLOOKUP(A217,'Datos generales'!A:L,7,0)</f>
        <v>Electrónica</v>
      </c>
      <c r="G217" s="4">
        <v>2023</v>
      </c>
    </row>
    <row r="218" spans="1:7" x14ac:dyDescent="0.25">
      <c r="A218" t="s">
        <v>28</v>
      </c>
      <c r="B218" s="4">
        <f>VLOOKUP(A218,'Datos generales'!A:L,5,0)</f>
        <v>1</v>
      </c>
      <c r="C218" s="4" t="str">
        <f>VLOOKUP(A218,'Datos generales'!A:L,4,0)</f>
        <v>Monitor</v>
      </c>
      <c r="D218" s="4">
        <f>VLOOKUP(A218,'Datos generales'!A:L,6,0)</f>
        <v>1209.6199999999999</v>
      </c>
      <c r="E218" s="4">
        <f>VLOOKUP(A218,'Datos generales'!A:L,12,0)</f>
        <v>1209.6199999999999</v>
      </c>
      <c r="F218" s="4" t="str">
        <f>VLOOKUP(A218,'Datos generales'!A:L,7,0)</f>
        <v>Electrónica</v>
      </c>
      <c r="G218" s="4">
        <v>2024</v>
      </c>
    </row>
    <row r="219" spans="1:7" x14ac:dyDescent="0.25">
      <c r="A219" t="s">
        <v>29</v>
      </c>
      <c r="B219" s="4">
        <f>VLOOKUP(A219,'Datos generales'!A:L,5,0)</f>
        <v>3</v>
      </c>
      <c r="C219" s="4" t="str">
        <f>VLOOKUP(A219,'Datos generales'!A:L,4,0)</f>
        <v>Mouse</v>
      </c>
      <c r="D219" s="4">
        <f>VLOOKUP(A219,'Datos generales'!A:L,6,0)</f>
        <v>922.33</v>
      </c>
      <c r="E219" s="4">
        <f>VLOOKUP(A219,'Datos generales'!A:L,12,0)</f>
        <v>922.33</v>
      </c>
      <c r="F219" s="4" t="str">
        <f>VLOOKUP(A219,'Datos generales'!A:L,7,0)</f>
        <v>Accesorios</v>
      </c>
      <c r="G219" s="4">
        <v>2024</v>
      </c>
    </row>
    <row r="220" spans="1:7" x14ac:dyDescent="0.25">
      <c r="A220" t="s">
        <v>30</v>
      </c>
      <c r="B220" s="4">
        <f>VLOOKUP(A220,'Datos generales'!A:L,5,0)</f>
        <v>4</v>
      </c>
      <c r="C220" s="4" t="str">
        <f>VLOOKUP(A220,'Datos generales'!A:L,4,0)</f>
        <v>Webcam</v>
      </c>
      <c r="D220" s="4">
        <f>VLOOKUP(A220,'Datos generales'!A:L,6,0)</f>
        <v>54.42</v>
      </c>
      <c r="E220" s="4">
        <f>VLOOKUP(A220,'Datos generales'!A:L,12,0)</f>
        <v>54.42</v>
      </c>
      <c r="F220" s="4" t="str">
        <f>VLOOKUP(A220,'Datos generales'!A:L,7,0)</f>
        <v>Accesorios</v>
      </c>
      <c r="G220" s="4">
        <v>2025</v>
      </c>
    </row>
    <row r="221" spans="1:7" x14ac:dyDescent="0.25">
      <c r="A221" t="s">
        <v>31</v>
      </c>
      <c r="B221" s="4">
        <f>VLOOKUP(A221,'Datos generales'!A:L,5,0)</f>
        <v>2</v>
      </c>
      <c r="C221" s="4" t="str">
        <f>VLOOKUP(A221,'Datos generales'!A:L,4,0)</f>
        <v>Mouse</v>
      </c>
      <c r="D221" s="4">
        <f>VLOOKUP(A221,'Datos generales'!A:L,6,0)</f>
        <v>1567.18</v>
      </c>
      <c r="E221" s="4">
        <f>VLOOKUP(A221,'Datos generales'!A:L,12,0)</f>
        <v>1567.18</v>
      </c>
      <c r="F221" s="4" t="str">
        <f>VLOOKUP(A221,'Datos generales'!A:L,7,0)</f>
        <v>Accesorios</v>
      </c>
      <c r="G221" s="4">
        <v>2023</v>
      </c>
    </row>
    <row r="222" spans="1:7" x14ac:dyDescent="0.25">
      <c r="A222" t="s">
        <v>32</v>
      </c>
      <c r="B222" s="4">
        <f>VLOOKUP(A222,'Datos generales'!A:L,5,0)</f>
        <v>2</v>
      </c>
      <c r="C222" s="4" t="str">
        <f>VLOOKUP(A222,'Datos generales'!A:L,4,0)</f>
        <v>Teclado</v>
      </c>
      <c r="D222" s="4">
        <f>VLOOKUP(A222,'Datos generales'!A:L,6,0)</f>
        <v>519.79999999999995</v>
      </c>
      <c r="E222" s="4">
        <f>VLOOKUP(A222,'Datos generales'!A:L,12,0)</f>
        <v>519.79999999999995</v>
      </c>
      <c r="F222" s="4" t="str">
        <f>VLOOKUP(A222,'Datos generales'!A:L,7,0)</f>
        <v>Accesorios</v>
      </c>
      <c r="G222" s="4">
        <v>2023</v>
      </c>
    </row>
    <row r="223" spans="1:7" x14ac:dyDescent="0.25">
      <c r="A223" t="s">
        <v>33</v>
      </c>
      <c r="B223" s="4">
        <f>VLOOKUP(A223,'Datos generales'!A:L,5,0)</f>
        <v>1</v>
      </c>
      <c r="C223" s="4" t="str">
        <f>VLOOKUP(A223,'Datos generales'!A:L,4,0)</f>
        <v>Silla Gamer</v>
      </c>
      <c r="D223" s="4">
        <f>VLOOKUP(A223,'Datos generales'!A:L,6,0)</f>
        <v>1267.01</v>
      </c>
      <c r="E223" s="4">
        <f>VLOOKUP(A223,'Datos generales'!A:L,12,0)</f>
        <v>1267.01</v>
      </c>
      <c r="F223" s="4" t="str">
        <f>VLOOKUP(A223,'Datos generales'!A:L,7,0)</f>
        <v>Muebles</v>
      </c>
      <c r="G223" s="4">
        <v>2024</v>
      </c>
    </row>
    <row r="224" spans="1:7" x14ac:dyDescent="0.25">
      <c r="A224" t="s">
        <v>34</v>
      </c>
      <c r="B224" s="4">
        <f>VLOOKUP(A224,'Datos generales'!A:L,5,0)</f>
        <v>4</v>
      </c>
      <c r="C224" s="4" t="str">
        <f>VLOOKUP(A224,'Datos generales'!A:L,4,0)</f>
        <v>Monitor</v>
      </c>
      <c r="D224" s="4">
        <f>VLOOKUP(A224,'Datos generales'!A:L,6,0)</f>
        <v>1027.81</v>
      </c>
      <c r="E224" s="4">
        <f>VLOOKUP(A224,'Datos generales'!A:L,12,0)</f>
        <v>1027.81</v>
      </c>
      <c r="F224" s="4" t="str">
        <f>VLOOKUP(A224,'Datos generales'!A:L,7,0)</f>
        <v>Electrónica</v>
      </c>
      <c r="G224" s="4">
        <v>2024</v>
      </c>
    </row>
    <row r="225" spans="1:7" x14ac:dyDescent="0.25">
      <c r="A225" t="s">
        <v>35</v>
      </c>
      <c r="B225" s="4">
        <f>VLOOKUP(A225,'Datos generales'!A:L,5,0)</f>
        <v>3</v>
      </c>
      <c r="C225" s="4" t="str">
        <f>VLOOKUP(A225,'Datos generales'!A:L,4,0)</f>
        <v>Webcam</v>
      </c>
      <c r="D225" s="4">
        <f>VLOOKUP(A225,'Datos generales'!A:L,6,0)</f>
        <v>925.62</v>
      </c>
      <c r="E225" s="4">
        <f>VLOOKUP(A225,'Datos generales'!A:L,12,0)</f>
        <v>925.62</v>
      </c>
      <c r="F225" s="4" t="str">
        <f>VLOOKUP(A225,'Datos generales'!A:L,7,0)</f>
        <v>Accesorios</v>
      </c>
      <c r="G225" s="4">
        <v>2024</v>
      </c>
    </row>
    <row r="226" spans="1:7" x14ac:dyDescent="0.25">
      <c r="A226" t="s">
        <v>36</v>
      </c>
      <c r="B226" s="4">
        <f>VLOOKUP(A226,'Datos generales'!A:L,5,0)</f>
        <v>3</v>
      </c>
      <c r="C226" s="4" t="str">
        <f>VLOOKUP(A226,'Datos generales'!A:L,4,0)</f>
        <v>Monitor</v>
      </c>
      <c r="D226" s="4">
        <f>VLOOKUP(A226,'Datos generales'!A:L,6,0)</f>
        <v>213.71</v>
      </c>
      <c r="E226" s="4">
        <f>VLOOKUP(A226,'Datos generales'!A:L,12,0)</f>
        <v>213.71</v>
      </c>
      <c r="F226" s="4" t="str">
        <f>VLOOKUP(A226,'Datos generales'!A:L,7,0)</f>
        <v>Electrónica</v>
      </c>
      <c r="G226" s="4">
        <v>2025</v>
      </c>
    </row>
    <row r="227" spans="1:7" x14ac:dyDescent="0.25">
      <c r="A227" t="s">
        <v>37</v>
      </c>
      <c r="B227" s="4">
        <f>VLOOKUP(A227,'Datos generales'!A:L,5,0)</f>
        <v>2</v>
      </c>
      <c r="C227" s="4" t="str">
        <f>VLOOKUP(A227,'Datos generales'!A:L,4,0)</f>
        <v>Laptop</v>
      </c>
      <c r="D227" s="4">
        <f>VLOOKUP(A227,'Datos generales'!A:L,6,0)</f>
        <v>1146.75</v>
      </c>
      <c r="E227" s="4">
        <f>VLOOKUP(A227,'Datos generales'!A:L,12,0)</f>
        <v>1146.75</v>
      </c>
      <c r="F227" s="4" t="str">
        <f>VLOOKUP(A227,'Datos generales'!A:L,7,0)</f>
        <v>Electrónica</v>
      </c>
      <c r="G227" s="4">
        <v>2024</v>
      </c>
    </row>
    <row r="228" spans="1:7" x14ac:dyDescent="0.25">
      <c r="A228" t="s">
        <v>38</v>
      </c>
      <c r="B228" s="4">
        <f>VLOOKUP(A228,'Datos generales'!A:L,5,0)</f>
        <v>5</v>
      </c>
      <c r="C228" s="4" t="str">
        <f>VLOOKUP(A228,'Datos generales'!A:L,4,0)</f>
        <v>Laptop</v>
      </c>
      <c r="D228" s="4">
        <f>VLOOKUP(A228,'Datos generales'!A:L,6,0)</f>
        <v>907.28</v>
      </c>
      <c r="E228" s="4">
        <f>VLOOKUP(A228,'Datos generales'!A:L,12,0)</f>
        <v>907.28</v>
      </c>
      <c r="F228" s="4" t="str">
        <f>VLOOKUP(A228,'Datos generales'!A:L,7,0)</f>
        <v>Electrónica</v>
      </c>
      <c r="G228" s="4">
        <v>2023</v>
      </c>
    </row>
    <row r="229" spans="1:7" x14ac:dyDescent="0.25">
      <c r="A229" t="s">
        <v>39</v>
      </c>
      <c r="B229" s="4">
        <f>VLOOKUP(A229,'Datos generales'!A:L,5,0)</f>
        <v>2</v>
      </c>
      <c r="C229" s="4" t="str">
        <f>VLOOKUP(A229,'Datos generales'!A:L,4,0)</f>
        <v>Webcam</v>
      </c>
      <c r="D229" s="4">
        <f>VLOOKUP(A229,'Datos generales'!A:L,6,0)</f>
        <v>1734.44</v>
      </c>
      <c r="E229" s="4">
        <f>VLOOKUP(A229,'Datos generales'!A:L,12,0)</f>
        <v>1734.44</v>
      </c>
      <c r="F229" s="4" t="str">
        <f>VLOOKUP(A229,'Datos generales'!A:L,7,0)</f>
        <v>Accesorios</v>
      </c>
      <c r="G229" s="4">
        <v>2023</v>
      </c>
    </row>
    <row r="230" spans="1:7" x14ac:dyDescent="0.25">
      <c r="A230" t="s">
        <v>40</v>
      </c>
      <c r="B230" s="4">
        <f>VLOOKUP(A230,'Datos generales'!A:L,5,0)</f>
        <v>1</v>
      </c>
      <c r="C230" s="4" t="str">
        <f>VLOOKUP(A230,'Datos generales'!A:L,4,0)</f>
        <v>Teclado</v>
      </c>
      <c r="D230" s="4">
        <f>VLOOKUP(A230,'Datos generales'!A:L,6,0)</f>
        <v>424.35</v>
      </c>
      <c r="E230" s="4">
        <f>VLOOKUP(A230,'Datos generales'!A:L,12,0)</f>
        <v>424.35</v>
      </c>
      <c r="F230" s="4" t="str">
        <f>VLOOKUP(A230,'Datos generales'!A:L,7,0)</f>
        <v>Accesorios</v>
      </c>
      <c r="G230" s="4">
        <v>2024</v>
      </c>
    </row>
    <row r="231" spans="1:7" x14ac:dyDescent="0.25">
      <c r="A231" t="s">
        <v>41</v>
      </c>
      <c r="B231" s="4">
        <f>VLOOKUP(A231,'Datos generales'!A:L,5,0)</f>
        <v>1</v>
      </c>
      <c r="C231" s="4" t="str">
        <f>VLOOKUP(A231,'Datos generales'!A:L,4,0)</f>
        <v>Monitor</v>
      </c>
      <c r="D231" s="4">
        <f>VLOOKUP(A231,'Datos generales'!A:L,6,0)</f>
        <v>252.57</v>
      </c>
      <c r="E231" s="4">
        <f>VLOOKUP(A231,'Datos generales'!A:L,12,0)</f>
        <v>252.57</v>
      </c>
      <c r="F231" s="4" t="str">
        <f>VLOOKUP(A231,'Datos generales'!A:L,7,0)</f>
        <v>Electrónica</v>
      </c>
      <c r="G231" s="4">
        <v>2025</v>
      </c>
    </row>
    <row r="232" spans="1:7" x14ac:dyDescent="0.25">
      <c r="A232" t="s">
        <v>42</v>
      </c>
      <c r="B232" s="4">
        <f>VLOOKUP(A232,'Datos generales'!A:L,5,0)</f>
        <v>3</v>
      </c>
      <c r="C232" s="4" t="str">
        <f>VLOOKUP(A232,'Datos generales'!A:L,4,0)</f>
        <v>Mouse</v>
      </c>
      <c r="D232" s="4">
        <f>VLOOKUP(A232,'Datos generales'!A:L,6,0)</f>
        <v>21.56</v>
      </c>
      <c r="E232" s="4">
        <f>VLOOKUP(A232,'Datos generales'!A:L,12,0)</f>
        <v>21.56</v>
      </c>
      <c r="F232" s="4" t="str">
        <f>VLOOKUP(A232,'Datos generales'!A:L,7,0)</f>
        <v>Accesorios</v>
      </c>
      <c r="G232" s="4">
        <v>2024</v>
      </c>
    </row>
    <row r="233" spans="1:7" x14ac:dyDescent="0.25">
      <c r="A233" t="s">
        <v>43</v>
      </c>
      <c r="B233" s="4">
        <f>VLOOKUP(A233,'Datos generales'!A:L,5,0)</f>
        <v>1</v>
      </c>
      <c r="C233" s="4" t="str">
        <f>VLOOKUP(A233,'Datos generales'!A:L,4,0)</f>
        <v>Silla Gamer</v>
      </c>
      <c r="D233" s="4">
        <f>VLOOKUP(A233,'Datos generales'!A:L,6,0)</f>
        <v>446.81</v>
      </c>
      <c r="E233" s="4">
        <f>VLOOKUP(A233,'Datos generales'!A:L,12,0)</f>
        <v>446.81</v>
      </c>
      <c r="F233" s="4" t="str">
        <f>VLOOKUP(A233,'Datos generales'!A:L,7,0)</f>
        <v>Muebles</v>
      </c>
      <c r="G233" s="4">
        <v>2024</v>
      </c>
    </row>
    <row r="234" spans="1:7" x14ac:dyDescent="0.25">
      <c r="A234" t="s">
        <v>44</v>
      </c>
      <c r="B234" s="4">
        <f>VLOOKUP(A234,'Datos generales'!A:L,5,0)</f>
        <v>2</v>
      </c>
      <c r="C234" s="4" t="str">
        <f>VLOOKUP(A234,'Datos generales'!A:L,4,0)</f>
        <v>Mouse</v>
      </c>
      <c r="D234" s="4">
        <f>VLOOKUP(A234,'Datos generales'!A:L,6,0)</f>
        <v>64.67</v>
      </c>
      <c r="E234" s="4">
        <f>VLOOKUP(A234,'Datos generales'!A:L,12,0)</f>
        <v>64.67</v>
      </c>
      <c r="F234" s="4" t="str">
        <f>VLOOKUP(A234,'Datos generales'!A:L,7,0)</f>
        <v>Accesorios</v>
      </c>
      <c r="G234" s="4">
        <v>2023</v>
      </c>
    </row>
    <row r="235" spans="1:7" x14ac:dyDescent="0.25">
      <c r="A235" t="s">
        <v>45</v>
      </c>
      <c r="B235" s="4">
        <f>VLOOKUP(A235,'Datos generales'!A:L,5,0)</f>
        <v>5</v>
      </c>
      <c r="C235" s="4" t="str">
        <f>VLOOKUP(A235,'Datos generales'!A:L,4,0)</f>
        <v>Webcam</v>
      </c>
      <c r="D235" s="4">
        <f>VLOOKUP(A235,'Datos generales'!A:L,6,0)</f>
        <v>1168.3499999999999</v>
      </c>
      <c r="E235" s="4">
        <f>VLOOKUP(A235,'Datos generales'!A:L,12,0)</f>
        <v>1168.3499999999999</v>
      </c>
      <c r="F235" s="4" t="str">
        <f>VLOOKUP(A235,'Datos generales'!A:L,7,0)</f>
        <v>Accesorios</v>
      </c>
      <c r="G235" s="4">
        <v>2024</v>
      </c>
    </row>
    <row r="236" spans="1:7" x14ac:dyDescent="0.25">
      <c r="A236" t="s">
        <v>46</v>
      </c>
      <c r="B236" s="4">
        <f>VLOOKUP(A236,'Datos generales'!A:L,5,0)</f>
        <v>2</v>
      </c>
      <c r="C236" s="4" t="str">
        <f>VLOOKUP(A236,'Datos generales'!A:L,4,0)</f>
        <v>Silla Gamer</v>
      </c>
      <c r="D236" s="4">
        <f>VLOOKUP(A236,'Datos generales'!A:L,6,0)</f>
        <v>349.3</v>
      </c>
      <c r="E236" s="4">
        <f>VLOOKUP(A236,'Datos generales'!A:L,12,0)</f>
        <v>349.3</v>
      </c>
      <c r="F236" s="4" t="str">
        <f>VLOOKUP(A236,'Datos generales'!A:L,7,0)</f>
        <v>Muebles</v>
      </c>
      <c r="G236" s="4">
        <v>2025</v>
      </c>
    </row>
    <row r="237" spans="1:7" x14ac:dyDescent="0.25">
      <c r="A237" t="s">
        <v>47</v>
      </c>
      <c r="B237" s="4">
        <f>VLOOKUP(A237,'Datos generales'!A:L,5,0)</f>
        <v>3</v>
      </c>
      <c r="C237" s="4" t="str">
        <f>VLOOKUP(A237,'Datos generales'!A:L,4,0)</f>
        <v>Webcam</v>
      </c>
      <c r="D237" s="4">
        <f>VLOOKUP(A237,'Datos generales'!A:L,6,0)</f>
        <v>1154.06</v>
      </c>
      <c r="E237" s="4">
        <f>VLOOKUP(A237,'Datos generales'!A:L,12,0)</f>
        <v>1154.06</v>
      </c>
      <c r="F237" s="4" t="str">
        <f>VLOOKUP(A237,'Datos generales'!A:L,7,0)</f>
        <v>Accesorios</v>
      </c>
      <c r="G237" s="4">
        <v>2024</v>
      </c>
    </row>
    <row r="238" spans="1:7" x14ac:dyDescent="0.25">
      <c r="A238" t="s">
        <v>48</v>
      </c>
      <c r="B238" s="4">
        <f>VLOOKUP(A238,'Datos generales'!A:L,5,0)</f>
        <v>4</v>
      </c>
      <c r="C238" s="4" t="str">
        <f>VLOOKUP(A238,'Datos generales'!A:L,4,0)</f>
        <v>Impresora</v>
      </c>
      <c r="D238" s="4">
        <f>VLOOKUP(A238,'Datos generales'!A:L,6,0)</f>
        <v>1566.37</v>
      </c>
      <c r="E238" s="4">
        <f>VLOOKUP(A238,'Datos generales'!A:L,12,0)</f>
        <v>1566.37</v>
      </c>
      <c r="F238" s="4" t="str">
        <f>VLOOKUP(A238,'Datos generales'!A:L,7,0)</f>
        <v>Electrónica</v>
      </c>
      <c r="G238" s="4">
        <v>2025</v>
      </c>
    </row>
    <row r="239" spans="1:7" x14ac:dyDescent="0.25">
      <c r="A239" t="s">
        <v>49</v>
      </c>
      <c r="B239" s="4">
        <f>VLOOKUP(A239,'Datos generales'!A:L,5,0)</f>
        <v>2</v>
      </c>
      <c r="C239" s="4" t="str">
        <f>VLOOKUP(A239,'Datos generales'!A:L,4,0)</f>
        <v>Monitor</v>
      </c>
      <c r="D239" s="4">
        <f>VLOOKUP(A239,'Datos generales'!A:L,6,0)</f>
        <v>674.48</v>
      </c>
      <c r="E239" s="4">
        <f>VLOOKUP(A239,'Datos generales'!A:L,12,0)</f>
        <v>674.48</v>
      </c>
      <c r="F239" s="4" t="str">
        <f>VLOOKUP(A239,'Datos generales'!A:L,7,0)</f>
        <v>Electrónica</v>
      </c>
      <c r="G239" s="4">
        <v>2024</v>
      </c>
    </row>
    <row r="240" spans="1:7" x14ac:dyDescent="0.25">
      <c r="A240" t="s">
        <v>50</v>
      </c>
      <c r="B240" s="4">
        <f>VLOOKUP(A240,'Datos generales'!A:L,5,0)</f>
        <v>2</v>
      </c>
      <c r="C240" s="4" t="str">
        <f>VLOOKUP(A240,'Datos generales'!A:L,4,0)</f>
        <v>Monitor</v>
      </c>
      <c r="D240" s="4">
        <f>VLOOKUP(A240,'Datos generales'!A:L,6,0)</f>
        <v>1543.98</v>
      </c>
      <c r="E240" s="4">
        <f>VLOOKUP(A240,'Datos generales'!A:L,12,0)</f>
        <v>1543.98</v>
      </c>
      <c r="F240" s="4" t="str">
        <f>VLOOKUP(A240,'Datos generales'!A:L,7,0)</f>
        <v>Electrónica</v>
      </c>
      <c r="G240" s="4">
        <v>2024</v>
      </c>
    </row>
    <row r="241" spans="1:7" x14ac:dyDescent="0.25">
      <c r="A241" t="s">
        <v>51</v>
      </c>
      <c r="B241" s="4">
        <f>VLOOKUP(A241,'Datos generales'!A:L,5,0)</f>
        <v>5</v>
      </c>
      <c r="C241" s="4" t="str">
        <f>VLOOKUP(A241,'Datos generales'!A:L,4,0)</f>
        <v>Laptop</v>
      </c>
      <c r="D241" s="4">
        <f>VLOOKUP(A241,'Datos generales'!A:L,6,0)</f>
        <v>917.31</v>
      </c>
      <c r="E241" s="4">
        <f>VLOOKUP(A241,'Datos generales'!A:L,12,0)</f>
        <v>917.30999999999983</v>
      </c>
      <c r="F241" s="4" t="str">
        <f>VLOOKUP(A241,'Datos generales'!A:L,7,0)</f>
        <v>Electrónica</v>
      </c>
      <c r="G241" s="4">
        <v>2023</v>
      </c>
    </row>
    <row r="242" spans="1:7" x14ac:dyDescent="0.25">
      <c r="A242" t="s">
        <v>52</v>
      </c>
      <c r="B242" s="4">
        <f>VLOOKUP(A242,'Datos generales'!A:L,5,0)</f>
        <v>4</v>
      </c>
      <c r="C242" s="4" t="str">
        <f>VLOOKUP(A242,'Datos generales'!A:L,4,0)</f>
        <v>Audífonos</v>
      </c>
      <c r="D242" s="4">
        <f>VLOOKUP(A242,'Datos generales'!A:L,6,0)</f>
        <v>450.36</v>
      </c>
      <c r="E242" s="4">
        <f>VLOOKUP(A242,'Datos generales'!A:L,12,0)</f>
        <v>450.36</v>
      </c>
      <c r="F242" s="4" t="str">
        <f>VLOOKUP(A242,'Datos generales'!A:L,7,0)</f>
        <v>Accesorios</v>
      </c>
      <c r="G242" s="4">
        <v>2024</v>
      </c>
    </row>
    <row r="243" spans="1:7" x14ac:dyDescent="0.25">
      <c r="A243" t="s">
        <v>53</v>
      </c>
      <c r="B243" s="4">
        <f>VLOOKUP(A243,'Datos generales'!A:L,5,0)</f>
        <v>2</v>
      </c>
      <c r="C243" s="4" t="str">
        <f>VLOOKUP(A243,'Datos generales'!A:L,4,0)</f>
        <v>Impresora</v>
      </c>
      <c r="D243" s="4">
        <f>VLOOKUP(A243,'Datos generales'!A:L,6,0)</f>
        <v>755.48</v>
      </c>
      <c r="E243" s="4">
        <f>VLOOKUP(A243,'Datos generales'!A:L,12,0)</f>
        <v>755.48</v>
      </c>
      <c r="F243" s="4" t="str">
        <f>VLOOKUP(A243,'Datos generales'!A:L,7,0)</f>
        <v>Electrónica</v>
      </c>
      <c r="G243" s="4">
        <v>2023</v>
      </c>
    </row>
    <row r="244" spans="1:7" x14ac:dyDescent="0.25">
      <c r="A244" t="s">
        <v>54</v>
      </c>
      <c r="B244" s="4">
        <f>VLOOKUP(A244,'Datos generales'!A:L,5,0)</f>
        <v>3</v>
      </c>
      <c r="C244" s="4" t="str">
        <f>VLOOKUP(A244,'Datos generales'!A:L,4,0)</f>
        <v>Teclado</v>
      </c>
      <c r="D244" s="4">
        <f>VLOOKUP(A244,'Datos generales'!A:L,6,0)</f>
        <v>1855.55</v>
      </c>
      <c r="E244" s="4">
        <f>VLOOKUP(A244,'Datos generales'!A:L,12,0)</f>
        <v>1855.55</v>
      </c>
      <c r="F244" s="4" t="str">
        <f>VLOOKUP(A244,'Datos generales'!A:L,7,0)</f>
        <v>Accesorios</v>
      </c>
      <c r="G244" s="4">
        <v>2024</v>
      </c>
    </row>
    <row r="245" spans="1:7" x14ac:dyDescent="0.25">
      <c r="A245" t="s">
        <v>55</v>
      </c>
      <c r="B245" s="4">
        <f>VLOOKUP(A245,'Datos generales'!A:L,5,0)</f>
        <v>5</v>
      </c>
      <c r="C245" s="4" t="str">
        <f>VLOOKUP(A245,'Datos generales'!A:L,4,0)</f>
        <v>Webcam</v>
      </c>
      <c r="D245" s="4">
        <f>VLOOKUP(A245,'Datos generales'!A:L,6,0)</f>
        <v>1011.75</v>
      </c>
      <c r="E245" s="4">
        <f>VLOOKUP(A245,'Datos generales'!A:L,12,0)</f>
        <v>1011.75</v>
      </c>
      <c r="F245" s="4" t="str">
        <f>VLOOKUP(A245,'Datos generales'!A:L,7,0)</f>
        <v>Accesorios</v>
      </c>
      <c r="G245" s="4">
        <v>2023</v>
      </c>
    </row>
    <row r="246" spans="1:7" x14ac:dyDescent="0.25">
      <c r="A246" t="s">
        <v>56</v>
      </c>
      <c r="B246" s="4">
        <f>VLOOKUP(A246,'Datos generales'!A:L,5,0)</f>
        <v>5</v>
      </c>
      <c r="C246" s="4" t="str">
        <f>VLOOKUP(A246,'Datos generales'!A:L,4,0)</f>
        <v>Teclado</v>
      </c>
      <c r="D246" s="4">
        <f>VLOOKUP(A246,'Datos generales'!A:L,6,0)</f>
        <v>1218.3399999999999</v>
      </c>
      <c r="E246" s="4">
        <f>VLOOKUP(A246,'Datos generales'!A:L,12,0)</f>
        <v>1218.3399999999999</v>
      </c>
      <c r="F246" s="4" t="str">
        <f>VLOOKUP(A246,'Datos generales'!A:L,7,0)</f>
        <v>Accesorios</v>
      </c>
      <c r="G246" s="4">
        <v>2023</v>
      </c>
    </row>
    <row r="247" spans="1:7" x14ac:dyDescent="0.25">
      <c r="A247" t="s">
        <v>57</v>
      </c>
      <c r="B247" s="4">
        <f>VLOOKUP(A247,'Datos generales'!A:L,5,0)</f>
        <v>2</v>
      </c>
      <c r="C247" s="4" t="str">
        <f>VLOOKUP(A247,'Datos generales'!A:L,4,0)</f>
        <v>Webcam</v>
      </c>
      <c r="D247" s="4">
        <f>VLOOKUP(A247,'Datos generales'!A:L,6,0)</f>
        <v>361.59</v>
      </c>
      <c r="E247" s="4">
        <f>VLOOKUP(A247,'Datos generales'!A:L,12,0)</f>
        <v>361.59</v>
      </c>
      <c r="F247" s="4" t="str">
        <f>VLOOKUP(A247,'Datos generales'!A:L,7,0)</f>
        <v>Accesorios</v>
      </c>
      <c r="G247" s="4">
        <v>2023</v>
      </c>
    </row>
    <row r="248" spans="1:7" x14ac:dyDescent="0.25">
      <c r="A248" t="s">
        <v>58</v>
      </c>
      <c r="B248" s="4">
        <f>VLOOKUP(A248,'Datos generales'!A:L,5,0)</f>
        <v>5</v>
      </c>
      <c r="C248" s="4" t="str">
        <f>VLOOKUP(A248,'Datos generales'!A:L,4,0)</f>
        <v>Teclado</v>
      </c>
      <c r="D248" s="4">
        <f>VLOOKUP(A248,'Datos generales'!A:L,6,0)</f>
        <v>958.8</v>
      </c>
      <c r="E248" s="4">
        <f>VLOOKUP(A248,'Datos generales'!A:L,12,0)</f>
        <v>958.8</v>
      </c>
      <c r="F248" s="4" t="str">
        <f>VLOOKUP(A248,'Datos generales'!A:L,7,0)</f>
        <v>Accesorios</v>
      </c>
      <c r="G248" s="4">
        <v>2023</v>
      </c>
    </row>
    <row r="249" spans="1:7" x14ac:dyDescent="0.25">
      <c r="A249" t="s">
        <v>59</v>
      </c>
      <c r="B249" s="4">
        <f>VLOOKUP(A249,'Datos generales'!A:L,5,0)</f>
        <v>5</v>
      </c>
      <c r="C249" s="4" t="str">
        <f>VLOOKUP(A249,'Datos generales'!A:L,4,0)</f>
        <v>Silla Gamer</v>
      </c>
      <c r="D249" s="4">
        <f>VLOOKUP(A249,'Datos generales'!A:L,6,0)</f>
        <v>1776.87</v>
      </c>
      <c r="E249" s="4">
        <f>VLOOKUP(A249,'Datos generales'!A:L,12,0)</f>
        <v>1776.87</v>
      </c>
      <c r="F249" s="4" t="str">
        <f>VLOOKUP(A249,'Datos generales'!A:L,7,0)</f>
        <v>Muebles</v>
      </c>
      <c r="G249" s="4">
        <v>2025</v>
      </c>
    </row>
    <row r="250" spans="1:7" x14ac:dyDescent="0.25">
      <c r="A250" t="s">
        <v>60</v>
      </c>
      <c r="B250" s="4">
        <f>VLOOKUP(A250,'Datos generales'!A:L,5,0)</f>
        <v>1</v>
      </c>
      <c r="C250" s="4" t="str">
        <f>VLOOKUP(A250,'Datos generales'!A:L,4,0)</f>
        <v>Audífonos</v>
      </c>
      <c r="D250" s="4">
        <f>VLOOKUP(A250,'Datos generales'!A:L,6,0)</f>
        <v>1467.34</v>
      </c>
      <c r="E250" s="4">
        <f>VLOOKUP(A250,'Datos generales'!A:L,12,0)</f>
        <v>1467.34</v>
      </c>
      <c r="F250" s="4" t="str">
        <f>VLOOKUP(A250,'Datos generales'!A:L,7,0)</f>
        <v>Accesorios</v>
      </c>
      <c r="G250" s="4">
        <v>2025</v>
      </c>
    </row>
    <row r="251" spans="1:7" x14ac:dyDescent="0.25">
      <c r="A251" t="s">
        <v>61</v>
      </c>
      <c r="B251" s="4">
        <f>VLOOKUP(A251,'Datos generales'!A:L,5,0)</f>
        <v>3</v>
      </c>
      <c r="C251" s="4" t="str">
        <f>VLOOKUP(A251,'Datos generales'!A:L,4,0)</f>
        <v>Silla Gamer</v>
      </c>
      <c r="D251" s="4">
        <f>VLOOKUP(A251,'Datos generales'!A:L,6,0)</f>
        <v>683.91</v>
      </c>
      <c r="E251" s="4">
        <f>VLOOKUP(A251,'Datos generales'!A:L,12,0)</f>
        <v>683.91</v>
      </c>
      <c r="F251" s="4" t="str">
        <f>VLOOKUP(A251,'Datos generales'!A:L,7,0)</f>
        <v>Muebles</v>
      </c>
      <c r="G251" s="4">
        <v>2025</v>
      </c>
    </row>
    <row r="252" spans="1:7" x14ac:dyDescent="0.25">
      <c r="A252" t="s">
        <v>62</v>
      </c>
      <c r="B252" s="4">
        <f>VLOOKUP(A252,'Datos generales'!A:L,5,0)</f>
        <v>1</v>
      </c>
      <c r="C252" s="4" t="str">
        <f>VLOOKUP(A252,'Datos generales'!A:L,4,0)</f>
        <v>Silla Gamer</v>
      </c>
      <c r="D252" s="4">
        <f>VLOOKUP(A252,'Datos generales'!A:L,6,0)</f>
        <v>1083.8599999999999</v>
      </c>
      <c r="E252" s="4">
        <f>VLOOKUP(A252,'Datos generales'!A:L,12,0)</f>
        <v>1083.8599999999999</v>
      </c>
      <c r="F252" s="4" t="str">
        <f>VLOOKUP(A252,'Datos generales'!A:L,7,0)</f>
        <v>Muebles</v>
      </c>
      <c r="G252" s="4">
        <v>2024</v>
      </c>
    </row>
    <row r="253" spans="1:7" x14ac:dyDescent="0.25">
      <c r="A253" t="s">
        <v>63</v>
      </c>
      <c r="B253" s="4">
        <f>VLOOKUP(A253,'Datos generales'!A:L,5,0)</f>
        <v>2</v>
      </c>
      <c r="C253" s="4" t="str">
        <f>VLOOKUP(A253,'Datos generales'!A:L,4,0)</f>
        <v>Monitor</v>
      </c>
      <c r="D253" s="4">
        <f>VLOOKUP(A253,'Datos generales'!A:L,6,0)</f>
        <v>1551.85</v>
      </c>
      <c r="E253" s="4">
        <f>VLOOKUP(A253,'Datos generales'!A:L,12,0)</f>
        <v>1551.85</v>
      </c>
      <c r="F253" s="4" t="str">
        <f>VLOOKUP(A253,'Datos generales'!A:L,7,0)</f>
        <v>Electrónica</v>
      </c>
      <c r="G253" s="4">
        <v>2023</v>
      </c>
    </row>
    <row r="254" spans="1:7" x14ac:dyDescent="0.25">
      <c r="A254" t="s">
        <v>64</v>
      </c>
      <c r="B254" s="4">
        <f>VLOOKUP(A254,'Datos generales'!A:L,5,0)</f>
        <v>5</v>
      </c>
      <c r="C254" s="4" t="str">
        <f>VLOOKUP(A254,'Datos generales'!A:L,4,0)</f>
        <v>Laptop</v>
      </c>
      <c r="D254" s="4">
        <f>VLOOKUP(A254,'Datos generales'!A:L,6,0)</f>
        <v>1368.27</v>
      </c>
      <c r="E254" s="4">
        <f>VLOOKUP(A254,'Datos generales'!A:L,12,0)</f>
        <v>1368.27</v>
      </c>
      <c r="F254" s="4" t="str">
        <f>VLOOKUP(A254,'Datos generales'!A:L,7,0)</f>
        <v>Electrónica</v>
      </c>
      <c r="G254" s="4">
        <v>2024</v>
      </c>
    </row>
    <row r="255" spans="1:7" x14ac:dyDescent="0.25">
      <c r="A255" t="s">
        <v>65</v>
      </c>
      <c r="B255" s="4">
        <f>VLOOKUP(A255,'Datos generales'!A:L,5,0)</f>
        <v>4</v>
      </c>
      <c r="C255" s="4" t="str">
        <f>VLOOKUP(A255,'Datos generales'!A:L,4,0)</f>
        <v>Laptop</v>
      </c>
      <c r="D255" s="4">
        <f>VLOOKUP(A255,'Datos generales'!A:L,6,0)</f>
        <v>1818.88</v>
      </c>
      <c r="E255" s="4">
        <f>VLOOKUP(A255,'Datos generales'!A:L,12,0)</f>
        <v>1818.88</v>
      </c>
      <c r="F255" s="4" t="str">
        <f>VLOOKUP(A255,'Datos generales'!A:L,7,0)</f>
        <v>Electrónica</v>
      </c>
      <c r="G255" s="4">
        <v>2024</v>
      </c>
    </row>
    <row r="256" spans="1:7" x14ac:dyDescent="0.25">
      <c r="A256" t="s">
        <v>66</v>
      </c>
      <c r="B256" s="4">
        <f>VLOOKUP(A256,'Datos generales'!A:L,5,0)</f>
        <v>4</v>
      </c>
      <c r="C256" s="4" t="str">
        <f>VLOOKUP(A256,'Datos generales'!A:L,4,0)</f>
        <v>Mouse</v>
      </c>
      <c r="D256" s="4">
        <f>VLOOKUP(A256,'Datos generales'!A:L,6,0)</f>
        <v>1601.32</v>
      </c>
      <c r="E256" s="4">
        <f>VLOOKUP(A256,'Datos generales'!A:L,12,0)</f>
        <v>1601.32</v>
      </c>
      <c r="F256" s="4" t="str">
        <f>VLOOKUP(A256,'Datos generales'!A:L,7,0)</f>
        <v>Accesorios</v>
      </c>
      <c r="G256" s="4">
        <v>2023</v>
      </c>
    </row>
    <row r="257" spans="1:7" x14ac:dyDescent="0.25">
      <c r="A257" t="s">
        <v>67</v>
      </c>
      <c r="B257" s="4">
        <f>VLOOKUP(A257,'Datos generales'!A:L,5,0)</f>
        <v>4</v>
      </c>
      <c r="C257" s="4" t="str">
        <f>VLOOKUP(A257,'Datos generales'!A:L,4,0)</f>
        <v>Teclado</v>
      </c>
      <c r="D257" s="4">
        <f>VLOOKUP(A257,'Datos generales'!A:L,6,0)</f>
        <v>177.79</v>
      </c>
      <c r="E257" s="4">
        <f>VLOOKUP(A257,'Datos generales'!A:L,12,0)</f>
        <v>177.79</v>
      </c>
      <c r="F257" s="4" t="str">
        <f>VLOOKUP(A257,'Datos generales'!A:L,7,0)</f>
        <v>Accesorios</v>
      </c>
      <c r="G257" s="4">
        <v>2023</v>
      </c>
    </row>
    <row r="258" spans="1:7" x14ac:dyDescent="0.25">
      <c r="A258" t="s">
        <v>68</v>
      </c>
      <c r="B258" s="4">
        <f>VLOOKUP(A258,'Datos generales'!A:L,5,0)</f>
        <v>1</v>
      </c>
      <c r="C258" s="4" t="str">
        <f>VLOOKUP(A258,'Datos generales'!A:L,4,0)</f>
        <v>Teclado</v>
      </c>
      <c r="D258" s="4">
        <f>VLOOKUP(A258,'Datos generales'!A:L,6,0)</f>
        <v>83.48</v>
      </c>
      <c r="E258" s="4">
        <f>VLOOKUP(A258,'Datos generales'!A:L,12,0)</f>
        <v>83.48</v>
      </c>
      <c r="F258" s="4" t="str">
        <f>VLOOKUP(A258,'Datos generales'!A:L,7,0)</f>
        <v>Accesorios</v>
      </c>
      <c r="G258" s="4">
        <v>2023</v>
      </c>
    </row>
    <row r="259" spans="1:7" x14ac:dyDescent="0.25">
      <c r="A259" t="s">
        <v>69</v>
      </c>
      <c r="B259" s="4">
        <f>VLOOKUP(A259,'Datos generales'!A:L,5,0)</f>
        <v>1</v>
      </c>
      <c r="C259" s="4" t="str">
        <f>VLOOKUP(A259,'Datos generales'!A:L,4,0)</f>
        <v>Audífonos</v>
      </c>
      <c r="D259" s="4">
        <f>VLOOKUP(A259,'Datos generales'!A:L,6,0)</f>
        <v>1372.72</v>
      </c>
      <c r="E259" s="4">
        <f>VLOOKUP(A259,'Datos generales'!A:L,12,0)</f>
        <v>1372.72</v>
      </c>
      <c r="F259" s="4" t="str">
        <f>VLOOKUP(A259,'Datos generales'!A:L,7,0)</f>
        <v>Accesorios</v>
      </c>
      <c r="G259" s="4">
        <v>2023</v>
      </c>
    </row>
    <row r="260" spans="1:7" x14ac:dyDescent="0.25">
      <c r="A260" t="s">
        <v>70</v>
      </c>
      <c r="B260" s="4">
        <f>VLOOKUP(A260,'Datos generales'!A:L,5,0)</f>
        <v>1</v>
      </c>
      <c r="C260" s="4" t="str">
        <f>VLOOKUP(A260,'Datos generales'!A:L,4,0)</f>
        <v>Monitor</v>
      </c>
      <c r="D260" s="4">
        <f>VLOOKUP(A260,'Datos generales'!A:L,6,0)</f>
        <v>1618.91</v>
      </c>
      <c r="E260" s="4">
        <f>VLOOKUP(A260,'Datos generales'!A:L,12,0)</f>
        <v>1618.91</v>
      </c>
      <c r="F260" s="4" t="str">
        <f>VLOOKUP(A260,'Datos generales'!A:L,7,0)</f>
        <v>Electrónica</v>
      </c>
      <c r="G260" s="4">
        <v>2024</v>
      </c>
    </row>
    <row r="261" spans="1:7" x14ac:dyDescent="0.25">
      <c r="A261" t="s">
        <v>71</v>
      </c>
      <c r="B261" s="4">
        <f>VLOOKUP(A261,'Datos generales'!A:L,5,0)</f>
        <v>4</v>
      </c>
      <c r="C261" s="4" t="str">
        <f>VLOOKUP(A261,'Datos generales'!A:L,4,0)</f>
        <v>Impresora</v>
      </c>
      <c r="D261" s="4">
        <f>VLOOKUP(A261,'Datos generales'!A:L,6,0)</f>
        <v>530.65</v>
      </c>
      <c r="E261" s="4">
        <f>VLOOKUP(A261,'Datos generales'!A:L,12,0)</f>
        <v>530.65</v>
      </c>
      <c r="F261" s="4" t="str">
        <f>VLOOKUP(A261,'Datos generales'!A:L,7,0)</f>
        <v>Electrónica</v>
      </c>
      <c r="G261" s="4">
        <v>2024</v>
      </c>
    </row>
    <row r="262" spans="1:7" x14ac:dyDescent="0.25">
      <c r="A262" t="s">
        <v>72</v>
      </c>
      <c r="B262" s="4">
        <f>VLOOKUP(A262,'Datos generales'!A:L,5,0)</f>
        <v>5</v>
      </c>
      <c r="C262" s="4" t="str">
        <f>VLOOKUP(A262,'Datos generales'!A:L,4,0)</f>
        <v>Webcam</v>
      </c>
      <c r="D262" s="4">
        <f>VLOOKUP(A262,'Datos generales'!A:L,6,0)</f>
        <v>418.83</v>
      </c>
      <c r="E262" s="4">
        <f>VLOOKUP(A262,'Datos generales'!A:L,12,0)</f>
        <v>418.83</v>
      </c>
      <c r="F262" s="4" t="str">
        <f>VLOOKUP(A262,'Datos generales'!A:L,7,0)</f>
        <v>Accesorios</v>
      </c>
      <c r="G262" s="4">
        <v>2024</v>
      </c>
    </row>
    <row r="263" spans="1:7" x14ac:dyDescent="0.25">
      <c r="A263" t="s">
        <v>73</v>
      </c>
      <c r="B263" s="4">
        <f>VLOOKUP(A263,'Datos generales'!A:L,5,0)</f>
        <v>3</v>
      </c>
      <c r="C263" s="4" t="str">
        <f>VLOOKUP(A263,'Datos generales'!A:L,4,0)</f>
        <v>Silla Gamer</v>
      </c>
      <c r="D263" s="4">
        <f>VLOOKUP(A263,'Datos generales'!A:L,6,0)</f>
        <v>664.98</v>
      </c>
      <c r="E263" s="4">
        <f>VLOOKUP(A263,'Datos generales'!A:L,12,0)</f>
        <v>664.98</v>
      </c>
      <c r="F263" s="4" t="str">
        <f>VLOOKUP(A263,'Datos generales'!A:L,7,0)</f>
        <v>Muebles</v>
      </c>
      <c r="G263" s="4">
        <v>2025</v>
      </c>
    </row>
    <row r="264" spans="1:7" x14ac:dyDescent="0.25">
      <c r="A264" t="s">
        <v>74</v>
      </c>
      <c r="B264" s="4">
        <f>VLOOKUP(A264,'Datos generales'!A:L,5,0)</f>
        <v>1</v>
      </c>
      <c r="C264" s="4" t="str">
        <f>VLOOKUP(A264,'Datos generales'!A:L,4,0)</f>
        <v>Laptop</v>
      </c>
      <c r="D264" s="4">
        <f>VLOOKUP(A264,'Datos generales'!A:L,6,0)</f>
        <v>1322.41</v>
      </c>
      <c r="E264" s="4">
        <f>VLOOKUP(A264,'Datos generales'!A:L,12,0)</f>
        <v>1322.41</v>
      </c>
      <c r="F264" s="4" t="str">
        <f>VLOOKUP(A264,'Datos generales'!A:L,7,0)</f>
        <v>Electrónica</v>
      </c>
      <c r="G264" s="4">
        <v>2024</v>
      </c>
    </row>
    <row r="265" spans="1:7" x14ac:dyDescent="0.25">
      <c r="A265" t="s">
        <v>75</v>
      </c>
      <c r="B265" s="4">
        <f>VLOOKUP(A265,'Datos generales'!A:L,5,0)</f>
        <v>4</v>
      </c>
      <c r="C265" s="4" t="str">
        <f>VLOOKUP(A265,'Datos generales'!A:L,4,0)</f>
        <v>Monitor</v>
      </c>
      <c r="D265" s="4">
        <f>VLOOKUP(A265,'Datos generales'!A:L,6,0)</f>
        <v>1467.27</v>
      </c>
      <c r="E265" s="4">
        <f>VLOOKUP(A265,'Datos generales'!A:L,12,0)</f>
        <v>1467.27</v>
      </c>
      <c r="F265" s="4" t="str">
        <f>VLOOKUP(A265,'Datos generales'!A:L,7,0)</f>
        <v>Electrónica</v>
      </c>
      <c r="G265" s="4">
        <v>2023</v>
      </c>
    </row>
    <row r="266" spans="1:7" x14ac:dyDescent="0.25">
      <c r="A266" t="s">
        <v>76</v>
      </c>
      <c r="B266" s="4">
        <f>VLOOKUP(A266,'Datos generales'!A:L,5,0)</f>
        <v>4</v>
      </c>
      <c r="C266" s="4" t="str">
        <f>VLOOKUP(A266,'Datos generales'!A:L,4,0)</f>
        <v>Impresora</v>
      </c>
      <c r="D266" s="4">
        <f>VLOOKUP(A266,'Datos generales'!A:L,6,0)</f>
        <v>1804.12</v>
      </c>
      <c r="E266" s="4">
        <f>VLOOKUP(A266,'Datos generales'!A:L,12,0)</f>
        <v>1804.12</v>
      </c>
      <c r="F266" s="4" t="str">
        <f>VLOOKUP(A266,'Datos generales'!A:L,7,0)</f>
        <v>Electrónica</v>
      </c>
      <c r="G266" s="4">
        <v>2024</v>
      </c>
    </row>
    <row r="267" spans="1:7" x14ac:dyDescent="0.25">
      <c r="A267" t="s">
        <v>77</v>
      </c>
      <c r="B267" s="4">
        <f>VLOOKUP(A267,'Datos generales'!A:L,5,0)</f>
        <v>1</v>
      </c>
      <c r="C267" s="4" t="str">
        <f>VLOOKUP(A267,'Datos generales'!A:L,4,0)</f>
        <v>Audífonos</v>
      </c>
      <c r="D267" s="4">
        <f>VLOOKUP(A267,'Datos generales'!A:L,6,0)</f>
        <v>1172.72</v>
      </c>
      <c r="E267" s="4">
        <f>VLOOKUP(A267,'Datos generales'!A:L,12,0)</f>
        <v>1172.72</v>
      </c>
      <c r="F267" s="4" t="str">
        <f>VLOOKUP(A267,'Datos generales'!A:L,7,0)</f>
        <v>Accesorios</v>
      </c>
      <c r="G267" s="4">
        <v>2024</v>
      </c>
    </row>
    <row r="268" spans="1:7" x14ac:dyDescent="0.25">
      <c r="A268" t="s">
        <v>78</v>
      </c>
      <c r="B268" s="4">
        <f>VLOOKUP(A268,'Datos generales'!A:L,5,0)</f>
        <v>1</v>
      </c>
      <c r="C268" s="4" t="str">
        <f>VLOOKUP(A268,'Datos generales'!A:L,4,0)</f>
        <v>Mouse</v>
      </c>
      <c r="D268" s="4">
        <f>VLOOKUP(A268,'Datos generales'!A:L,6,0)</f>
        <v>725.07</v>
      </c>
      <c r="E268" s="4">
        <f>VLOOKUP(A268,'Datos generales'!A:L,12,0)</f>
        <v>725.07</v>
      </c>
      <c r="F268" s="4" t="str">
        <f>VLOOKUP(A268,'Datos generales'!A:L,7,0)</f>
        <v>Accesorios</v>
      </c>
      <c r="G268" s="4">
        <v>2023</v>
      </c>
    </row>
    <row r="269" spans="1:7" x14ac:dyDescent="0.25">
      <c r="A269" t="s">
        <v>79</v>
      </c>
      <c r="B269" s="4">
        <f>VLOOKUP(A269,'Datos generales'!A:L,5,0)</f>
        <v>5</v>
      </c>
      <c r="C269" s="4" t="str">
        <f>VLOOKUP(A269,'Datos generales'!A:L,4,0)</f>
        <v>Monitor</v>
      </c>
      <c r="D269" s="4">
        <f>VLOOKUP(A269,'Datos generales'!A:L,6,0)</f>
        <v>563.69000000000005</v>
      </c>
      <c r="E269" s="4">
        <f>VLOOKUP(A269,'Datos generales'!A:L,12,0)</f>
        <v>563.69000000000005</v>
      </c>
      <c r="F269" s="4" t="str">
        <f>VLOOKUP(A269,'Datos generales'!A:L,7,0)</f>
        <v>Electrónica</v>
      </c>
      <c r="G269" s="4">
        <v>2025</v>
      </c>
    </row>
    <row r="270" spans="1:7" x14ac:dyDescent="0.25">
      <c r="A270" t="s">
        <v>80</v>
      </c>
      <c r="B270" s="4">
        <f>VLOOKUP(A270,'Datos generales'!A:L,5,0)</f>
        <v>5</v>
      </c>
      <c r="C270" s="4" t="str">
        <f>VLOOKUP(A270,'Datos generales'!A:L,4,0)</f>
        <v>Audífonos</v>
      </c>
      <c r="D270" s="4">
        <f>VLOOKUP(A270,'Datos generales'!A:L,6,0)</f>
        <v>1547.41</v>
      </c>
      <c r="E270" s="4">
        <f>VLOOKUP(A270,'Datos generales'!A:L,12,0)</f>
        <v>1547.41</v>
      </c>
      <c r="F270" s="4" t="str">
        <f>VLOOKUP(A270,'Datos generales'!A:L,7,0)</f>
        <v>Accesorios</v>
      </c>
      <c r="G270" s="4">
        <v>2023</v>
      </c>
    </row>
    <row r="271" spans="1:7" x14ac:dyDescent="0.25">
      <c r="A271" t="s">
        <v>81</v>
      </c>
      <c r="B271" s="4">
        <f>VLOOKUP(A271,'Datos generales'!A:L,5,0)</f>
        <v>2</v>
      </c>
      <c r="C271" s="4" t="str">
        <f>VLOOKUP(A271,'Datos generales'!A:L,4,0)</f>
        <v>Webcam</v>
      </c>
      <c r="D271" s="4">
        <f>VLOOKUP(A271,'Datos generales'!A:L,6,0)</f>
        <v>1903.65</v>
      </c>
      <c r="E271" s="4">
        <f>VLOOKUP(A271,'Datos generales'!A:L,12,0)</f>
        <v>1903.65</v>
      </c>
      <c r="F271" s="4" t="str">
        <f>VLOOKUP(A271,'Datos generales'!A:L,7,0)</f>
        <v>Accesorios</v>
      </c>
      <c r="G271" s="4">
        <v>2023</v>
      </c>
    </row>
    <row r="272" spans="1:7" x14ac:dyDescent="0.25">
      <c r="A272" t="s">
        <v>82</v>
      </c>
      <c r="B272" s="4">
        <f>VLOOKUP(A272,'Datos generales'!A:L,5,0)</f>
        <v>2</v>
      </c>
      <c r="C272" s="4" t="str">
        <f>VLOOKUP(A272,'Datos generales'!A:L,4,0)</f>
        <v>Impresora</v>
      </c>
      <c r="D272" s="4">
        <f>VLOOKUP(A272,'Datos generales'!A:L,6,0)</f>
        <v>1198.2</v>
      </c>
      <c r="E272" s="4">
        <f>VLOOKUP(A272,'Datos generales'!A:L,12,0)</f>
        <v>1198.2</v>
      </c>
      <c r="F272" s="4" t="str">
        <f>VLOOKUP(A272,'Datos generales'!A:L,7,0)</f>
        <v>Electrónica</v>
      </c>
      <c r="G272" s="4">
        <v>2024</v>
      </c>
    </row>
    <row r="273" spans="1:7" x14ac:dyDescent="0.25">
      <c r="A273" t="s">
        <v>83</v>
      </c>
      <c r="B273" s="4">
        <f>VLOOKUP(A273,'Datos generales'!A:L,5,0)</f>
        <v>3</v>
      </c>
      <c r="C273" s="4" t="str">
        <f>VLOOKUP(A273,'Datos generales'!A:L,4,0)</f>
        <v>Teclado</v>
      </c>
      <c r="D273" s="4">
        <f>VLOOKUP(A273,'Datos generales'!A:L,6,0)</f>
        <v>543.72</v>
      </c>
      <c r="E273" s="4">
        <f>VLOOKUP(A273,'Datos generales'!A:L,12,0)</f>
        <v>543.72</v>
      </c>
      <c r="F273" s="4" t="str">
        <f>VLOOKUP(A273,'Datos generales'!A:L,7,0)</f>
        <v>Accesorios</v>
      </c>
      <c r="G273" s="4">
        <v>2025</v>
      </c>
    </row>
    <row r="274" spans="1:7" x14ac:dyDescent="0.25">
      <c r="A274" t="s">
        <v>84</v>
      </c>
      <c r="B274" s="4">
        <f>VLOOKUP(A274,'Datos generales'!A:L,5,0)</f>
        <v>2</v>
      </c>
      <c r="C274" s="4" t="str">
        <f>VLOOKUP(A274,'Datos generales'!A:L,4,0)</f>
        <v>Webcam</v>
      </c>
      <c r="D274" s="4">
        <f>VLOOKUP(A274,'Datos generales'!A:L,6,0)</f>
        <v>1449.53</v>
      </c>
      <c r="E274" s="4">
        <f>VLOOKUP(A274,'Datos generales'!A:L,12,0)</f>
        <v>1449.53</v>
      </c>
      <c r="F274" s="4" t="str">
        <f>VLOOKUP(A274,'Datos generales'!A:L,7,0)</f>
        <v>Accesorios</v>
      </c>
      <c r="G274" s="4">
        <v>2023</v>
      </c>
    </row>
    <row r="275" spans="1:7" x14ac:dyDescent="0.25">
      <c r="A275" t="s">
        <v>85</v>
      </c>
      <c r="B275" s="4">
        <f>VLOOKUP(A275,'Datos generales'!A:L,5,0)</f>
        <v>5</v>
      </c>
      <c r="C275" s="4" t="str">
        <f>VLOOKUP(A275,'Datos generales'!A:L,4,0)</f>
        <v>Silla Gamer</v>
      </c>
      <c r="D275" s="4">
        <f>VLOOKUP(A275,'Datos generales'!A:L,6,0)</f>
        <v>472.42</v>
      </c>
      <c r="E275" s="4">
        <f>VLOOKUP(A275,'Datos generales'!A:L,12,0)</f>
        <v>472.42</v>
      </c>
      <c r="F275" s="4" t="str">
        <f>VLOOKUP(A275,'Datos generales'!A:L,7,0)</f>
        <v>Muebles</v>
      </c>
      <c r="G275" s="4">
        <v>2024</v>
      </c>
    </row>
    <row r="276" spans="1:7" x14ac:dyDescent="0.25">
      <c r="A276" t="s">
        <v>86</v>
      </c>
      <c r="B276" s="4">
        <f>VLOOKUP(A276,'Datos generales'!A:L,5,0)</f>
        <v>3</v>
      </c>
      <c r="C276" s="4" t="str">
        <f>VLOOKUP(A276,'Datos generales'!A:L,4,0)</f>
        <v>Audífonos</v>
      </c>
      <c r="D276" s="4">
        <f>VLOOKUP(A276,'Datos generales'!A:L,6,0)</f>
        <v>367.9</v>
      </c>
      <c r="E276" s="4">
        <f>VLOOKUP(A276,'Datos generales'!A:L,12,0)</f>
        <v>367.89999999999992</v>
      </c>
      <c r="F276" s="4" t="str">
        <f>VLOOKUP(A276,'Datos generales'!A:L,7,0)</f>
        <v>Accesorios</v>
      </c>
      <c r="G276" s="4">
        <v>2023</v>
      </c>
    </row>
    <row r="277" spans="1:7" x14ac:dyDescent="0.25">
      <c r="A277" t="s">
        <v>87</v>
      </c>
      <c r="B277" s="4">
        <f>VLOOKUP(A277,'Datos generales'!A:L,5,0)</f>
        <v>5</v>
      </c>
      <c r="C277" s="4" t="str">
        <f>VLOOKUP(A277,'Datos generales'!A:L,4,0)</f>
        <v>Audífonos</v>
      </c>
      <c r="D277" s="4">
        <f>VLOOKUP(A277,'Datos generales'!A:L,6,0)</f>
        <v>739.51</v>
      </c>
      <c r="E277" s="4">
        <f>VLOOKUP(A277,'Datos generales'!A:L,12,0)</f>
        <v>739.51</v>
      </c>
      <c r="F277" s="4" t="str">
        <f>VLOOKUP(A277,'Datos generales'!A:L,7,0)</f>
        <v>Accesorios</v>
      </c>
      <c r="G277" s="4">
        <v>2025</v>
      </c>
    </row>
    <row r="278" spans="1:7" x14ac:dyDescent="0.25">
      <c r="A278" t="s">
        <v>88</v>
      </c>
      <c r="B278" s="4">
        <f>VLOOKUP(A278,'Datos generales'!A:L,5,0)</f>
        <v>2</v>
      </c>
      <c r="C278" s="4" t="str">
        <f>VLOOKUP(A278,'Datos generales'!A:L,4,0)</f>
        <v>Laptop</v>
      </c>
      <c r="D278" s="4">
        <f>VLOOKUP(A278,'Datos generales'!A:L,6,0)</f>
        <v>1089.1300000000001</v>
      </c>
      <c r="E278" s="4">
        <f>VLOOKUP(A278,'Datos generales'!A:L,12,0)</f>
        <v>1089.1300000000001</v>
      </c>
      <c r="F278" s="4" t="str">
        <f>VLOOKUP(A278,'Datos generales'!A:L,7,0)</f>
        <v>Electrónica</v>
      </c>
      <c r="G278" s="4">
        <v>2023</v>
      </c>
    </row>
    <row r="279" spans="1:7" x14ac:dyDescent="0.25">
      <c r="A279" t="s">
        <v>89</v>
      </c>
      <c r="B279" s="4">
        <f>VLOOKUP(A279,'Datos generales'!A:L,5,0)</f>
        <v>5</v>
      </c>
      <c r="C279" s="4" t="str">
        <f>VLOOKUP(A279,'Datos generales'!A:L,4,0)</f>
        <v>Webcam</v>
      </c>
      <c r="D279" s="4">
        <f>VLOOKUP(A279,'Datos generales'!A:L,6,0)</f>
        <v>1632.75</v>
      </c>
      <c r="E279" s="4">
        <f>VLOOKUP(A279,'Datos generales'!A:L,12,0)</f>
        <v>1632.75</v>
      </c>
      <c r="F279" s="4" t="str">
        <f>VLOOKUP(A279,'Datos generales'!A:L,7,0)</f>
        <v>Accesorios</v>
      </c>
      <c r="G279" s="4">
        <v>2024</v>
      </c>
    </row>
    <row r="280" spans="1:7" x14ac:dyDescent="0.25">
      <c r="A280" t="s">
        <v>90</v>
      </c>
      <c r="B280" s="4">
        <f>VLOOKUP(A280,'Datos generales'!A:L,5,0)</f>
        <v>3</v>
      </c>
      <c r="C280" s="4" t="str">
        <f>VLOOKUP(A280,'Datos generales'!A:L,4,0)</f>
        <v>Monitor</v>
      </c>
      <c r="D280" s="4">
        <f>VLOOKUP(A280,'Datos generales'!A:L,6,0)</f>
        <v>817.35</v>
      </c>
      <c r="E280" s="4">
        <f>VLOOKUP(A280,'Datos generales'!A:L,12,0)</f>
        <v>817.35</v>
      </c>
      <c r="F280" s="4" t="str">
        <f>VLOOKUP(A280,'Datos generales'!A:L,7,0)</f>
        <v>Electrónica</v>
      </c>
      <c r="G280" s="4">
        <v>2023</v>
      </c>
    </row>
    <row r="281" spans="1:7" x14ac:dyDescent="0.25">
      <c r="A281" t="s">
        <v>91</v>
      </c>
      <c r="B281" s="4">
        <f>VLOOKUP(A281,'Datos generales'!A:L,5,0)</f>
        <v>2</v>
      </c>
      <c r="C281" s="4" t="str">
        <f>VLOOKUP(A281,'Datos generales'!A:L,4,0)</f>
        <v>Teclado</v>
      </c>
      <c r="D281" s="4">
        <f>VLOOKUP(A281,'Datos generales'!A:L,6,0)</f>
        <v>1186.58</v>
      </c>
      <c r="E281" s="4">
        <f>VLOOKUP(A281,'Datos generales'!A:L,12,0)</f>
        <v>1186.58</v>
      </c>
      <c r="F281" s="4" t="str">
        <f>VLOOKUP(A281,'Datos generales'!A:L,7,0)</f>
        <v>Accesorios</v>
      </c>
      <c r="G281" s="4">
        <v>2024</v>
      </c>
    </row>
    <row r="282" spans="1:7" x14ac:dyDescent="0.25">
      <c r="A282" t="s">
        <v>92</v>
      </c>
      <c r="B282" s="4">
        <f>VLOOKUP(A282,'Datos generales'!A:L,5,0)</f>
        <v>2</v>
      </c>
      <c r="C282" s="4" t="str">
        <f>VLOOKUP(A282,'Datos generales'!A:L,4,0)</f>
        <v>Impresora</v>
      </c>
      <c r="D282" s="4">
        <f>VLOOKUP(A282,'Datos generales'!A:L,6,0)</f>
        <v>1872.8</v>
      </c>
      <c r="E282" s="4">
        <f>VLOOKUP(A282,'Datos generales'!A:L,12,0)</f>
        <v>1872.8</v>
      </c>
      <c r="F282" s="4" t="str">
        <f>VLOOKUP(A282,'Datos generales'!A:L,7,0)</f>
        <v>Electrónica</v>
      </c>
      <c r="G282" s="4">
        <v>2023</v>
      </c>
    </row>
    <row r="283" spans="1:7" x14ac:dyDescent="0.25">
      <c r="A283" t="s">
        <v>93</v>
      </c>
      <c r="B283" s="4">
        <f>VLOOKUP(A283,'Datos generales'!A:L,5,0)</f>
        <v>3</v>
      </c>
      <c r="C283" s="4" t="str">
        <f>VLOOKUP(A283,'Datos generales'!A:L,4,0)</f>
        <v>Silla Gamer</v>
      </c>
      <c r="D283" s="4">
        <f>VLOOKUP(A283,'Datos generales'!A:L,6,0)</f>
        <v>680.19</v>
      </c>
      <c r="E283" s="4">
        <f>VLOOKUP(A283,'Datos generales'!A:L,12,0)</f>
        <v>680.19</v>
      </c>
      <c r="F283" s="4" t="str">
        <f>VLOOKUP(A283,'Datos generales'!A:L,7,0)</f>
        <v>Muebles</v>
      </c>
      <c r="G283" s="4">
        <v>2023</v>
      </c>
    </row>
    <row r="284" spans="1:7" x14ac:dyDescent="0.25">
      <c r="A284" t="s">
        <v>94</v>
      </c>
      <c r="B284" s="4">
        <f>VLOOKUP(A284,'Datos generales'!A:L,5,0)</f>
        <v>4</v>
      </c>
      <c r="C284" s="4" t="str">
        <f>VLOOKUP(A284,'Datos generales'!A:L,4,0)</f>
        <v>Webcam</v>
      </c>
      <c r="D284" s="4">
        <f>VLOOKUP(A284,'Datos generales'!A:L,6,0)</f>
        <v>262.82</v>
      </c>
      <c r="E284" s="4">
        <f>VLOOKUP(A284,'Datos generales'!A:L,12,0)</f>
        <v>262.82</v>
      </c>
      <c r="F284" s="4" t="str">
        <f>VLOOKUP(A284,'Datos generales'!A:L,7,0)</f>
        <v>Accesorios</v>
      </c>
      <c r="G284" s="4">
        <v>2023</v>
      </c>
    </row>
    <row r="285" spans="1:7" x14ac:dyDescent="0.25">
      <c r="A285" t="s">
        <v>95</v>
      </c>
      <c r="B285" s="4">
        <f>VLOOKUP(A285,'Datos generales'!A:L,5,0)</f>
        <v>4</v>
      </c>
      <c r="C285" s="4" t="str">
        <f>VLOOKUP(A285,'Datos generales'!A:L,4,0)</f>
        <v>Impresora</v>
      </c>
      <c r="D285" s="4">
        <f>VLOOKUP(A285,'Datos generales'!A:L,6,0)</f>
        <v>1531.75</v>
      </c>
      <c r="E285" s="4">
        <f>VLOOKUP(A285,'Datos generales'!A:L,12,0)</f>
        <v>1531.75</v>
      </c>
      <c r="F285" s="4" t="str">
        <f>VLOOKUP(A285,'Datos generales'!A:L,7,0)</f>
        <v>Electrónica</v>
      </c>
      <c r="G285" s="4">
        <v>2025</v>
      </c>
    </row>
    <row r="286" spans="1:7" x14ac:dyDescent="0.25">
      <c r="A286" t="s">
        <v>96</v>
      </c>
      <c r="B286" s="4">
        <f>VLOOKUP(A286,'Datos generales'!A:L,5,0)</f>
        <v>1</v>
      </c>
      <c r="C286" s="4" t="str">
        <f>VLOOKUP(A286,'Datos generales'!A:L,4,0)</f>
        <v>Impresora</v>
      </c>
      <c r="D286" s="4">
        <f>VLOOKUP(A286,'Datos generales'!A:L,6,0)</f>
        <v>503.84</v>
      </c>
      <c r="E286" s="4">
        <f>VLOOKUP(A286,'Datos generales'!A:L,12,0)</f>
        <v>503.84</v>
      </c>
      <c r="F286" s="4" t="str">
        <f>VLOOKUP(A286,'Datos generales'!A:L,7,0)</f>
        <v>Electrónica</v>
      </c>
      <c r="G286" s="4">
        <v>2023</v>
      </c>
    </row>
    <row r="287" spans="1:7" x14ac:dyDescent="0.25">
      <c r="A287" t="s">
        <v>97</v>
      </c>
      <c r="B287" s="4">
        <f>VLOOKUP(A287,'Datos generales'!A:L,5,0)</f>
        <v>4</v>
      </c>
      <c r="C287" s="4" t="str">
        <f>VLOOKUP(A287,'Datos generales'!A:L,4,0)</f>
        <v>Laptop</v>
      </c>
      <c r="D287" s="4">
        <f>VLOOKUP(A287,'Datos generales'!A:L,6,0)</f>
        <v>1908.41</v>
      </c>
      <c r="E287" s="4">
        <f>VLOOKUP(A287,'Datos generales'!A:L,12,0)</f>
        <v>1908.41</v>
      </c>
      <c r="F287" s="4" t="str">
        <f>VLOOKUP(A287,'Datos generales'!A:L,7,0)</f>
        <v>Electrónica</v>
      </c>
      <c r="G287" s="4">
        <v>2024</v>
      </c>
    </row>
    <row r="288" spans="1:7" x14ac:dyDescent="0.25">
      <c r="A288" t="s">
        <v>98</v>
      </c>
      <c r="B288" s="4">
        <f>VLOOKUP(A288,'Datos generales'!A:L,5,0)</f>
        <v>2</v>
      </c>
      <c r="C288" s="4" t="str">
        <f>VLOOKUP(A288,'Datos generales'!A:L,4,0)</f>
        <v>Impresora</v>
      </c>
      <c r="D288" s="4">
        <f>VLOOKUP(A288,'Datos generales'!A:L,6,0)</f>
        <v>114.6</v>
      </c>
      <c r="E288" s="4">
        <f>VLOOKUP(A288,'Datos generales'!A:L,12,0)</f>
        <v>114.6</v>
      </c>
      <c r="F288" s="4" t="str">
        <f>VLOOKUP(A288,'Datos generales'!A:L,7,0)</f>
        <v>Electrónica</v>
      </c>
      <c r="G288" s="4">
        <v>2024</v>
      </c>
    </row>
    <row r="289" spans="1:7" x14ac:dyDescent="0.25">
      <c r="A289" t="s">
        <v>99</v>
      </c>
      <c r="B289" s="4">
        <f>VLOOKUP(A289,'Datos generales'!A:L,5,0)</f>
        <v>2</v>
      </c>
      <c r="C289" s="4" t="str">
        <f>VLOOKUP(A289,'Datos generales'!A:L,4,0)</f>
        <v>Impresora</v>
      </c>
      <c r="D289" s="4">
        <f>VLOOKUP(A289,'Datos generales'!A:L,6,0)</f>
        <v>595.78</v>
      </c>
      <c r="E289" s="4">
        <f>VLOOKUP(A289,'Datos generales'!A:L,12,0)</f>
        <v>595.78</v>
      </c>
      <c r="F289" s="4" t="str">
        <f>VLOOKUP(A289,'Datos generales'!A:L,7,0)</f>
        <v>Electrónica</v>
      </c>
      <c r="G289" s="4">
        <v>2023</v>
      </c>
    </row>
    <row r="290" spans="1:7" x14ac:dyDescent="0.25">
      <c r="A290" t="s">
        <v>100</v>
      </c>
      <c r="B290" s="4">
        <f>VLOOKUP(A290,'Datos generales'!A:L,5,0)</f>
        <v>2</v>
      </c>
      <c r="C290" s="4" t="str">
        <f>VLOOKUP(A290,'Datos generales'!A:L,4,0)</f>
        <v>Laptop</v>
      </c>
      <c r="D290" s="4">
        <f>VLOOKUP(A290,'Datos generales'!A:L,6,0)</f>
        <v>75.02</v>
      </c>
      <c r="E290" s="4">
        <f>VLOOKUP(A290,'Datos generales'!A:L,12,0)</f>
        <v>75.02</v>
      </c>
      <c r="F290" s="4" t="str">
        <f>VLOOKUP(A290,'Datos generales'!A:L,7,0)</f>
        <v>Electrónica</v>
      </c>
      <c r="G290" s="4">
        <v>2024</v>
      </c>
    </row>
    <row r="291" spans="1:7" x14ac:dyDescent="0.25">
      <c r="A291" t="s">
        <v>101</v>
      </c>
      <c r="B291" s="4">
        <f>VLOOKUP(A291,'Datos generales'!A:L,5,0)</f>
        <v>5</v>
      </c>
      <c r="C291" s="4" t="str">
        <f>VLOOKUP(A291,'Datos generales'!A:L,4,0)</f>
        <v>Webcam</v>
      </c>
      <c r="D291" s="4">
        <f>VLOOKUP(A291,'Datos generales'!A:L,6,0)</f>
        <v>540.91999999999996</v>
      </c>
      <c r="E291" s="4">
        <f>VLOOKUP(A291,'Datos generales'!A:L,12,0)</f>
        <v>540.91999999999996</v>
      </c>
      <c r="F291" s="4" t="str">
        <f>VLOOKUP(A291,'Datos generales'!A:L,7,0)</f>
        <v>Accesorios</v>
      </c>
      <c r="G291" s="4">
        <v>2024</v>
      </c>
    </row>
    <row r="292" spans="1:7" x14ac:dyDescent="0.25">
      <c r="A292" t="s">
        <v>102</v>
      </c>
      <c r="B292" s="4">
        <f>VLOOKUP(A292,'Datos generales'!A:L,5,0)</f>
        <v>2</v>
      </c>
      <c r="C292" s="4" t="str">
        <f>VLOOKUP(A292,'Datos generales'!A:L,4,0)</f>
        <v>Monitor</v>
      </c>
      <c r="D292" s="4">
        <f>VLOOKUP(A292,'Datos generales'!A:L,6,0)</f>
        <v>356.91</v>
      </c>
      <c r="E292" s="4">
        <f>VLOOKUP(A292,'Datos generales'!A:L,12,0)</f>
        <v>356.91</v>
      </c>
      <c r="F292" s="4" t="str">
        <f>VLOOKUP(A292,'Datos generales'!A:L,7,0)</f>
        <v>Electrónica</v>
      </c>
      <c r="G292" s="4">
        <v>2025</v>
      </c>
    </row>
    <row r="293" spans="1:7" x14ac:dyDescent="0.25">
      <c r="A293" t="s">
        <v>103</v>
      </c>
      <c r="B293" s="4">
        <f>VLOOKUP(A293,'Datos generales'!A:L,5,0)</f>
        <v>3</v>
      </c>
      <c r="C293" s="4" t="str">
        <f>VLOOKUP(A293,'Datos generales'!A:L,4,0)</f>
        <v>Audífonos</v>
      </c>
      <c r="D293" s="4">
        <f>VLOOKUP(A293,'Datos generales'!A:L,6,0)</f>
        <v>1135.67</v>
      </c>
      <c r="E293" s="4">
        <f>VLOOKUP(A293,'Datos generales'!A:L,12,0)</f>
        <v>1135.67</v>
      </c>
      <c r="F293" s="4" t="str">
        <f>VLOOKUP(A293,'Datos generales'!A:L,7,0)</f>
        <v>Accesorios</v>
      </c>
      <c r="G293" s="4">
        <v>2025</v>
      </c>
    </row>
    <row r="294" spans="1:7" x14ac:dyDescent="0.25">
      <c r="A294" t="s">
        <v>104</v>
      </c>
      <c r="B294" s="4">
        <f>VLOOKUP(A294,'Datos generales'!A:L,5,0)</f>
        <v>3</v>
      </c>
      <c r="C294" s="4" t="str">
        <f>VLOOKUP(A294,'Datos generales'!A:L,4,0)</f>
        <v>Impresora</v>
      </c>
      <c r="D294" s="4">
        <f>VLOOKUP(A294,'Datos generales'!A:L,6,0)</f>
        <v>805.69</v>
      </c>
      <c r="E294" s="4">
        <f>VLOOKUP(A294,'Datos generales'!A:L,12,0)</f>
        <v>805.69</v>
      </c>
      <c r="F294" s="4" t="str">
        <f>VLOOKUP(A294,'Datos generales'!A:L,7,0)</f>
        <v>Electrónica</v>
      </c>
      <c r="G294" s="4">
        <v>2025</v>
      </c>
    </row>
    <row r="295" spans="1:7" x14ac:dyDescent="0.25">
      <c r="A295" t="s">
        <v>105</v>
      </c>
      <c r="B295" s="4">
        <f>VLOOKUP(A295,'Datos generales'!A:L,5,0)</f>
        <v>2</v>
      </c>
      <c r="C295" s="4" t="str">
        <f>VLOOKUP(A295,'Datos generales'!A:L,4,0)</f>
        <v>Laptop</v>
      </c>
      <c r="D295" s="4">
        <f>VLOOKUP(A295,'Datos generales'!A:L,6,0)</f>
        <v>1259.07</v>
      </c>
      <c r="E295" s="4">
        <f>VLOOKUP(A295,'Datos generales'!A:L,12,0)</f>
        <v>1259.07</v>
      </c>
      <c r="F295" s="4" t="str">
        <f>VLOOKUP(A295,'Datos generales'!A:L,7,0)</f>
        <v>Electrónica</v>
      </c>
      <c r="G295" s="4">
        <v>2023</v>
      </c>
    </row>
    <row r="296" spans="1:7" x14ac:dyDescent="0.25">
      <c r="A296" t="s">
        <v>106</v>
      </c>
      <c r="B296" s="4">
        <f>VLOOKUP(A296,'Datos generales'!A:L,5,0)</f>
        <v>3</v>
      </c>
      <c r="C296" s="4" t="str">
        <f>VLOOKUP(A296,'Datos generales'!A:L,4,0)</f>
        <v>Mouse</v>
      </c>
      <c r="D296" s="4">
        <f>VLOOKUP(A296,'Datos generales'!A:L,6,0)</f>
        <v>600.4</v>
      </c>
      <c r="E296" s="4">
        <f>VLOOKUP(A296,'Datos generales'!A:L,12,0)</f>
        <v>600.4</v>
      </c>
      <c r="F296" s="4" t="str">
        <f>VLOOKUP(A296,'Datos generales'!A:L,7,0)</f>
        <v>Accesorios</v>
      </c>
      <c r="G296" s="4">
        <v>2024</v>
      </c>
    </row>
    <row r="297" spans="1:7" x14ac:dyDescent="0.25">
      <c r="A297" t="s">
        <v>107</v>
      </c>
      <c r="B297" s="4">
        <f>VLOOKUP(A297,'Datos generales'!A:L,5,0)</f>
        <v>2</v>
      </c>
      <c r="C297" s="4" t="str">
        <f>VLOOKUP(A297,'Datos generales'!A:L,4,0)</f>
        <v>Silla Gamer</v>
      </c>
      <c r="D297" s="4">
        <f>VLOOKUP(A297,'Datos generales'!A:L,6,0)</f>
        <v>479.81</v>
      </c>
      <c r="E297" s="4">
        <f>VLOOKUP(A297,'Datos generales'!A:L,12,0)</f>
        <v>479.81</v>
      </c>
      <c r="F297" s="4" t="str">
        <f>VLOOKUP(A297,'Datos generales'!A:L,7,0)</f>
        <v>Muebles</v>
      </c>
      <c r="G297" s="4">
        <v>2024</v>
      </c>
    </row>
    <row r="298" spans="1:7" x14ac:dyDescent="0.25">
      <c r="A298" t="s">
        <v>108</v>
      </c>
      <c r="B298" s="4">
        <f>VLOOKUP(A298,'Datos generales'!A:L,5,0)</f>
        <v>1</v>
      </c>
      <c r="C298" s="4" t="str">
        <f>VLOOKUP(A298,'Datos generales'!A:L,4,0)</f>
        <v>Webcam</v>
      </c>
      <c r="D298" s="4">
        <f>VLOOKUP(A298,'Datos generales'!A:L,6,0)</f>
        <v>1888.86</v>
      </c>
      <c r="E298" s="4">
        <f>VLOOKUP(A298,'Datos generales'!A:L,12,0)</f>
        <v>1888.86</v>
      </c>
      <c r="F298" s="4" t="str">
        <f>VLOOKUP(A298,'Datos generales'!A:L,7,0)</f>
        <v>Accesorios</v>
      </c>
      <c r="G298" s="4">
        <v>2024</v>
      </c>
    </row>
    <row r="299" spans="1:7" x14ac:dyDescent="0.25">
      <c r="A299" t="s">
        <v>109</v>
      </c>
      <c r="B299" s="4">
        <f>VLOOKUP(A299,'Datos generales'!A:L,5,0)</f>
        <v>4</v>
      </c>
      <c r="C299" s="4" t="str">
        <f>VLOOKUP(A299,'Datos generales'!A:L,4,0)</f>
        <v>Laptop</v>
      </c>
      <c r="D299" s="4">
        <f>VLOOKUP(A299,'Datos generales'!A:L,6,0)</f>
        <v>1821.05</v>
      </c>
      <c r="E299" s="4">
        <f>VLOOKUP(A299,'Datos generales'!A:L,12,0)</f>
        <v>1821.05</v>
      </c>
      <c r="F299" s="4" t="str">
        <f>VLOOKUP(A299,'Datos generales'!A:L,7,0)</f>
        <v>Electrónica</v>
      </c>
      <c r="G299" s="4">
        <v>2024</v>
      </c>
    </row>
    <row r="300" spans="1:7" x14ac:dyDescent="0.25">
      <c r="A300" t="s">
        <v>110</v>
      </c>
      <c r="B300" s="4">
        <f>VLOOKUP(A300,'Datos generales'!A:L,5,0)</f>
        <v>3</v>
      </c>
      <c r="C300" s="4" t="str">
        <f>VLOOKUP(A300,'Datos generales'!A:L,4,0)</f>
        <v>Mouse</v>
      </c>
      <c r="D300" s="4">
        <f>VLOOKUP(A300,'Datos generales'!A:L,6,0)</f>
        <v>1537.23</v>
      </c>
      <c r="E300" s="4">
        <f>VLOOKUP(A300,'Datos generales'!A:L,12,0)</f>
        <v>1537.23</v>
      </c>
      <c r="F300" s="4" t="str">
        <f>VLOOKUP(A300,'Datos generales'!A:L,7,0)</f>
        <v>Accesorios</v>
      </c>
      <c r="G300" s="4">
        <v>2025</v>
      </c>
    </row>
    <row r="301" spans="1:7" x14ac:dyDescent="0.25">
      <c r="A301" t="s">
        <v>111</v>
      </c>
      <c r="B301" s="4">
        <f>VLOOKUP(A301,'Datos generales'!A:L,5,0)</f>
        <v>3</v>
      </c>
      <c r="C301" s="4" t="str">
        <f>VLOOKUP(A301,'Datos generales'!A:L,4,0)</f>
        <v>Silla Gamer</v>
      </c>
      <c r="D301" s="4">
        <f>VLOOKUP(A301,'Datos generales'!A:L,6,0)</f>
        <v>311.66000000000003</v>
      </c>
      <c r="E301" s="4">
        <f>VLOOKUP(A301,'Datos generales'!A:L,12,0)</f>
        <v>311.66000000000003</v>
      </c>
      <c r="F301" s="4" t="str">
        <f>VLOOKUP(A301,'Datos generales'!A:L,7,0)</f>
        <v>Muebles</v>
      </c>
      <c r="G301" s="4">
        <v>2024</v>
      </c>
    </row>
    <row r="302" spans="1:7" x14ac:dyDescent="0.25">
      <c r="A302" t="s">
        <v>112</v>
      </c>
      <c r="B302" s="4">
        <f>VLOOKUP(A302,'Datos generales'!A:L,5,0)</f>
        <v>5</v>
      </c>
      <c r="C302" s="4" t="str">
        <f>VLOOKUP(A302,'Datos generales'!A:L,4,0)</f>
        <v>Teclado</v>
      </c>
      <c r="D302" s="4">
        <f>VLOOKUP(A302,'Datos generales'!A:L,6,0)</f>
        <v>149.09</v>
      </c>
      <c r="E302" s="4">
        <f>VLOOKUP(A302,'Datos generales'!A:L,12,0)</f>
        <v>149.09</v>
      </c>
      <c r="F302" s="4" t="str">
        <f>VLOOKUP(A302,'Datos generales'!A:L,7,0)</f>
        <v>Accesorios</v>
      </c>
      <c r="G302" s="4">
        <v>2024</v>
      </c>
    </row>
    <row r="303" spans="1:7" x14ac:dyDescent="0.25">
      <c r="A303" t="s">
        <v>113</v>
      </c>
      <c r="B303" s="4">
        <f>VLOOKUP(A303,'Datos generales'!A:L,5,0)</f>
        <v>5</v>
      </c>
      <c r="C303" s="4" t="str">
        <f>VLOOKUP(A303,'Datos generales'!A:L,4,0)</f>
        <v>Laptop</v>
      </c>
      <c r="D303" s="4">
        <f>VLOOKUP(A303,'Datos generales'!A:L,6,0)</f>
        <v>1885.48</v>
      </c>
      <c r="E303" s="4">
        <f>VLOOKUP(A303,'Datos generales'!A:L,12,0)</f>
        <v>1885.48</v>
      </c>
      <c r="F303" s="4" t="str">
        <f>VLOOKUP(A303,'Datos generales'!A:L,7,0)</f>
        <v>Electrónica</v>
      </c>
      <c r="G303" s="4">
        <v>2023</v>
      </c>
    </row>
    <row r="304" spans="1:7" x14ac:dyDescent="0.25">
      <c r="A304" t="s">
        <v>114</v>
      </c>
      <c r="B304" s="4">
        <f>VLOOKUP(A304,'Datos generales'!A:L,5,0)</f>
        <v>3</v>
      </c>
      <c r="C304" s="4" t="str">
        <f>VLOOKUP(A304,'Datos generales'!A:L,4,0)</f>
        <v>Webcam</v>
      </c>
      <c r="D304" s="4">
        <f>VLOOKUP(A304,'Datos generales'!A:L,6,0)</f>
        <v>1591.92</v>
      </c>
      <c r="E304" s="4">
        <f>VLOOKUP(A304,'Datos generales'!A:L,12,0)</f>
        <v>1591.92</v>
      </c>
      <c r="F304" s="4" t="str">
        <f>VLOOKUP(A304,'Datos generales'!A:L,7,0)</f>
        <v>Accesorios</v>
      </c>
      <c r="G304" s="4">
        <v>2023</v>
      </c>
    </row>
    <row r="305" spans="1:7" x14ac:dyDescent="0.25">
      <c r="A305" t="s">
        <v>115</v>
      </c>
      <c r="B305" s="4">
        <f>VLOOKUP(A305,'Datos generales'!A:L,5,0)</f>
        <v>5</v>
      </c>
      <c r="C305" s="4" t="str">
        <f>VLOOKUP(A305,'Datos generales'!A:L,4,0)</f>
        <v>Webcam</v>
      </c>
      <c r="D305" s="4">
        <f>VLOOKUP(A305,'Datos generales'!A:L,6,0)</f>
        <v>1383.33</v>
      </c>
      <c r="E305" s="4">
        <f>VLOOKUP(A305,'Datos generales'!A:L,12,0)</f>
        <v>1383.33</v>
      </c>
      <c r="F305" s="4" t="str">
        <f>VLOOKUP(A305,'Datos generales'!A:L,7,0)</f>
        <v>Accesorios</v>
      </c>
      <c r="G305" s="4">
        <v>2025</v>
      </c>
    </row>
    <row r="306" spans="1:7" x14ac:dyDescent="0.25">
      <c r="A306" t="s">
        <v>116</v>
      </c>
      <c r="B306" s="4">
        <f>VLOOKUP(A306,'Datos generales'!A:L,5,0)</f>
        <v>2</v>
      </c>
      <c r="C306" s="4" t="str">
        <f>VLOOKUP(A306,'Datos generales'!A:L,4,0)</f>
        <v>Silla Gamer</v>
      </c>
      <c r="D306" s="4">
        <f>VLOOKUP(A306,'Datos generales'!A:L,6,0)</f>
        <v>1051.23</v>
      </c>
      <c r="E306" s="4">
        <f>VLOOKUP(A306,'Datos generales'!A:L,12,0)</f>
        <v>1051.23</v>
      </c>
      <c r="F306" s="4" t="str">
        <f>VLOOKUP(A306,'Datos generales'!A:L,7,0)</f>
        <v>Muebles</v>
      </c>
      <c r="G306" s="4">
        <v>2025</v>
      </c>
    </row>
    <row r="307" spans="1:7" x14ac:dyDescent="0.25">
      <c r="A307" t="s">
        <v>117</v>
      </c>
      <c r="B307" s="4">
        <f>VLOOKUP(A307,'Datos generales'!A:L,5,0)</f>
        <v>4</v>
      </c>
      <c r="C307" s="4" t="str">
        <f>VLOOKUP(A307,'Datos generales'!A:L,4,0)</f>
        <v>Audífonos</v>
      </c>
      <c r="D307" s="4">
        <f>VLOOKUP(A307,'Datos generales'!A:L,6,0)</f>
        <v>1274.46</v>
      </c>
      <c r="E307" s="4">
        <f>VLOOKUP(A307,'Datos generales'!A:L,12,0)</f>
        <v>1274.46</v>
      </c>
      <c r="F307" s="4" t="str">
        <f>VLOOKUP(A307,'Datos generales'!A:L,7,0)</f>
        <v>Accesorios</v>
      </c>
      <c r="G307" s="4">
        <v>2023</v>
      </c>
    </row>
    <row r="308" spans="1:7" x14ac:dyDescent="0.25">
      <c r="A308" t="s">
        <v>118</v>
      </c>
      <c r="B308" s="4">
        <f>VLOOKUP(A308,'Datos generales'!A:L,5,0)</f>
        <v>1</v>
      </c>
      <c r="C308" s="4" t="str">
        <f>VLOOKUP(A308,'Datos generales'!A:L,4,0)</f>
        <v>Monitor</v>
      </c>
      <c r="D308" s="4">
        <f>VLOOKUP(A308,'Datos generales'!A:L,6,0)</f>
        <v>1251.08</v>
      </c>
      <c r="E308" s="4">
        <f>VLOOKUP(A308,'Datos generales'!A:L,12,0)</f>
        <v>1251.08</v>
      </c>
      <c r="F308" s="4" t="str">
        <f>VLOOKUP(A308,'Datos generales'!A:L,7,0)</f>
        <v>Electrónica</v>
      </c>
      <c r="G308" s="4">
        <v>2025</v>
      </c>
    </row>
    <row r="309" spans="1:7" x14ac:dyDescent="0.25">
      <c r="A309" t="s">
        <v>119</v>
      </c>
      <c r="B309" s="4">
        <f>VLOOKUP(A309,'Datos generales'!A:L,5,0)</f>
        <v>5</v>
      </c>
      <c r="C309" s="4" t="str">
        <f>VLOOKUP(A309,'Datos generales'!A:L,4,0)</f>
        <v>Audífonos</v>
      </c>
      <c r="D309" s="4">
        <f>VLOOKUP(A309,'Datos generales'!A:L,6,0)</f>
        <v>1582.2</v>
      </c>
      <c r="E309" s="4">
        <f>VLOOKUP(A309,'Datos generales'!A:L,12,0)</f>
        <v>1582.2</v>
      </c>
      <c r="F309" s="4" t="str">
        <f>VLOOKUP(A309,'Datos generales'!A:L,7,0)</f>
        <v>Accesorios</v>
      </c>
      <c r="G309" s="4">
        <v>2025</v>
      </c>
    </row>
    <row r="310" spans="1:7" x14ac:dyDescent="0.25">
      <c r="A310" t="s">
        <v>120</v>
      </c>
      <c r="B310" s="4">
        <f>VLOOKUP(A310,'Datos generales'!A:L,5,0)</f>
        <v>1</v>
      </c>
      <c r="C310" s="4" t="str">
        <f>VLOOKUP(A310,'Datos generales'!A:L,4,0)</f>
        <v>Silla Gamer</v>
      </c>
      <c r="D310" s="4">
        <f>VLOOKUP(A310,'Datos generales'!A:L,6,0)</f>
        <v>81.92</v>
      </c>
      <c r="E310" s="4">
        <f>VLOOKUP(A310,'Datos generales'!A:L,12,0)</f>
        <v>81.92</v>
      </c>
      <c r="F310" s="4" t="str">
        <f>VLOOKUP(A310,'Datos generales'!A:L,7,0)</f>
        <v>Muebles</v>
      </c>
      <c r="G310" s="4">
        <v>2023</v>
      </c>
    </row>
    <row r="311" spans="1:7" x14ac:dyDescent="0.25">
      <c r="A311" t="s">
        <v>121</v>
      </c>
      <c r="B311" s="4">
        <f>VLOOKUP(A311,'Datos generales'!A:L,5,0)</f>
        <v>1</v>
      </c>
      <c r="C311" s="4" t="str">
        <f>VLOOKUP(A311,'Datos generales'!A:L,4,0)</f>
        <v>Mouse</v>
      </c>
      <c r="D311" s="4">
        <f>VLOOKUP(A311,'Datos generales'!A:L,6,0)</f>
        <v>1153.31</v>
      </c>
      <c r="E311" s="4">
        <f>VLOOKUP(A311,'Datos generales'!A:L,12,0)</f>
        <v>1153.31</v>
      </c>
      <c r="F311" s="4" t="str">
        <f>VLOOKUP(A311,'Datos generales'!A:L,7,0)</f>
        <v>Accesorios</v>
      </c>
      <c r="G311" s="4">
        <v>2024</v>
      </c>
    </row>
    <row r="312" spans="1:7" x14ac:dyDescent="0.25">
      <c r="A312" t="s">
        <v>122</v>
      </c>
      <c r="B312" s="4">
        <f>VLOOKUP(A312,'Datos generales'!A:L,5,0)</f>
        <v>3</v>
      </c>
      <c r="C312" s="4" t="str">
        <f>VLOOKUP(A312,'Datos generales'!A:L,4,0)</f>
        <v>Mouse</v>
      </c>
      <c r="D312" s="4">
        <f>VLOOKUP(A312,'Datos generales'!A:L,6,0)</f>
        <v>1078.08</v>
      </c>
      <c r="E312" s="4">
        <f>VLOOKUP(A312,'Datos generales'!A:L,12,0)</f>
        <v>1078.08</v>
      </c>
      <c r="F312" s="4" t="str">
        <f>VLOOKUP(A312,'Datos generales'!A:L,7,0)</f>
        <v>Accesorios</v>
      </c>
      <c r="G312" s="4">
        <v>2025</v>
      </c>
    </row>
    <row r="313" spans="1:7" x14ac:dyDescent="0.25">
      <c r="A313" t="s">
        <v>123</v>
      </c>
      <c r="B313" s="4">
        <f>VLOOKUP(A313,'Datos generales'!A:L,5,0)</f>
        <v>1</v>
      </c>
      <c r="C313" s="4" t="str">
        <f>VLOOKUP(A313,'Datos generales'!A:L,4,0)</f>
        <v>Impresora</v>
      </c>
      <c r="D313" s="4">
        <f>VLOOKUP(A313,'Datos generales'!A:L,6,0)</f>
        <v>201.91</v>
      </c>
      <c r="E313" s="4">
        <f>VLOOKUP(A313,'Datos generales'!A:L,12,0)</f>
        <v>201.91</v>
      </c>
      <c r="F313" s="4" t="str">
        <f>VLOOKUP(A313,'Datos generales'!A:L,7,0)</f>
        <v>Electrónica</v>
      </c>
      <c r="G313" s="4">
        <v>2024</v>
      </c>
    </row>
    <row r="314" spans="1:7" x14ac:dyDescent="0.25">
      <c r="A314" t="s">
        <v>124</v>
      </c>
      <c r="B314" s="4">
        <f>VLOOKUP(A314,'Datos generales'!A:L,5,0)</f>
        <v>3</v>
      </c>
      <c r="C314" s="4" t="str">
        <f>VLOOKUP(A314,'Datos generales'!A:L,4,0)</f>
        <v>Webcam</v>
      </c>
      <c r="D314" s="4">
        <f>VLOOKUP(A314,'Datos generales'!A:L,6,0)</f>
        <v>727.36</v>
      </c>
      <c r="E314" s="4">
        <f>VLOOKUP(A314,'Datos generales'!A:L,12,0)</f>
        <v>727.36</v>
      </c>
      <c r="F314" s="4" t="str">
        <f>VLOOKUP(A314,'Datos generales'!A:L,7,0)</f>
        <v>Accesorios</v>
      </c>
      <c r="G314" s="4">
        <v>2024</v>
      </c>
    </row>
    <row r="315" spans="1:7" x14ac:dyDescent="0.25">
      <c r="A315" t="s">
        <v>125</v>
      </c>
      <c r="B315" s="4">
        <f>VLOOKUP(A315,'Datos generales'!A:L,5,0)</f>
        <v>3</v>
      </c>
      <c r="C315" s="4" t="str">
        <f>VLOOKUP(A315,'Datos generales'!A:L,4,0)</f>
        <v>Audífonos</v>
      </c>
      <c r="D315" s="4">
        <f>VLOOKUP(A315,'Datos generales'!A:L,6,0)</f>
        <v>1645.43</v>
      </c>
      <c r="E315" s="4">
        <f>VLOOKUP(A315,'Datos generales'!A:L,12,0)</f>
        <v>1645.43</v>
      </c>
      <c r="F315" s="4" t="str">
        <f>VLOOKUP(A315,'Datos generales'!A:L,7,0)</f>
        <v>Accesorios</v>
      </c>
      <c r="G315" s="4">
        <v>2023</v>
      </c>
    </row>
    <row r="316" spans="1:7" x14ac:dyDescent="0.25">
      <c r="A316" t="s">
        <v>126</v>
      </c>
      <c r="B316" s="4">
        <f>VLOOKUP(A316,'Datos generales'!A:L,5,0)</f>
        <v>3</v>
      </c>
      <c r="C316" s="4" t="str">
        <f>VLOOKUP(A316,'Datos generales'!A:L,4,0)</f>
        <v>Laptop</v>
      </c>
      <c r="D316" s="4">
        <f>VLOOKUP(A316,'Datos generales'!A:L,6,0)</f>
        <v>420.05</v>
      </c>
      <c r="E316" s="4">
        <f>VLOOKUP(A316,'Datos generales'!A:L,12,0)</f>
        <v>420.05</v>
      </c>
      <c r="F316" s="4" t="str">
        <f>VLOOKUP(A316,'Datos generales'!A:L,7,0)</f>
        <v>Electrónica</v>
      </c>
      <c r="G316" s="4">
        <v>2024</v>
      </c>
    </row>
    <row r="317" spans="1:7" x14ac:dyDescent="0.25">
      <c r="A317" t="s">
        <v>127</v>
      </c>
      <c r="B317" s="4">
        <f>VLOOKUP(A317,'Datos generales'!A:L,5,0)</f>
        <v>4</v>
      </c>
      <c r="C317" s="4" t="str">
        <f>VLOOKUP(A317,'Datos generales'!A:L,4,0)</f>
        <v>Silla Gamer</v>
      </c>
      <c r="D317" s="4">
        <f>VLOOKUP(A317,'Datos generales'!A:L,6,0)</f>
        <v>496.9</v>
      </c>
      <c r="E317" s="4">
        <f>VLOOKUP(A317,'Datos generales'!A:L,12,0)</f>
        <v>496.9</v>
      </c>
      <c r="F317" s="4" t="str">
        <f>VLOOKUP(A317,'Datos generales'!A:L,7,0)</f>
        <v>Muebles</v>
      </c>
      <c r="G317" s="4">
        <v>2024</v>
      </c>
    </row>
    <row r="318" spans="1:7" x14ac:dyDescent="0.25">
      <c r="A318" t="s">
        <v>128</v>
      </c>
      <c r="B318" s="4">
        <f>VLOOKUP(A318,'Datos generales'!A:L,5,0)</f>
        <v>2</v>
      </c>
      <c r="C318" s="4" t="str">
        <f>VLOOKUP(A318,'Datos generales'!A:L,4,0)</f>
        <v>Teclado</v>
      </c>
      <c r="D318" s="4">
        <f>VLOOKUP(A318,'Datos generales'!A:L,6,0)</f>
        <v>721.56</v>
      </c>
      <c r="E318" s="4">
        <f>VLOOKUP(A318,'Datos generales'!A:L,12,0)</f>
        <v>721.56</v>
      </c>
      <c r="F318" s="4" t="str">
        <f>VLOOKUP(A318,'Datos generales'!A:L,7,0)</f>
        <v>Accesorios</v>
      </c>
      <c r="G318" s="4">
        <v>2023</v>
      </c>
    </row>
    <row r="319" spans="1:7" x14ac:dyDescent="0.25">
      <c r="A319" t="s">
        <v>129</v>
      </c>
      <c r="B319" s="4">
        <f>VLOOKUP(A319,'Datos generales'!A:L,5,0)</f>
        <v>4</v>
      </c>
      <c r="C319" s="4" t="str">
        <f>VLOOKUP(A319,'Datos generales'!A:L,4,0)</f>
        <v>Audífonos</v>
      </c>
      <c r="D319" s="4">
        <f>VLOOKUP(A319,'Datos generales'!A:L,6,0)</f>
        <v>1353.9</v>
      </c>
      <c r="E319" s="4">
        <f>VLOOKUP(A319,'Datos generales'!A:L,12,0)</f>
        <v>1353.9</v>
      </c>
      <c r="F319" s="4" t="str">
        <f>VLOOKUP(A319,'Datos generales'!A:L,7,0)</f>
        <v>Accesorios</v>
      </c>
      <c r="G319" s="4">
        <v>2023</v>
      </c>
    </row>
    <row r="320" spans="1:7" x14ac:dyDescent="0.25">
      <c r="A320" t="s">
        <v>130</v>
      </c>
      <c r="B320" s="4">
        <f>VLOOKUP(A320,'Datos generales'!A:L,5,0)</f>
        <v>2</v>
      </c>
      <c r="C320" s="4" t="str">
        <f>VLOOKUP(A320,'Datos generales'!A:L,4,0)</f>
        <v>Impresora</v>
      </c>
      <c r="D320" s="4">
        <f>VLOOKUP(A320,'Datos generales'!A:L,6,0)</f>
        <v>429.52</v>
      </c>
      <c r="E320" s="4">
        <f>VLOOKUP(A320,'Datos generales'!A:L,12,0)</f>
        <v>429.52</v>
      </c>
      <c r="F320" s="4" t="str">
        <f>VLOOKUP(A320,'Datos generales'!A:L,7,0)</f>
        <v>Electrónica</v>
      </c>
      <c r="G320" s="4">
        <v>2024</v>
      </c>
    </row>
    <row r="321" spans="1:7" x14ac:dyDescent="0.25">
      <c r="A321" t="s">
        <v>131</v>
      </c>
      <c r="B321" s="4">
        <f>VLOOKUP(A321,'Datos generales'!A:L,5,0)</f>
        <v>2</v>
      </c>
      <c r="C321" s="4" t="str">
        <f>VLOOKUP(A321,'Datos generales'!A:L,4,0)</f>
        <v>Silla Gamer</v>
      </c>
      <c r="D321" s="4">
        <f>VLOOKUP(A321,'Datos generales'!A:L,6,0)</f>
        <v>1824.96</v>
      </c>
      <c r="E321" s="4">
        <f>VLOOKUP(A321,'Datos generales'!A:L,12,0)</f>
        <v>1824.96</v>
      </c>
      <c r="F321" s="4" t="str">
        <f>VLOOKUP(A321,'Datos generales'!A:L,7,0)</f>
        <v>Muebles</v>
      </c>
      <c r="G321" s="4">
        <v>2024</v>
      </c>
    </row>
    <row r="322" spans="1:7" x14ac:dyDescent="0.25">
      <c r="A322" t="s">
        <v>132</v>
      </c>
      <c r="B322" s="4">
        <f>VLOOKUP(A322,'Datos generales'!A:L,5,0)</f>
        <v>5</v>
      </c>
      <c r="C322" s="4" t="str">
        <f>VLOOKUP(A322,'Datos generales'!A:L,4,0)</f>
        <v>Mouse</v>
      </c>
      <c r="D322" s="4">
        <f>VLOOKUP(A322,'Datos generales'!A:L,6,0)</f>
        <v>1059.81</v>
      </c>
      <c r="E322" s="4">
        <f>VLOOKUP(A322,'Datos generales'!A:L,12,0)</f>
        <v>1059.81</v>
      </c>
      <c r="F322" s="4" t="str">
        <f>VLOOKUP(A322,'Datos generales'!A:L,7,0)</f>
        <v>Accesorios</v>
      </c>
      <c r="G322" s="4">
        <v>2024</v>
      </c>
    </row>
    <row r="323" spans="1:7" x14ac:dyDescent="0.25">
      <c r="A323" t="s">
        <v>133</v>
      </c>
      <c r="B323" s="4">
        <f>VLOOKUP(A323,'Datos generales'!A:L,5,0)</f>
        <v>4</v>
      </c>
      <c r="C323" s="4" t="str">
        <f>VLOOKUP(A323,'Datos generales'!A:L,4,0)</f>
        <v>Silla Gamer</v>
      </c>
      <c r="D323" s="4">
        <f>VLOOKUP(A323,'Datos generales'!A:L,6,0)</f>
        <v>46.39</v>
      </c>
      <c r="E323" s="4">
        <f>VLOOKUP(A323,'Datos generales'!A:L,12,0)</f>
        <v>46.39</v>
      </c>
      <c r="F323" s="4" t="str">
        <f>VLOOKUP(A323,'Datos generales'!A:L,7,0)</f>
        <v>Muebles</v>
      </c>
      <c r="G323" s="4">
        <v>2023</v>
      </c>
    </row>
    <row r="324" spans="1:7" x14ac:dyDescent="0.25">
      <c r="A324" t="s">
        <v>134</v>
      </c>
      <c r="B324" s="4">
        <f>VLOOKUP(A324,'Datos generales'!A:L,5,0)</f>
        <v>1</v>
      </c>
      <c r="C324" s="4" t="str">
        <f>VLOOKUP(A324,'Datos generales'!A:L,4,0)</f>
        <v>Laptop</v>
      </c>
      <c r="D324" s="4">
        <f>VLOOKUP(A324,'Datos generales'!A:L,6,0)</f>
        <v>754.07</v>
      </c>
      <c r="E324" s="4">
        <f>VLOOKUP(A324,'Datos generales'!A:L,12,0)</f>
        <v>754.07</v>
      </c>
      <c r="F324" s="4" t="str">
        <f>VLOOKUP(A324,'Datos generales'!A:L,7,0)</f>
        <v>Electrónica</v>
      </c>
      <c r="G324" s="4">
        <v>2023</v>
      </c>
    </row>
    <row r="325" spans="1:7" x14ac:dyDescent="0.25">
      <c r="A325" t="s">
        <v>135</v>
      </c>
      <c r="B325" s="4">
        <f>VLOOKUP(A325,'Datos generales'!A:L,5,0)</f>
        <v>1</v>
      </c>
      <c r="C325" s="4" t="str">
        <f>VLOOKUP(A325,'Datos generales'!A:L,4,0)</f>
        <v>Audífonos</v>
      </c>
      <c r="D325" s="4">
        <f>VLOOKUP(A325,'Datos generales'!A:L,6,0)</f>
        <v>1681.02</v>
      </c>
      <c r="E325" s="4">
        <f>VLOOKUP(A325,'Datos generales'!A:L,12,0)</f>
        <v>1681.02</v>
      </c>
      <c r="F325" s="4" t="str">
        <f>VLOOKUP(A325,'Datos generales'!A:L,7,0)</f>
        <v>Accesorios</v>
      </c>
      <c r="G325" s="4">
        <v>2025</v>
      </c>
    </row>
    <row r="326" spans="1:7" x14ac:dyDescent="0.25">
      <c r="A326" t="s">
        <v>136</v>
      </c>
      <c r="B326" s="4">
        <f>VLOOKUP(A326,'Datos generales'!A:L,5,0)</f>
        <v>2</v>
      </c>
      <c r="C326" s="4" t="str">
        <f>VLOOKUP(A326,'Datos generales'!A:L,4,0)</f>
        <v>Monitor</v>
      </c>
      <c r="D326" s="4">
        <f>VLOOKUP(A326,'Datos generales'!A:L,6,0)</f>
        <v>1198.72</v>
      </c>
      <c r="E326" s="4">
        <f>VLOOKUP(A326,'Datos generales'!A:L,12,0)</f>
        <v>1198.72</v>
      </c>
      <c r="F326" s="4" t="str">
        <f>VLOOKUP(A326,'Datos generales'!A:L,7,0)</f>
        <v>Electrónica</v>
      </c>
      <c r="G326" s="4">
        <v>2025</v>
      </c>
    </row>
    <row r="327" spans="1:7" x14ac:dyDescent="0.25">
      <c r="A327" t="s">
        <v>137</v>
      </c>
      <c r="B327" s="4">
        <f>VLOOKUP(A327,'Datos generales'!A:L,5,0)</f>
        <v>2</v>
      </c>
      <c r="C327" s="4" t="str">
        <f>VLOOKUP(A327,'Datos generales'!A:L,4,0)</f>
        <v>Audífonos</v>
      </c>
      <c r="D327" s="4">
        <f>VLOOKUP(A327,'Datos generales'!A:L,6,0)</f>
        <v>1040.2</v>
      </c>
      <c r="E327" s="4">
        <f>VLOOKUP(A327,'Datos generales'!A:L,12,0)</f>
        <v>1040.2</v>
      </c>
      <c r="F327" s="4" t="str">
        <f>VLOOKUP(A327,'Datos generales'!A:L,7,0)</f>
        <v>Accesorios</v>
      </c>
      <c r="G327" s="4">
        <v>2023</v>
      </c>
    </row>
    <row r="328" spans="1:7" x14ac:dyDescent="0.25">
      <c r="A328" t="s">
        <v>138</v>
      </c>
      <c r="B328" s="4">
        <f>VLOOKUP(A328,'Datos generales'!A:L,5,0)</f>
        <v>3</v>
      </c>
      <c r="C328" s="4" t="str">
        <f>VLOOKUP(A328,'Datos generales'!A:L,4,0)</f>
        <v>Teclado</v>
      </c>
      <c r="D328" s="4">
        <f>VLOOKUP(A328,'Datos generales'!A:L,6,0)</f>
        <v>107.53</v>
      </c>
      <c r="E328" s="4">
        <f>VLOOKUP(A328,'Datos generales'!A:L,12,0)</f>
        <v>107.53</v>
      </c>
      <c r="F328" s="4" t="str">
        <f>VLOOKUP(A328,'Datos generales'!A:L,7,0)</f>
        <v>Accesorios</v>
      </c>
      <c r="G328" s="4">
        <v>2025</v>
      </c>
    </row>
    <row r="329" spans="1:7" x14ac:dyDescent="0.25">
      <c r="A329" t="s">
        <v>139</v>
      </c>
      <c r="B329" s="4">
        <f>VLOOKUP(A329,'Datos generales'!A:L,5,0)</f>
        <v>4</v>
      </c>
      <c r="C329" s="4" t="str">
        <f>VLOOKUP(A329,'Datos generales'!A:L,4,0)</f>
        <v>Impresora</v>
      </c>
      <c r="D329" s="4">
        <f>VLOOKUP(A329,'Datos generales'!A:L,6,0)</f>
        <v>380.66</v>
      </c>
      <c r="E329" s="4">
        <f>VLOOKUP(A329,'Datos generales'!A:L,12,0)</f>
        <v>380.66</v>
      </c>
      <c r="F329" s="4" t="str">
        <f>VLOOKUP(A329,'Datos generales'!A:L,7,0)</f>
        <v>Electrónica</v>
      </c>
      <c r="G329" s="4">
        <v>2025</v>
      </c>
    </row>
    <row r="330" spans="1:7" x14ac:dyDescent="0.25">
      <c r="A330" t="s">
        <v>140</v>
      </c>
      <c r="B330" s="4">
        <f>VLOOKUP(A330,'Datos generales'!A:L,5,0)</f>
        <v>2</v>
      </c>
      <c r="C330" s="4" t="str">
        <f>VLOOKUP(A330,'Datos generales'!A:L,4,0)</f>
        <v>Monitor</v>
      </c>
      <c r="D330" s="4">
        <f>VLOOKUP(A330,'Datos generales'!A:L,6,0)</f>
        <v>700.11</v>
      </c>
      <c r="E330" s="4">
        <f>VLOOKUP(A330,'Datos generales'!A:L,12,0)</f>
        <v>700.11</v>
      </c>
      <c r="F330" s="4" t="str">
        <f>VLOOKUP(A330,'Datos generales'!A:L,7,0)</f>
        <v>Electrónica</v>
      </c>
      <c r="G330" s="4">
        <v>2025</v>
      </c>
    </row>
    <row r="331" spans="1:7" x14ac:dyDescent="0.25">
      <c r="A331" t="s">
        <v>141</v>
      </c>
      <c r="B331" s="4">
        <f>VLOOKUP(A331,'Datos generales'!A:L,5,0)</f>
        <v>5</v>
      </c>
      <c r="C331" s="4" t="str">
        <f>VLOOKUP(A331,'Datos generales'!A:L,4,0)</f>
        <v>Impresora</v>
      </c>
      <c r="D331" s="4">
        <f>VLOOKUP(A331,'Datos generales'!A:L,6,0)</f>
        <v>358.48</v>
      </c>
      <c r="E331" s="4">
        <f>VLOOKUP(A331,'Datos generales'!A:L,12,0)</f>
        <v>358.48</v>
      </c>
      <c r="F331" s="4" t="str">
        <f>VLOOKUP(A331,'Datos generales'!A:L,7,0)</f>
        <v>Electrónica</v>
      </c>
      <c r="G331" s="4">
        <v>2023</v>
      </c>
    </row>
    <row r="332" spans="1:7" x14ac:dyDescent="0.25">
      <c r="A332" t="s">
        <v>142</v>
      </c>
      <c r="B332" s="4">
        <f>VLOOKUP(A332,'Datos generales'!A:L,5,0)</f>
        <v>4</v>
      </c>
      <c r="C332" s="4" t="str">
        <f>VLOOKUP(A332,'Datos generales'!A:L,4,0)</f>
        <v>Silla Gamer</v>
      </c>
      <c r="D332" s="4">
        <f>VLOOKUP(A332,'Datos generales'!A:L,6,0)</f>
        <v>746.6</v>
      </c>
      <c r="E332" s="4">
        <f>VLOOKUP(A332,'Datos generales'!A:L,12,0)</f>
        <v>746.6</v>
      </c>
      <c r="F332" s="4" t="str">
        <f>VLOOKUP(A332,'Datos generales'!A:L,7,0)</f>
        <v>Muebles</v>
      </c>
      <c r="G332" s="4">
        <v>2024</v>
      </c>
    </row>
    <row r="333" spans="1:7" x14ac:dyDescent="0.25">
      <c r="A333" t="s">
        <v>143</v>
      </c>
      <c r="B333" s="4">
        <f>VLOOKUP(A333,'Datos generales'!A:L,5,0)</f>
        <v>1</v>
      </c>
      <c r="C333" s="4" t="str">
        <f>VLOOKUP(A333,'Datos generales'!A:L,4,0)</f>
        <v>Laptop</v>
      </c>
      <c r="D333" s="4">
        <f>VLOOKUP(A333,'Datos generales'!A:L,6,0)</f>
        <v>751.43</v>
      </c>
      <c r="E333" s="4">
        <f>VLOOKUP(A333,'Datos generales'!A:L,12,0)</f>
        <v>751.43</v>
      </c>
      <c r="F333" s="4" t="str">
        <f>VLOOKUP(A333,'Datos generales'!A:L,7,0)</f>
        <v>Electrónica</v>
      </c>
      <c r="G333" s="4">
        <v>2024</v>
      </c>
    </row>
    <row r="334" spans="1:7" x14ac:dyDescent="0.25">
      <c r="A334" t="s">
        <v>144</v>
      </c>
      <c r="B334" s="4">
        <f>VLOOKUP(A334,'Datos generales'!A:L,5,0)</f>
        <v>5</v>
      </c>
      <c r="C334" s="4" t="str">
        <f>VLOOKUP(A334,'Datos generales'!A:L,4,0)</f>
        <v>Mouse</v>
      </c>
      <c r="D334" s="4">
        <f>VLOOKUP(A334,'Datos generales'!A:L,6,0)</f>
        <v>1109.08</v>
      </c>
      <c r="E334" s="4">
        <f>VLOOKUP(A334,'Datos generales'!A:L,12,0)</f>
        <v>1109.08</v>
      </c>
      <c r="F334" s="4" t="str">
        <f>VLOOKUP(A334,'Datos generales'!A:L,7,0)</f>
        <v>Accesorios</v>
      </c>
      <c r="G334" s="4">
        <v>2023</v>
      </c>
    </row>
    <row r="335" spans="1:7" x14ac:dyDescent="0.25">
      <c r="A335" t="s">
        <v>145</v>
      </c>
      <c r="B335" s="4">
        <f>VLOOKUP(A335,'Datos generales'!A:L,5,0)</f>
        <v>5</v>
      </c>
      <c r="C335" s="4" t="str">
        <f>VLOOKUP(A335,'Datos generales'!A:L,4,0)</f>
        <v>Monitor</v>
      </c>
      <c r="D335" s="4">
        <f>VLOOKUP(A335,'Datos generales'!A:L,6,0)</f>
        <v>642.74</v>
      </c>
      <c r="E335" s="4">
        <f>VLOOKUP(A335,'Datos generales'!A:L,12,0)</f>
        <v>642.74</v>
      </c>
      <c r="F335" s="4" t="str">
        <f>VLOOKUP(A335,'Datos generales'!A:L,7,0)</f>
        <v>Electrónica</v>
      </c>
      <c r="G335" s="4">
        <v>2024</v>
      </c>
    </row>
    <row r="336" spans="1:7" x14ac:dyDescent="0.25">
      <c r="A336" t="s">
        <v>146</v>
      </c>
      <c r="B336" s="4">
        <f>VLOOKUP(A336,'Datos generales'!A:L,5,0)</f>
        <v>5</v>
      </c>
      <c r="C336" s="4" t="str">
        <f>VLOOKUP(A336,'Datos generales'!A:L,4,0)</f>
        <v>Audífonos</v>
      </c>
      <c r="D336" s="4">
        <f>VLOOKUP(A336,'Datos generales'!A:L,6,0)</f>
        <v>245.73</v>
      </c>
      <c r="E336" s="4">
        <f>VLOOKUP(A336,'Datos generales'!A:L,12,0)</f>
        <v>245.73</v>
      </c>
      <c r="F336" s="4" t="str">
        <f>VLOOKUP(A336,'Datos generales'!A:L,7,0)</f>
        <v>Accesorios</v>
      </c>
      <c r="G336" s="4">
        <v>2024</v>
      </c>
    </row>
    <row r="337" spans="1:7" x14ac:dyDescent="0.25">
      <c r="A337" t="s">
        <v>147</v>
      </c>
      <c r="B337" s="4">
        <f>VLOOKUP(A337,'Datos generales'!A:L,5,0)</f>
        <v>3</v>
      </c>
      <c r="C337" s="4" t="str">
        <f>VLOOKUP(A337,'Datos generales'!A:L,4,0)</f>
        <v>Webcam</v>
      </c>
      <c r="D337" s="4">
        <f>VLOOKUP(A337,'Datos generales'!A:L,6,0)</f>
        <v>1782.13</v>
      </c>
      <c r="E337" s="4">
        <f>VLOOKUP(A337,'Datos generales'!A:L,12,0)</f>
        <v>1782.13</v>
      </c>
      <c r="F337" s="4" t="str">
        <f>VLOOKUP(A337,'Datos generales'!A:L,7,0)</f>
        <v>Accesorios</v>
      </c>
      <c r="G337" s="4">
        <v>2023</v>
      </c>
    </row>
    <row r="338" spans="1:7" x14ac:dyDescent="0.25">
      <c r="A338" t="s">
        <v>148</v>
      </c>
      <c r="B338" s="4">
        <f>VLOOKUP(A338,'Datos generales'!A:L,5,0)</f>
        <v>5</v>
      </c>
      <c r="C338" s="4" t="str">
        <f>VLOOKUP(A338,'Datos generales'!A:L,4,0)</f>
        <v>Impresora</v>
      </c>
      <c r="D338" s="4">
        <f>VLOOKUP(A338,'Datos generales'!A:L,6,0)</f>
        <v>1137.1400000000001</v>
      </c>
      <c r="E338" s="4">
        <f>VLOOKUP(A338,'Datos generales'!A:L,12,0)</f>
        <v>1137.1400000000001</v>
      </c>
      <c r="F338" s="4" t="str">
        <f>VLOOKUP(A338,'Datos generales'!A:L,7,0)</f>
        <v>Electrónica</v>
      </c>
      <c r="G338" s="4">
        <v>2024</v>
      </c>
    </row>
    <row r="339" spans="1:7" x14ac:dyDescent="0.25">
      <c r="A339" t="s">
        <v>149</v>
      </c>
      <c r="B339" s="4">
        <f>VLOOKUP(A339,'Datos generales'!A:L,5,0)</f>
        <v>4</v>
      </c>
      <c r="C339" s="4" t="str">
        <f>VLOOKUP(A339,'Datos generales'!A:L,4,0)</f>
        <v>Teclado</v>
      </c>
      <c r="D339" s="4">
        <f>VLOOKUP(A339,'Datos generales'!A:L,6,0)</f>
        <v>966.72</v>
      </c>
      <c r="E339" s="4">
        <f>VLOOKUP(A339,'Datos generales'!A:L,12,0)</f>
        <v>966.72</v>
      </c>
      <c r="F339" s="4" t="str">
        <f>VLOOKUP(A339,'Datos generales'!A:L,7,0)</f>
        <v>Accesorios</v>
      </c>
      <c r="G339" s="4">
        <v>2024</v>
      </c>
    </row>
    <row r="340" spans="1:7" x14ac:dyDescent="0.25">
      <c r="A340" t="s">
        <v>150</v>
      </c>
      <c r="B340" s="4">
        <f>VLOOKUP(A340,'Datos generales'!A:L,5,0)</f>
        <v>5</v>
      </c>
      <c r="C340" s="4" t="str">
        <f>VLOOKUP(A340,'Datos generales'!A:L,4,0)</f>
        <v>Impresora</v>
      </c>
      <c r="D340" s="4">
        <f>VLOOKUP(A340,'Datos generales'!A:L,6,0)</f>
        <v>754.88</v>
      </c>
      <c r="E340" s="4">
        <f>VLOOKUP(A340,'Datos generales'!A:L,12,0)</f>
        <v>754.88</v>
      </c>
      <c r="F340" s="4" t="str">
        <f>VLOOKUP(A340,'Datos generales'!A:L,7,0)</f>
        <v>Electrónica</v>
      </c>
      <c r="G340" s="4">
        <v>2024</v>
      </c>
    </row>
    <row r="341" spans="1:7" x14ac:dyDescent="0.25">
      <c r="A341" t="s">
        <v>151</v>
      </c>
      <c r="B341" s="4">
        <f>VLOOKUP(A341,'Datos generales'!A:L,5,0)</f>
        <v>4</v>
      </c>
      <c r="C341" s="4" t="str">
        <f>VLOOKUP(A341,'Datos generales'!A:L,4,0)</f>
        <v>Webcam</v>
      </c>
      <c r="D341" s="4">
        <f>VLOOKUP(A341,'Datos generales'!A:L,6,0)</f>
        <v>902.5</v>
      </c>
      <c r="E341" s="4">
        <f>VLOOKUP(A341,'Datos generales'!A:L,12,0)</f>
        <v>902.5</v>
      </c>
      <c r="F341" s="4" t="str">
        <f>VLOOKUP(A341,'Datos generales'!A:L,7,0)</f>
        <v>Accesorios</v>
      </c>
      <c r="G341" s="4">
        <v>2025</v>
      </c>
    </row>
    <row r="342" spans="1:7" x14ac:dyDescent="0.25">
      <c r="A342" t="s">
        <v>152</v>
      </c>
      <c r="B342" s="4">
        <f>VLOOKUP(A342,'Datos generales'!A:L,5,0)</f>
        <v>2</v>
      </c>
      <c r="C342" s="4" t="str">
        <f>VLOOKUP(A342,'Datos generales'!A:L,4,0)</f>
        <v>Mouse</v>
      </c>
      <c r="D342" s="4">
        <f>VLOOKUP(A342,'Datos generales'!A:L,6,0)</f>
        <v>78.180000000000007</v>
      </c>
      <c r="E342" s="4">
        <f>VLOOKUP(A342,'Datos generales'!A:L,12,0)</f>
        <v>78.180000000000007</v>
      </c>
      <c r="F342" s="4" t="str">
        <f>VLOOKUP(A342,'Datos generales'!A:L,7,0)</f>
        <v>Accesorios</v>
      </c>
      <c r="G342" s="4">
        <v>2025</v>
      </c>
    </row>
    <row r="343" spans="1:7" x14ac:dyDescent="0.25">
      <c r="A343" t="s">
        <v>153</v>
      </c>
      <c r="B343" s="4">
        <f>VLOOKUP(A343,'Datos generales'!A:L,5,0)</f>
        <v>2</v>
      </c>
      <c r="C343" s="4" t="str">
        <f>VLOOKUP(A343,'Datos generales'!A:L,4,0)</f>
        <v>Monitor</v>
      </c>
      <c r="D343" s="4">
        <f>VLOOKUP(A343,'Datos generales'!A:L,6,0)</f>
        <v>1615.41</v>
      </c>
      <c r="E343" s="4">
        <f>VLOOKUP(A343,'Datos generales'!A:L,12,0)</f>
        <v>1615.41</v>
      </c>
      <c r="F343" s="4" t="str">
        <f>VLOOKUP(A343,'Datos generales'!A:L,7,0)</f>
        <v>Electrónica</v>
      </c>
      <c r="G343" s="4">
        <v>2025</v>
      </c>
    </row>
    <row r="344" spans="1:7" x14ac:dyDescent="0.25">
      <c r="A344" t="s">
        <v>154</v>
      </c>
      <c r="B344" s="4">
        <f>VLOOKUP(A344,'Datos generales'!A:L,5,0)</f>
        <v>5</v>
      </c>
      <c r="C344" s="4" t="str">
        <f>VLOOKUP(A344,'Datos generales'!A:L,4,0)</f>
        <v>Monitor</v>
      </c>
      <c r="D344" s="4">
        <f>VLOOKUP(A344,'Datos generales'!A:L,6,0)</f>
        <v>149.54</v>
      </c>
      <c r="E344" s="4">
        <f>VLOOKUP(A344,'Datos generales'!A:L,12,0)</f>
        <v>149.54</v>
      </c>
      <c r="F344" s="4" t="str">
        <f>VLOOKUP(A344,'Datos generales'!A:L,7,0)</f>
        <v>Electrónica</v>
      </c>
      <c r="G344" s="4">
        <v>2024</v>
      </c>
    </row>
    <row r="345" spans="1:7" x14ac:dyDescent="0.25">
      <c r="A345" t="s">
        <v>155</v>
      </c>
      <c r="B345" s="4">
        <f>VLOOKUP(A345,'Datos generales'!A:L,5,0)</f>
        <v>5</v>
      </c>
      <c r="C345" s="4" t="str">
        <f>VLOOKUP(A345,'Datos generales'!A:L,4,0)</f>
        <v>Teclado</v>
      </c>
      <c r="D345" s="4">
        <f>VLOOKUP(A345,'Datos generales'!A:L,6,0)</f>
        <v>955.39</v>
      </c>
      <c r="E345" s="4">
        <f>VLOOKUP(A345,'Datos generales'!A:L,12,0)</f>
        <v>955.39</v>
      </c>
      <c r="F345" s="4" t="str">
        <f>VLOOKUP(A345,'Datos generales'!A:L,7,0)</f>
        <v>Accesorios</v>
      </c>
      <c r="G345" s="4">
        <v>2025</v>
      </c>
    </row>
    <row r="346" spans="1:7" x14ac:dyDescent="0.25">
      <c r="A346" t="s">
        <v>156</v>
      </c>
      <c r="B346" s="4">
        <f>VLOOKUP(A346,'Datos generales'!A:L,5,0)</f>
        <v>2</v>
      </c>
      <c r="C346" s="4" t="str">
        <f>VLOOKUP(A346,'Datos generales'!A:L,4,0)</f>
        <v>Silla Gamer</v>
      </c>
      <c r="D346" s="4">
        <f>VLOOKUP(A346,'Datos generales'!A:L,6,0)</f>
        <v>1963.63</v>
      </c>
      <c r="E346" s="4">
        <f>VLOOKUP(A346,'Datos generales'!A:L,12,0)</f>
        <v>1963.63</v>
      </c>
      <c r="F346" s="4" t="str">
        <f>VLOOKUP(A346,'Datos generales'!A:L,7,0)</f>
        <v>Muebles</v>
      </c>
      <c r="G346" s="4">
        <v>2024</v>
      </c>
    </row>
    <row r="347" spans="1:7" x14ac:dyDescent="0.25">
      <c r="A347" t="s">
        <v>157</v>
      </c>
      <c r="B347" s="4">
        <f>VLOOKUP(A347,'Datos generales'!A:L,5,0)</f>
        <v>5</v>
      </c>
      <c r="C347" s="4" t="str">
        <f>VLOOKUP(A347,'Datos generales'!A:L,4,0)</f>
        <v>Webcam</v>
      </c>
      <c r="D347" s="4">
        <f>VLOOKUP(A347,'Datos generales'!A:L,6,0)</f>
        <v>1440.14</v>
      </c>
      <c r="E347" s="4">
        <f>VLOOKUP(A347,'Datos generales'!A:L,12,0)</f>
        <v>1440.14</v>
      </c>
      <c r="F347" s="4" t="str">
        <f>VLOOKUP(A347,'Datos generales'!A:L,7,0)</f>
        <v>Accesorios</v>
      </c>
      <c r="G347" s="4">
        <v>2024</v>
      </c>
    </row>
    <row r="348" spans="1:7" x14ac:dyDescent="0.25">
      <c r="A348" t="s">
        <v>158</v>
      </c>
      <c r="B348" s="4">
        <f>VLOOKUP(A348,'Datos generales'!A:L,5,0)</f>
        <v>4</v>
      </c>
      <c r="C348" s="4" t="str">
        <f>VLOOKUP(A348,'Datos generales'!A:L,4,0)</f>
        <v>Monitor</v>
      </c>
      <c r="D348" s="4">
        <f>VLOOKUP(A348,'Datos generales'!A:L,6,0)</f>
        <v>283.7</v>
      </c>
      <c r="E348" s="4">
        <f>VLOOKUP(A348,'Datos generales'!A:L,12,0)</f>
        <v>283.7</v>
      </c>
      <c r="F348" s="4" t="str">
        <f>VLOOKUP(A348,'Datos generales'!A:L,7,0)</f>
        <v>Electrónica</v>
      </c>
      <c r="G348" s="4">
        <v>2023</v>
      </c>
    </row>
    <row r="349" spans="1:7" x14ac:dyDescent="0.25">
      <c r="A349" t="s">
        <v>159</v>
      </c>
      <c r="B349" s="4">
        <f>VLOOKUP(A349,'Datos generales'!A:L,5,0)</f>
        <v>3</v>
      </c>
      <c r="C349" s="4" t="str">
        <f>VLOOKUP(A349,'Datos generales'!A:L,4,0)</f>
        <v>Impresora</v>
      </c>
      <c r="D349" s="4">
        <f>VLOOKUP(A349,'Datos generales'!A:L,6,0)</f>
        <v>687.51</v>
      </c>
      <c r="E349" s="4">
        <f>VLOOKUP(A349,'Datos generales'!A:L,12,0)</f>
        <v>687.50999999999988</v>
      </c>
      <c r="F349" s="4" t="str">
        <f>VLOOKUP(A349,'Datos generales'!A:L,7,0)</f>
        <v>Electrónica</v>
      </c>
      <c r="G349" s="4">
        <v>2024</v>
      </c>
    </row>
    <row r="350" spans="1:7" x14ac:dyDescent="0.25">
      <c r="A350" t="s">
        <v>160</v>
      </c>
      <c r="B350" s="4">
        <f>VLOOKUP(A350,'Datos generales'!A:L,5,0)</f>
        <v>2</v>
      </c>
      <c r="C350" s="4" t="str">
        <f>VLOOKUP(A350,'Datos generales'!A:L,4,0)</f>
        <v>Webcam</v>
      </c>
      <c r="D350" s="4">
        <f>VLOOKUP(A350,'Datos generales'!A:L,6,0)</f>
        <v>282</v>
      </c>
      <c r="E350" s="4">
        <f>VLOOKUP(A350,'Datos generales'!A:L,12,0)</f>
        <v>282</v>
      </c>
      <c r="F350" s="4" t="str">
        <f>VLOOKUP(A350,'Datos generales'!A:L,7,0)</f>
        <v>Accesorios</v>
      </c>
      <c r="G350" s="4">
        <v>2023</v>
      </c>
    </row>
    <row r="351" spans="1:7" x14ac:dyDescent="0.25">
      <c r="A351" t="s">
        <v>161</v>
      </c>
      <c r="B351" s="4">
        <f>VLOOKUP(A351,'Datos generales'!A:L,5,0)</f>
        <v>4</v>
      </c>
      <c r="C351" s="4" t="str">
        <f>VLOOKUP(A351,'Datos generales'!A:L,4,0)</f>
        <v>Impresora</v>
      </c>
      <c r="D351" s="4">
        <f>VLOOKUP(A351,'Datos generales'!A:L,6,0)</f>
        <v>1471.38</v>
      </c>
      <c r="E351" s="4">
        <f>VLOOKUP(A351,'Datos generales'!A:L,12,0)</f>
        <v>1471.38</v>
      </c>
      <c r="F351" s="4" t="str">
        <f>VLOOKUP(A351,'Datos generales'!A:L,7,0)</f>
        <v>Electrónica</v>
      </c>
      <c r="G351" s="4">
        <v>2025</v>
      </c>
    </row>
    <row r="352" spans="1:7" x14ac:dyDescent="0.25">
      <c r="A352" t="s">
        <v>162</v>
      </c>
      <c r="B352" s="4">
        <f>VLOOKUP(A352,'Datos generales'!A:L,5,0)</f>
        <v>1</v>
      </c>
      <c r="C352" s="4" t="str">
        <f>VLOOKUP(A352,'Datos generales'!A:L,4,0)</f>
        <v>Webcam</v>
      </c>
      <c r="D352" s="4">
        <f>VLOOKUP(A352,'Datos generales'!A:L,6,0)</f>
        <v>1463.91</v>
      </c>
      <c r="E352" s="4">
        <f>VLOOKUP(A352,'Datos generales'!A:L,12,0)</f>
        <v>1463.91</v>
      </c>
      <c r="F352" s="4" t="str">
        <f>VLOOKUP(A352,'Datos generales'!A:L,7,0)</f>
        <v>Accesorios</v>
      </c>
      <c r="G352" s="4">
        <v>2025</v>
      </c>
    </row>
    <row r="353" spans="1:7" x14ac:dyDescent="0.25">
      <c r="A353" t="s">
        <v>163</v>
      </c>
      <c r="B353" s="4">
        <f>VLOOKUP(A353,'Datos generales'!A:L,5,0)</f>
        <v>4</v>
      </c>
      <c r="C353" s="4" t="str">
        <f>VLOOKUP(A353,'Datos generales'!A:L,4,0)</f>
        <v>Teclado</v>
      </c>
      <c r="D353" s="4">
        <f>VLOOKUP(A353,'Datos generales'!A:L,6,0)</f>
        <v>1585.49</v>
      </c>
      <c r="E353" s="4">
        <f>VLOOKUP(A353,'Datos generales'!A:L,12,0)</f>
        <v>1585.49</v>
      </c>
      <c r="F353" s="4" t="str">
        <f>VLOOKUP(A353,'Datos generales'!A:L,7,0)</f>
        <v>Accesorios</v>
      </c>
      <c r="G353" s="4">
        <v>2024</v>
      </c>
    </row>
    <row r="354" spans="1:7" x14ac:dyDescent="0.25">
      <c r="A354" t="s">
        <v>164</v>
      </c>
      <c r="B354" s="4">
        <f>VLOOKUP(A354,'Datos generales'!A:L,5,0)</f>
        <v>1</v>
      </c>
      <c r="C354" s="4" t="str">
        <f>VLOOKUP(A354,'Datos generales'!A:L,4,0)</f>
        <v>Teclado</v>
      </c>
      <c r="D354" s="4">
        <f>VLOOKUP(A354,'Datos generales'!A:L,6,0)</f>
        <v>662.17</v>
      </c>
      <c r="E354" s="4">
        <f>VLOOKUP(A354,'Datos generales'!A:L,12,0)</f>
        <v>662.17</v>
      </c>
      <c r="F354" s="4" t="str">
        <f>VLOOKUP(A354,'Datos generales'!A:L,7,0)</f>
        <v>Accesorios</v>
      </c>
      <c r="G354" s="4">
        <v>2024</v>
      </c>
    </row>
    <row r="355" spans="1:7" x14ac:dyDescent="0.25">
      <c r="A355" t="s">
        <v>165</v>
      </c>
      <c r="B355" s="4">
        <f>VLOOKUP(A355,'Datos generales'!A:L,5,0)</f>
        <v>2</v>
      </c>
      <c r="C355" s="4" t="str">
        <f>VLOOKUP(A355,'Datos generales'!A:L,4,0)</f>
        <v>Webcam</v>
      </c>
      <c r="D355" s="4">
        <f>VLOOKUP(A355,'Datos generales'!A:L,6,0)</f>
        <v>136.68</v>
      </c>
      <c r="E355" s="4">
        <f>VLOOKUP(A355,'Datos generales'!A:L,12,0)</f>
        <v>136.68</v>
      </c>
      <c r="F355" s="4" t="str">
        <f>VLOOKUP(A355,'Datos generales'!A:L,7,0)</f>
        <v>Accesorios</v>
      </c>
      <c r="G355" s="4">
        <v>2024</v>
      </c>
    </row>
    <row r="356" spans="1:7" x14ac:dyDescent="0.25">
      <c r="A356" t="s">
        <v>166</v>
      </c>
      <c r="B356" s="4">
        <f>VLOOKUP(A356,'Datos generales'!A:L,5,0)</f>
        <v>4</v>
      </c>
      <c r="C356" s="4" t="str">
        <f>VLOOKUP(A356,'Datos generales'!A:L,4,0)</f>
        <v>Impresora</v>
      </c>
      <c r="D356" s="4">
        <f>VLOOKUP(A356,'Datos generales'!A:L,6,0)</f>
        <v>118.64</v>
      </c>
      <c r="E356" s="4">
        <f>VLOOKUP(A356,'Datos generales'!A:L,12,0)</f>
        <v>118.64</v>
      </c>
      <c r="F356" s="4" t="str">
        <f>VLOOKUP(A356,'Datos generales'!A:L,7,0)</f>
        <v>Electrónica</v>
      </c>
      <c r="G356" s="4">
        <v>2025</v>
      </c>
    </row>
    <row r="357" spans="1:7" x14ac:dyDescent="0.25">
      <c r="A357" t="s">
        <v>167</v>
      </c>
      <c r="B357" s="4">
        <f>VLOOKUP(A357,'Datos generales'!A:L,5,0)</f>
        <v>3</v>
      </c>
      <c r="C357" s="4" t="str">
        <f>VLOOKUP(A357,'Datos generales'!A:L,4,0)</f>
        <v>Laptop</v>
      </c>
      <c r="D357" s="4">
        <f>VLOOKUP(A357,'Datos generales'!A:L,6,0)</f>
        <v>933.49</v>
      </c>
      <c r="E357" s="4">
        <f>VLOOKUP(A357,'Datos generales'!A:L,12,0)</f>
        <v>933.49000000000012</v>
      </c>
      <c r="F357" s="4" t="str">
        <f>VLOOKUP(A357,'Datos generales'!A:L,7,0)</f>
        <v>Electrónica</v>
      </c>
      <c r="G357" s="4">
        <v>2024</v>
      </c>
    </row>
    <row r="358" spans="1:7" x14ac:dyDescent="0.25">
      <c r="A358" t="s">
        <v>168</v>
      </c>
      <c r="B358" s="4">
        <f>VLOOKUP(A358,'Datos generales'!A:L,5,0)</f>
        <v>2</v>
      </c>
      <c r="C358" s="4" t="str">
        <f>VLOOKUP(A358,'Datos generales'!A:L,4,0)</f>
        <v>Audífonos</v>
      </c>
      <c r="D358" s="4">
        <f>VLOOKUP(A358,'Datos generales'!A:L,6,0)</f>
        <v>1035.0899999999999</v>
      </c>
      <c r="E358" s="4">
        <f>VLOOKUP(A358,'Datos generales'!A:L,12,0)</f>
        <v>1035.0899999999999</v>
      </c>
      <c r="F358" s="4" t="str">
        <f>VLOOKUP(A358,'Datos generales'!A:L,7,0)</f>
        <v>Accesorios</v>
      </c>
      <c r="G358" s="4">
        <v>2023</v>
      </c>
    </row>
    <row r="359" spans="1:7" x14ac:dyDescent="0.25">
      <c r="A359" t="s">
        <v>169</v>
      </c>
      <c r="B359" s="4">
        <f>VLOOKUP(A359,'Datos generales'!A:L,5,0)</f>
        <v>2</v>
      </c>
      <c r="C359" s="4" t="str">
        <f>VLOOKUP(A359,'Datos generales'!A:L,4,0)</f>
        <v>Impresora</v>
      </c>
      <c r="D359" s="4">
        <f>VLOOKUP(A359,'Datos generales'!A:L,6,0)</f>
        <v>1325.01</v>
      </c>
      <c r="E359" s="4">
        <f>VLOOKUP(A359,'Datos generales'!A:L,12,0)</f>
        <v>1325.01</v>
      </c>
      <c r="F359" s="4" t="str">
        <f>VLOOKUP(A359,'Datos generales'!A:L,7,0)</f>
        <v>Electrónica</v>
      </c>
      <c r="G359" s="4">
        <v>2024</v>
      </c>
    </row>
    <row r="360" spans="1:7" x14ac:dyDescent="0.25">
      <c r="A360" t="s">
        <v>170</v>
      </c>
      <c r="B360" s="4">
        <f>VLOOKUP(A360,'Datos generales'!A:L,5,0)</f>
        <v>4</v>
      </c>
      <c r="C360" s="4" t="str">
        <f>VLOOKUP(A360,'Datos generales'!A:L,4,0)</f>
        <v>Teclado</v>
      </c>
      <c r="D360" s="4">
        <f>VLOOKUP(A360,'Datos generales'!A:L,6,0)</f>
        <v>710.84</v>
      </c>
      <c r="E360" s="4">
        <f>VLOOKUP(A360,'Datos generales'!A:L,12,0)</f>
        <v>710.84</v>
      </c>
      <c r="F360" s="4" t="str">
        <f>VLOOKUP(A360,'Datos generales'!A:L,7,0)</f>
        <v>Accesorios</v>
      </c>
      <c r="G360" s="4">
        <v>2023</v>
      </c>
    </row>
    <row r="361" spans="1:7" x14ac:dyDescent="0.25">
      <c r="A361" t="s">
        <v>171</v>
      </c>
      <c r="B361" s="4">
        <f>VLOOKUP(A361,'Datos generales'!A:L,5,0)</f>
        <v>3</v>
      </c>
      <c r="C361" s="4" t="str">
        <f>VLOOKUP(A361,'Datos generales'!A:L,4,0)</f>
        <v>Silla Gamer</v>
      </c>
      <c r="D361" s="4">
        <f>VLOOKUP(A361,'Datos generales'!A:L,6,0)</f>
        <v>97.27</v>
      </c>
      <c r="E361" s="4">
        <f>VLOOKUP(A361,'Datos generales'!A:L,12,0)</f>
        <v>97.27</v>
      </c>
      <c r="F361" s="4" t="str">
        <f>VLOOKUP(A361,'Datos generales'!A:L,7,0)</f>
        <v>Muebles</v>
      </c>
      <c r="G361" s="4">
        <v>2025</v>
      </c>
    </row>
    <row r="362" spans="1:7" x14ac:dyDescent="0.25">
      <c r="A362" t="s">
        <v>172</v>
      </c>
      <c r="B362" s="4">
        <f>VLOOKUP(A362,'Datos generales'!A:L,5,0)</f>
        <v>5</v>
      </c>
      <c r="C362" s="4" t="str">
        <f>VLOOKUP(A362,'Datos generales'!A:L,4,0)</f>
        <v>Impresora</v>
      </c>
      <c r="D362" s="4">
        <f>VLOOKUP(A362,'Datos generales'!A:L,6,0)</f>
        <v>498.36</v>
      </c>
      <c r="E362" s="4">
        <f>VLOOKUP(A362,'Datos generales'!A:L,12,0)</f>
        <v>498.36</v>
      </c>
      <c r="F362" s="4" t="str">
        <f>VLOOKUP(A362,'Datos generales'!A:L,7,0)</f>
        <v>Electrónica</v>
      </c>
      <c r="G362" s="4">
        <v>2024</v>
      </c>
    </row>
    <row r="363" spans="1:7" x14ac:dyDescent="0.25">
      <c r="A363" t="s">
        <v>173</v>
      </c>
      <c r="B363" s="4">
        <f>VLOOKUP(A363,'Datos generales'!A:L,5,0)</f>
        <v>5</v>
      </c>
      <c r="C363" s="4" t="str">
        <f>VLOOKUP(A363,'Datos generales'!A:L,4,0)</f>
        <v>Silla Gamer</v>
      </c>
      <c r="D363" s="4">
        <f>VLOOKUP(A363,'Datos generales'!A:L,6,0)</f>
        <v>980.89</v>
      </c>
      <c r="E363" s="4">
        <f>VLOOKUP(A363,'Datos generales'!A:L,12,0)</f>
        <v>980.89</v>
      </c>
      <c r="F363" s="4" t="str">
        <f>VLOOKUP(A363,'Datos generales'!A:L,7,0)</f>
        <v>Muebles</v>
      </c>
      <c r="G363" s="4">
        <v>2024</v>
      </c>
    </row>
    <row r="364" spans="1:7" x14ac:dyDescent="0.25">
      <c r="A364" t="s">
        <v>174</v>
      </c>
      <c r="B364" s="4">
        <f>VLOOKUP(A364,'Datos generales'!A:L,5,0)</f>
        <v>1</v>
      </c>
      <c r="C364" s="4" t="str">
        <f>VLOOKUP(A364,'Datos generales'!A:L,4,0)</f>
        <v>Teclado</v>
      </c>
      <c r="D364" s="4">
        <f>VLOOKUP(A364,'Datos generales'!A:L,6,0)</f>
        <v>1390.33</v>
      </c>
      <c r="E364" s="4">
        <f>VLOOKUP(A364,'Datos generales'!A:L,12,0)</f>
        <v>1390.33</v>
      </c>
      <c r="F364" s="4" t="str">
        <f>VLOOKUP(A364,'Datos generales'!A:L,7,0)</f>
        <v>Accesorios</v>
      </c>
      <c r="G364" s="4">
        <v>2024</v>
      </c>
    </row>
    <row r="365" spans="1:7" x14ac:dyDescent="0.25">
      <c r="A365" t="s">
        <v>175</v>
      </c>
      <c r="B365" s="4">
        <f>VLOOKUP(A365,'Datos generales'!A:L,5,0)</f>
        <v>5</v>
      </c>
      <c r="C365" s="4" t="str">
        <f>VLOOKUP(A365,'Datos generales'!A:L,4,0)</f>
        <v>Laptop</v>
      </c>
      <c r="D365" s="4">
        <f>VLOOKUP(A365,'Datos generales'!A:L,6,0)</f>
        <v>1708.09</v>
      </c>
      <c r="E365" s="4">
        <f>VLOOKUP(A365,'Datos generales'!A:L,12,0)</f>
        <v>1708.09</v>
      </c>
      <c r="F365" s="4" t="str">
        <f>VLOOKUP(A365,'Datos generales'!A:L,7,0)</f>
        <v>Electrónica</v>
      </c>
      <c r="G365" s="4">
        <v>2023</v>
      </c>
    </row>
    <row r="366" spans="1:7" x14ac:dyDescent="0.25">
      <c r="A366" t="s">
        <v>176</v>
      </c>
      <c r="B366" s="4">
        <f>VLOOKUP(A366,'Datos generales'!A:L,5,0)</f>
        <v>3</v>
      </c>
      <c r="C366" s="4" t="str">
        <f>VLOOKUP(A366,'Datos generales'!A:L,4,0)</f>
        <v>Audífonos</v>
      </c>
      <c r="D366" s="4">
        <f>VLOOKUP(A366,'Datos generales'!A:L,6,0)</f>
        <v>459.4</v>
      </c>
      <c r="E366" s="4">
        <f>VLOOKUP(A366,'Datos generales'!A:L,12,0)</f>
        <v>459.39999999999992</v>
      </c>
      <c r="F366" s="4" t="str">
        <f>VLOOKUP(A366,'Datos generales'!A:L,7,0)</f>
        <v>Accesorios</v>
      </c>
      <c r="G366" s="4">
        <v>2023</v>
      </c>
    </row>
    <row r="367" spans="1:7" x14ac:dyDescent="0.25">
      <c r="A367" t="s">
        <v>177</v>
      </c>
      <c r="B367" s="4">
        <f>VLOOKUP(A367,'Datos generales'!A:L,5,0)</f>
        <v>1</v>
      </c>
      <c r="C367" s="4" t="str">
        <f>VLOOKUP(A367,'Datos generales'!A:L,4,0)</f>
        <v>Impresora</v>
      </c>
      <c r="D367" s="4">
        <f>VLOOKUP(A367,'Datos generales'!A:L,6,0)</f>
        <v>1578.33</v>
      </c>
      <c r="E367" s="4">
        <f>VLOOKUP(A367,'Datos generales'!A:L,12,0)</f>
        <v>1578.33</v>
      </c>
      <c r="F367" s="4" t="str">
        <f>VLOOKUP(A367,'Datos generales'!A:L,7,0)</f>
        <v>Electrónica</v>
      </c>
      <c r="G367" s="4">
        <v>2023</v>
      </c>
    </row>
    <row r="368" spans="1:7" x14ac:dyDescent="0.25">
      <c r="A368" t="s">
        <v>178</v>
      </c>
      <c r="B368" s="4">
        <f>VLOOKUP(A368,'Datos generales'!A:L,5,0)</f>
        <v>5</v>
      </c>
      <c r="C368" s="4" t="str">
        <f>VLOOKUP(A368,'Datos generales'!A:L,4,0)</f>
        <v>Teclado</v>
      </c>
      <c r="D368" s="4">
        <f>VLOOKUP(A368,'Datos generales'!A:L,6,0)</f>
        <v>1602.39</v>
      </c>
      <c r="E368" s="4">
        <f>VLOOKUP(A368,'Datos generales'!A:L,12,0)</f>
        <v>1602.39</v>
      </c>
      <c r="F368" s="4" t="str">
        <f>VLOOKUP(A368,'Datos generales'!A:L,7,0)</f>
        <v>Accesorios</v>
      </c>
      <c r="G368" s="4">
        <v>2024</v>
      </c>
    </row>
    <row r="369" spans="1:7" x14ac:dyDescent="0.25">
      <c r="A369" t="s">
        <v>179</v>
      </c>
      <c r="B369" s="4">
        <f>VLOOKUP(A369,'Datos generales'!A:L,5,0)</f>
        <v>2</v>
      </c>
      <c r="C369" s="4" t="str">
        <f>VLOOKUP(A369,'Datos generales'!A:L,4,0)</f>
        <v>Teclado</v>
      </c>
      <c r="D369" s="4">
        <f>VLOOKUP(A369,'Datos generales'!A:L,6,0)</f>
        <v>714.55</v>
      </c>
      <c r="E369" s="4">
        <f>VLOOKUP(A369,'Datos generales'!A:L,12,0)</f>
        <v>714.55</v>
      </c>
      <c r="F369" s="4" t="str">
        <f>VLOOKUP(A369,'Datos generales'!A:L,7,0)</f>
        <v>Accesorios</v>
      </c>
      <c r="G369" s="4">
        <v>2023</v>
      </c>
    </row>
    <row r="370" spans="1:7" x14ac:dyDescent="0.25">
      <c r="A370" t="s">
        <v>180</v>
      </c>
      <c r="B370" s="4">
        <f>VLOOKUP(A370,'Datos generales'!A:L,5,0)</f>
        <v>2</v>
      </c>
      <c r="C370" s="4" t="str">
        <f>VLOOKUP(A370,'Datos generales'!A:L,4,0)</f>
        <v>Silla Gamer</v>
      </c>
      <c r="D370" s="4">
        <f>VLOOKUP(A370,'Datos generales'!A:L,6,0)</f>
        <v>140.54</v>
      </c>
      <c r="E370" s="4">
        <f>VLOOKUP(A370,'Datos generales'!A:L,12,0)</f>
        <v>140.54</v>
      </c>
      <c r="F370" s="4" t="str">
        <f>VLOOKUP(A370,'Datos generales'!A:L,7,0)</f>
        <v>Muebles</v>
      </c>
      <c r="G370" s="4">
        <v>2025</v>
      </c>
    </row>
    <row r="371" spans="1:7" x14ac:dyDescent="0.25">
      <c r="A371" t="s">
        <v>181</v>
      </c>
      <c r="B371" s="4">
        <f>VLOOKUP(A371,'Datos generales'!A:L,5,0)</f>
        <v>5</v>
      </c>
      <c r="C371" s="4" t="str">
        <f>VLOOKUP(A371,'Datos generales'!A:L,4,0)</f>
        <v>Mouse</v>
      </c>
      <c r="D371" s="4">
        <f>VLOOKUP(A371,'Datos generales'!A:L,6,0)</f>
        <v>286.87</v>
      </c>
      <c r="E371" s="4">
        <f>VLOOKUP(A371,'Datos generales'!A:L,12,0)</f>
        <v>286.87</v>
      </c>
      <c r="F371" s="4" t="str">
        <f>VLOOKUP(A371,'Datos generales'!A:L,7,0)</f>
        <v>Accesorios</v>
      </c>
      <c r="G371" s="4">
        <v>2024</v>
      </c>
    </row>
    <row r="372" spans="1:7" x14ac:dyDescent="0.25">
      <c r="A372" t="s">
        <v>182</v>
      </c>
      <c r="B372" s="4">
        <f>VLOOKUP(A372,'Datos generales'!A:L,5,0)</f>
        <v>5</v>
      </c>
      <c r="C372" s="4" t="str">
        <f>VLOOKUP(A372,'Datos generales'!A:L,4,0)</f>
        <v>Webcam</v>
      </c>
      <c r="D372" s="4">
        <f>VLOOKUP(A372,'Datos generales'!A:L,6,0)</f>
        <v>1897.97</v>
      </c>
      <c r="E372" s="4">
        <f>VLOOKUP(A372,'Datos generales'!A:L,12,0)</f>
        <v>1897.97</v>
      </c>
      <c r="F372" s="4" t="str">
        <f>VLOOKUP(A372,'Datos generales'!A:L,7,0)</f>
        <v>Accesorios</v>
      </c>
      <c r="G372" s="4">
        <v>2024</v>
      </c>
    </row>
    <row r="373" spans="1:7" x14ac:dyDescent="0.25">
      <c r="A373" t="s">
        <v>183</v>
      </c>
      <c r="B373" s="4">
        <f>VLOOKUP(A373,'Datos generales'!A:L,5,0)</f>
        <v>2</v>
      </c>
      <c r="C373" s="4" t="str">
        <f>VLOOKUP(A373,'Datos generales'!A:L,4,0)</f>
        <v>Teclado</v>
      </c>
      <c r="D373" s="4">
        <f>VLOOKUP(A373,'Datos generales'!A:L,6,0)</f>
        <v>587.71</v>
      </c>
      <c r="E373" s="4">
        <f>VLOOKUP(A373,'Datos generales'!A:L,12,0)</f>
        <v>587.71</v>
      </c>
      <c r="F373" s="4" t="str">
        <f>VLOOKUP(A373,'Datos generales'!A:L,7,0)</f>
        <v>Accesorios</v>
      </c>
      <c r="G373" s="4">
        <v>2024</v>
      </c>
    </row>
    <row r="374" spans="1:7" x14ac:dyDescent="0.25">
      <c r="A374" t="s">
        <v>184</v>
      </c>
      <c r="B374" s="4">
        <f>VLOOKUP(A374,'Datos generales'!A:L,5,0)</f>
        <v>4</v>
      </c>
      <c r="C374" s="4" t="str">
        <f>VLOOKUP(A374,'Datos generales'!A:L,4,0)</f>
        <v>Webcam</v>
      </c>
      <c r="D374" s="4">
        <f>VLOOKUP(A374,'Datos generales'!A:L,6,0)</f>
        <v>895.13</v>
      </c>
      <c r="E374" s="4">
        <f>VLOOKUP(A374,'Datos generales'!A:L,12,0)</f>
        <v>895.13</v>
      </c>
      <c r="F374" s="4" t="str">
        <f>VLOOKUP(A374,'Datos generales'!A:L,7,0)</f>
        <v>Accesorios</v>
      </c>
      <c r="G374" s="4">
        <v>2023</v>
      </c>
    </row>
    <row r="375" spans="1:7" x14ac:dyDescent="0.25">
      <c r="A375" t="s">
        <v>185</v>
      </c>
      <c r="B375" s="4">
        <f>VLOOKUP(A375,'Datos generales'!A:L,5,0)</f>
        <v>3</v>
      </c>
      <c r="C375" s="4" t="str">
        <f>VLOOKUP(A375,'Datos generales'!A:L,4,0)</f>
        <v>Impresora</v>
      </c>
      <c r="D375" s="4">
        <f>VLOOKUP(A375,'Datos generales'!A:L,6,0)</f>
        <v>1457.35</v>
      </c>
      <c r="E375" s="4">
        <f>VLOOKUP(A375,'Datos generales'!A:L,12,0)</f>
        <v>1457.35</v>
      </c>
      <c r="F375" s="4" t="str">
        <f>VLOOKUP(A375,'Datos generales'!A:L,7,0)</f>
        <v>Electrónica</v>
      </c>
      <c r="G375" s="4">
        <v>2024</v>
      </c>
    </row>
    <row r="376" spans="1:7" x14ac:dyDescent="0.25">
      <c r="A376" t="s">
        <v>186</v>
      </c>
      <c r="B376" s="4">
        <f>VLOOKUP(A376,'Datos generales'!A:L,5,0)</f>
        <v>3</v>
      </c>
      <c r="C376" s="4" t="str">
        <f>VLOOKUP(A376,'Datos generales'!A:L,4,0)</f>
        <v>Silla Gamer</v>
      </c>
      <c r="D376" s="4">
        <f>VLOOKUP(A376,'Datos generales'!A:L,6,0)</f>
        <v>1083.32</v>
      </c>
      <c r="E376" s="4">
        <f>VLOOKUP(A376,'Datos generales'!A:L,12,0)</f>
        <v>1083.32</v>
      </c>
      <c r="F376" s="4" t="str">
        <f>VLOOKUP(A376,'Datos generales'!A:L,7,0)</f>
        <v>Muebles</v>
      </c>
      <c r="G376" s="4">
        <v>2024</v>
      </c>
    </row>
    <row r="377" spans="1:7" x14ac:dyDescent="0.25">
      <c r="A377" t="s">
        <v>187</v>
      </c>
      <c r="B377" s="4">
        <f>VLOOKUP(A377,'Datos generales'!A:L,5,0)</f>
        <v>3</v>
      </c>
      <c r="C377" s="4" t="str">
        <f>VLOOKUP(A377,'Datos generales'!A:L,4,0)</f>
        <v>Laptop</v>
      </c>
      <c r="D377" s="4">
        <f>VLOOKUP(A377,'Datos generales'!A:L,6,0)</f>
        <v>1542.71</v>
      </c>
      <c r="E377" s="4">
        <f>VLOOKUP(A377,'Datos generales'!A:L,12,0)</f>
        <v>1542.71</v>
      </c>
      <c r="F377" s="4" t="str">
        <f>VLOOKUP(A377,'Datos generales'!A:L,7,0)</f>
        <v>Electrónica</v>
      </c>
      <c r="G377" s="4">
        <v>2025</v>
      </c>
    </row>
    <row r="378" spans="1:7" x14ac:dyDescent="0.25">
      <c r="A378" t="s">
        <v>188</v>
      </c>
      <c r="B378" s="4">
        <f>VLOOKUP(A378,'Datos generales'!A:L,5,0)</f>
        <v>5</v>
      </c>
      <c r="C378" s="4" t="str">
        <f>VLOOKUP(A378,'Datos generales'!A:L,4,0)</f>
        <v>Impresora</v>
      </c>
      <c r="D378" s="4">
        <f>VLOOKUP(A378,'Datos generales'!A:L,6,0)</f>
        <v>723.8</v>
      </c>
      <c r="E378" s="4">
        <f>VLOOKUP(A378,'Datos generales'!A:L,12,0)</f>
        <v>723.8</v>
      </c>
      <c r="F378" s="4" t="str">
        <f>VLOOKUP(A378,'Datos generales'!A:L,7,0)</f>
        <v>Electrónica</v>
      </c>
      <c r="G378" s="4">
        <v>2025</v>
      </c>
    </row>
    <row r="379" spans="1:7" x14ac:dyDescent="0.25">
      <c r="A379" t="s">
        <v>189</v>
      </c>
      <c r="B379" s="4">
        <f>VLOOKUP(A379,'Datos generales'!A:L,5,0)</f>
        <v>5</v>
      </c>
      <c r="C379" s="4" t="str">
        <f>VLOOKUP(A379,'Datos generales'!A:L,4,0)</f>
        <v>Teclado</v>
      </c>
      <c r="D379" s="4">
        <f>VLOOKUP(A379,'Datos generales'!A:L,6,0)</f>
        <v>179.97</v>
      </c>
      <c r="E379" s="4">
        <f>VLOOKUP(A379,'Datos generales'!A:L,12,0)</f>
        <v>179.97</v>
      </c>
      <c r="F379" s="4" t="str">
        <f>VLOOKUP(A379,'Datos generales'!A:L,7,0)</f>
        <v>Accesorios</v>
      </c>
      <c r="G379" s="4">
        <v>2023</v>
      </c>
    </row>
    <row r="380" spans="1:7" x14ac:dyDescent="0.25">
      <c r="A380" t="s">
        <v>190</v>
      </c>
      <c r="B380" s="4">
        <f>VLOOKUP(A380,'Datos generales'!A:L,5,0)</f>
        <v>1</v>
      </c>
      <c r="C380" s="4" t="str">
        <f>VLOOKUP(A380,'Datos generales'!A:L,4,0)</f>
        <v>Laptop</v>
      </c>
      <c r="D380" s="4">
        <f>VLOOKUP(A380,'Datos generales'!A:L,6,0)</f>
        <v>1318.43</v>
      </c>
      <c r="E380" s="4">
        <f>VLOOKUP(A380,'Datos generales'!A:L,12,0)</f>
        <v>1318.43</v>
      </c>
      <c r="F380" s="4" t="str">
        <f>VLOOKUP(A380,'Datos generales'!A:L,7,0)</f>
        <v>Electrónica</v>
      </c>
      <c r="G380" s="4">
        <v>2024</v>
      </c>
    </row>
    <row r="381" spans="1:7" x14ac:dyDescent="0.25">
      <c r="A381" t="s">
        <v>191</v>
      </c>
      <c r="B381" s="4">
        <f>VLOOKUP(A381,'Datos generales'!A:L,5,0)</f>
        <v>2</v>
      </c>
      <c r="C381" s="4" t="str">
        <f>VLOOKUP(A381,'Datos generales'!A:L,4,0)</f>
        <v>Impresora</v>
      </c>
      <c r="D381" s="4">
        <f>VLOOKUP(A381,'Datos generales'!A:L,6,0)</f>
        <v>307.37</v>
      </c>
      <c r="E381" s="4">
        <f>VLOOKUP(A381,'Datos generales'!A:L,12,0)</f>
        <v>307.37</v>
      </c>
      <c r="F381" s="4" t="str">
        <f>VLOOKUP(A381,'Datos generales'!A:L,7,0)</f>
        <v>Electrónica</v>
      </c>
      <c r="G381" s="4">
        <v>2023</v>
      </c>
    </row>
    <row r="382" spans="1:7" x14ac:dyDescent="0.25">
      <c r="A382" t="s">
        <v>192</v>
      </c>
      <c r="B382" s="4">
        <f>VLOOKUP(A382,'Datos generales'!A:L,5,0)</f>
        <v>1</v>
      </c>
      <c r="C382" s="4" t="str">
        <f>VLOOKUP(A382,'Datos generales'!A:L,4,0)</f>
        <v>Silla Gamer</v>
      </c>
      <c r="D382" s="4">
        <f>VLOOKUP(A382,'Datos generales'!A:L,6,0)</f>
        <v>1364.97</v>
      </c>
      <c r="E382" s="4">
        <f>VLOOKUP(A382,'Datos generales'!A:L,12,0)</f>
        <v>1364.97</v>
      </c>
      <c r="F382" s="4" t="str">
        <f>VLOOKUP(A382,'Datos generales'!A:L,7,0)</f>
        <v>Muebles</v>
      </c>
      <c r="G382" s="4">
        <v>2023</v>
      </c>
    </row>
    <row r="383" spans="1:7" x14ac:dyDescent="0.25">
      <c r="A383" t="s">
        <v>193</v>
      </c>
      <c r="B383" s="4">
        <f>VLOOKUP(A383,'Datos generales'!A:L,5,0)</f>
        <v>3</v>
      </c>
      <c r="C383" s="4" t="str">
        <f>VLOOKUP(A383,'Datos generales'!A:L,4,0)</f>
        <v>Audífonos</v>
      </c>
      <c r="D383" s="4">
        <f>VLOOKUP(A383,'Datos generales'!A:L,6,0)</f>
        <v>244.23</v>
      </c>
      <c r="E383" s="4">
        <f>VLOOKUP(A383,'Datos generales'!A:L,12,0)</f>
        <v>244.23</v>
      </c>
      <c r="F383" s="4" t="str">
        <f>VLOOKUP(A383,'Datos generales'!A:L,7,0)</f>
        <v>Accesorios</v>
      </c>
      <c r="G383" s="4">
        <v>2024</v>
      </c>
    </row>
    <row r="384" spans="1:7" x14ac:dyDescent="0.25">
      <c r="A384" t="s">
        <v>194</v>
      </c>
      <c r="B384" s="4">
        <f>VLOOKUP(A384,'Datos generales'!A:L,5,0)</f>
        <v>3</v>
      </c>
      <c r="C384" s="4" t="str">
        <f>VLOOKUP(A384,'Datos generales'!A:L,4,0)</f>
        <v>Webcam</v>
      </c>
      <c r="D384" s="4">
        <f>VLOOKUP(A384,'Datos generales'!A:L,6,0)</f>
        <v>245.64</v>
      </c>
      <c r="E384" s="4">
        <f>VLOOKUP(A384,'Datos generales'!A:L,12,0)</f>
        <v>245.64</v>
      </c>
      <c r="F384" s="4" t="str">
        <f>VLOOKUP(A384,'Datos generales'!A:L,7,0)</f>
        <v>Accesorios</v>
      </c>
      <c r="G384" s="4">
        <v>2023</v>
      </c>
    </row>
    <row r="385" spans="1:7" x14ac:dyDescent="0.25">
      <c r="A385" t="s">
        <v>195</v>
      </c>
      <c r="B385" s="4">
        <f>VLOOKUP(A385,'Datos generales'!A:L,5,0)</f>
        <v>1</v>
      </c>
      <c r="C385" s="4" t="str">
        <f>VLOOKUP(A385,'Datos generales'!A:L,4,0)</f>
        <v>Webcam</v>
      </c>
      <c r="D385" s="4">
        <f>VLOOKUP(A385,'Datos generales'!A:L,6,0)</f>
        <v>1501.34</v>
      </c>
      <c r="E385" s="4">
        <f>VLOOKUP(A385,'Datos generales'!A:L,12,0)</f>
        <v>1501.34</v>
      </c>
      <c r="F385" s="4" t="str">
        <f>VLOOKUP(A385,'Datos generales'!A:L,7,0)</f>
        <v>Accesorios</v>
      </c>
      <c r="G385" s="4">
        <v>2024</v>
      </c>
    </row>
    <row r="386" spans="1:7" x14ac:dyDescent="0.25">
      <c r="A386" t="s">
        <v>196</v>
      </c>
      <c r="B386" s="4">
        <f>VLOOKUP(A386,'Datos generales'!A:L,5,0)</f>
        <v>4</v>
      </c>
      <c r="C386" s="4" t="str">
        <f>VLOOKUP(A386,'Datos generales'!A:L,4,0)</f>
        <v>Teclado</v>
      </c>
      <c r="D386" s="4">
        <f>VLOOKUP(A386,'Datos generales'!A:L,6,0)</f>
        <v>995.18</v>
      </c>
      <c r="E386" s="4">
        <f>VLOOKUP(A386,'Datos generales'!A:L,12,0)</f>
        <v>995.18</v>
      </c>
      <c r="F386" s="4" t="str">
        <f>VLOOKUP(A386,'Datos generales'!A:L,7,0)</f>
        <v>Accesorios</v>
      </c>
      <c r="G386" s="4">
        <v>2024</v>
      </c>
    </row>
    <row r="387" spans="1:7" x14ac:dyDescent="0.25">
      <c r="A387" t="s">
        <v>197</v>
      </c>
      <c r="B387" s="4">
        <f>VLOOKUP(A387,'Datos generales'!A:L,5,0)</f>
        <v>2</v>
      </c>
      <c r="C387" s="4" t="str">
        <f>VLOOKUP(A387,'Datos generales'!A:L,4,0)</f>
        <v>Teclado</v>
      </c>
      <c r="D387" s="4">
        <f>VLOOKUP(A387,'Datos generales'!A:L,6,0)</f>
        <v>1834.72</v>
      </c>
      <c r="E387" s="4">
        <f>VLOOKUP(A387,'Datos generales'!A:L,12,0)</f>
        <v>1834.72</v>
      </c>
      <c r="F387" s="4" t="str">
        <f>VLOOKUP(A387,'Datos generales'!A:L,7,0)</f>
        <v>Accesorios</v>
      </c>
      <c r="G387" s="4">
        <v>2023</v>
      </c>
    </row>
    <row r="388" spans="1:7" x14ac:dyDescent="0.25">
      <c r="A388" t="s">
        <v>198</v>
      </c>
      <c r="B388" s="4">
        <f>VLOOKUP(A388,'Datos generales'!A:L,5,0)</f>
        <v>2</v>
      </c>
      <c r="C388" s="4" t="str">
        <f>VLOOKUP(A388,'Datos generales'!A:L,4,0)</f>
        <v>Audífonos</v>
      </c>
      <c r="D388" s="4">
        <f>VLOOKUP(A388,'Datos generales'!A:L,6,0)</f>
        <v>1942.31</v>
      </c>
      <c r="E388" s="4">
        <f>VLOOKUP(A388,'Datos generales'!A:L,12,0)</f>
        <v>1942.31</v>
      </c>
      <c r="F388" s="4" t="str">
        <f>VLOOKUP(A388,'Datos generales'!A:L,7,0)</f>
        <v>Accesorios</v>
      </c>
      <c r="G388" s="4">
        <v>2024</v>
      </c>
    </row>
    <row r="389" spans="1:7" x14ac:dyDescent="0.25">
      <c r="A389" t="s">
        <v>199</v>
      </c>
      <c r="B389" s="4">
        <f>VLOOKUP(A389,'Datos generales'!A:L,5,0)</f>
        <v>3</v>
      </c>
      <c r="C389" s="4" t="str">
        <f>VLOOKUP(A389,'Datos generales'!A:L,4,0)</f>
        <v>Audífonos</v>
      </c>
      <c r="D389" s="4">
        <f>VLOOKUP(A389,'Datos generales'!A:L,6,0)</f>
        <v>1025.57</v>
      </c>
      <c r="E389" s="4">
        <f>VLOOKUP(A389,'Datos generales'!A:L,12,0)</f>
        <v>1025.57</v>
      </c>
      <c r="F389" s="4" t="str">
        <f>VLOOKUP(A389,'Datos generales'!A:L,7,0)</f>
        <v>Accesorios</v>
      </c>
      <c r="G389" s="4">
        <v>2025</v>
      </c>
    </row>
    <row r="390" spans="1:7" x14ac:dyDescent="0.25">
      <c r="A390" t="s">
        <v>200</v>
      </c>
      <c r="B390" s="4">
        <f>VLOOKUP(A390,'Datos generales'!A:L,5,0)</f>
        <v>4</v>
      </c>
      <c r="C390" s="4" t="str">
        <f>VLOOKUP(A390,'Datos generales'!A:L,4,0)</f>
        <v>Impresora</v>
      </c>
      <c r="D390" s="4">
        <f>VLOOKUP(A390,'Datos generales'!A:L,6,0)</f>
        <v>555.19000000000005</v>
      </c>
      <c r="E390" s="4">
        <f>VLOOKUP(A390,'Datos generales'!A:L,12,0)</f>
        <v>555.19000000000005</v>
      </c>
      <c r="F390" s="4" t="str">
        <f>VLOOKUP(A390,'Datos generales'!A:L,7,0)</f>
        <v>Electrónica</v>
      </c>
      <c r="G390" s="4">
        <v>2023</v>
      </c>
    </row>
    <row r="391" spans="1:7" x14ac:dyDescent="0.25">
      <c r="A391" t="s">
        <v>201</v>
      </c>
      <c r="B391" s="4">
        <f>VLOOKUP(A391,'Datos generales'!A:L,5,0)</f>
        <v>5</v>
      </c>
      <c r="C391" s="4" t="str">
        <f>VLOOKUP(A391,'Datos generales'!A:L,4,0)</f>
        <v>Silla Gamer</v>
      </c>
      <c r="D391" s="4">
        <f>VLOOKUP(A391,'Datos generales'!A:L,6,0)</f>
        <v>750.82</v>
      </c>
      <c r="E391" s="4">
        <f>VLOOKUP(A391,'Datos generales'!A:L,12,0)</f>
        <v>750.82</v>
      </c>
      <c r="F391" s="4" t="str">
        <f>VLOOKUP(A391,'Datos generales'!A:L,7,0)</f>
        <v>Muebles</v>
      </c>
      <c r="G391" s="4">
        <v>2023</v>
      </c>
    </row>
    <row r="392" spans="1:7" x14ac:dyDescent="0.25">
      <c r="A392" t="s">
        <v>202</v>
      </c>
      <c r="B392" s="4">
        <f>VLOOKUP(A392,'Datos generales'!A:L,5,0)</f>
        <v>2</v>
      </c>
      <c r="C392" s="4" t="str">
        <f>VLOOKUP(A392,'Datos generales'!A:L,4,0)</f>
        <v>Impresora</v>
      </c>
      <c r="D392" s="4">
        <f>VLOOKUP(A392,'Datos generales'!A:L,6,0)</f>
        <v>1609.9</v>
      </c>
      <c r="E392" s="4">
        <f>VLOOKUP(A392,'Datos generales'!A:L,12,0)</f>
        <v>1609.9</v>
      </c>
      <c r="F392" s="4" t="str">
        <f>VLOOKUP(A392,'Datos generales'!A:L,7,0)</f>
        <v>Electrónica</v>
      </c>
      <c r="G392" s="4">
        <v>2025</v>
      </c>
    </row>
    <row r="393" spans="1:7" x14ac:dyDescent="0.25">
      <c r="A393" t="s">
        <v>203</v>
      </c>
      <c r="B393" s="4">
        <f>VLOOKUP(A393,'Datos generales'!A:L,5,0)</f>
        <v>3</v>
      </c>
      <c r="C393" s="4" t="str">
        <f>VLOOKUP(A393,'Datos generales'!A:L,4,0)</f>
        <v>Silla Gamer</v>
      </c>
      <c r="D393" s="4">
        <f>VLOOKUP(A393,'Datos generales'!A:L,6,0)</f>
        <v>27.89</v>
      </c>
      <c r="E393" s="4">
        <f>VLOOKUP(A393,'Datos generales'!A:L,12,0)</f>
        <v>27.89</v>
      </c>
      <c r="F393" s="4" t="str">
        <f>VLOOKUP(A393,'Datos generales'!A:L,7,0)</f>
        <v>Muebles</v>
      </c>
      <c r="G393" s="4">
        <v>2025</v>
      </c>
    </row>
    <row r="394" spans="1:7" x14ac:dyDescent="0.25">
      <c r="A394" t="s">
        <v>204</v>
      </c>
      <c r="B394" s="4">
        <f>VLOOKUP(A394,'Datos generales'!A:L,5,0)</f>
        <v>1</v>
      </c>
      <c r="C394" s="4" t="str">
        <f>VLOOKUP(A394,'Datos generales'!A:L,4,0)</f>
        <v>Audífonos</v>
      </c>
      <c r="D394" s="4">
        <f>VLOOKUP(A394,'Datos generales'!A:L,6,0)</f>
        <v>1700.54</v>
      </c>
      <c r="E394" s="4">
        <f>VLOOKUP(A394,'Datos generales'!A:L,12,0)</f>
        <v>1700.54</v>
      </c>
      <c r="F394" s="4" t="str">
        <f>VLOOKUP(A394,'Datos generales'!A:L,7,0)</f>
        <v>Accesorios</v>
      </c>
      <c r="G394" s="4">
        <v>2025</v>
      </c>
    </row>
    <row r="395" spans="1:7" x14ac:dyDescent="0.25">
      <c r="A395" t="s">
        <v>205</v>
      </c>
      <c r="B395" s="4">
        <f>VLOOKUP(A395,'Datos generales'!A:L,5,0)</f>
        <v>3</v>
      </c>
      <c r="C395" s="4" t="str">
        <f>VLOOKUP(A395,'Datos generales'!A:L,4,0)</f>
        <v>Audífonos</v>
      </c>
      <c r="D395" s="4">
        <f>VLOOKUP(A395,'Datos generales'!A:L,6,0)</f>
        <v>473.4</v>
      </c>
      <c r="E395" s="4">
        <f>VLOOKUP(A395,'Datos generales'!A:L,12,0)</f>
        <v>473.39999999999992</v>
      </c>
      <c r="F395" s="4" t="str">
        <f>VLOOKUP(A395,'Datos generales'!A:L,7,0)</f>
        <v>Accesorios</v>
      </c>
      <c r="G395" s="4">
        <v>2025</v>
      </c>
    </row>
    <row r="396" spans="1:7" x14ac:dyDescent="0.25">
      <c r="A396" t="s">
        <v>206</v>
      </c>
      <c r="B396" s="4">
        <f>VLOOKUP(A396,'Datos generales'!A:L,5,0)</f>
        <v>1</v>
      </c>
      <c r="C396" s="4" t="str">
        <f>VLOOKUP(A396,'Datos generales'!A:L,4,0)</f>
        <v>Impresora</v>
      </c>
      <c r="D396" s="4">
        <f>VLOOKUP(A396,'Datos generales'!A:L,6,0)</f>
        <v>521.32000000000005</v>
      </c>
      <c r="E396" s="4">
        <f>VLOOKUP(A396,'Datos generales'!A:L,12,0)</f>
        <v>521.32000000000005</v>
      </c>
      <c r="F396" s="4" t="str">
        <f>VLOOKUP(A396,'Datos generales'!A:L,7,0)</f>
        <v>Electrónica</v>
      </c>
      <c r="G396" s="4">
        <v>2023</v>
      </c>
    </row>
    <row r="397" spans="1:7" x14ac:dyDescent="0.25">
      <c r="A397" t="s">
        <v>207</v>
      </c>
      <c r="B397" s="4">
        <f>VLOOKUP(A397,'Datos generales'!A:L,5,0)</f>
        <v>1</v>
      </c>
      <c r="C397" s="4" t="str">
        <f>VLOOKUP(A397,'Datos generales'!A:L,4,0)</f>
        <v>Teclado</v>
      </c>
      <c r="D397" s="4">
        <f>VLOOKUP(A397,'Datos generales'!A:L,6,0)</f>
        <v>1067.6400000000001</v>
      </c>
      <c r="E397" s="4">
        <f>VLOOKUP(A397,'Datos generales'!A:L,12,0)</f>
        <v>1067.6400000000001</v>
      </c>
      <c r="F397" s="4" t="str">
        <f>VLOOKUP(A397,'Datos generales'!A:L,7,0)</f>
        <v>Accesorios</v>
      </c>
      <c r="G397" s="4">
        <v>2025</v>
      </c>
    </row>
    <row r="398" spans="1:7" x14ac:dyDescent="0.25">
      <c r="A398" t="s">
        <v>208</v>
      </c>
      <c r="B398" s="4">
        <f>VLOOKUP(A398,'Datos generales'!A:L,5,0)</f>
        <v>1</v>
      </c>
      <c r="C398" s="4" t="str">
        <f>VLOOKUP(A398,'Datos generales'!A:L,4,0)</f>
        <v>Mouse</v>
      </c>
      <c r="D398" s="4">
        <f>VLOOKUP(A398,'Datos generales'!A:L,6,0)</f>
        <v>1903.64</v>
      </c>
      <c r="E398" s="4">
        <f>VLOOKUP(A398,'Datos generales'!A:L,12,0)</f>
        <v>1903.64</v>
      </c>
      <c r="F398" s="4" t="str">
        <f>VLOOKUP(A398,'Datos generales'!A:L,7,0)</f>
        <v>Accesorios</v>
      </c>
      <c r="G398" s="4">
        <v>2023</v>
      </c>
    </row>
    <row r="399" spans="1:7" x14ac:dyDescent="0.25">
      <c r="A399" t="s">
        <v>209</v>
      </c>
      <c r="B399" s="4">
        <f>VLOOKUP(A399,'Datos generales'!A:L,5,0)</f>
        <v>2</v>
      </c>
      <c r="C399" s="4" t="str">
        <f>VLOOKUP(A399,'Datos generales'!A:L,4,0)</f>
        <v>Silla Gamer</v>
      </c>
      <c r="D399" s="4">
        <f>VLOOKUP(A399,'Datos generales'!A:L,6,0)</f>
        <v>1460.16</v>
      </c>
      <c r="E399" s="4">
        <f>VLOOKUP(A399,'Datos generales'!A:L,12,0)</f>
        <v>1460.16</v>
      </c>
      <c r="F399" s="4" t="str">
        <f>VLOOKUP(A399,'Datos generales'!A:L,7,0)</f>
        <v>Muebles</v>
      </c>
      <c r="G399" s="4">
        <v>2023</v>
      </c>
    </row>
    <row r="400" spans="1:7" x14ac:dyDescent="0.25">
      <c r="A400" t="s">
        <v>210</v>
      </c>
      <c r="B400" s="4">
        <f>VLOOKUP(A400,'Datos generales'!A:L,5,0)</f>
        <v>4</v>
      </c>
      <c r="C400" s="4" t="str">
        <f>VLOOKUP(A400,'Datos generales'!A:L,4,0)</f>
        <v>Monitor</v>
      </c>
      <c r="D400" s="4">
        <f>VLOOKUP(A400,'Datos generales'!A:L,6,0)</f>
        <v>847</v>
      </c>
      <c r="E400" s="4">
        <f>VLOOKUP(A400,'Datos generales'!A:L,12,0)</f>
        <v>847</v>
      </c>
      <c r="F400" s="4" t="str">
        <f>VLOOKUP(A400,'Datos generales'!A:L,7,0)</f>
        <v>Electrónica</v>
      </c>
      <c r="G400" s="4">
        <v>2025</v>
      </c>
    </row>
    <row r="401" spans="1:7" x14ac:dyDescent="0.25">
      <c r="A401" t="s">
        <v>211</v>
      </c>
      <c r="B401" s="4">
        <f>VLOOKUP(A401,'Datos generales'!A:L,5,0)</f>
        <v>2</v>
      </c>
      <c r="C401" s="4" t="str">
        <f>VLOOKUP(A401,'Datos generales'!A:L,4,0)</f>
        <v>Mouse</v>
      </c>
      <c r="D401" s="4">
        <f>VLOOKUP(A401,'Datos generales'!A:L,6,0)</f>
        <v>1243.3399999999999</v>
      </c>
      <c r="E401" s="4">
        <f>VLOOKUP(A401,'Datos generales'!A:L,12,0)</f>
        <v>1243.3399999999999</v>
      </c>
      <c r="F401" s="4" t="str">
        <f>VLOOKUP(A401,'Datos generales'!A:L,7,0)</f>
        <v>Accesorios</v>
      </c>
      <c r="G401" s="4">
        <v>2023</v>
      </c>
    </row>
    <row r="402" spans="1:7" x14ac:dyDescent="0.25">
      <c r="A402" t="s">
        <v>12</v>
      </c>
      <c r="B402" s="4">
        <f>VLOOKUP(A402,'Datos generales'!A:L,5,0)</f>
        <v>5</v>
      </c>
      <c r="C402" s="4" t="str">
        <f>VLOOKUP(A402,'Datos generales'!A:L,4,0)</f>
        <v>Monitor</v>
      </c>
      <c r="D402" s="4">
        <f>VLOOKUP(A402,'Datos generales'!A:L,6,0)</f>
        <v>1497.24</v>
      </c>
      <c r="E402" s="4">
        <f>VLOOKUP(A402,'Datos generales'!A:L,12,0)</f>
        <v>1497.24</v>
      </c>
      <c r="F402" s="4" t="str">
        <f>VLOOKUP(A402,'Datos generales'!A:L,7,0)</f>
        <v>Electrónica</v>
      </c>
      <c r="G402" s="4">
        <v>2023</v>
      </c>
    </row>
    <row r="403" spans="1:7" x14ac:dyDescent="0.25">
      <c r="A403" t="s">
        <v>13</v>
      </c>
      <c r="B403" s="4">
        <f>VLOOKUP(A403,'Datos generales'!A:L,5,0)</f>
        <v>1</v>
      </c>
      <c r="C403" s="4" t="str">
        <f>VLOOKUP(A403,'Datos generales'!A:L,4,0)</f>
        <v>Monitor</v>
      </c>
      <c r="D403" s="4">
        <f>VLOOKUP(A403,'Datos generales'!A:L,6,0)</f>
        <v>1687.54</v>
      </c>
      <c r="E403" s="4">
        <f>VLOOKUP(A403,'Datos generales'!A:L,12,0)</f>
        <v>1687.54</v>
      </c>
      <c r="F403" s="4" t="str">
        <f>VLOOKUP(A403,'Datos generales'!A:L,7,0)</f>
        <v>Electrónica</v>
      </c>
      <c r="G403" s="4">
        <v>2023</v>
      </c>
    </row>
    <row r="404" spans="1:7" x14ac:dyDescent="0.25">
      <c r="A404" t="s">
        <v>14</v>
      </c>
      <c r="B404" s="4">
        <f>VLOOKUP(A404,'Datos generales'!A:L,5,0)</f>
        <v>3</v>
      </c>
      <c r="C404" s="4" t="str">
        <f>VLOOKUP(A404,'Datos generales'!A:L,4,0)</f>
        <v>Teclado</v>
      </c>
      <c r="D404" s="4">
        <f>VLOOKUP(A404,'Datos generales'!A:L,6,0)</f>
        <v>768.8</v>
      </c>
      <c r="E404" s="4">
        <f>VLOOKUP(A404,'Datos generales'!A:L,12,0)</f>
        <v>768.79999999999984</v>
      </c>
      <c r="F404" s="4" t="str">
        <f>VLOOKUP(A404,'Datos generales'!A:L,7,0)</f>
        <v>Accesorios</v>
      </c>
      <c r="G404" s="4">
        <v>2024</v>
      </c>
    </row>
    <row r="405" spans="1:7" x14ac:dyDescent="0.25">
      <c r="A405" t="s">
        <v>15</v>
      </c>
      <c r="B405" s="4">
        <f>VLOOKUP(A405,'Datos generales'!A:L,5,0)</f>
        <v>1</v>
      </c>
      <c r="C405" s="4" t="str">
        <f>VLOOKUP(A405,'Datos generales'!A:L,4,0)</f>
        <v>Silla Gamer</v>
      </c>
      <c r="D405" s="4">
        <f>VLOOKUP(A405,'Datos generales'!A:L,6,0)</f>
        <v>1532.67</v>
      </c>
      <c r="E405" s="4">
        <f>VLOOKUP(A405,'Datos generales'!A:L,12,0)</f>
        <v>1532.67</v>
      </c>
      <c r="F405" s="4" t="str">
        <f>VLOOKUP(A405,'Datos generales'!A:L,7,0)</f>
        <v>Muebles</v>
      </c>
      <c r="G405" s="4">
        <v>2025</v>
      </c>
    </row>
    <row r="406" spans="1:7" x14ac:dyDescent="0.25">
      <c r="A406" t="s">
        <v>16</v>
      </c>
      <c r="B406" s="4">
        <f>VLOOKUP(A406,'Datos generales'!A:L,5,0)</f>
        <v>3</v>
      </c>
      <c r="C406" s="4" t="str">
        <f>VLOOKUP(A406,'Datos generales'!A:L,4,0)</f>
        <v>Silla Gamer</v>
      </c>
      <c r="D406" s="4">
        <f>VLOOKUP(A406,'Datos generales'!A:L,6,0)</f>
        <v>1709.47</v>
      </c>
      <c r="E406" s="4">
        <f>VLOOKUP(A406,'Datos generales'!A:L,12,0)</f>
        <v>1709.47</v>
      </c>
      <c r="F406" s="4" t="str">
        <f>VLOOKUP(A406,'Datos generales'!A:L,7,0)</f>
        <v>Muebles</v>
      </c>
      <c r="G406" s="4">
        <v>2025</v>
      </c>
    </row>
    <row r="407" spans="1:7" x14ac:dyDescent="0.25">
      <c r="A407" t="s">
        <v>17</v>
      </c>
      <c r="B407" s="4">
        <f>VLOOKUP(A407,'Datos generales'!A:L,5,0)</f>
        <v>3</v>
      </c>
      <c r="C407" s="4" t="str">
        <f>VLOOKUP(A407,'Datos generales'!A:L,4,0)</f>
        <v>Impresora</v>
      </c>
      <c r="D407" s="4">
        <f>VLOOKUP(A407,'Datos generales'!A:L,6,0)</f>
        <v>297.54000000000002</v>
      </c>
      <c r="E407" s="4">
        <f>VLOOKUP(A407,'Datos generales'!A:L,12,0)</f>
        <v>297.54000000000002</v>
      </c>
      <c r="F407" s="4" t="str">
        <f>VLOOKUP(A407,'Datos generales'!A:L,7,0)</f>
        <v>Electrónica</v>
      </c>
      <c r="G407" s="4">
        <v>2023</v>
      </c>
    </row>
    <row r="408" spans="1:7" x14ac:dyDescent="0.25">
      <c r="A408" t="s">
        <v>18</v>
      </c>
      <c r="B408" s="4">
        <f>VLOOKUP(A408,'Datos generales'!A:L,5,0)</f>
        <v>4</v>
      </c>
      <c r="C408" s="4" t="str">
        <f>VLOOKUP(A408,'Datos generales'!A:L,4,0)</f>
        <v>Webcam</v>
      </c>
      <c r="D408" s="4">
        <f>VLOOKUP(A408,'Datos generales'!A:L,6,0)</f>
        <v>1546.65</v>
      </c>
      <c r="E408" s="4">
        <f>VLOOKUP(A408,'Datos generales'!A:L,12,0)</f>
        <v>1546.65</v>
      </c>
      <c r="F408" s="4" t="str">
        <f>VLOOKUP(A408,'Datos generales'!A:L,7,0)</f>
        <v>Accesorios</v>
      </c>
      <c r="G408" s="4">
        <v>2025</v>
      </c>
    </row>
    <row r="409" spans="1:7" x14ac:dyDescent="0.25">
      <c r="A409" t="s">
        <v>19</v>
      </c>
      <c r="B409" s="4">
        <f>VLOOKUP(A409,'Datos generales'!A:L,5,0)</f>
        <v>1</v>
      </c>
      <c r="C409" s="4" t="str">
        <f>VLOOKUP(A409,'Datos generales'!A:L,4,0)</f>
        <v>Monitor</v>
      </c>
      <c r="D409" s="4">
        <f>VLOOKUP(A409,'Datos generales'!A:L,6,0)</f>
        <v>1575.18</v>
      </c>
      <c r="E409" s="4">
        <f>VLOOKUP(A409,'Datos generales'!A:L,12,0)</f>
        <v>1575.18</v>
      </c>
      <c r="F409" s="4" t="str">
        <f>VLOOKUP(A409,'Datos generales'!A:L,7,0)</f>
        <v>Electrónica</v>
      </c>
      <c r="G409" s="4">
        <v>2025</v>
      </c>
    </row>
    <row r="410" spans="1:7" x14ac:dyDescent="0.25">
      <c r="A410" t="s">
        <v>20</v>
      </c>
      <c r="B410" s="4">
        <f>VLOOKUP(A410,'Datos generales'!A:L,5,0)</f>
        <v>5</v>
      </c>
      <c r="C410" s="4" t="str">
        <f>VLOOKUP(A410,'Datos generales'!A:L,4,0)</f>
        <v>Laptop</v>
      </c>
      <c r="D410" s="4">
        <f>VLOOKUP(A410,'Datos generales'!A:L,6,0)</f>
        <v>1815.86</v>
      </c>
      <c r="E410" s="4">
        <f>VLOOKUP(A410,'Datos generales'!A:L,12,0)</f>
        <v>1815.86</v>
      </c>
      <c r="F410" s="4" t="str">
        <f>VLOOKUP(A410,'Datos generales'!A:L,7,0)</f>
        <v>Electrónica</v>
      </c>
      <c r="G410" s="4">
        <v>2024</v>
      </c>
    </row>
    <row r="411" spans="1:7" x14ac:dyDescent="0.25">
      <c r="A411" t="s">
        <v>21</v>
      </c>
      <c r="B411" s="4">
        <f>VLOOKUP(A411,'Datos generales'!A:L,5,0)</f>
        <v>1</v>
      </c>
      <c r="C411" s="4" t="str">
        <f>VLOOKUP(A411,'Datos generales'!A:L,4,0)</f>
        <v>Monitor</v>
      </c>
      <c r="D411" s="4">
        <f>VLOOKUP(A411,'Datos generales'!A:L,6,0)</f>
        <v>564.11</v>
      </c>
      <c r="E411" s="4">
        <f>VLOOKUP(A411,'Datos generales'!A:L,12,0)</f>
        <v>564.11</v>
      </c>
      <c r="F411" s="4" t="str">
        <f>VLOOKUP(A411,'Datos generales'!A:L,7,0)</f>
        <v>Electrónica</v>
      </c>
      <c r="G411" s="4">
        <v>2024</v>
      </c>
    </row>
    <row r="412" spans="1:7" x14ac:dyDescent="0.25">
      <c r="A412" t="s">
        <v>22</v>
      </c>
      <c r="B412" s="4">
        <f>VLOOKUP(A412,'Datos generales'!A:L,5,0)</f>
        <v>1</v>
      </c>
      <c r="C412" s="4" t="str">
        <f>VLOOKUP(A412,'Datos generales'!A:L,4,0)</f>
        <v>Laptop</v>
      </c>
      <c r="D412" s="4">
        <f>VLOOKUP(A412,'Datos generales'!A:L,6,0)</f>
        <v>454.9</v>
      </c>
      <c r="E412" s="4">
        <f>VLOOKUP(A412,'Datos generales'!A:L,12,0)</f>
        <v>454.9</v>
      </c>
      <c r="F412" s="4" t="str">
        <f>VLOOKUP(A412,'Datos generales'!A:L,7,0)</f>
        <v>Electrónica</v>
      </c>
      <c r="G412" s="4">
        <v>2024</v>
      </c>
    </row>
    <row r="413" spans="1:7" x14ac:dyDescent="0.25">
      <c r="A413" t="s">
        <v>23</v>
      </c>
      <c r="B413" s="4">
        <f>VLOOKUP(A413,'Datos generales'!A:L,5,0)</f>
        <v>3</v>
      </c>
      <c r="C413" s="4" t="str">
        <f>VLOOKUP(A413,'Datos generales'!A:L,4,0)</f>
        <v>Mouse</v>
      </c>
      <c r="D413" s="4">
        <f>VLOOKUP(A413,'Datos generales'!A:L,6,0)</f>
        <v>1277.51</v>
      </c>
      <c r="E413" s="4">
        <f>VLOOKUP(A413,'Datos generales'!A:L,12,0)</f>
        <v>1277.51</v>
      </c>
      <c r="F413" s="4" t="str">
        <f>VLOOKUP(A413,'Datos generales'!A:L,7,0)</f>
        <v>Accesorios</v>
      </c>
      <c r="G413" s="4">
        <v>2024</v>
      </c>
    </row>
    <row r="414" spans="1:7" x14ac:dyDescent="0.25">
      <c r="A414" t="s">
        <v>24</v>
      </c>
      <c r="B414" s="4">
        <f>VLOOKUP(A414,'Datos generales'!A:L,5,0)</f>
        <v>2</v>
      </c>
      <c r="C414" s="4" t="str">
        <f>VLOOKUP(A414,'Datos generales'!A:L,4,0)</f>
        <v>Silla Gamer</v>
      </c>
      <c r="D414" s="4">
        <f>VLOOKUP(A414,'Datos generales'!A:L,6,0)</f>
        <v>1870.95</v>
      </c>
      <c r="E414" s="4">
        <f>VLOOKUP(A414,'Datos generales'!A:L,12,0)</f>
        <v>1870.95</v>
      </c>
      <c r="F414" s="4" t="str">
        <f>VLOOKUP(A414,'Datos generales'!A:L,7,0)</f>
        <v>Muebles</v>
      </c>
      <c r="G414" s="4">
        <v>2023</v>
      </c>
    </row>
    <row r="415" spans="1:7" x14ac:dyDescent="0.25">
      <c r="A415" t="s">
        <v>25</v>
      </c>
      <c r="B415" s="4">
        <f>VLOOKUP(A415,'Datos generales'!A:L,5,0)</f>
        <v>4</v>
      </c>
      <c r="C415" s="4" t="str">
        <f>VLOOKUP(A415,'Datos generales'!A:L,4,0)</f>
        <v>Monitor</v>
      </c>
      <c r="D415" s="4">
        <f>VLOOKUP(A415,'Datos generales'!A:L,6,0)</f>
        <v>1227.23</v>
      </c>
      <c r="E415" s="4">
        <f>VLOOKUP(A415,'Datos generales'!A:L,12,0)</f>
        <v>1227.23</v>
      </c>
      <c r="F415" s="4" t="str">
        <f>VLOOKUP(A415,'Datos generales'!A:L,7,0)</f>
        <v>Electrónica</v>
      </c>
      <c r="G415" s="4">
        <v>2023</v>
      </c>
    </row>
    <row r="416" spans="1:7" x14ac:dyDescent="0.25">
      <c r="A416" t="s">
        <v>26</v>
      </c>
      <c r="B416" s="4">
        <f>VLOOKUP(A416,'Datos generales'!A:L,5,0)</f>
        <v>1</v>
      </c>
      <c r="C416" s="4" t="str">
        <f>VLOOKUP(A416,'Datos generales'!A:L,4,0)</f>
        <v>Impresora</v>
      </c>
      <c r="D416" s="4">
        <f>VLOOKUP(A416,'Datos generales'!A:L,6,0)</f>
        <v>1329.6</v>
      </c>
      <c r="E416" s="4">
        <f>VLOOKUP(A416,'Datos generales'!A:L,12,0)</f>
        <v>1329.6</v>
      </c>
      <c r="F416" s="4" t="str">
        <f>VLOOKUP(A416,'Datos generales'!A:L,7,0)</f>
        <v>Electrónica</v>
      </c>
      <c r="G416" s="4">
        <v>2024</v>
      </c>
    </row>
    <row r="417" spans="1:7" x14ac:dyDescent="0.25">
      <c r="A417" t="s">
        <v>27</v>
      </c>
      <c r="B417" s="4">
        <f>VLOOKUP(A417,'Datos generales'!A:L,5,0)</f>
        <v>3</v>
      </c>
      <c r="C417" s="4" t="str">
        <f>VLOOKUP(A417,'Datos generales'!A:L,4,0)</f>
        <v>Monitor</v>
      </c>
      <c r="D417" s="4">
        <f>VLOOKUP(A417,'Datos generales'!A:L,6,0)</f>
        <v>1734.12</v>
      </c>
      <c r="E417" s="4">
        <f>VLOOKUP(A417,'Datos generales'!A:L,12,0)</f>
        <v>1734.12</v>
      </c>
      <c r="F417" s="4" t="str">
        <f>VLOOKUP(A417,'Datos generales'!A:L,7,0)</f>
        <v>Electrónica</v>
      </c>
      <c r="G417" s="4">
        <v>2023</v>
      </c>
    </row>
    <row r="418" spans="1:7" x14ac:dyDescent="0.25">
      <c r="A418" t="s">
        <v>28</v>
      </c>
      <c r="B418" s="4">
        <f>VLOOKUP(A418,'Datos generales'!A:L,5,0)</f>
        <v>1</v>
      </c>
      <c r="C418" s="4" t="str">
        <f>VLOOKUP(A418,'Datos generales'!A:L,4,0)</f>
        <v>Monitor</v>
      </c>
      <c r="D418" s="4">
        <f>VLOOKUP(A418,'Datos generales'!A:L,6,0)</f>
        <v>1209.6199999999999</v>
      </c>
      <c r="E418" s="4">
        <f>VLOOKUP(A418,'Datos generales'!A:L,12,0)</f>
        <v>1209.6199999999999</v>
      </c>
      <c r="F418" s="4" t="str">
        <f>VLOOKUP(A418,'Datos generales'!A:L,7,0)</f>
        <v>Electrónica</v>
      </c>
      <c r="G418" s="4">
        <v>2024</v>
      </c>
    </row>
    <row r="419" spans="1:7" x14ac:dyDescent="0.25">
      <c r="A419" t="s">
        <v>29</v>
      </c>
      <c r="B419" s="4">
        <f>VLOOKUP(A419,'Datos generales'!A:L,5,0)</f>
        <v>3</v>
      </c>
      <c r="C419" s="4" t="str">
        <f>VLOOKUP(A419,'Datos generales'!A:L,4,0)</f>
        <v>Mouse</v>
      </c>
      <c r="D419" s="4">
        <f>VLOOKUP(A419,'Datos generales'!A:L,6,0)</f>
        <v>922.33</v>
      </c>
      <c r="E419" s="4">
        <f>VLOOKUP(A419,'Datos generales'!A:L,12,0)</f>
        <v>922.33</v>
      </c>
      <c r="F419" s="4" t="str">
        <f>VLOOKUP(A419,'Datos generales'!A:L,7,0)</f>
        <v>Accesorios</v>
      </c>
      <c r="G419" s="4">
        <v>2024</v>
      </c>
    </row>
    <row r="420" spans="1:7" x14ac:dyDescent="0.25">
      <c r="A420" t="s">
        <v>30</v>
      </c>
      <c r="B420" s="4">
        <f>VLOOKUP(A420,'Datos generales'!A:L,5,0)</f>
        <v>4</v>
      </c>
      <c r="C420" s="4" t="str">
        <f>VLOOKUP(A420,'Datos generales'!A:L,4,0)</f>
        <v>Webcam</v>
      </c>
      <c r="D420" s="4">
        <f>VLOOKUP(A420,'Datos generales'!A:L,6,0)</f>
        <v>54.42</v>
      </c>
      <c r="E420" s="4">
        <f>VLOOKUP(A420,'Datos generales'!A:L,12,0)</f>
        <v>54.42</v>
      </c>
      <c r="F420" s="4" t="str">
        <f>VLOOKUP(A420,'Datos generales'!A:L,7,0)</f>
        <v>Accesorios</v>
      </c>
      <c r="G420" s="4">
        <v>2025</v>
      </c>
    </row>
    <row r="421" spans="1:7" x14ac:dyDescent="0.25">
      <c r="A421" t="s">
        <v>31</v>
      </c>
      <c r="B421" s="4">
        <f>VLOOKUP(A421,'Datos generales'!A:L,5,0)</f>
        <v>2</v>
      </c>
      <c r="C421" s="4" t="str">
        <f>VLOOKUP(A421,'Datos generales'!A:L,4,0)</f>
        <v>Mouse</v>
      </c>
      <c r="D421" s="4">
        <f>VLOOKUP(A421,'Datos generales'!A:L,6,0)</f>
        <v>1567.18</v>
      </c>
      <c r="E421" s="4">
        <f>VLOOKUP(A421,'Datos generales'!A:L,12,0)</f>
        <v>1567.18</v>
      </c>
      <c r="F421" s="4" t="str">
        <f>VLOOKUP(A421,'Datos generales'!A:L,7,0)</f>
        <v>Accesorios</v>
      </c>
      <c r="G421" s="4">
        <v>2023</v>
      </c>
    </row>
    <row r="422" spans="1:7" x14ac:dyDescent="0.25">
      <c r="A422" t="s">
        <v>32</v>
      </c>
      <c r="B422" s="4">
        <f>VLOOKUP(A422,'Datos generales'!A:L,5,0)</f>
        <v>2</v>
      </c>
      <c r="C422" s="4" t="str">
        <f>VLOOKUP(A422,'Datos generales'!A:L,4,0)</f>
        <v>Teclado</v>
      </c>
      <c r="D422" s="4">
        <f>VLOOKUP(A422,'Datos generales'!A:L,6,0)</f>
        <v>519.79999999999995</v>
      </c>
      <c r="E422" s="4">
        <f>VLOOKUP(A422,'Datos generales'!A:L,12,0)</f>
        <v>519.79999999999995</v>
      </c>
      <c r="F422" s="4" t="str">
        <f>VLOOKUP(A422,'Datos generales'!A:L,7,0)</f>
        <v>Accesorios</v>
      </c>
      <c r="G422" s="4">
        <v>2023</v>
      </c>
    </row>
    <row r="423" spans="1:7" x14ac:dyDescent="0.25">
      <c r="A423" t="s">
        <v>33</v>
      </c>
      <c r="B423" s="4">
        <f>VLOOKUP(A423,'Datos generales'!A:L,5,0)</f>
        <v>1</v>
      </c>
      <c r="C423" s="4" t="str">
        <f>VLOOKUP(A423,'Datos generales'!A:L,4,0)</f>
        <v>Silla Gamer</v>
      </c>
      <c r="D423" s="4">
        <f>VLOOKUP(A423,'Datos generales'!A:L,6,0)</f>
        <v>1267.01</v>
      </c>
      <c r="E423" s="4">
        <f>VLOOKUP(A423,'Datos generales'!A:L,12,0)</f>
        <v>1267.01</v>
      </c>
      <c r="F423" s="4" t="str">
        <f>VLOOKUP(A423,'Datos generales'!A:L,7,0)</f>
        <v>Muebles</v>
      </c>
      <c r="G423" s="4">
        <v>2024</v>
      </c>
    </row>
    <row r="424" spans="1:7" x14ac:dyDescent="0.25">
      <c r="A424" t="s">
        <v>34</v>
      </c>
      <c r="B424" s="4">
        <f>VLOOKUP(A424,'Datos generales'!A:L,5,0)</f>
        <v>4</v>
      </c>
      <c r="C424" s="4" t="str">
        <f>VLOOKUP(A424,'Datos generales'!A:L,4,0)</f>
        <v>Monitor</v>
      </c>
      <c r="D424" s="4">
        <f>VLOOKUP(A424,'Datos generales'!A:L,6,0)</f>
        <v>1027.81</v>
      </c>
      <c r="E424" s="4">
        <f>VLOOKUP(A424,'Datos generales'!A:L,12,0)</f>
        <v>1027.81</v>
      </c>
      <c r="F424" s="4" t="str">
        <f>VLOOKUP(A424,'Datos generales'!A:L,7,0)</f>
        <v>Electrónica</v>
      </c>
      <c r="G424" s="4">
        <v>2024</v>
      </c>
    </row>
    <row r="425" spans="1:7" x14ac:dyDescent="0.25">
      <c r="A425" t="s">
        <v>35</v>
      </c>
      <c r="B425" s="4">
        <f>VLOOKUP(A425,'Datos generales'!A:L,5,0)</f>
        <v>3</v>
      </c>
      <c r="C425" s="4" t="str">
        <f>VLOOKUP(A425,'Datos generales'!A:L,4,0)</f>
        <v>Webcam</v>
      </c>
      <c r="D425" s="4">
        <f>VLOOKUP(A425,'Datos generales'!A:L,6,0)</f>
        <v>925.62</v>
      </c>
      <c r="E425" s="4">
        <f>VLOOKUP(A425,'Datos generales'!A:L,12,0)</f>
        <v>925.62</v>
      </c>
      <c r="F425" s="4" t="str">
        <f>VLOOKUP(A425,'Datos generales'!A:L,7,0)</f>
        <v>Accesorios</v>
      </c>
      <c r="G425" s="4">
        <v>2024</v>
      </c>
    </row>
    <row r="426" spans="1:7" x14ac:dyDescent="0.25">
      <c r="A426" t="s">
        <v>36</v>
      </c>
      <c r="B426" s="4">
        <f>VLOOKUP(A426,'Datos generales'!A:L,5,0)</f>
        <v>3</v>
      </c>
      <c r="C426" s="4" t="str">
        <f>VLOOKUP(A426,'Datos generales'!A:L,4,0)</f>
        <v>Monitor</v>
      </c>
      <c r="D426" s="4">
        <f>VLOOKUP(A426,'Datos generales'!A:L,6,0)</f>
        <v>213.71</v>
      </c>
      <c r="E426" s="4">
        <f>VLOOKUP(A426,'Datos generales'!A:L,12,0)</f>
        <v>213.71</v>
      </c>
      <c r="F426" s="4" t="str">
        <f>VLOOKUP(A426,'Datos generales'!A:L,7,0)</f>
        <v>Electrónica</v>
      </c>
      <c r="G426" s="4">
        <v>2025</v>
      </c>
    </row>
    <row r="427" spans="1:7" x14ac:dyDescent="0.25">
      <c r="A427" t="s">
        <v>37</v>
      </c>
      <c r="B427" s="4">
        <f>VLOOKUP(A427,'Datos generales'!A:L,5,0)</f>
        <v>2</v>
      </c>
      <c r="C427" s="4" t="str">
        <f>VLOOKUP(A427,'Datos generales'!A:L,4,0)</f>
        <v>Laptop</v>
      </c>
      <c r="D427" s="4">
        <f>VLOOKUP(A427,'Datos generales'!A:L,6,0)</f>
        <v>1146.75</v>
      </c>
      <c r="E427" s="4">
        <f>VLOOKUP(A427,'Datos generales'!A:L,12,0)</f>
        <v>1146.75</v>
      </c>
      <c r="F427" s="4" t="str">
        <f>VLOOKUP(A427,'Datos generales'!A:L,7,0)</f>
        <v>Electrónica</v>
      </c>
      <c r="G427" s="4">
        <v>2024</v>
      </c>
    </row>
    <row r="428" spans="1:7" x14ac:dyDescent="0.25">
      <c r="A428" t="s">
        <v>38</v>
      </c>
      <c r="B428" s="4">
        <f>VLOOKUP(A428,'Datos generales'!A:L,5,0)</f>
        <v>5</v>
      </c>
      <c r="C428" s="4" t="str">
        <f>VLOOKUP(A428,'Datos generales'!A:L,4,0)</f>
        <v>Laptop</v>
      </c>
      <c r="D428" s="4">
        <f>VLOOKUP(A428,'Datos generales'!A:L,6,0)</f>
        <v>907.28</v>
      </c>
      <c r="E428" s="4">
        <f>VLOOKUP(A428,'Datos generales'!A:L,12,0)</f>
        <v>907.28</v>
      </c>
      <c r="F428" s="4" t="str">
        <f>VLOOKUP(A428,'Datos generales'!A:L,7,0)</f>
        <v>Electrónica</v>
      </c>
      <c r="G428" s="4">
        <v>2023</v>
      </c>
    </row>
    <row r="429" spans="1:7" x14ac:dyDescent="0.25">
      <c r="A429" t="s">
        <v>39</v>
      </c>
      <c r="B429" s="4">
        <f>VLOOKUP(A429,'Datos generales'!A:L,5,0)</f>
        <v>2</v>
      </c>
      <c r="C429" s="4" t="str">
        <f>VLOOKUP(A429,'Datos generales'!A:L,4,0)</f>
        <v>Webcam</v>
      </c>
      <c r="D429" s="4">
        <f>VLOOKUP(A429,'Datos generales'!A:L,6,0)</f>
        <v>1734.44</v>
      </c>
      <c r="E429" s="4">
        <f>VLOOKUP(A429,'Datos generales'!A:L,12,0)</f>
        <v>1734.44</v>
      </c>
      <c r="F429" s="4" t="str">
        <f>VLOOKUP(A429,'Datos generales'!A:L,7,0)</f>
        <v>Accesorios</v>
      </c>
      <c r="G429" s="4">
        <v>2023</v>
      </c>
    </row>
    <row r="430" spans="1:7" x14ac:dyDescent="0.25">
      <c r="A430" t="s">
        <v>40</v>
      </c>
      <c r="B430" s="4">
        <f>VLOOKUP(A430,'Datos generales'!A:L,5,0)</f>
        <v>1</v>
      </c>
      <c r="C430" s="4" t="str">
        <f>VLOOKUP(A430,'Datos generales'!A:L,4,0)</f>
        <v>Teclado</v>
      </c>
      <c r="D430" s="4">
        <f>VLOOKUP(A430,'Datos generales'!A:L,6,0)</f>
        <v>424.35</v>
      </c>
      <c r="E430" s="4">
        <f>VLOOKUP(A430,'Datos generales'!A:L,12,0)</f>
        <v>424.35</v>
      </c>
      <c r="F430" s="4" t="str">
        <f>VLOOKUP(A430,'Datos generales'!A:L,7,0)</f>
        <v>Accesorios</v>
      </c>
      <c r="G430" s="4">
        <v>2024</v>
      </c>
    </row>
    <row r="431" spans="1:7" x14ac:dyDescent="0.25">
      <c r="A431" t="s">
        <v>41</v>
      </c>
      <c r="B431" s="4">
        <f>VLOOKUP(A431,'Datos generales'!A:L,5,0)</f>
        <v>1</v>
      </c>
      <c r="C431" s="4" t="str">
        <f>VLOOKUP(A431,'Datos generales'!A:L,4,0)</f>
        <v>Monitor</v>
      </c>
      <c r="D431" s="4">
        <f>VLOOKUP(A431,'Datos generales'!A:L,6,0)</f>
        <v>252.57</v>
      </c>
      <c r="E431" s="4">
        <f>VLOOKUP(A431,'Datos generales'!A:L,12,0)</f>
        <v>252.57</v>
      </c>
      <c r="F431" s="4" t="str">
        <f>VLOOKUP(A431,'Datos generales'!A:L,7,0)</f>
        <v>Electrónica</v>
      </c>
      <c r="G431" s="4">
        <v>2025</v>
      </c>
    </row>
    <row r="432" spans="1:7" x14ac:dyDescent="0.25">
      <c r="A432" t="s">
        <v>42</v>
      </c>
      <c r="B432" s="4">
        <f>VLOOKUP(A432,'Datos generales'!A:L,5,0)</f>
        <v>3</v>
      </c>
      <c r="C432" s="4" t="str">
        <f>VLOOKUP(A432,'Datos generales'!A:L,4,0)</f>
        <v>Mouse</v>
      </c>
      <c r="D432" s="4">
        <f>VLOOKUP(A432,'Datos generales'!A:L,6,0)</f>
        <v>21.56</v>
      </c>
      <c r="E432" s="4">
        <f>VLOOKUP(A432,'Datos generales'!A:L,12,0)</f>
        <v>21.56</v>
      </c>
      <c r="F432" s="4" t="str">
        <f>VLOOKUP(A432,'Datos generales'!A:L,7,0)</f>
        <v>Accesorios</v>
      </c>
      <c r="G432" s="4">
        <v>2024</v>
      </c>
    </row>
    <row r="433" spans="1:7" x14ac:dyDescent="0.25">
      <c r="A433" t="s">
        <v>43</v>
      </c>
      <c r="B433" s="4">
        <f>VLOOKUP(A433,'Datos generales'!A:L,5,0)</f>
        <v>1</v>
      </c>
      <c r="C433" s="4" t="str">
        <f>VLOOKUP(A433,'Datos generales'!A:L,4,0)</f>
        <v>Silla Gamer</v>
      </c>
      <c r="D433" s="4">
        <f>VLOOKUP(A433,'Datos generales'!A:L,6,0)</f>
        <v>446.81</v>
      </c>
      <c r="E433" s="4">
        <f>VLOOKUP(A433,'Datos generales'!A:L,12,0)</f>
        <v>446.81</v>
      </c>
      <c r="F433" s="4" t="str">
        <f>VLOOKUP(A433,'Datos generales'!A:L,7,0)</f>
        <v>Muebles</v>
      </c>
      <c r="G433" s="4">
        <v>2024</v>
      </c>
    </row>
    <row r="434" spans="1:7" x14ac:dyDescent="0.25">
      <c r="A434" t="s">
        <v>44</v>
      </c>
      <c r="B434" s="4">
        <f>VLOOKUP(A434,'Datos generales'!A:L,5,0)</f>
        <v>2</v>
      </c>
      <c r="C434" s="4" t="str">
        <f>VLOOKUP(A434,'Datos generales'!A:L,4,0)</f>
        <v>Mouse</v>
      </c>
      <c r="D434" s="4">
        <f>VLOOKUP(A434,'Datos generales'!A:L,6,0)</f>
        <v>64.67</v>
      </c>
      <c r="E434" s="4">
        <f>VLOOKUP(A434,'Datos generales'!A:L,12,0)</f>
        <v>64.67</v>
      </c>
      <c r="F434" s="4" t="str">
        <f>VLOOKUP(A434,'Datos generales'!A:L,7,0)</f>
        <v>Accesorios</v>
      </c>
      <c r="G434" s="4">
        <v>2023</v>
      </c>
    </row>
    <row r="435" spans="1:7" x14ac:dyDescent="0.25">
      <c r="A435" t="s">
        <v>45</v>
      </c>
      <c r="B435" s="4">
        <f>VLOOKUP(A435,'Datos generales'!A:L,5,0)</f>
        <v>5</v>
      </c>
      <c r="C435" s="4" t="str">
        <f>VLOOKUP(A435,'Datos generales'!A:L,4,0)</f>
        <v>Webcam</v>
      </c>
      <c r="D435" s="4">
        <f>VLOOKUP(A435,'Datos generales'!A:L,6,0)</f>
        <v>1168.3499999999999</v>
      </c>
      <c r="E435" s="4">
        <f>VLOOKUP(A435,'Datos generales'!A:L,12,0)</f>
        <v>1168.3499999999999</v>
      </c>
      <c r="F435" s="4" t="str">
        <f>VLOOKUP(A435,'Datos generales'!A:L,7,0)</f>
        <v>Accesorios</v>
      </c>
      <c r="G435" s="4">
        <v>2024</v>
      </c>
    </row>
    <row r="436" spans="1:7" x14ac:dyDescent="0.25">
      <c r="A436" t="s">
        <v>46</v>
      </c>
      <c r="B436" s="4">
        <f>VLOOKUP(A436,'Datos generales'!A:L,5,0)</f>
        <v>2</v>
      </c>
      <c r="C436" s="4" t="str">
        <f>VLOOKUP(A436,'Datos generales'!A:L,4,0)</f>
        <v>Silla Gamer</v>
      </c>
      <c r="D436" s="4">
        <f>VLOOKUP(A436,'Datos generales'!A:L,6,0)</f>
        <v>349.3</v>
      </c>
      <c r="E436" s="4">
        <f>VLOOKUP(A436,'Datos generales'!A:L,12,0)</f>
        <v>349.3</v>
      </c>
      <c r="F436" s="4" t="str">
        <f>VLOOKUP(A436,'Datos generales'!A:L,7,0)</f>
        <v>Muebles</v>
      </c>
      <c r="G436" s="4">
        <v>2025</v>
      </c>
    </row>
    <row r="437" spans="1:7" x14ac:dyDescent="0.25">
      <c r="A437" t="s">
        <v>47</v>
      </c>
      <c r="B437" s="4">
        <f>VLOOKUP(A437,'Datos generales'!A:L,5,0)</f>
        <v>3</v>
      </c>
      <c r="C437" s="4" t="str">
        <f>VLOOKUP(A437,'Datos generales'!A:L,4,0)</f>
        <v>Webcam</v>
      </c>
      <c r="D437" s="4">
        <f>VLOOKUP(A437,'Datos generales'!A:L,6,0)</f>
        <v>1154.06</v>
      </c>
      <c r="E437" s="4">
        <f>VLOOKUP(A437,'Datos generales'!A:L,12,0)</f>
        <v>1154.06</v>
      </c>
      <c r="F437" s="4" t="str">
        <f>VLOOKUP(A437,'Datos generales'!A:L,7,0)</f>
        <v>Accesorios</v>
      </c>
      <c r="G437" s="4">
        <v>2024</v>
      </c>
    </row>
    <row r="438" spans="1:7" x14ac:dyDescent="0.25">
      <c r="A438" t="s">
        <v>48</v>
      </c>
      <c r="B438" s="4">
        <f>VLOOKUP(A438,'Datos generales'!A:L,5,0)</f>
        <v>4</v>
      </c>
      <c r="C438" s="4" t="str">
        <f>VLOOKUP(A438,'Datos generales'!A:L,4,0)</f>
        <v>Impresora</v>
      </c>
      <c r="D438" s="4">
        <f>VLOOKUP(A438,'Datos generales'!A:L,6,0)</f>
        <v>1566.37</v>
      </c>
      <c r="E438" s="4">
        <f>VLOOKUP(A438,'Datos generales'!A:L,12,0)</f>
        <v>1566.37</v>
      </c>
      <c r="F438" s="4" t="str">
        <f>VLOOKUP(A438,'Datos generales'!A:L,7,0)</f>
        <v>Electrónica</v>
      </c>
      <c r="G438" s="4">
        <v>2025</v>
      </c>
    </row>
    <row r="439" spans="1:7" x14ac:dyDescent="0.25">
      <c r="A439" t="s">
        <v>49</v>
      </c>
      <c r="B439" s="4">
        <f>VLOOKUP(A439,'Datos generales'!A:L,5,0)</f>
        <v>2</v>
      </c>
      <c r="C439" s="4" t="str">
        <f>VLOOKUP(A439,'Datos generales'!A:L,4,0)</f>
        <v>Monitor</v>
      </c>
      <c r="D439" s="4">
        <f>VLOOKUP(A439,'Datos generales'!A:L,6,0)</f>
        <v>674.48</v>
      </c>
      <c r="E439" s="4">
        <f>VLOOKUP(A439,'Datos generales'!A:L,12,0)</f>
        <v>674.48</v>
      </c>
      <c r="F439" s="4" t="str">
        <f>VLOOKUP(A439,'Datos generales'!A:L,7,0)</f>
        <v>Electrónica</v>
      </c>
      <c r="G439" s="4">
        <v>2024</v>
      </c>
    </row>
    <row r="440" spans="1:7" x14ac:dyDescent="0.25">
      <c r="A440" t="s">
        <v>50</v>
      </c>
      <c r="B440" s="4">
        <f>VLOOKUP(A440,'Datos generales'!A:L,5,0)</f>
        <v>2</v>
      </c>
      <c r="C440" s="4" t="str">
        <f>VLOOKUP(A440,'Datos generales'!A:L,4,0)</f>
        <v>Monitor</v>
      </c>
      <c r="D440" s="4">
        <f>VLOOKUP(A440,'Datos generales'!A:L,6,0)</f>
        <v>1543.98</v>
      </c>
      <c r="E440" s="4">
        <f>VLOOKUP(A440,'Datos generales'!A:L,12,0)</f>
        <v>1543.98</v>
      </c>
      <c r="F440" s="4" t="str">
        <f>VLOOKUP(A440,'Datos generales'!A:L,7,0)</f>
        <v>Electrónica</v>
      </c>
      <c r="G440" s="4">
        <v>2024</v>
      </c>
    </row>
    <row r="441" spans="1:7" x14ac:dyDescent="0.25">
      <c r="A441" t="s">
        <v>51</v>
      </c>
      <c r="B441" s="4">
        <f>VLOOKUP(A441,'Datos generales'!A:L,5,0)</f>
        <v>5</v>
      </c>
      <c r="C441" s="4" t="str">
        <f>VLOOKUP(A441,'Datos generales'!A:L,4,0)</f>
        <v>Laptop</v>
      </c>
      <c r="D441" s="4">
        <f>VLOOKUP(A441,'Datos generales'!A:L,6,0)</f>
        <v>917.31</v>
      </c>
      <c r="E441" s="4">
        <f>VLOOKUP(A441,'Datos generales'!A:L,12,0)</f>
        <v>917.30999999999983</v>
      </c>
      <c r="F441" s="4" t="str">
        <f>VLOOKUP(A441,'Datos generales'!A:L,7,0)</f>
        <v>Electrónica</v>
      </c>
      <c r="G441" s="4">
        <v>2023</v>
      </c>
    </row>
    <row r="442" spans="1:7" x14ac:dyDescent="0.25">
      <c r="A442" t="s">
        <v>52</v>
      </c>
      <c r="B442" s="4">
        <f>VLOOKUP(A442,'Datos generales'!A:L,5,0)</f>
        <v>4</v>
      </c>
      <c r="C442" s="4" t="str">
        <f>VLOOKUP(A442,'Datos generales'!A:L,4,0)</f>
        <v>Audífonos</v>
      </c>
      <c r="D442" s="4">
        <f>VLOOKUP(A442,'Datos generales'!A:L,6,0)</f>
        <v>450.36</v>
      </c>
      <c r="E442" s="4">
        <f>VLOOKUP(A442,'Datos generales'!A:L,12,0)</f>
        <v>450.36</v>
      </c>
      <c r="F442" s="4" t="str">
        <f>VLOOKUP(A442,'Datos generales'!A:L,7,0)</f>
        <v>Accesorios</v>
      </c>
      <c r="G442" s="4">
        <v>2024</v>
      </c>
    </row>
    <row r="443" spans="1:7" x14ac:dyDescent="0.25">
      <c r="A443" t="s">
        <v>53</v>
      </c>
      <c r="B443" s="4">
        <f>VLOOKUP(A443,'Datos generales'!A:L,5,0)</f>
        <v>2</v>
      </c>
      <c r="C443" s="4" t="str">
        <f>VLOOKUP(A443,'Datos generales'!A:L,4,0)</f>
        <v>Impresora</v>
      </c>
      <c r="D443" s="4">
        <f>VLOOKUP(A443,'Datos generales'!A:L,6,0)</f>
        <v>755.48</v>
      </c>
      <c r="E443" s="4">
        <f>VLOOKUP(A443,'Datos generales'!A:L,12,0)</f>
        <v>755.48</v>
      </c>
      <c r="F443" s="4" t="str">
        <f>VLOOKUP(A443,'Datos generales'!A:L,7,0)</f>
        <v>Electrónica</v>
      </c>
      <c r="G443" s="4">
        <v>2023</v>
      </c>
    </row>
    <row r="444" spans="1:7" x14ac:dyDescent="0.25">
      <c r="A444" t="s">
        <v>54</v>
      </c>
      <c r="B444" s="4">
        <f>VLOOKUP(A444,'Datos generales'!A:L,5,0)</f>
        <v>3</v>
      </c>
      <c r="C444" s="4" t="str">
        <f>VLOOKUP(A444,'Datos generales'!A:L,4,0)</f>
        <v>Teclado</v>
      </c>
      <c r="D444" s="4">
        <f>VLOOKUP(A444,'Datos generales'!A:L,6,0)</f>
        <v>1855.55</v>
      </c>
      <c r="E444" s="4">
        <f>VLOOKUP(A444,'Datos generales'!A:L,12,0)</f>
        <v>1855.55</v>
      </c>
      <c r="F444" s="4" t="str">
        <f>VLOOKUP(A444,'Datos generales'!A:L,7,0)</f>
        <v>Accesorios</v>
      </c>
      <c r="G444" s="4">
        <v>2024</v>
      </c>
    </row>
    <row r="445" spans="1:7" x14ac:dyDescent="0.25">
      <c r="A445" t="s">
        <v>55</v>
      </c>
      <c r="B445" s="4">
        <f>VLOOKUP(A445,'Datos generales'!A:L,5,0)</f>
        <v>5</v>
      </c>
      <c r="C445" s="4" t="str">
        <f>VLOOKUP(A445,'Datos generales'!A:L,4,0)</f>
        <v>Webcam</v>
      </c>
      <c r="D445" s="4">
        <f>VLOOKUP(A445,'Datos generales'!A:L,6,0)</f>
        <v>1011.75</v>
      </c>
      <c r="E445" s="4">
        <f>VLOOKUP(A445,'Datos generales'!A:L,12,0)</f>
        <v>1011.75</v>
      </c>
      <c r="F445" s="4" t="str">
        <f>VLOOKUP(A445,'Datos generales'!A:L,7,0)</f>
        <v>Accesorios</v>
      </c>
      <c r="G445" s="4">
        <v>2023</v>
      </c>
    </row>
    <row r="446" spans="1:7" x14ac:dyDescent="0.25">
      <c r="A446" t="s">
        <v>56</v>
      </c>
      <c r="B446" s="4">
        <f>VLOOKUP(A446,'Datos generales'!A:L,5,0)</f>
        <v>5</v>
      </c>
      <c r="C446" s="4" t="str">
        <f>VLOOKUP(A446,'Datos generales'!A:L,4,0)</f>
        <v>Teclado</v>
      </c>
      <c r="D446" s="4">
        <f>VLOOKUP(A446,'Datos generales'!A:L,6,0)</f>
        <v>1218.3399999999999</v>
      </c>
      <c r="E446" s="4">
        <f>VLOOKUP(A446,'Datos generales'!A:L,12,0)</f>
        <v>1218.3399999999999</v>
      </c>
      <c r="F446" s="4" t="str">
        <f>VLOOKUP(A446,'Datos generales'!A:L,7,0)</f>
        <v>Accesorios</v>
      </c>
      <c r="G446" s="4">
        <v>2023</v>
      </c>
    </row>
    <row r="447" spans="1:7" x14ac:dyDescent="0.25">
      <c r="A447" t="s">
        <v>57</v>
      </c>
      <c r="B447" s="4">
        <f>VLOOKUP(A447,'Datos generales'!A:L,5,0)</f>
        <v>2</v>
      </c>
      <c r="C447" s="4" t="str">
        <f>VLOOKUP(A447,'Datos generales'!A:L,4,0)</f>
        <v>Webcam</v>
      </c>
      <c r="D447" s="4">
        <f>VLOOKUP(A447,'Datos generales'!A:L,6,0)</f>
        <v>361.59</v>
      </c>
      <c r="E447" s="4">
        <f>VLOOKUP(A447,'Datos generales'!A:L,12,0)</f>
        <v>361.59</v>
      </c>
      <c r="F447" s="4" t="str">
        <f>VLOOKUP(A447,'Datos generales'!A:L,7,0)</f>
        <v>Accesorios</v>
      </c>
      <c r="G447" s="4">
        <v>2023</v>
      </c>
    </row>
    <row r="448" spans="1:7" x14ac:dyDescent="0.25">
      <c r="A448" t="s">
        <v>58</v>
      </c>
      <c r="B448" s="4">
        <f>VLOOKUP(A448,'Datos generales'!A:L,5,0)</f>
        <v>5</v>
      </c>
      <c r="C448" s="4" t="str">
        <f>VLOOKUP(A448,'Datos generales'!A:L,4,0)</f>
        <v>Teclado</v>
      </c>
      <c r="D448" s="4">
        <f>VLOOKUP(A448,'Datos generales'!A:L,6,0)</f>
        <v>958.8</v>
      </c>
      <c r="E448" s="4">
        <f>VLOOKUP(A448,'Datos generales'!A:L,12,0)</f>
        <v>958.8</v>
      </c>
      <c r="F448" s="4" t="str">
        <f>VLOOKUP(A448,'Datos generales'!A:L,7,0)</f>
        <v>Accesorios</v>
      </c>
      <c r="G448" s="4">
        <v>2023</v>
      </c>
    </row>
    <row r="449" spans="1:7" x14ac:dyDescent="0.25">
      <c r="A449" t="s">
        <v>59</v>
      </c>
      <c r="B449" s="4">
        <f>VLOOKUP(A449,'Datos generales'!A:L,5,0)</f>
        <v>5</v>
      </c>
      <c r="C449" s="4" t="str">
        <f>VLOOKUP(A449,'Datos generales'!A:L,4,0)</f>
        <v>Silla Gamer</v>
      </c>
      <c r="D449" s="4">
        <f>VLOOKUP(A449,'Datos generales'!A:L,6,0)</f>
        <v>1776.87</v>
      </c>
      <c r="E449" s="4">
        <f>VLOOKUP(A449,'Datos generales'!A:L,12,0)</f>
        <v>1776.87</v>
      </c>
      <c r="F449" s="4" t="str">
        <f>VLOOKUP(A449,'Datos generales'!A:L,7,0)</f>
        <v>Muebles</v>
      </c>
      <c r="G449" s="4">
        <v>2025</v>
      </c>
    </row>
    <row r="450" spans="1:7" x14ac:dyDescent="0.25">
      <c r="A450" t="s">
        <v>60</v>
      </c>
      <c r="B450" s="4">
        <f>VLOOKUP(A450,'Datos generales'!A:L,5,0)</f>
        <v>1</v>
      </c>
      <c r="C450" s="4" t="str">
        <f>VLOOKUP(A450,'Datos generales'!A:L,4,0)</f>
        <v>Audífonos</v>
      </c>
      <c r="D450" s="4">
        <f>VLOOKUP(A450,'Datos generales'!A:L,6,0)</f>
        <v>1467.34</v>
      </c>
      <c r="E450" s="4">
        <f>VLOOKUP(A450,'Datos generales'!A:L,12,0)</f>
        <v>1467.34</v>
      </c>
      <c r="F450" s="4" t="str">
        <f>VLOOKUP(A450,'Datos generales'!A:L,7,0)</f>
        <v>Accesorios</v>
      </c>
      <c r="G450" s="4">
        <v>2025</v>
      </c>
    </row>
    <row r="451" spans="1:7" x14ac:dyDescent="0.25">
      <c r="A451" t="s">
        <v>61</v>
      </c>
      <c r="B451" s="4">
        <f>VLOOKUP(A451,'Datos generales'!A:L,5,0)</f>
        <v>3</v>
      </c>
      <c r="C451" s="4" t="str">
        <f>VLOOKUP(A451,'Datos generales'!A:L,4,0)</f>
        <v>Silla Gamer</v>
      </c>
      <c r="D451" s="4">
        <f>VLOOKUP(A451,'Datos generales'!A:L,6,0)</f>
        <v>683.91</v>
      </c>
      <c r="E451" s="4">
        <f>VLOOKUP(A451,'Datos generales'!A:L,12,0)</f>
        <v>683.91</v>
      </c>
      <c r="F451" s="4" t="str">
        <f>VLOOKUP(A451,'Datos generales'!A:L,7,0)</f>
        <v>Muebles</v>
      </c>
      <c r="G451" s="4">
        <v>2025</v>
      </c>
    </row>
    <row r="452" spans="1:7" x14ac:dyDescent="0.25">
      <c r="A452" t="s">
        <v>62</v>
      </c>
      <c r="B452" s="4">
        <f>VLOOKUP(A452,'Datos generales'!A:L,5,0)</f>
        <v>1</v>
      </c>
      <c r="C452" s="4" t="str">
        <f>VLOOKUP(A452,'Datos generales'!A:L,4,0)</f>
        <v>Silla Gamer</v>
      </c>
      <c r="D452" s="4">
        <f>VLOOKUP(A452,'Datos generales'!A:L,6,0)</f>
        <v>1083.8599999999999</v>
      </c>
      <c r="E452" s="4">
        <f>VLOOKUP(A452,'Datos generales'!A:L,12,0)</f>
        <v>1083.8599999999999</v>
      </c>
      <c r="F452" s="4" t="str">
        <f>VLOOKUP(A452,'Datos generales'!A:L,7,0)</f>
        <v>Muebles</v>
      </c>
      <c r="G452" s="4">
        <v>2024</v>
      </c>
    </row>
    <row r="453" spans="1:7" x14ac:dyDescent="0.25">
      <c r="A453" t="s">
        <v>63</v>
      </c>
      <c r="B453" s="4">
        <f>VLOOKUP(A453,'Datos generales'!A:L,5,0)</f>
        <v>2</v>
      </c>
      <c r="C453" s="4" t="str">
        <f>VLOOKUP(A453,'Datos generales'!A:L,4,0)</f>
        <v>Monitor</v>
      </c>
      <c r="D453" s="4">
        <f>VLOOKUP(A453,'Datos generales'!A:L,6,0)</f>
        <v>1551.85</v>
      </c>
      <c r="E453" s="4">
        <f>VLOOKUP(A453,'Datos generales'!A:L,12,0)</f>
        <v>1551.85</v>
      </c>
      <c r="F453" s="4" t="str">
        <f>VLOOKUP(A453,'Datos generales'!A:L,7,0)</f>
        <v>Electrónica</v>
      </c>
      <c r="G453" s="4">
        <v>2023</v>
      </c>
    </row>
    <row r="454" spans="1:7" x14ac:dyDescent="0.25">
      <c r="A454" t="s">
        <v>64</v>
      </c>
      <c r="B454" s="4">
        <f>VLOOKUP(A454,'Datos generales'!A:L,5,0)</f>
        <v>5</v>
      </c>
      <c r="C454" s="4" t="str">
        <f>VLOOKUP(A454,'Datos generales'!A:L,4,0)</f>
        <v>Laptop</v>
      </c>
      <c r="D454" s="4">
        <f>VLOOKUP(A454,'Datos generales'!A:L,6,0)</f>
        <v>1368.27</v>
      </c>
      <c r="E454" s="4">
        <f>VLOOKUP(A454,'Datos generales'!A:L,12,0)</f>
        <v>1368.27</v>
      </c>
      <c r="F454" s="4" t="str">
        <f>VLOOKUP(A454,'Datos generales'!A:L,7,0)</f>
        <v>Electrónica</v>
      </c>
      <c r="G454" s="4">
        <v>2024</v>
      </c>
    </row>
    <row r="455" spans="1:7" x14ac:dyDescent="0.25">
      <c r="A455" t="s">
        <v>65</v>
      </c>
      <c r="B455" s="4">
        <f>VLOOKUP(A455,'Datos generales'!A:L,5,0)</f>
        <v>4</v>
      </c>
      <c r="C455" s="4" t="str">
        <f>VLOOKUP(A455,'Datos generales'!A:L,4,0)</f>
        <v>Laptop</v>
      </c>
      <c r="D455" s="4">
        <f>VLOOKUP(A455,'Datos generales'!A:L,6,0)</f>
        <v>1818.88</v>
      </c>
      <c r="E455" s="4">
        <f>VLOOKUP(A455,'Datos generales'!A:L,12,0)</f>
        <v>1818.88</v>
      </c>
      <c r="F455" s="4" t="str">
        <f>VLOOKUP(A455,'Datos generales'!A:L,7,0)</f>
        <v>Electrónica</v>
      </c>
      <c r="G455" s="4">
        <v>2024</v>
      </c>
    </row>
    <row r="456" spans="1:7" x14ac:dyDescent="0.25">
      <c r="A456" t="s">
        <v>66</v>
      </c>
      <c r="B456" s="4">
        <f>VLOOKUP(A456,'Datos generales'!A:L,5,0)</f>
        <v>4</v>
      </c>
      <c r="C456" s="4" t="str">
        <f>VLOOKUP(A456,'Datos generales'!A:L,4,0)</f>
        <v>Mouse</v>
      </c>
      <c r="D456" s="4">
        <f>VLOOKUP(A456,'Datos generales'!A:L,6,0)</f>
        <v>1601.32</v>
      </c>
      <c r="E456" s="4">
        <f>VLOOKUP(A456,'Datos generales'!A:L,12,0)</f>
        <v>1601.32</v>
      </c>
      <c r="F456" s="4" t="str">
        <f>VLOOKUP(A456,'Datos generales'!A:L,7,0)</f>
        <v>Accesorios</v>
      </c>
      <c r="G456" s="4">
        <v>2023</v>
      </c>
    </row>
    <row r="457" spans="1:7" x14ac:dyDescent="0.25">
      <c r="A457" t="s">
        <v>67</v>
      </c>
      <c r="B457" s="4">
        <f>VLOOKUP(A457,'Datos generales'!A:L,5,0)</f>
        <v>4</v>
      </c>
      <c r="C457" s="4" t="str">
        <f>VLOOKUP(A457,'Datos generales'!A:L,4,0)</f>
        <v>Teclado</v>
      </c>
      <c r="D457" s="4">
        <f>VLOOKUP(A457,'Datos generales'!A:L,6,0)</f>
        <v>177.79</v>
      </c>
      <c r="E457" s="4">
        <f>VLOOKUP(A457,'Datos generales'!A:L,12,0)</f>
        <v>177.79</v>
      </c>
      <c r="F457" s="4" t="str">
        <f>VLOOKUP(A457,'Datos generales'!A:L,7,0)</f>
        <v>Accesorios</v>
      </c>
      <c r="G457" s="4">
        <v>2023</v>
      </c>
    </row>
    <row r="458" spans="1:7" x14ac:dyDescent="0.25">
      <c r="A458" t="s">
        <v>68</v>
      </c>
      <c r="B458" s="4">
        <f>VLOOKUP(A458,'Datos generales'!A:L,5,0)</f>
        <v>1</v>
      </c>
      <c r="C458" s="4" t="str">
        <f>VLOOKUP(A458,'Datos generales'!A:L,4,0)</f>
        <v>Teclado</v>
      </c>
      <c r="D458" s="4">
        <f>VLOOKUP(A458,'Datos generales'!A:L,6,0)</f>
        <v>83.48</v>
      </c>
      <c r="E458" s="4">
        <f>VLOOKUP(A458,'Datos generales'!A:L,12,0)</f>
        <v>83.48</v>
      </c>
      <c r="F458" s="4" t="str">
        <f>VLOOKUP(A458,'Datos generales'!A:L,7,0)</f>
        <v>Accesorios</v>
      </c>
      <c r="G458" s="4">
        <v>2023</v>
      </c>
    </row>
    <row r="459" spans="1:7" x14ac:dyDescent="0.25">
      <c r="A459" t="s">
        <v>69</v>
      </c>
      <c r="B459" s="4">
        <f>VLOOKUP(A459,'Datos generales'!A:L,5,0)</f>
        <v>1</v>
      </c>
      <c r="C459" s="4" t="str">
        <f>VLOOKUP(A459,'Datos generales'!A:L,4,0)</f>
        <v>Audífonos</v>
      </c>
      <c r="D459" s="4">
        <f>VLOOKUP(A459,'Datos generales'!A:L,6,0)</f>
        <v>1372.72</v>
      </c>
      <c r="E459" s="4">
        <f>VLOOKUP(A459,'Datos generales'!A:L,12,0)</f>
        <v>1372.72</v>
      </c>
      <c r="F459" s="4" t="str">
        <f>VLOOKUP(A459,'Datos generales'!A:L,7,0)</f>
        <v>Accesorios</v>
      </c>
      <c r="G459" s="4">
        <v>2023</v>
      </c>
    </row>
    <row r="460" spans="1:7" x14ac:dyDescent="0.25">
      <c r="A460" t="s">
        <v>70</v>
      </c>
      <c r="B460" s="4">
        <f>VLOOKUP(A460,'Datos generales'!A:L,5,0)</f>
        <v>1</v>
      </c>
      <c r="C460" s="4" t="str">
        <f>VLOOKUP(A460,'Datos generales'!A:L,4,0)</f>
        <v>Monitor</v>
      </c>
      <c r="D460" s="4">
        <f>VLOOKUP(A460,'Datos generales'!A:L,6,0)</f>
        <v>1618.91</v>
      </c>
      <c r="E460" s="4">
        <f>VLOOKUP(A460,'Datos generales'!A:L,12,0)</f>
        <v>1618.91</v>
      </c>
      <c r="F460" s="4" t="str">
        <f>VLOOKUP(A460,'Datos generales'!A:L,7,0)</f>
        <v>Electrónica</v>
      </c>
      <c r="G460" s="4">
        <v>2024</v>
      </c>
    </row>
    <row r="461" spans="1:7" x14ac:dyDescent="0.25">
      <c r="A461" t="s">
        <v>71</v>
      </c>
      <c r="B461" s="4">
        <f>VLOOKUP(A461,'Datos generales'!A:L,5,0)</f>
        <v>4</v>
      </c>
      <c r="C461" s="4" t="str">
        <f>VLOOKUP(A461,'Datos generales'!A:L,4,0)</f>
        <v>Impresora</v>
      </c>
      <c r="D461" s="4">
        <f>VLOOKUP(A461,'Datos generales'!A:L,6,0)</f>
        <v>530.65</v>
      </c>
      <c r="E461" s="4">
        <f>VLOOKUP(A461,'Datos generales'!A:L,12,0)</f>
        <v>530.65</v>
      </c>
      <c r="F461" s="4" t="str">
        <f>VLOOKUP(A461,'Datos generales'!A:L,7,0)</f>
        <v>Electrónica</v>
      </c>
      <c r="G461" s="4">
        <v>2024</v>
      </c>
    </row>
    <row r="462" spans="1:7" x14ac:dyDescent="0.25">
      <c r="A462" t="s">
        <v>72</v>
      </c>
      <c r="B462" s="4">
        <f>VLOOKUP(A462,'Datos generales'!A:L,5,0)</f>
        <v>5</v>
      </c>
      <c r="C462" s="4" t="str">
        <f>VLOOKUP(A462,'Datos generales'!A:L,4,0)</f>
        <v>Webcam</v>
      </c>
      <c r="D462" s="4">
        <f>VLOOKUP(A462,'Datos generales'!A:L,6,0)</f>
        <v>418.83</v>
      </c>
      <c r="E462" s="4">
        <f>VLOOKUP(A462,'Datos generales'!A:L,12,0)</f>
        <v>418.83</v>
      </c>
      <c r="F462" s="4" t="str">
        <f>VLOOKUP(A462,'Datos generales'!A:L,7,0)</f>
        <v>Accesorios</v>
      </c>
      <c r="G462" s="4">
        <v>2024</v>
      </c>
    </row>
    <row r="463" spans="1:7" x14ac:dyDescent="0.25">
      <c r="A463" t="s">
        <v>73</v>
      </c>
      <c r="B463" s="4">
        <f>VLOOKUP(A463,'Datos generales'!A:L,5,0)</f>
        <v>3</v>
      </c>
      <c r="C463" s="4" t="str">
        <f>VLOOKUP(A463,'Datos generales'!A:L,4,0)</f>
        <v>Silla Gamer</v>
      </c>
      <c r="D463" s="4">
        <f>VLOOKUP(A463,'Datos generales'!A:L,6,0)</f>
        <v>664.98</v>
      </c>
      <c r="E463" s="4">
        <f>VLOOKUP(A463,'Datos generales'!A:L,12,0)</f>
        <v>664.98</v>
      </c>
      <c r="F463" s="4" t="str">
        <f>VLOOKUP(A463,'Datos generales'!A:L,7,0)</f>
        <v>Muebles</v>
      </c>
      <c r="G463" s="4">
        <v>2025</v>
      </c>
    </row>
    <row r="464" spans="1:7" x14ac:dyDescent="0.25">
      <c r="A464" t="s">
        <v>74</v>
      </c>
      <c r="B464" s="4">
        <f>VLOOKUP(A464,'Datos generales'!A:L,5,0)</f>
        <v>1</v>
      </c>
      <c r="C464" s="4" t="str">
        <f>VLOOKUP(A464,'Datos generales'!A:L,4,0)</f>
        <v>Laptop</v>
      </c>
      <c r="D464" s="4">
        <f>VLOOKUP(A464,'Datos generales'!A:L,6,0)</f>
        <v>1322.41</v>
      </c>
      <c r="E464" s="4">
        <f>VLOOKUP(A464,'Datos generales'!A:L,12,0)</f>
        <v>1322.41</v>
      </c>
      <c r="F464" s="4" t="str">
        <f>VLOOKUP(A464,'Datos generales'!A:L,7,0)</f>
        <v>Electrónica</v>
      </c>
      <c r="G464" s="4">
        <v>2024</v>
      </c>
    </row>
    <row r="465" spans="1:7" x14ac:dyDescent="0.25">
      <c r="A465" t="s">
        <v>75</v>
      </c>
      <c r="B465" s="4">
        <f>VLOOKUP(A465,'Datos generales'!A:L,5,0)</f>
        <v>4</v>
      </c>
      <c r="C465" s="4" t="str">
        <f>VLOOKUP(A465,'Datos generales'!A:L,4,0)</f>
        <v>Monitor</v>
      </c>
      <c r="D465" s="4">
        <f>VLOOKUP(A465,'Datos generales'!A:L,6,0)</f>
        <v>1467.27</v>
      </c>
      <c r="E465" s="4">
        <f>VLOOKUP(A465,'Datos generales'!A:L,12,0)</f>
        <v>1467.27</v>
      </c>
      <c r="F465" s="4" t="str">
        <f>VLOOKUP(A465,'Datos generales'!A:L,7,0)</f>
        <v>Electrónica</v>
      </c>
      <c r="G465" s="4">
        <v>2023</v>
      </c>
    </row>
    <row r="466" spans="1:7" x14ac:dyDescent="0.25">
      <c r="A466" t="s">
        <v>76</v>
      </c>
      <c r="B466" s="4">
        <f>VLOOKUP(A466,'Datos generales'!A:L,5,0)</f>
        <v>4</v>
      </c>
      <c r="C466" s="4" t="str">
        <f>VLOOKUP(A466,'Datos generales'!A:L,4,0)</f>
        <v>Impresora</v>
      </c>
      <c r="D466" s="4">
        <f>VLOOKUP(A466,'Datos generales'!A:L,6,0)</f>
        <v>1804.12</v>
      </c>
      <c r="E466" s="4">
        <f>VLOOKUP(A466,'Datos generales'!A:L,12,0)</f>
        <v>1804.12</v>
      </c>
      <c r="F466" s="4" t="str">
        <f>VLOOKUP(A466,'Datos generales'!A:L,7,0)</f>
        <v>Electrónica</v>
      </c>
      <c r="G466" s="4">
        <v>2024</v>
      </c>
    </row>
    <row r="467" spans="1:7" x14ac:dyDescent="0.25">
      <c r="A467" t="s">
        <v>77</v>
      </c>
      <c r="B467" s="4">
        <f>VLOOKUP(A467,'Datos generales'!A:L,5,0)</f>
        <v>1</v>
      </c>
      <c r="C467" s="4" t="str">
        <f>VLOOKUP(A467,'Datos generales'!A:L,4,0)</f>
        <v>Audífonos</v>
      </c>
      <c r="D467" s="4">
        <f>VLOOKUP(A467,'Datos generales'!A:L,6,0)</f>
        <v>1172.72</v>
      </c>
      <c r="E467" s="4">
        <f>VLOOKUP(A467,'Datos generales'!A:L,12,0)</f>
        <v>1172.72</v>
      </c>
      <c r="F467" s="4" t="str">
        <f>VLOOKUP(A467,'Datos generales'!A:L,7,0)</f>
        <v>Accesorios</v>
      </c>
      <c r="G467" s="4">
        <v>2024</v>
      </c>
    </row>
    <row r="468" spans="1:7" x14ac:dyDescent="0.25">
      <c r="A468" t="s">
        <v>78</v>
      </c>
      <c r="B468" s="4">
        <f>VLOOKUP(A468,'Datos generales'!A:L,5,0)</f>
        <v>1</v>
      </c>
      <c r="C468" s="4" t="str">
        <f>VLOOKUP(A468,'Datos generales'!A:L,4,0)</f>
        <v>Mouse</v>
      </c>
      <c r="D468" s="4">
        <f>VLOOKUP(A468,'Datos generales'!A:L,6,0)</f>
        <v>725.07</v>
      </c>
      <c r="E468" s="4">
        <f>VLOOKUP(A468,'Datos generales'!A:L,12,0)</f>
        <v>725.07</v>
      </c>
      <c r="F468" s="4" t="str">
        <f>VLOOKUP(A468,'Datos generales'!A:L,7,0)</f>
        <v>Accesorios</v>
      </c>
      <c r="G468" s="4">
        <v>2023</v>
      </c>
    </row>
    <row r="469" spans="1:7" x14ac:dyDescent="0.25">
      <c r="A469" t="s">
        <v>79</v>
      </c>
      <c r="B469" s="4">
        <f>VLOOKUP(A469,'Datos generales'!A:L,5,0)</f>
        <v>5</v>
      </c>
      <c r="C469" s="4" t="str">
        <f>VLOOKUP(A469,'Datos generales'!A:L,4,0)</f>
        <v>Monitor</v>
      </c>
      <c r="D469" s="4">
        <f>VLOOKUP(A469,'Datos generales'!A:L,6,0)</f>
        <v>563.69000000000005</v>
      </c>
      <c r="E469" s="4">
        <f>VLOOKUP(A469,'Datos generales'!A:L,12,0)</f>
        <v>563.69000000000005</v>
      </c>
      <c r="F469" s="4" t="str">
        <f>VLOOKUP(A469,'Datos generales'!A:L,7,0)</f>
        <v>Electrónica</v>
      </c>
      <c r="G469" s="4">
        <v>2025</v>
      </c>
    </row>
    <row r="470" spans="1:7" x14ac:dyDescent="0.25">
      <c r="A470" t="s">
        <v>80</v>
      </c>
      <c r="B470" s="4">
        <f>VLOOKUP(A470,'Datos generales'!A:L,5,0)</f>
        <v>5</v>
      </c>
      <c r="C470" s="4" t="str">
        <f>VLOOKUP(A470,'Datos generales'!A:L,4,0)</f>
        <v>Audífonos</v>
      </c>
      <c r="D470" s="4">
        <f>VLOOKUP(A470,'Datos generales'!A:L,6,0)</f>
        <v>1547.41</v>
      </c>
      <c r="E470" s="4">
        <f>VLOOKUP(A470,'Datos generales'!A:L,12,0)</f>
        <v>1547.41</v>
      </c>
      <c r="F470" s="4" t="str">
        <f>VLOOKUP(A470,'Datos generales'!A:L,7,0)</f>
        <v>Accesorios</v>
      </c>
      <c r="G470" s="4">
        <v>2023</v>
      </c>
    </row>
    <row r="471" spans="1:7" x14ac:dyDescent="0.25">
      <c r="A471" t="s">
        <v>81</v>
      </c>
      <c r="B471" s="4">
        <f>VLOOKUP(A471,'Datos generales'!A:L,5,0)</f>
        <v>2</v>
      </c>
      <c r="C471" s="4" t="str">
        <f>VLOOKUP(A471,'Datos generales'!A:L,4,0)</f>
        <v>Webcam</v>
      </c>
      <c r="D471" s="4">
        <f>VLOOKUP(A471,'Datos generales'!A:L,6,0)</f>
        <v>1903.65</v>
      </c>
      <c r="E471" s="4">
        <f>VLOOKUP(A471,'Datos generales'!A:L,12,0)</f>
        <v>1903.65</v>
      </c>
      <c r="F471" s="4" t="str">
        <f>VLOOKUP(A471,'Datos generales'!A:L,7,0)</f>
        <v>Accesorios</v>
      </c>
      <c r="G471" s="4">
        <v>2023</v>
      </c>
    </row>
    <row r="472" spans="1:7" x14ac:dyDescent="0.25">
      <c r="A472" t="s">
        <v>82</v>
      </c>
      <c r="B472" s="4">
        <f>VLOOKUP(A472,'Datos generales'!A:L,5,0)</f>
        <v>2</v>
      </c>
      <c r="C472" s="4" t="str">
        <f>VLOOKUP(A472,'Datos generales'!A:L,4,0)</f>
        <v>Impresora</v>
      </c>
      <c r="D472" s="4">
        <f>VLOOKUP(A472,'Datos generales'!A:L,6,0)</f>
        <v>1198.2</v>
      </c>
      <c r="E472" s="4">
        <f>VLOOKUP(A472,'Datos generales'!A:L,12,0)</f>
        <v>1198.2</v>
      </c>
      <c r="F472" s="4" t="str">
        <f>VLOOKUP(A472,'Datos generales'!A:L,7,0)</f>
        <v>Electrónica</v>
      </c>
      <c r="G472" s="4">
        <v>2024</v>
      </c>
    </row>
    <row r="473" spans="1:7" x14ac:dyDescent="0.25">
      <c r="A473" t="s">
        <v>83</v>
      </c>
      <c r="B473" s="4">
        <f>VLOOKUP(A473,'Datos generales'!A:L,5,0)</f>
        <v>3</v>
      </c>
      <c r="C473" s="4" t="str">
        <f>VLOOKUP(A473,'Datos generales'!A:L,4,0)</f>
        <v>Teclado</v>
      </c>
      <c r="D473" s="4">
        <f>VLOOKUP(A473,'Datos generales'!A:L,6,0)</f>
        <v>543.72</v>
      </c>
      <c r="E473" s="4">
        <f>VLOOKUP(A473,'Datos generales'!A:L,12,0)</f>
        <v>543.72</v>
      </c>
      <c r="F473" s="4" t="str">
        <f>VLOOKUP(A473,'Datos generales'!A:L,7,0)</f>
        <v>Accesorios</v>
      </c>
      <c r="G473" s="4">
        <v>2025</v>
      </c>
    </row>
    <row r="474" spans="1:7" x14ac:dyDescent="0.25">
      <c r="A474" t="s">
        <v>84</v>
      </c>
      <c r="B474" s="4">
        <f>VLOOKUP(A474,'Datos generales'!A:L,5,0)</f>
        <v>2</v>
      </c>
      <c r="C474" s="4" t="str">
        <f>VLOOKUP(A474,'Datos generales'!A:L,4,0)</f>
        <v>Webcam</v>
      </c>
      <c r="D474" s="4">
        <f>VLOOKUP(A474,'Datos generales'!A:L,6,0)</f>
        <v>1449.53</v>
      </c>
      <c r="E474" s="4">
        <f>VLOOKUP(A474,'Datos generales'!A:L,12,0)</f>
        <v>1449.53</v>
      </c>
      <c r="F474" s="4" t="str">
        <f>VLOOKUP(A474,'Datos generales'!A:L,7,0)</f>
        <v>Accesorios</v>
      </c>
      <c r="G474" s="4">
        <v>2023</v>
      </c>
    </row>
    <row r="475" spans="1:7" x14ac:dyDescent="0.25">
      <c r="A475" t="s">
        <v>85</v>
      </c>
      <c r="B475" s="4">
        <f>VLOOKUP(A475,'Datos generales'!A:L,5,0)</f>
        <v>5</v>
      </c>
      <c r="C475" s="4" t="str">
        <f>VLOOKUP(A475,'Datos generales'!A:L,4,0)</f>
        <v>Silla Gamer</v>
      </c>
      <c r="D475" s="4">
        <f>VLOOKUP(A475,'Datos generales'!A:L,6,0)</f>
        <v>472.42</v>
      </c>
      <c r="E475" s="4">
        <f>VLOOKUP(A475,'Datos generales'!A:L,12,0)</f>
        <v>472.42</v>
      </c>
      <c r="F475" s="4" t="str">
        <f>VLOOKUP(A475,'Datos generales'!A:L,7,0)</f>
        <v>Muebles</v>
      </c>
      <c r="G475" s="4">
        <v>2024</v>
      </c>
    </row>
    <row r="476" spans="1:7" x14ac:dyDescent="0.25">
      <c r="A476" t="s">
        <v>86</v>
      </c>
      <c r="B476" s="4">
        <f>VLOOKUP(A476,'Datos generales'!A:L,5,0)</f>
        <v>3</v>
      </c>
      <c r="C476" s="4" t="str">
        <f>VLOOKUP(A476,'Datos generales'!A:L,4,0)</f>
        <v>Audífonos</v>
      </c>
      <c r="D476" s="4">
        <f>VLOOKUP(A476,'Datos generales'!A:L,6,0)</f>
        <v>367.9</v>
      </c>
      <c r="E476" s="4">
        <f>VLOOKUP(A476,'Datos generales'!A:L,12,0)</f>
        <v>367.89999999999992</v>
      </c>
      <c r="F476" s="4" t="str">
        <f>VLOOKUP(A476,'Datos generales'!A:L,7,0)</f>
        <v>Accesorios</v>
      </c>
      <c r="G476" s="4">
        <v>2023</v>
      </c>
    </row>
    <row r="477" spans="1:7" x14ac:dyDescent="0.25">
      <c r="A477" t="s">
        <v>87</v>
      </c>
      <c r="B477" s="4">
        <f>VLOOKUP(A477,'Datos generales'!A:L,5,0)</f>
        <v>5</v>
      </c>
      <c r="C477" s="4" t="str">
        <f>VLOOKUP(A477,'Datos generales'!A:L,4,0)</f>
        <v>Audífonos</v>
      </c>
      <c r="D477" s="4">
        <f>VLOOKUP(A477,'Datos generales'!A:L,6,0)</f>
        <v>739.51</v>
      </c>
      <c r="E477" s="4">
        <f>VLOOKUP(A477,'Datos generales'!A:L,12,0)</f>
        <v>739.51</v>
      </c>
      <c r="F477" s="4" t="str">
        <f>VLOOKUP(A477,'Datos generales'!A:L,7,0)</f>
        <v>Accesorios</v>
      </c>
      <c r="G477" s="4">
        <v>2025</v>
      </c>
    </row>
    <row r="478" spans="1:7" x14ac:dyDescent="0.25">
      <c r="A478" t="s">
        <v>88</v>
      </c>
      <c r="B478" s="4">
        <f>VLOOKUP(A478,'Datos generales'!A:L,5,0)</f>
        <v>2</v>
      </c>
      <c r="C478" s="4" t="str">
        <f>VLOOKUP(A478,'Datos generales'!A:L,4,0)</f>
        <v>Laptop</v>
      </c>
      <c r="D478" s="4">
        <f>VLOOKUP(A478,'Datos generales'!A:L,6,0)</f>
        <v>1089.1300000000001</v>
      </c>
      <c r="E478" s="4">
        <f>VLOOKUP(A478,'Datos generales'!A:L,12,0)</f>
        <v>1089.1300000000001</v>
      </c>
      <c r="F478" s="4" t="str">
        <f>VLOOKUP(A478,'Datos generales'!A:L,7,0)</f>
        <v>Electrónica</v>
      </c>
      <c r="G478" s="4">
        <v>2023</v>
      </c>
    </row>
    <row r="479" spans="1:7" x14ac:dyDescent="0.25">
      <c r="A479" t="s">
        <v>89</v>
      </c>
      <c r="B479" s="4">
        <f>VLOOKUP(A479,'Datos generales'!A:L,5,0)</f>
        <v>5</v>
      </c>
      <c r="C479" s="4" t="str">
        <f>VLOOKUP(A479,'Datos generales'!A:L,4,0)</f>
        <v>Webcam</v>
      </c>
      <c r="D479" s="4">
        <f>VLOOKUP(A479,'Datos generales'!A:L,6,0)</f>
        <v>1632.75</v>
      </c>
      <c r="E479" s="4">
        <f>VLOOKUP(A479,'Datos generales'!A:L,12,0)</f>
        <v>1632.75</v>
      </c>
      <c r="F479" s="4" t="str">
        <f>VLOOKUP(A479,'Datos generales'!A:L,7,0)</f>
        <v>Accesorios</v>
      </c>
      <c r="G479" s="4">
        <v>2024</v>
      </c>
    </row>
    <row r="480" spans="1:7" x14ac:dyDescent="0.25">
      <c r="A480" t="s">
        <v>90</v>
      </c>
      <c r="B480" s="4">
        <f>VLOOKUP(A480,'Datos generales'!A:L,5,0)</f>
        <v>3</v>
      </c>
      <c r="C480" s="4" t="str">
        <f>VLOOKUP(A480,'Datos generales'!A:L,4,0)</f>
        <v>Monitor</v>
      </c>
      <c r="D480" s="4">
        <f>VLOOKUP(A480,'Datos generales'!A:L,6,0)</f>
        <v>817.35</v>
      </c>
      <c r="E480" s="4">
        <f>VLOOKUP(A480,'Datos generales'!A:L,12,0)</f>
        <v>817.35</v>
      </c>
      <c r="F480" s="4" t="str">
        <f>VLOOKUP(A480,'Datos generales'!A:L,7,0)</f>
        <v>Electrónica</v>
      </c>
      <c r="G480" s="4">
        <v>2023</v>
      </c>
    </row>
    <row r="481" spans="1:7" x14ac:dyDescent="0.25">
      <c r="A481" t="s">
        <v>91</v>
      </c>
      <c r="B481" s="4">
        <f>VLOOKUP(A481,'Datos generales'!A:L,5,0)</f>
        <v>2</v>
      </c>
      <c r="C481" s="4" t="str">
        <f>VLOOKUP(A481,'Datos generales'!A:L,4,0)</f>
        <v>Teclado</v>
      </c>
      <c r="D481" s="4">
        <f>VLOOKUP(A481,'Datos generales'!A:L,6,0)</f>
        <v>1186.58</v>
      </c>
      <c r="E481" s="4">
        <f>VLOOKUP(A481,'Datos generales'!A:L,12,0)</f>
        <v>1186.58</v>
      </c>
      <c r="F481" s="4" t="str">
        <f>VLOOKUP(A481,'Datos generales'!A:L,7,0)</f>
        <v>Accesorios</v>
      </c>
      <c r="G481" s="4">
        <v>2024</v>
      </c>
    </row>
    <row r="482" spans="1:7" x14ac:dyDescent="0.25">
      <c r="A482" t="s">
        <v>92</v>
      </c>
      <c r="B482" s="4">
        <f>VLOOKUP(A482,'Datos generales'!A:L,5,0)</f>
        <v>2</v>
      </c>
      <c r="C482" s="4" t="str">
        <f>VLOOKUP(A482,'Datos generales'!A:L,4,0)</f>
        <v>Impresora</v>
      </c>
      <c r="D482" s="4">
        <f>VLOOKUP(A482,'Datos generales'!A:L,6,0)</f>
        <v>1872.8</v>
      </c>
      <c r="E482" s="4">
        <f>VLOOKUP(A482,'Datos generales'!A:L,12,0)</f>
        <v>1872.8</v>
      </c>
      <c r="F482" s="4" t="str">
        <f>VLOOKUP(A482,'Datos generales'!A:L,7,0)</f>
        <v>Electrónica</v>
      </c>
      <c r="G482" s="4">
        <v>2023</v>
      </c>
    </row>
    <row r="483" spans="1:7" x14ac:dyDescent="0.25">
      <c r="A483" t="s">
        <v>93</v>
      </c>
      <c r="B483" s="4">
        <f>VLOOKUP(A483,'Datos generales'!A:L,5,0)</f>
        <v>3</v>
      </c>
      <c r="C483" s="4" t="str">
        <f>VLOOKUP(A483,'Datos generales'!A:L,4,0)</f>
        <v>Silla Gamer</v>
      </c>
      <c r="D483" s="4">
        <f>VLOOKUP(A483,'Datos generales'!A:L,6,0)</f>
        <v>680.19</v>
      </c>
      <c r="E483" s="4">
        <f>VLOOKUP(A483,'Datos generales'!A:L,12,0)</f>
        <v>680.19</v>
      </c>
      <c r="F483" s="4" t="str">
        <f>VLOOKUP(A483,'Datos generales'!A:L,7,0)</f>
        <v>Muebles</v>
      </c>
      <c r="G483" s="4">
        <v>2023</v>
      </c>
    </row>
    <row r="484" spans="1:7" x14ac:dyDescent="0.25">
      <c r="A484" t="s">
        <v>94</v>
      </c>
      <c r="B484" s="4">
        <f>VLOOKUP(A484,'Datos generales'!A:L,5,0)</f>
        <v>4</v>
      </c>
      <c r="C484" s="4" t="str">
        <f>VLOOKUP(A484,'Datos generales'!A:L,4,0)</f>
        <v>Webcam</v>
      </c>
      <c r="D484" s="4">
        <f>VLOOKUP(A484,'Datos generales'!A:L,6,0)</f>
        <v>262.82</v>
      </c>
      <c r="E484" s="4">
        <f>VLOOKUP(A484,'Datos generales'!A:L,12,0)</f>
        <v>262.82</v>
      </c>
      <c r="F484" s="4" t="str">
        <f>VLOOKUP(A484,'Datos generales'!A:L,7,0)</f>
        <v>Accesorios</v>
      </c>
      <c r="G484" s="4">
        <v>2023</v>
      </c>
    </row>
    <row r="485" spans="1:7" x14ac:dyDescent="0.25">
      <c r="A485" t="s">
        <v>95</v>
      </c>
      <c r="B485" s="4">
        <f>VLOOKUP(A485,'Datos generales'!A:L,5,0)</f>
        <v>4</v>
      </c>
      <c r="C485" s="4" t="str">
        <f>VLOOKUP(A485,'Datos generales'!A:L,4,0)</f>
        <v>Impresora</v>
      </c>
      <c r="D485" s="4">
        <f>VLOOKUP(A485,'Datos generales'!A:L,6,0)</f>
        <v>1531.75</v>
      </c>
      <c r="E485" s="4">
        <f>VLOOKUP(A485,'Datos generales'!A:L,12,0)</f>
        <v>1531.75</v>
      </c>
      <c r="F485" s="4" t="str">
        <f>VLOOKUP(A485,'Datos generales'!A:L,7,0)</f>
        <v>Electrónica</v>
      </c>
      <c r="G485" s="4">
        <v>2025</v>
      </c>
    </row>
    <row r="486" spans="1:7" x14ac:dyDescent="0.25">
      <c r="A486" t="s">
        <v>96</v>
      </c>
      <c r="B486" s="4">
        <f>VLOOKUP(A486,'Datos generales'!A:L,5,0)</f>
        <v>1</v>
      </c>
      <c r="C486" s="4" t="str">
        <f>VLOOKUP(A486,'Datos generales'!A:L,4,0)</f>
        <v>Impresora</v>
      </c>
      <c r="D486" s="4">
        <f>VLOOKUP(A486,'Datos generales'!A:L,6,0)</f>
        <v>503.84</v>
      </c>
      <c r="E486" s="4">
        <f>VLOOKUP(A486,'Datos generales'!A:L,12,0)</f>
        <v>503.84</v>
      </c>
      <c r="F486" s="4" t="str">
        <f>VLOOKUP(A486,'Datos generales'!A:L,7,0)</f>
        <v>Electrónica</v>
      </c>
      <c r="G486" s="4">
        <v>2023</v>
      </c>
    </row>
    <row r="487" spans="1:7" x14ac:dyDescent="0.25">
      <c r="A487" t="s">
        <v>97</v>
      </c>
      <c r="B487" s="4">
        <f>VLOOKUP(A487,'Datos generales'!A:L,5,0)</f>
        <v>4</v>
      </c>
      <c r="C487" s="4" t="str">
        <f>VLOOKUP(A487,'Datos generales'!A:L,4,0)</f>
        <v>Laptop</v>
      </c>
      <c r="D487" s="4">
        <f>VLOOKUP(A487,'Datos generales'!A:L,6,0)</f>
        <v>1908.41</v>
      </c>
      <c r="E487" s="4">
        <f>VLOOKUP(A487,'Datos generales'!A:L,12,0)</f>
        <v>1908.41</v>
      </c>
      <c r="F487" s="4" t="str">
        <f>VLOOKUP(A487,'Datos generales'!A:L,7,0)</f>
        <v>Electrónica</v>
      </c>
      <c r="G487" s="4">
        <v>2024</v>
      </c>
    </row>
    <row r="488" spans="1:7" x14ac:dyDescent="0.25">
      <c r="A488" t="s">
        <v>98</v>
      </c>
      <c r="B488" s="4">
        <f>VLOOKUP(A488,'Datos generales'!A:L,5,0)</f>
        <v>2</v>
      </c>
      <c r="C488" s="4" t="str">
        <f>VLOOKUP(A488,'Datos generales'!A:L,4,0)</f>
        <v>Impresora</v>
      </c>
      <c r="D488" s="4">
        <f>VLOOKUP(A488,'Datos generales'!A:L,6,0)</f>
        <v>114.6</v>
      </c>
      <c r="E488" s="4">
        <f>VLOOKUP(A488,'Datos generales'!A:L,12,0)</f>
        <v>114.6</v>
      </c>
      <c r="F488" s="4" t="str">
        <f>VLOOKUP(A488,'Datos generales'!A:L,7,0)</f>
        <v>Electrónica</v>
      </c>
      <c r="G488" s="4">
        <v>2024</v>
      </c>
    </row>
    <row r="489" spans="1:7" x14ac:dyDescent="0.25">
      <c r="A489" t="s">
        <v>99</v>
      </c>
      <c r="B489" s="4">
        <f>VLOOKUP(A489,'Datos generales'!A:L,5,0)</f>
        <v>2</v>
      </c>
      <c r="C489" s="4" t="str">
        <f>VLOOKUP(A489,'Datos generales'!A:L,4,0)</f>
        <v>Impresora</v>
      </c>
      <c r="D489" s="4">
        <f>VLOOKUP(A489,'Datos generales'!A:L,6,0)</f>
        <v>595.78</v>
      </c>
      <c r="E489" s="4">
        <f>VLOOKUP(A489,'Datos generales'!A:L,12,0)</f>
        <v>595.78</v>
      </c>
      <c r="F489" s="4" t="str">
        <f>VLOOKUP(A489,'Datos generales'!A:L,7,0)</f>
        <v>Electrónica</v>
      </c>
      <c r="G489" s="4">
        <v>2023</v>
      </c>
    </row>
    <row r="490" spans="1:7" x14ac:dyDescent="0.25">
      <c r="A490" t="s">
        <v>100</v>
      </c>
      <c r="B490" s="4">
        <f>VLOOKUP(A490,'Datos generales'!A:L,5,0)</f>
        <v>2</v>
      </c>
      <c r="C490" s="4" t="str">
        <f>VLOOKUP(A490,'Datos generales'!A:L,4,0)</f>
        <v>Laptop</v>
      </c>
      <c r="D490" s="4">
        <f>VLOOKUP(A490,'Datos generales'!A:L,6,0)</f>
        <v>75.02</v>
      </c>
      <c r="E490" s="4">
        <f>VLOOKUP(A490,'Datos generales'!A:L,12,0)</f>
        <v>75.02</v>
      </c>
      <c r="F490" s="4" t="str">
        <f>VLOOKUP(A490,'Datos generales'!A:L,7,0)</f>
        <v>Electrónica</v>
      </c>
      <c r="G490" s="4">
        <v>2024</v>
      </c>
    </row>
    <row r="491" spans="1:7" x14ac:dyDescent="0.25">
      <c r="A491" t="s">
        <v>101</v>
      </c>
      <c r="B491" s="4">
        <f>VLOOKUP(A491,'Datos generales'!A:L,5,0)</f>
        <v>5</v>
      </c>
      <c r="C491" s="4" t="str">
        <f>VLOOKUP(A491,'Datos generales'!A:L,4,0)</f>
        <v>Webcam</v>
      </c>
      <c r="D491" s="4">
        <f>VLOOKUP(A491,'Datos generales'!A:L,6,0)</f>
        <v>540.91999999999996</v>
      </c>
      <c r="E491" s="4">
        <f>VLOOKUP(A491,'Datos generales'!A:L,12,0)</f>
        <v>540.91999999999996</v>
      </c>
      <c r="F491" s="4" t="str">
        <f>VLOOKUP(A491,'Datos generales'!A:L,7,0)</f>
        <v>Accesorios</v>
      </c>
      <c r="G491" s="4">
        <v>2024</v>
      </c>
    </row>
    <row r="492" spans="1:7" x14ac:dyDescent="0.25">
      <c r="A492" t="s">
        <v>102</v>
      </c>
      <c r="B492" s="4">
        <f>VLOOKUP(A492,'Datos generales'!A:L,5,0)</f>
        <v>2</v>
      </c>
      <c r="C492" s="4" t="str">
        <f>VLOOKUP(A492,'Datos generales'!A:L,4,0)</f>
        <v>Monitor</v>
      </c>
      <c r="D492" s="4">
        <f>VLOOKUP(A492,'Datos generales'!A:L,6,0)</f>
        <v>356.91</v>
      </c>
      <c r="E492" s="4">
        <f>VLOOKUP(A492,'Datos generales'!A:L,12,0)</f>
        <v>356.91</v>
      </c>
      <c r="F492" s="4" t="str">
        <f>VLOOKUP(A492,'Datos generales'!A:L,7,0)</f>
        <v>Electrónica</v>
      </c>
      <c r="G492" s="4">
        <v>2025</v>
      </c>
    </row>
    <row r="493" spans="1:7" x14ac:dyDescent="0.25">
      <c r="A493" t="s">
        <v>103</v>
      </c>
      <c r="B493" s="4">
        <f>VLOOKUP(A493,'Datos generales'!A:L,5,0)</f>
        <v>3</v>
      </c>
      <c r="C493" s="4" t="str">
        <f>VLOOKUP(A493,'Datos generales'!A:L,4,0)</f>
        <v>Audífonos</v>
      </c>
      <c r="D493" s="4">
        <f>VLOOKUP(A493,'Datos generales'!A:L,6,0)</f>
        <v>1135.67</v>
      </c>
      <c r="E493" s="4">
        <f>VLOOKUP(A493,'Datos generales'!A:L,12,0)</f>
        <v>1135.67</v>
      </c>
      <c r="F493" s="4" t="str">
        <f>VLOOKUP(A493,'Datos generales'!A:L,7,0)</f>
        <v>Accesorios</v>
      </c>
      <c r="G493" s="4">
        <v>2025</v>
      </c>
    </row>
    <row r="494" spans="1:7" x14ac:dyDescent="0.25">
      <c r="A494" t="s">
        <v>104</v>
      </c>
      <c r="B494" s="4">
        <f>VLOOKUP(A494,'Datos generales'!A:L,5,0)</f>
        <v>3</v>
      </c>
      <c r="C494" s="4" t="str">
        <f>VLOOKUP(A494,'Datos generales'!A:L,4,0)</f>
        <v>Impresora</v>
      </c>
      <c r="D494" s="4">
        <f>VLOOKUP(A494,'Datos generales'!A:L,6,0)</f>
        <v>805.69</v>
      </c>
      <c r="E494" s="4">
        <f>VLOOKUP(A494,'Datos generales'!A:L,12,0)</f>
        <v>805.69</v>
      </c>
      <c r="F494" s="4" t="str">
        <f>VLOOKUP(A494,'Datos generales'!A:L,7,0)</f>
        <v>Electrónica</v>
      </c>
      <c r="G494" s="4">
        <v>2025</v>
      </c>
    </row>
    <row r="495" spans="1:7" x14ac:dyDescent="0.25">
      <c r="A495" t="s">
        <v>105</v>
      </c>
      <c r="B495" s="4">
        <f>VLOOKUP(A495,'Datos generales'!A:L,5,0)</f>
        <v>2</v>
      </c>
      <c r="C495" s="4" t="str">
        <f>VLOOKUP(A495,'Datos generales'!A:L,4,0)</f>
        <v>Laptop</v>
      </c>
      <c r="D495" s="4">
        <f>VLOOKUP(A495,'Datos generales'!A:L,6,0)</f>
        <v>1259.07</v>
      </c>
      <c r="E495" s="4">
        <f>VLOOKUP(A495,'Datos generales'!A:L,12,0)</f>
        <v>1259.07</v>
      </c>
      <c r="F495" s="4" t="str">
        <f>VLOOKUP(A495,'Datos generales'!A:L,7,0)</f>
        <v>Electrónica</v>
      </c>
      <c r="G495" s="4">
        <v>2023</v>
      </c>
    </row>
    <row r="496" spans="1:7" x14ac:dyDescent="0.25">
      <c r="A496" t="s">
        <v>106</v>
      </c>
      <c r="B496" s="4">
        <f>VLOOKUP(A496,'Datos generales'!A:L,5,0)</f>
        <v>3</v>
      </c>
      <c r="C496" s="4" t="str">
        <f>VLOOKUP(A496,'Datos generales'!A:L,4,0)</f>
        <v>Mouse</v>
      </c>
      <c r="D496" s="4">
        <f>VLOOKUP(A496,'Datos generales'!A:L,6,0)</f>
        <v>600.4</v>
      </c>
      <c r="E496" s="4">
        <f>VLOOKUP(A496,'Datos generales'!A:L,12,0)</f>
        <v>600.4</v>
      </c>
      <c r="F496" s="4" t="str">
        <f>VLOOKUP(A496,'Datos generales'!A:L,7,0)</f>
        <v>Accesorios</v>
      </c>
      <c r="G496" s="4">
        <v>2024</v>
      </c>
    </row>
    <row r="497" spans="1:7" x14ac:dyDescent="0.25">
      <c r="A497" t="s">
        <v>107</v>
      </c>
      <c r="B497" s="4">
        <f>VLOOKUP(A497,'Datos generales'!A:L,5,0)</f>
        <v>2</v>
      </c>
      <c r="C497" s="4" t="str">
        <f>VLOOKUP(A497,'Datos generales'!A:L,4,0)</f>
        <v>Silla Gamer</v>
      </c>
      <c r="D497" s="4">
        <f>VLOOKUP(A497,'Datos generales'!A:L,6,0)</f>
        <v>479.81</v>
      </c>
      <c r="E497" s="4">
        <f>VLOOKUP(A497,'Datos generales'!A:L,12,0)</f>
        <v>479.81</v>
      </c>
      <c r="F497" s="4" t="str">
        <f>VLOOKUP(A497,'Datos generales'!A:L,7,0)</f>
        <v>Muebles</v>
      </c>
      <c r="G497" s="4">
        <v>2024</v>
      </c>
    </row>
    <row r="498" spans="1:7" x14ac:dyDescent="0.25">
      <c r="A498" t="s">
        <v>108</v>
      </c>
      <c r="B498" s="4">
        <f>VLOOKUP(A498,'Datos generales'!A:L,5,0)</f>
        <v>1</v>
      </c>
      <c r="C498" s="4" t="str">
        <f>VLOOKUP(A498,'Datos generales'!A:L,4,0)</f>
        <v>Webcam</v>
      </c>
      <c r="D498" s="4">
        <f>VLOOKUP(A498,'Datos generales'!A:L,6,0)</f>
        <v>1888.86</v>
      </c>
      <c r="E498" s="4">
        <f>VLOOKUP(A498,'Datos generales'!A:L,12,0)</f>
        <v>1888.86</v>
      </c>
      <c r="F498" s="4" t="str">
        <f>VLOOKUP(A498,'Datos generales'!A:L,7,0)</f>
        <v>Accesorios</v>
      </c>
      <c r="G498" s="4">
        <v>2024</v>
      </c>
    </row>
    <row r="499" spans="1:7" x14ac:dyDescent="0.25">
      <c r="A499" t="s">
        <v>109</v>
      </c>
      <c r="B499" s="4">
        <f>VLOOKUP(A499,'Datos generales'!A:L,5,0)</f>
        <v>4</v>
      </c>
      <c r="C499" s="4" t="str">
        <f>VLOOKUP(A499,'Datos generales'!A:L,4,0)</f>
        <v>Laptop</v>
      </c>
      <c r="D499" s="4">
        <f>VLOOKUP(A499,'Datos generales'!A:L,6,0)</f>
        <v>1821.05</v>
      </c>
      <c r="E499" s="4">
        <f>VLOOKUP(A499,'Datos generales'!A:L,12,0)</f>
        <v>1821.05</v>
      </c>
      <c r="F499" s="4" t="str">
        <f>VLOOKUP(A499,'Datos generales'!A:L,7,0)</f>
        <v>Electrónica</v>
      </c>
      <c r="G499" s="4">
        <v>2024</v>
      </c>
    </row>
    <row r="500" spans="1:7" x14ac:dyDescent="0.25">
      <c r="A500" t="s">
        <v>110</v>
      </c>
      <c r="B500" s="4">
        <f>VLOOKUP(A500,'Datos generales'!A:L,5,0)</f>
        <v>3</v>
      </c>
      <c r="C500" s="4" t="str">
        <f>VLOOKUP(A500,'Datos generales'!A:L,4,0)</f>
        <v>Mouse</v>
      </c>
      <c r="D500" s="4">
        <f>VLOOKUP(A500,'Datos generales'!A:L,6,0)</f>
        <v>1537.23</v>
      </c>
      <c r="E500" s="4">
        <f>VLOOKUP(A500,'Datos generales'!A:L,12,0)</f>
        <v>1537.23</v>
      </c>
      <c r="F500" s="4" t="str">
        <f>VLOOKUP(A500,'Datos generales'!A:L,7,0)</f>
        <v>Accesorios</v>
      </c>
      <c r="G500" s="4">
        <v>2025</v>
      </c>
    </row>
    <row r="501" spans="1:7" x14ac:dyDescent="0.25">
      <c r="A501" t="s">
        <v>111</v>
      </c>
      <c r="B501" s="4">
        <f>VLOOKUP(A501,'Datos generales'!A:L,5,0)</f>
        <v>3</v>
      </c>
      <c r="C501" s="4" t="str">
        <f>VLOOKUP(A501,'Datos generales'!A:L,4,0)</f>
        <v>Silla Gamer</v>
      </c>
      <c r="D501" s="4">
        <f>VLOOKUP(A501,'Datos generales'!A:L,6,0)</f>
        <v>311.66000000000003</v>
      </c>
      <c r="E501" s="4">
        <f>VLOOKUP(A501,'Datos generales'!A:L,12,0)</f>
        <v>311.66000000000003</v>
      </c>
      <c r="F501" s="4" t="str">
        <f>VLOOKUP(A501,'Datos generales'!A:L,7,0)</f>
        <v>Muebles</v>
      </c>
      <c r="G501" s="4">
        <v>2024</v>
      </c>
    </row>
    <row r="502" spans="1:7" x14ac:dyDescent="0.25">
      <c r="A502" t="s">
        <v>112</v>
      </c>
      <c r="B502" s="4">
        <f>VLOOKUP(A502,'Datos generales'!A:L,5,0)</f>
        <v>5</v>
      </c>
      <c r="C502" s="4" t="str">
        <f>VLOOKUP(A502,'Datos generales'!A:L,4,0)</f>
        <v>Teclado</v>
      </c>
      <c r="D502" s="4">
        <f>VLOOKUP(A502,'Datos generales'!A:L,6,0)</f>
        <v>149.09</v>
      </c>
      <c r="E502" s="4">
        <f>VLOOKUP(A502,'Datos generales'!A:L,12,0)</f>
        <v>149.09</v>
      </c>
      <c r="F502" s="4" t="str">
        <f>VLOOKUP(A502,'Datos generales'!A:L,7,0)</f>
        <v>Accesorios</v>
      </c>
      <c r="G502" s="4">
        <v>2024</v>
      </c>
    </row>
    <row r="503" spans="1:7" x14ac:dyDescent="0.25">
      <c r="A503" t="s">
        <v>113</v>
      </c>
      <c r="B503" s="4">
        <f>VLOOKUP(A503,'Datos generales'!A:L,5,0)</f>
        <v>5</v>
      </c>
      <c r="C503" s="4" t="str">
        <f>VLOOKUP(A503,'Datos generales'!A:L,4,0)</f>
        <v>Laptop</v>
      </c>
      <c r="D503" s="4">
        <f>VLOOKUP(A503,'Datos generales'!A:L,6,0)</f>
        <v>1885.48</v>
      </c>
      <c r="E503" s="4">
        <f>VLOOKUP(A503,'Datos generales'!A:L,12,0)</f>
        <v>1885.48</v>
      </c>
      <c r="F503" s="4" t="str">
        <f>VLOOKUP(A503,'Datos generales'!A:L,7,0)</f>
        <v>Electrónica</v>
      </c>
      <c r="G503" s="4">
        <v>2023</v>
      </c>
    </row>
    <row r="504" spans="1:7" x14ac:dyDescent="0.25">
      <c r="A504" t="s">
        <v>114</v>
      </c>
      <c r="B504" s="4">
        <f>VLOOKUP(A504,'Datos generales'!A:L,5,0)</f>
        <v>3</v>
      </c>
      <c r="C504" s="4" t="str">
        <f>VLOOKUP(A504,'Datos generales'!A:L,4,0)</f>
        <v>Webcam</v>
      </c>
      <c r="D504" s="4">
        <f>VLOOKUP(A504,'Datos generales'!A:L,6,0)</f>
        <v>1591.92</v>
      </c>
      <c r="E504" s="4">
        <f>VLOOKUP(A504,'Datos generales'!A:L,12,0)</f>
        <v>1591.92</v>
      </c>
      <c r="F504" s="4" t="str">
        <f>VLOOKUP(A504,'Datos generales'!A:L,7,0)</f>
        <v>Accesorios</v>
      </c>
      <c r="G504" s="4">
        <v>2023</v>
      </c>
    </row>
    <row r="505" spans="1:7" x14ac:dyDescent="0.25">
      <c r="A505" t="s">
        <v>115</v>
      </c>
      <c r="B505" s="4">
        <f>VLOOKUP(A505,'Datos generales'!A:L,5,0)</f>
        <v>5</v>
      </c>
      <c r="C505" s="4" t="str">
        <f>VLOOKUP(A505,'Datos generales'!A:L,4,0)</f>
        <v>Webcam</v>
      </c>
      <c r="D505" s="4">
        <f>VLOOKUP(A505,'Datos generales'!A:L,6,0)</f>
        <v>1383.33</v>
      </c>
      <c r="E505" s="4">
        <f>VLOOKUP(A505,'Datos generales'!A:L,12,0)</f>
        <v>1383.33</v>
      </c>
      <c r="F505" s="4" t="str">
        <f>VLOOKUP(A505,'Datos generales'!A:L,7,0)</f>
        <v>Accesorios</v>
      </c>
      <c r="G505" s="4">
        <v>2025</v>
      </c>
    </row>
    <row r="506" spans="1:7" x14ac:dyDescent="0.25">
      <c r="A506" t="s">
        <v>116</v>
      </c>
      <c r="B506" s="4">
        <f>VLOOKUP(A506,'Datos generales'!A:L,5,0)</f>
        <v>2</v>
      </c>
      <c r="C506" s="4" t="str">
        <f>VLOOKUP(A506,'Datos generales'!A:L,4,0)</f>
        <v>Silla Gamer</v>
      </c>
      <c r="D506" s="4">
        <f>VLOOKUP(A506,'Datos generales'!A:L,6,0)</f>
        <v>1051.23</v>
      </c>
      <c r="E506" s="4">
        <f>VLOOKUP(A506,'Datos generales'!A:L,12,0)</f>
        <v>1051.23</v>
      </c>
      <c r="F506" s="4" t="str">
        <f>VLOOKUP(A506,'Datos generales'!A:L,7,0)</f>
        <v>Muebles</v>
      </c>
      <c r="G506" s="4">
        <v>2025</v>
      </c>
    </row>
    <row r="507" spans="1:7" x14ac:dyDescent="0.25">
      <c r="A507" t="s">
        <v>117</v>
      </c>
      <c r="B507" s="4">
        <f>VLOOKUP(A507,'Datos generales'!A:L,5,0)</f>
        <v>4</v>
      </c>
      <c r="C507" s="4" t="str">
        <f>VLOOKUP(A507,'Datos generales'!A:L,4,0)</f>
        <v>Audífonos</v>
      </c>
      <c r="D507" s="4">
        <f>VLOOKUP(A507,'Datos generales'!A:L,6,0)</f>
        <v>1274.46</v>
      </c>
      <c r="E507" s="4">
        <f>VLOOKUP(A507,'Datos generales'!A:L,12,0)</f>
        <v>1274.46</v>
      </c>
      <c r="F507" s="4" t="str">
        <f>VLOOKUP(A507,'Datos generales'!A:L,7,0)</f>
        <v>Accesorios</v>
      </c>
      <c r="G507" s="4">
        <v>2023</v>
      </c>
    </row>
    <row r="508" spans="1:7" x14ac:dyDescent="0.25">
      <c r="A508" t="s">
        <v>118</v>
      </c>
      <c r="B508" s="4">
        <f>VLOOKUP(A508,'Datos generales'!A:L,5,0)</f>
        <v>1</v>
      </c>
      <c r="C508" s="4" t="str">
        <f>VLOOKUP(A508,'Datos generales'!A:L,4,0)</f>
        <v>Monitor</v>
      </c>
      <c r="D508" s="4">
        <f>VLOOKUP(A508,'Datos generales'!A:L,6,0)</f>
        <v>1251.08</v>
      </c>
      <c r="E508" s="4">
        <f>VLOOKUP(A508,'Datos generales'!A:L,12,0)</f>
        <v>1251.08</v>
      </c>
      <c r="F508" s="4" t="str">
        <f>VLOOKUP(A508,'Datos generales'!A:L,7,0)</f>
        <v>Electrónica</v>
      </c>
      <c r="G508" s="4">
        <v>2025</v>
      </c>
    </row>
    <row r="509" spans="1:7" x14ac:dyDescent="0.25">
      <c r="A509" t="s">
        <v>119</v>
      </c>
      <c r="B509" s="4">
        <f>VLOOKUP(A509,'Datos generales'!A:L,5,0)</f>
        <v>5</v>
      </c>
      <c r="C509" s="4" t="str">
        <f>VLOOKUP(A509,'Datos generales'!A:L,4,0)</f>
        <v>Audífonos</v>
      </c>
      <c r="D509" s="4">
        <f>VLOOKUP(A509,'Datos generales'!A:L,6,0)</f>
        <v>1582.2</v>
      </c>
      <c r="E509" s="4">
        <f>VLOOKUP(A509,'Datos generales'!A:L,12,0)</f>
        <v>1582.2</v>
      </c>
      <c r="F509" s="4" t="str">
        <f>VLOOKUP(A509,'Datos generales'!A:L,7,0)</f>
        <v>Accesorios</v>
      </c>
      <c r="G509" s="4">
        <v>2025</v>
      </c>
    </row>
    <row r="510" spans="1:7" x14ac:dyDescent="0.25">
      <c r="A510" t="s">
        <v>120</v>
      </c>
      <c r="B510" s="4">
        <f>VLOOKUP(A510,'Datos generales'!A:L,5,0)</f>
        <v>1</v>
      </c>
      <c r="C510" s="4" t="str">
        <f>VLOOKUP(A510,'Datos generales'!A:L,4,0)</f>
        <v>Silla Gamer</v>
      </c>
      <c r="D510" s="4">
        <f>VLOOKUP(A510,'Datos generales'!A:L,6,0)</f>
        <v>81.92</v>
      </c>
      <c r="E510" s="4">
        <f>VLOOKUP(A510,'Datos generales'!A:L,12,0)</f>
        <v>81.92</v>
      </c>
      <c r="F510" s="4" t="str">
        <f>VLOOKUP(A510,'Datos generales'!A:L,7,0)</f>
        <v>Muebles</v>
      </c>
      <c r="G510" s="4">
        <v>2023</v>
      </c>
    </row>
    <row r="511" spans="1:7" x14ac:dyDescent="0.25">
      <c r="A511" t="s">
        <v>121</v>
      </c>
      <c r="B511" s="4">
        <f>VLOOKUP(A511,'Datos generales'!A:L,5,0)</f>
        <v>1</v>
      </c>
      <c r="C511" s="4" t="str">
        <f>VLOOKUP(A511,'Datos generales'!A:L,4,0)</f>
        <v>Mouse</v>
      </c>
      <c r="D511" s="4">
        <f>VLOOKUP(A511,'Datos generales'!A:L,6,0)</f>
        <v>1153.31</v>
      </c>
      <c r="E511" s="4">
        <f>VLOOKUP(A511,'Datos generales'!A:L,12,0)</f>
        <v>1153.31</v>
      </c>
      <c r="F511" s="4" t="str">
        <f>VLOOKUP(A511,'Datos generales'!A:L,7,0)</f>
        <v>Accesorios</v>
      </c>
      <c r="G511" s="4">
        <v>2024</v>
      </c>
    </row>
    <row r="512" spans="1:7" x14ac:dyDescent="0.25">
      <c r="A512" t="s">
        <v>122</v>
      </c>
      <c r="B512" s="4">
        <f>VLOOKUP(A512,'Datos generales'!A:L,5,0)</f>
        <v>3</v>
      </c>
      <c r="C512" s="4" t="str">
        <f>VLOOKUP(A512,'Datos generales'!A:L,4,0)</f>
        <v>Mouse</v>
      </c>
      <c r="D512" s="4">
        <f>VLOOKUP(A512,'Datos generales'!A:L,6,0)</f>
        <v>1078.08</v>
      </c>
      <c r="E512" s="4">
        <f>VLOOKUP(A512,'Datos generales'!A:L,12,0)</f>
        <v>1078.08</v>
      </c>
      <c r="F512" s="4" t="str">
        <f>VLOOKUP(A512,'Datos generales'!A:L,7,0)</f>
        <v>Accesorios</v>
      </c>
      <c r="G512" s="4">
        <v>2025</v>
      </c>
    </row>
    <row r="513" spans="1:7" x14ac:dyDescent="0.25">
      <c r="A513" t="s">
        <v>123</v>
      </c>
      <c r="B513" s="4">
        <f>VLOOKUP(A513,'Datos generales'!A:L,5,0)</f>
        <v>1</v>
      </c>
      <c r="C513" s="4" t="str">
        <f>VLOOKUP(A513,'Datos generales'!A:L,4,0)</f>
        <v>Impresora</v>
      </c>
      <c r="D513" s="4">
        <f>VLOOKUP(A513,'Datos generales'!A:L,6,0)</f>
        <v>201.91</v>
      </c>
      <c r="E513" s="4">
        <f>VLOOKUP(A513,'Datos generales'!A:L,12,0)</f>
        <v>201.91</v>
      </c>
      <c r="F513" s="4" t="str">
        <f>VLOOKUP(A513,'Datos generales'!A:L,7,0)</f>
        <v>Electrónica</v>
      </c>
      <c r="G513" s="4">
        <v>2024</v>
      </c>
    </row>
    <row r="514" spans="1:7" x14ac:dyDescent="0.25">
      <c r="A514" t="s">
        <v>124</v>
      </c>
      <c r="B514" s="4">
        <f>VLOOKUP(A514,'Datos generales'!A:L,5,0)</f>
        <v>3</v>
      </c>
      <c r="C514" s="4" t="str">
        <f>VLOOKUP(A514,'Datos generales'!A:L,4,0)</f>
        <v>Webcam</v>
      </c>
      <c r="D514" s="4">
        <f>VLOOKUP(A514,'Datos generales'!A:L,6,0)</f>
        <v>727.36</v>
      </c>
      <c r="E514" s="4">
        <f>VLOOKUP(A514,'Datos generales'!A:L,12,0)</f>
        <v>727.36</v>
      </c>
      <c r="F514" s="4" t="str">
        <f>VLOOKUP(A514,'Datos generales'!A:L,7,0)</f>
        <v>Accesorios</v>
      </c>
      <c r="G514" s="4">
        <v>2024</v>
      </c>
    </row>
    <row r="515" spans="1:7" x14ac:dyDescent="0.25">
      <c r="A515" t="s">
        <v>125</v>
      </c>
      <c r="B515" s="4">
        <f>VLOOKUP(A515,'Datos generales'!A:L,5,0)</f>
        <v>3</v>
      </c>
      <c r="C515" s="4" t="str">
        <f>VLOOKUP(A515,'Datos generales'!A:L,4,0)</f>
        <v>Audífonos</v>
      </c>
      <c r="D515" s="4">
        <f>VLOOKUP(A515,'Datos generales'!A:L,6,0)</f>
        <v>1645.43</v>
      </c>
      <c r="E515" s="4">
        <f>VLOOKUP(A515,'Datos generales'!A:L,12,0)</f>
        <v>1645.43</v>
      </c>
      <c r="F515" s="4" t="str">
        <f>VLOOKUP(A515,'Datos generales'!A:L,7,0)</f>
        <v>Accesorios</v>
      </c>
      <c r="G515" s="4">
        <v>2023</v>
      </c>
    </row>
    <row r="516" spans="1:7" x14ac:dyDescent="0.25">
      <c r="A516" t="s">
        <v>126</v>
      </c>
      <c r="B516" s="4">
        <f>VLOOKUP(A516,'Datos generales'!A:L,5,0)</f>
        <v>3</v>
      </c>
      <c r="C516" s="4" t="str">
        <f>VLOOKUP(A516,'Datos generales'!A:L,4,0)</f>
        <v>Laptop</v>
      </c>
      <c r="D516" s="4">
        <f>VLOOKUP(A516,'Datos generales'!A:L,6,0)</f>
        <v>420.05</v>
      </c>
      <c r="E516" s="4">
        <f>VLOOKUP(A516,'Datos generales'!A:L,12,0)</f>
        <v>420.05</v>
      </c>
      <c r="F516" s="4" t="str">
        <f>VLOOKUP(A516,'Datos generales'!A:L,7,0)</f>
        <v>Electrónica</v>
      </c>
      <c r="G516" s="4">
        <v>2024</v>
      </c>
    </row>
    <row r="517" spans="1:7" x14ac:dyDescent="0.25">
      <c r="A517" t="s">
        <v>127</v>
      </c>
      <c r="B517" s="4">
        <f>VLOOKUP(A517,'Datos generales'!A:L,5,0)</f>
        <v>4</v>
      </c>
      <c r="C517" s="4" t="str">
        <f>VLOOKUP(A517,'Datos generales'!A:L,4,0)</f>
        <v>Silla Gamer</v>
      </c>
      <c r="D517" s="4">
        <f>VLOOKUP(A517,'Datos generales'!A:L,6,0)</f>
        <v>496.9</v>
      </c>
      <c r="E517" s="4">
        <f>VLOOKUP(A517,'Datos generales'!A:L,12,0)</f>
        <v>496.9</v>
      </c>
      <c r="F517" s="4" t="str">
        <f>VLOOKUP(A517,'Datos generales'!A:L,7,0)</f>
        <v>Muebles</v>
      </c>
      <c r="G517" s="4">
        <v>2024</v>
      </c>
    </row>
    <row r="518" spans="1:7" x14ac:dyDescent="0.25">
      <c r="A518" t="s">
        <v>128</v>
      </c>
      <c r="B518" s="4">
        <f>VLOOKUP(A518,'Datos generales'!A:L,5,0)</f>
        <v>2</v>
      </c>
      <c r="C518" s="4" t="str">
        <f>VLOOKUP(A518,'Datos generales'!A:L,4,0)</f>
        <v>Teclado</v>
      </c>
      <c r="D518" s="4">
        <f>VLOOKUP(A518,'Datos generales'!A:L,6,0)</f>
        <v>721.56</v>
      </c>
      <c r="E518" s="4">
        <f>VLOOKUP(A518,'Datos generales'!A:L,12,0)</f>
        <v>721.56</v>
      </c>
      <c r="F518" s="4" t="str">
        <f>VLOOKUP(A518,'Datos generales'!A:L,7,0)</f>
        <v>Accesorios</v>
      </c>
      <c r="G518" s="4">
        <v>2023</v>
      </c>
    </row>
    <row r="519" spans="1:7" x14ac:dyDescent="0.25">
      <c r="A519" t="s">
        <v>129</v>
      </c>
      <c r="B519" s="4">
        <f>VLOOKUP(A519,'Datos generales'!A:L,5,0)</f>
        <v>4</v>
      </c>
      <c r="C519" s="4" t="str">
        <f>VLOOKUP(A519,'Datos generales'!A:L,4,0)</f>
        <v>Audífonos</v>
      </c>
      <c r="D519" s="4">
        <f>VLOOKUP(A519,'Datos generales'!A:L,6,0)</f>
        <v>1353.9</v>
      </c>
      <c r="E519" s="4">
        <f>VLOOKUP(A519,'Datos generales'!A:L,12,0)</f>
        <v>1353.9</v>
      </c>
      <c r="F519" s="4" t="str">
        <f>VLOOKUP(A519,'Datos generales'!A:L,7,0)</f>
        <v>Accesorios</v>
      </c>
      <c r="G519" s="4">
        <v>2023</v>
      </c>
    </row>
    <row r="520" spans="1:7" x14ac:dyDescent="0.25">
      <c r="A520" t="s">
        <v>130</v>
      </c>
      <c r="B520" s="4">
        <f>VLOOKUP(A520,'Datos generales'!A:L,5,0)</f>
        <v>2</v>
      </c>
      <c r="C520" s="4" t="str">
        <f>VLOOKUP(A520,'Datos generales'!A:L,4,0)</f>
        <v>Impresora</v>
      </c>
      <c r="D520" s="4">
        <f>VLOOKUP(A520,'Datos generales'!A:L,6,0)</f>
        <v>429.52</v>
      </c>
      <c r="E520" s="4">
        <f>VLOOKUP(A520,'Datos generales'!A:L,12,0)</f>
        <v>429.52</v>
      </c>
      <c r="F520" s="4" t="str">
        <f>VLOOKUP(A520,'Datos generales'!A:L,7,0)</f>
        <v>Electrónica</v>
      </c>
      <c r="G520" s="4">
        <v>2024</v>
      </c>
    </row>
    <row r="521" spans="1:7" x14ac:dyDescent="0.25">
      <c r="A521" t="s">
        <v>131</v>
      </c>
      <c r="B521" s="4">
        <f>VLOOKUP(A521,'Datos generales'!A:L,5,0)</f>
        <v>2</v>
      </c>
      <c r="C521" s="4" t="str">
        <f>VLOOKUP(A521,'Datos generales'!A:L,4,0)</f>
        <v>Silla Gamer</v>
      </c>
      <c r="D521" s="4">
        <f>VLOOKUP(A521,'Datos generales'!A:L,6,0)</f>
        <v>1824.96</v>
      </c>
      <c r="E521" s="4">
        <f>VLOOKUP(A521,'Datos generales'!A:L,12,0)</f>
        <v>1824.96</v>
      </c>
      <c r="F521" s="4" t="str">
        <f>VLOOKUP(A521,'Datos generales'!A:L,7,0)</f>
        <v>Muebles</v>
      </c>
      <c r="G521" s="4">
        <v>2024</v>
      </c>
    </row>
    <row r="522" spans="1:7" x14ac:dyDescent="0.25">
      <c r="A522" t="s">
        <v>132</v>
      </c>
      <c r="B522" s="4">
        <f>VLOOKUP(A522,'Datos generales'!A:L,5,0)</f>
        <v>5</v>
      </c>
      <c r="C522" s="4" t="str">
        <f>VLOOKUP(A522,'Datos generales'!A:L,4,0)</f>
        <v>Mouse</v>
      </c>
      <c r="D522" s="4">
        <f>VLOOKUP(A522,'Datos generales'!A:L,6,0)</f>
        <v>1059.81</v>
      </c>
      <c r="E522" s="4">
        <f>VLOOKUP(A522,'Datos generales'!A:L,12,0)</f>
        <v>1059.81</v>
      </c>
      <c r="F522" s="4" t="str">
        <f>VLOOKUP(A522,'Datos generales'!A:L,7,0)</f>
        <v>Accesorios</v>
      </c>
      <c r="G522" s="4">
        <v>2024</v>
      </c>
    </row>
    <row r="523" spans="1:7" x14ac:dyDescent="0.25">
      <c r="A523" t="s">
        <v>133</v>
      </c>
      <c r="B523" s="4">
        <f>VLOOKUP(A523,'Datos generales'!A:L,5,0)</f>
        <v>4</v>
      </c>
      <c r="C523" s="4" t="str">
        <f>VLOOKUP(A523,'Datos generales'!A:L,4,0)</f>
        <v>Silla Gamer</v>
      </c>
      <c r="D523" s="4">
        <f>VLOOKUP(A523,'Datos generales'!A:L,6,0)</f>
        <v>46.39</v>
      </c>
      <c r="E523" s="4">
        <f>VLOOKUP(A523,'Datos generales'!A:L,12,0)</f>
        <v>46.39</v>
      </c>
      <c r="F523" s="4" t="str">
        <f>VLOOKUP(A523,'Datos generales'!A:L,7,0)</f>
        <v>Muebles</v>
      </c>
      <c r="G523" s="4">
        <v>2023</v>
      </c>
    </row>
    <row r="524" spans="1:7" x14ac:dyDescent="0.25">
      <c r="A524" t="s">
        <v>134</v>
      </c>
      <c r="B524" s="4">
        <f>VLOOKUP(A524,'Datos generales'!A:L,5,0)</f>
        <v>1</v>
      </c>
      <c r="C524" s="4" t="str">
        <f>VLOOKUP(A524,'Datos generales'!A:L,4,0)</f>
        <v>Laptop</v>
      </c>
      <c r="D524" s="4">
        <f>VLOOKUP(A524,'Datos generales'!A:L,6,0)</f>
        <v>754.07</v>
      </c>
      <c r="E524" s="4">
        <f>VLOOKUP(A524,'Datos generales'!A:L,12,0)</f>
        <v>754.07</v>
      </c>
      <c r="F524" s="4" t="str">
        <f>VLOOKUP(A524,'Datos generales'!A:L,7,0)</f>
        <v>Electrónica</v>
      </c>
      <c r="G524" s="4">
        <v>2023</v>
      </c>
    </row>
    <row r="525" spans="1:7" x14ac:dyDescent="0.25">
      <c r="A525" t="s">
        <v>135</v>
      </c>
      <c r="B525" s="4">
        <f>VLOOKUP(A525,'Datos generales'!A:L,5,0)</f>
        <v>1</v>
      </c>
      <c r="C525" s="4" t="str">
        <f>VLOOKUP(A525,'Datos generales'!A:L,4,0)</f>
        <v>Audífonos</v>
      </c>
      <c r="D525" s="4">
        <f>VLOOKUP(A525,'Datos generales'!A:L,6,0)</f>
        <v>1681.02</v>
      </c>
      <c r="E525" s="4">
        <f>VLOOKUP(A525,'Datos generales'!A:L,12,0)</f>
        <v>1681.02</v>
      </c>
      <c r="F525" s="4" t="str">
        <f>VLOOKUP(A525,'Datos generales'!A:L,7,0)</f>
        <v>Accesorios</v>
      </c>
      <c r="G525" s="4">
        <v>2025</v>
      </c>
    </row>
    <row r="526" spans="1:7" x14ac:dyDescent="0.25">
      <c r="A526" t="s">
        <v>136</v>
      </c>
      <c r="B526" s="4">
        <f>VLOOKUP(A526,'Datos generales'!A:L,5,0)</f>
        <v>2</v>
      </c>
      <c r="C526" s="4" t="str">
        <f>VLOOKUP(A526,'Datos generales'!A:L,4,0)</f>
        <v>Monitor</v>
      </c>
      <c r="D526" s="4">
        <f>VLOOKUP(A526,'Datos generales'!A:L,6,0)</f>
        <v>1198.72</v>
      </c>
      <c r="E526" s="4">
        <f>VLOOKUP(A526,'Datos generales'!A:L,12,0)</f>
        <v>1198.72</v>
      </c>
      <c r="F526" s="4" t="str">
        <f>VLOOKUP(A526,'Datos generales'!A:L,7,0)</f>
        <v>Electrónica</v>
      </c>
      <c r="G526" s="4">
        <v>2025</v>
      </c>
    </row>
    <row r="527" spans="1:7" x14ac:dyDescent="0.25">
      <c r="A527" t="s">
        <v>137</v>
      </c>
      <c r="B527" s="4">
        <f>VLOOKUP(A527,'Datos generales'!A:L,5,0)</f>
        <v>2</v>
      </c>
      <c r="C527" s="4" t="str">
        <f>VLOOKUP(A527,'Datos generales'!A:L,4,0)</f>
        <v>Audífonos</v>
      </c>
      <c r="D527" s="4">
        <f>VLOOKUP(A527,'Datos generales'!A:L,6,0)</f>
        <v>1040.2</v>
      </c>
      <c r="E527" s="4">
        <f>VLOOKUP(A527,'Datos generales'!A:L,12,0)</f>
        <v>1040.2</v>
      </c>
      <c r="F527" s="4" t="str">
        <f>VLOOKUP(A527,'Datos generales'!A:L,7,0)</f>
        <v>Accesorios</v>
      </c>
      <c r="G527" s="4">
        <v>2023</v>
      </c>
    </row>
    <row r="528" spans="1:7" x14ac:dyDescent="0.25">
      <c r="A528" t="s">
        <v>138</v>
      </c>
      <c r="B528" s="4">
        <f>VLOOKUP(A528,'Datos generales'!A:L,5,0)</f>
        <v>3</v>
      </c>
      <c r="C528" s="4" t="str">
        <f>VLOOKUP(A528,'Datos generales'!A:L,4,0)</f>
        <v>Teclado</v>
      </c>
      <c r="D528" s="4">
        <f>VLOOKUP(A528,'Datos generales'!A:L,6,0)</f>
        <v>107.53</v>
      </c>
      <c r="E528" s="4">
        <f>VLOOKUP(A528,'Datos generales'!A:L,12,0)</f>
        <v>107.53</v>
      </c>
      <c r="F528" s="4" t="str">
        <f>VLOOKUP(A528,'Datos generales'!A:L,7,0)</f>
        <v>Accesorios</v>
      </c>
      <c r="G528" s="4">
        <v>2025</v>
      </c>
    </row>
    <row r="529" spans="1:7" x14ac:dyDescent="0.25">
      <c r="A529" t="s">
        <v>139</v>
      </c>
      <c r="B529" s="4">
        <f>VLOOKUP(A529,'Datos generales'!A:L,5,0)</f>
        <v>4</v>
      </c>
      <c r="C529" s="4" t="str">
        <f>VLOOKUP(A529,'Datos generales'!A:L,4,0)</f>
        <v>Impresora</v>
      </c>
      <c r="D529" s="4">
        <f>VLOOKUP(A529,'Datos generales'!A:L,6,0)</f>
        <v>380.66</v>
      </c>
      <c r="E529" s="4">
        <f>VLOOKUP(A529,'Datos generales'!A:L,12,0)</f>
        <v>380.66</v>
      </c>
      <c r="F529" s="4" t="str">
        <f>VLOOKUP(A529,'Datos generales'!A:L,7,0)</f>
        <v>Electrónica</v>
      </c>
      <c r="G529" s="4">
        <v>2025</v>
      </c>
    </row>
    <row r="530" spans="1:7" x14ac:dyDescent="0.25">
      <c r="A530" t="s">
        <v>140</v>
      </c>
      <c r="B530" s="4">
        <f>VLOOKUP(A530,'Datos generales'!A:L,5,0)</f>
        <v>2</v>
      </c>
      <c r="C530" s="4" t="str">
        <f>VLOOKUP(A530,'Datos generales'!A:L,4,0)</f>
        <v>Monitor</v>
      </c>
      <c r="D530" s="4">
        <f>VLOOKUP(A530,'Datos generales'!A:L,6,0)</f>
        <v>700.11</v>
      </c>
      <c r="E530" s="4">
        <f>VLOOKUP(A530,'Datos generales'!A:L,12,0)</f>
        <v>700.11</v>
      </c>
      <c r="F530" s="4" t="str">
        <f>VLOOKUP(A530,'Datos generales'!A:L,7,0)</f>
        <v>Electrónica</v>
      </c>
      <c r="G530" s="4">
        <v>2025</v>
      </c>
    </row>
    <row r="531" spans="1:7" x14ac:dyDescent="0.25">
      <c r="A531" t="s">
        <v>141</v>
      </c>
      <c r="B531" s="4">
        <f>VLOOKUP(A531,'Datos generales'!A:L,5,0)</f>
        <v>5</v>
      </c>
      <c r="C531" s="4" t="str">
        <f>VLOOKUP(A531,'Datos generales'!A:L,4,0)</f>
        <v>Impresora</v>
      </c>
      <c r="D531" s="4">
        <f>VLOOKUP(A531,'Datos generales'!A:L,6,0)</f>
        <v>358.48</v>
      </c>
      <c r="E531" s="4">
        <f>VLOOKUP(A531,'Datos generales'!A:L,12,0)</f>
        <v>358.48</v>
      </c>
      <c r="F531" s="4" t="str">
        <f>VLOOKUP(A531,'Datos generales'!A:L,7,0)</f>
        <v>Electrónica</v>
      </c>
      <c r="G531" s="4">
        <v>2023</v>
      </c>
    </row>
    <row r="532" spans="1:7" x14ac:dyDescent="0.25">
      <c r="A532" t="s">
        <v>142</v>
      </c>
      <c r="B532" s="4">
        <f>VLOOKUP(A532,'Datos generales'!A:L,5,0)</f>
        <v>4</v>
      </c>
      <c r="C532" s="4" t="str">
        <f>VLOOKUP(A532,'Datos generales'!A:L,4,0)</f>
        <v>Silla Gamer</v>
      </c>
      <c r="D532" s="4">
        <f>VLOOKUP(A532,'Datos generales'!A:L,6,0)</f>
        <v>746.6</v>
      </c>
      <c r="E532" s="4">
        <f>VLOOKUP(A532,'Datos generales'!A:L,12,0)</f>
        <v>746.6</v>
      </c>
      <c r="F532" s="4" t="str">
        <f>VLOOKUP(A532,'Datos generales'!A:L,7,0)</f>
        <v>Muebles</v>
      </c>
      <c r="G532" s="4">
        <v>2024</v>
      </c>
    </row>
    <row r="533" spans="1:7" x14ac:dyDescent="0.25">
      <c r="A533" t="s">
        <v>143</v>
      </c>
      <c r="B533" s="4">
        <f>VLOOKUP(A533,'Datos generales'!A:L,5,0)</f>
        <v>1</v>
      </c>
      <c r="C533" s="4" t="str">
        <f>VLOOKUP(A533,'Datos generales'!A:L,4,0)</f>
        <v>Laptop</v>
      </c>
      <c r="D533" s="4">
        <f>VLOOKUP(A533,'Datos generales'!A:L,6,0)</f>
        <v>751.43</v>
      </c>
      <c r="E533" s="4">
        <f>VLOOKUP(A533,'Datos generales'!A:L,12,0)</f>
        <v>751.43</v>
      </c>
      <c r="F533" s="4" t="str">
        <f>VLOOKUP(A533,'Datos generales'!A:L,7,0)</f>
        <v>Electrónica</v>
      </c>
      <c r="G533" s="4">
        <v>2024</v>
      </c>
    </row>
    <row r="534" spans="1:7" x14ac:dyDescent="0.25">
      <c r="A534" t="s">
        <v>144</v>
      </c>
      <c r="B534" s="4">
        <f>VLOOKUP(A534,'Datos generales'!A:L,5,0)</f>
        <v>5</v>
      </c>
      <c r="C534" s="4" t="str">
        <f>VLOOKUP(A534,'Datos generales'!A:L,4,0)</f>
        <v>Mouse</v>
      </c>
      <c r="D534" s="4">
        <f>VLOOKUP(A534,'Datos generales'!A:L,6,0)</f>
        <v>1109.08</v>
      </c>
      <c r="E534" s="4">
        <f>VLOOKUP(A534,'Datos generales'!A:L,12,0)</f>
        <v>1109.08</v>
      </c>
      <c r="F534" s="4" t="str">
        <f>VLOOKUP(A534,'Datos generales'!A:L,7,0)</f>
        <v>Accesorios</v>
      </c>
      <c r="G534" s="4">
        <v>2023</v>
      </c>
    </row>
    <row r="535" spans="1:7" x14ac:dyDescent="0.25">
      <c r="A535" t="s">
        <v>145</v>
      </c>
      <c r="B535" s="4">
        <f>VLOOKUP(A535,'Datos generales'!A:L,5,0)</f>
        <v>5</v>
      </c>
      <c r="C535" s="4" t="str">
        <f>VLOOKUP(A535,'Datos generales'!A:L,4,0)</f>
        <v>Monitor</v>
      </c>
      <c r="D535" s="4">
        <f>VLOOKUP(A535,'Datos generales'!A:L,6,0)</f>
        <v>642.74</v>
      </c>
      <c r="E535" s="4">
        <f>VLOOKUP(A535,'Datos generales'!A:L,12,0)</f>
        <v>642.74</v>
      </c>
      <c r="F535" s="4" t="str">
        <f>VLOOKUP(A535,'Datos generales'!A:L,7,0)</f>
        <v>Electrónica</v>
      </c>
      <c r="G535" s="4">
        <v>2024</v>
      </c>
    </row>
    <row r="536" spans="1:7" x14ac:dyDescent="0.25">
      <c r="A536" t="s">
        <v>146</v>
      </c>
      <c r="B536" s="4">
        <f>VLOOKUP(A536,'Datos generales'!A:L,5,0)</f>
        <v>5</v>
      </c>
      <c r="C536" s="4" t="str">
        <f>VLOOKUP(A536,'Datos generales'!A:L,4,0)</f>
        <v>Audífonos</v>
      </c>
      <c r="D536" s="4">
        <f>VLOOKUP(A536,'Datos generales'!A:L,6,0)</f>
        <v>245.73</v>
      </c>
      <c r="E536" s="4">
        <f>VLOOKUP(A536,'Datos generales'!A:L,12,0)</f>
        <v>245.73</v>
      </c>
      <c r="F536" s="4" t="str">
        <f>VLOOKUP(A536,'Datos generales'!A:L,7,0)</f>
        <v>Accesorios</v>
      </c>
      <c r="G536" s="4">
        <v>2024</v>
      </c>
    </row>
    <row r="537" spans="1:7" x14ac:dyDescent="0.25">
      <c r="A537" t="s">
        <v>147</v>
      </c>
      <c r="B537" s="4">
        <f>VLOOKUP(A537,'Datos generales'!A:L,5,0)</f>
        <v>3</v>
      </c>
      <c r="C537" s="4" t="str">
        <f>VLOOKUP(A537,'Datos generales'!A:L,4,0)</f>
        <v>Webcam</v>
      </c>
      <c r="D537" s="4">
        <f>VLOOKUP(A537,'Datos generales'!A:L,6,0)</f>
        <v>1782.13</v>
      </c>
      <c r="E537" s="4">
        <f>VLOOKUP(A537,'Datos generales'!A:L,12,0)</f>
        <v>1782.13</v>
      </c>
      <c r="F537" s="4" t="str">
        <f>VLOOKUP(A537,'Datos generales'!A:L,7,0)</f>
        <v>Accesorios</v>
      </c>
      <c r="G537" s="4">
        <v>2023</v>
      </c>
    </row>
    <row r="538" spans="1:7" x14ac:dyDescent="0.25">
      <c r="A538" t="s">
        <v>148</v>
      </c>
      <c r="B538" s="4">
        <f>VLOOKUP(A538,'Datos generales'!A:L,5,0)</f>
        <v>5</v>
      </c>
      <c r="C538" s="4" t="str">
        <f>VLOOKUP(A538,'Datos generales'!A:L,4,0)</f>
        <v>Impresora</v>
      </c>
      <c r="D538" s="4">
        <f>VLOOKUP(A538,'Datos generales'!A:L,6,0)</f>
        <v>1137.1400000000001</v>
      </c>
      <c r="E538" s="4">
        <f>VLOOKUP(A538,'Datos generales'!A:L,12,0)</f>
        <v>1137.1400000000001</v>
      </c>
      <c r="F538" s="4" t="str">
        <f>VLOOKUP(A538,'Datos generales'!A:L,7,0)</f>
        <v>Electrónica</v>
      </c>
      <c r="G538" s="4">
        <v>2024</v>
      </c>
    </row>
    <row r="539" spans="1:7" x14ac:dyDescent="0.25">
      <c r="A539" t="s">
        <v>149</v>
      </c>
      <c r="B539" s="4">
        <f>VLOOKUP(A539,'Datos generales'!A:L,5,0)</f>
        <v>4</v>
      </c>
      <c r="C539" s="4" t="str">
        <f>VLOOKUP(A539,'Datos generales'!A:L,4,0)</f>
        <v>Teclado</v>
      </c>
      <c r="D539" s="4">
        <f>VLOOKUP(A539,'Datos generales'!A:L,6,0)</f>
        <v>966.72</v>
      </c>
      <c r="E539" s="4">
        <f>VLOOKUP(A539,'Datos generales'!A:L,12,0)</f>
        <v>966.72</v>
      </c>
      <c r="F539" s="4" t="str">
        <f>VLOOKUP(A539,'Datos generales'!A:L,7,0)</f>
        <v>Accesorios</v>
      </c>
      <c r="G539" s="4">
        <v>2024</v>
      </c>
    </row>
    <row r="540" spans="1:7" x14ac:dyDescent="0.25">
      <c r="A540" t="s">
        <v>150</v>
      </c>
      <c r="B540" s="4">
        <f>VLOOKUP(A540,'Datos generales'!A:L,5,0)</f>
        <v>5</v>
      </c>
      <c r="C540" s="4" t="str">
        <f>VLOOKUP(A540,'Datos generales'!A:L,4,0)</f>
        <v>Impresora</v>
      </c>
      <c r="D540" s="4">
        <f>VLOOKUP(A540,'Datos generales'!A:L,6,0)</f>
        <v>754.88</v>
      </c>
      <c r="E540" s="4">
        <f>VLOOKUP(A540,'Datos generales'!A:L,12,0)</f>
        <v>754.88</v>
      </c>
      <c r="F540" s="4" t="str">
        <f>VLOOKUP(A540,'Datos generales'!A:L,7,0)</f>
        <v>Electrónica</v>
      </c>
      <c r="G540" s="4">
        <v>2024</v>
      </c>
    </row>
    <row r="541" spans="1:7" x14ac:dyDescent="0.25">
      <c r="A541" t="s">
        <v>151</v>
      </c>
      <c r="B541" s="4">
        <f>VLOOKUP(A541,'Datos generales'!A:L,5,0)</f>
        <v>4</v>
      </c>
      <c r="C541" s="4" t="str">
        <f>VLOOKUP(A541,'Datos generales'!A:L,4,0)</f>
        <v>Webcam</v>
      </c>
      <c r="D541" s="4">
        <f>VLOOKUP(A541,'Datos generales'!A:L,6,0)</f>
        <v>902.5</v>
      </c>
      <c r="E541" s="4">
        <f>VLOOKUP(A541,'Datos generales'!A:L,12,0)</f>
        <v>902.5</v>
      </c>
      <c r="F541" s="4" t="str">
        <f>VLOOKUP(A541,'Datos generales'!A:L,7,0)</f>
        <v>Accesorios</v>
      </c>
      <c r="G541" s="4">
        <v>2025</v>
      </c>
    </row>
    <row r="542" spans="1:7" x14ac:dyDescent="0.25">
      <c r="A542" t="s">
        <v>152</v>
      </c>
      <c r="B542" s="4">
        <f>VLOOKUP(A542,'Datos generales'!A:L,5,0)</f>
        <v>2</v>
      </c>
      <c r="C542" s="4" t="str">
        <f>VLOOKUP(A542,'Datos generales'!A:L,4,0)</f>
        <v>Mouse</v>
      </c>
      <c r="D542" s="4">
        <f>VLOOKUP(A542,'Datos generales'!A:L,6,0)</f>
        <v>78.180000000000007</v>
      </c>
      <c r="E542" s="4">
        <f>VLOOKUP(A542,'Datos generales'!A:L,12,0)</f>
        <v>78.180000000000007</v>
      </c>
      <c r="F542" s="4" t="str">
        <f>VLOOKUP(A542,'Datos generales'!A:L,7,0)</f>
        <v>Accesorios</v>
      </c>
      <c r="G542" s="4">
        <v>2025</v>
      </c>
    </row>
    <row r="543" spans="1:7" x14ac:dyDescent="0.25">
      <c r="A543" t="s">
        <v>153</v>
      </c>
      <c r="B543" s="4">
        <f>VLOOKUP(A543,'Datos generales'!A:L,5,0)</f>
        <v>2</v>
      </c>
      <c r="C543" s="4" t="str">
        <f>VLOOKUP(A543,'Datos generales'!A:L,4,0)</f>
        <v>Monitor</v>
      </c>
      <c r="D543" s="4">
        <f>VLOOKUP(A543,'Datos generales'!A:L,6,0)</f>
        <v>1615.41</v>
      </c>
      <c r="E543" s="4">
        <f>VLOOKUP(A543,'Datos generales'!A:L,12,0)</f>
        <v>1615.41</v>
      </c>
      <c r="F543" s="4" t="str">
        <f>VLOOKUP(A543,'Datos generales'!A:L,7,0)</f>
        <v>Electrónica</v>
      </c>
      <c r="G543" s="4">
        <v>2025</v>
      </c>
    </row>
    <row r="544" spans="1:7" x14ac:dyDescent="0.25">
      <c r="A544" t="s">
        <v>154</v>
      </c>
      <c r="B544" s="4">
        <f>VLOOKUP(A544,'Datos generales'!A:L,5,0)</f>
        <v>5</v>
      </c>
      <c r="C544" s="4" t="str">
        <f>VLOOKUP(A544,'Datos generales'!A:L,4,0)</f>
        <v>Monitor</v>
      </c>
      <c r="D544" s="4">
        <f>VLOOKUP(A544,'Datos generales'!A:L,6,0)</f>
        <v>149.54</v>
      </c>
      <c r="E544" s="4">
        <f>VLOOKUP(A544,'Datos generales'!A:L,12,0)</f>
        <v>149.54</v>
      </c>
      <c r="F544" s="4" t="str">
        <f>VLOOKUP(A544,'Datos generales'!A:L,7,0)</f>
        <v>Electrónica</v>
      </c>
      <c r="G544" s="4">
        <v>2024</v>
      </c>
    </row>
    <row r="545" spans="1:7" x14ac:dyDescent="0.25">
      <c r="A545" t="s">
        <v>155</v>
      </c>
      <c r="B545" s="4">
        <f>VLOOKUP(A545,'Datos generales'!A:L,5,0)</f>
        <v>5</v>
      </c>
      <c r="C545" s="4" t="str">
        <f>VLOOKUP(A545,'Datos generales'!A:L,4,0)</f>
        <v>Teclado</v>
      </c>
      <c r="D545" s="4">
        <f>VLOOKUP(A545,'Datos generales'!A:L,6,0)</f>
        <v>955.39</v>
      </c>
      <c r="E545" s="4">
        <f>VLOOKUP(A545,'Datos generales'!A:L,12,0)</f>
        <v>955.39</v>
      </c>
      <c r="F545" s="4" t="str">
        <f>VLOOKUP(A545,'Datos generales'!A:L,7,0)</f>
        <v>Accesorios</v>
      </c>
      <c r="G545" s="4">
        <v>2025</v>
      </c>
    </row>
    <row r="546" spans="1:7" x14ac:dyDescent="0.25">
      <c r="A546" t="s">
        <v>156</v>
      </c>
      <c r="B546" s="4">
        <f>VLOOKUP(A546,'Datos generales'!A:L,5,0)</f>
        <v>2</v>
      </c>
      <c r="C546" s="4" t="str">
        <f>VLOOKUP(A546,'Datos generales'!A:L,4,0)</f>
        <v>Silla Gamer</v>
      </c>
      <c r="D546" s="4">
        <f>VLOOKUP(A546,'Datos generales'!A:L,6,0)</f>
        <v>1963.63</v>
      </c>
      <c r="E546" s="4">
        <f>VLOOKUP(A546,'Datos generales'!A:L,12,0)</f>
        <v>1963.63</v>
      </c>
      <c r="F546" s="4" t="str">
        <f>VLOOKUP(A546,'Datos generales'!A:L,7,0)</f>
        <v>Muebles</v>
      </c>
      <c r="G546" s="4">
        <v>2024</v>
      </c>
    </row>
    <row r="547" spans="1:7" x14ac:dyDescent="0.25">
      <c r="A547" t="s">
        <v>157</v>
      </c>
      <c r="B547" s="4">
        <f>VLOOKUP(A547,'Datos generales'!A:L,5,0)</f>
        <v>5</v>
      </c>
      <c r="C547" s="4" t="str">
        <f>VLOOKUP(A547,'Datos generales'!A:L,4,0)</f>
        <v>Webcam</v>
      </c>
      <c r="D547" s="4">
        <f>VLOOKUP(A547,'Datos generales'!A:L,6,0)</f>
        <v>1440.14</v>
      </c>
      <c r="E547" s="4">
        <f>VLOOKUP(A547,'Datos generales'!A:L,12,0)</f>
        <v>1440.14</v>
      </c>
      <c r="F547" s="4" t="str">
        <f>VLOOKUP(A547,'Datos generales'!A:L,7,0)</f>
        <v>Accesorios</v>
      </c>
      <c r="G547" s="4">
        <v>2024</v>
      </c>
    </row>
    <row r="548" spans="1:7" x14ac:dyDescent="0.25">
      <c r="A548" t="s">
        <v>158</v>
      </c>
      <c r="B548" s="4">
        <f>VLOOKUP(A548,'Datos generales'!A:L,5,0)</f>
        <v>4</v>
      </c>
      <c r="C548" s="4" t="str">
        <f>VLOOKUP(A548,'Datos generales'!A:L,4,0)</f>
        <v>Monitor</v>
      </c>
      <c r="D548" s="4">
        <f>VLOOKUP(A548,'Datos generales'!A:L,6,0)</f>
        <v>283.7</v>
      </c>
      <c r="E548" s="4">
        <f>VLOOKUP(A548,'Datos generales'!A:L,12,0)</f>
        <v>283.7</v>
      </c>
      <c r="F548" s="4" t="str">
        <f>VLOOKUP(A548,'Datos generales'!A:L,7,0)</f>
        <v>Electrónica</v>
      </c>
      <c r="G548" s="4">
        <v>2023</v>
      </c>
    </row>
    <row r="549" spans="1:7" x14ac:dyDescent="0.25">
      <c r="A549" t="s">
        <v>159</v>
      </c>
      <c r="B549" s="4">
        <f>VLOOKUP(A549,'Datos generales'!A:L,5,0)</f>
        <v>3</v>
      </c>
      <c r="C549" s="4" t="str">
        <f>VLOOKUP(A549,'Datos generales'!A:L,4,0)</f>
        <v>Impresora</v>
      </c>
      <c r="D549" s="4">
        <f>VLOOKUP(A549,'Datos generales'!A:L,6,0)</f>
        <v>687.51</v>
      </c>
      <c r="E549" s="4">
        <f>VLOOKUP(A549,'Datos generales'!A:L,12,0)</f>
        <v>687.50999999999988</v>
      </c>
      <c r="F549" s="4" t="str">
        <f>VLOOKUP(A549,'Datos generales'!A:L,7,0)</f>
        <v>Electrónica</v>
      </c>
      <c r="G549" s="4">
        <v>2024</v>
      </c>
    </row>
    <row r="550" spans="1:7" x14ac:dyDescent="0.25">
      <c r="A550" t="s">
        <v>160</v>
      </c>
      <c r="B550" s="4">
        <f>VLOOKUP(A550,'Datos generales'!A:L,5,0)</f>
        <v>2</v>
      </c>
      <c r="C550" s="4" t="str">
        <f>VLOOKUP(A550,'Datos generales'!A:L,4,0)</f>
        <v>Webcam</v>
      </c>
      <c r="D550" s="4">
        <f>VLOOKUP(A550,'Datos generales'!A:L,6,0)</f>
        <v>282</v>
      </c>
      <c r="E550" s="4">
        <f>VLOOKUP(A550,'Datos generales'!A:L,12,0)</f>
        <v>282</v>
      </c>
      <c r="F550" s="4" t="str">
        <f>VLOOKUP(A550,'Datos generales'!A:L,7,0)</f>
        <v>Accesorios</v>
      </c>
      <c r="G550" s="4">
        <v>2023</v>
      </c>
    </row>
    <row r="551" spans="1:7" x14ac:dyDescent="0.25">
      <c r="A551" t="s">
        <v>161</v>
      </c>
      <c r="B551" s="4">
        <f>VLOOKUP(A551,'Datos generales'!A:L,5,0)</f>
        <v>4</v>
      </c>
      <c r="C551" s="4" t="str">
        <f>VLOOKUP(A551,'Datos generales'!A:L,4,0)</f>
        <v>Impresora</v>
      </c>
      <c r="D551" s="4">
        <f>VLOOKUP(A551,'Datos generales'!A:L,6,0)</f>
        <v>1471.38</v>
      </c>
      <c r="E551" s="4">
        <f>VLOOKUP(A551,'Datos generales'!A:L,12,0)</f>
        <v>1471.38</v>
      </c>
      <c r="F551" s="4" t="str">
        <f>VLOOKUP(A551,'Datos generales'!A:L,7,0)</f>
        <v>Electrónica</v>
      </c>
      <c r="G551" s="4">
        <v>2025</v>
      </c>
    </row>
    <row r="552" spans="1:7" x14ac:dyDescent="0.25">
      <c r="A552" t="s">
        <v>162</v>
      </c>
      <c r="B552" s="4">
        <f>VLOOKUP(A552,'Datos generales'!A:L,5,0)</f>
        <v>1</v>
      </c>
      <c r="C552" s="4" t="str">
        <f>VLOOKUP(A552,'Datos generales'!A:L,4,0)</f>
        <v>Webcam</v>
      </c>
      <c r="D552" s="4">
        <f>VLOOKUP(A552,'Datos generales'!A:L,6,0)</f>
        <v>1463.91</v>
      </c>
      <c r="E552" s="4">
        <f>VLOOKUP(A552,'Datos generales'!A:L,12,0)</f>
        <v>1463.91</v>
      </c>
      <c r="F552" s="4" t="str">
        <f>VLOOKUP(A552,'Datos generales'!A:L,7,0)</f>
        <v>Accesorios</v>
      </c>
      <c r="G552" s="4">
        <v>2025</v>
      </c>
    </row>
    <row r="553" spans="1:7" x14ac:dyDescent="0.25">
      <c r="A553" t="s">
        <v>163</v>
      </c>
      <c r="B553" s="4">
        <f>VLOOKUP(A553,'Datos generales'!A:L,5,0)</f>
        <v>4</v>
      </c>
      <c r="C553" s="4" t="str">
        <f>VLOOKUP(A553,'Datos generales'!A:L,4,0)</f>
        <v>Teclado</v>
      </c>
      <c r="D553" s="4">
        <f>VLOOKUP(A553,'Datos generales'!A:L,6,0)</f>
        <v>1585.49</v>
      </c>
      <c r="E553" s="4">
        <f>VLOOKUP(A553,'Datos generales'!A:L,12,0)</f>
        <v>1585.49</v>
      </c>
      <c r="F553" s="4" t="str">
        <f>VLOOKUP(A553,'Datos generales'!A:L,7,0)</f>
        <v>Accesorios</v>
      </c>
      <c r="G553" s="4">
        <v>2024</v>
      </c>
    </row>
    <row r="554" spans="1:7" x14ac:dyDescent="0.25">
      <c r="A554" t="s">
        <v>164</v>
      </c>
      <c r="B554" s="4">
        <f>VLOOKUP(A554,'Datos generales'!A:L,5,0)</f>
        <v>1</v>
      </c>
      <c r="C554" s="4" t="str">
        <f>VLOOKUP(A554,'Datos generales'!A:L,4,0)</f>
        <v>Teclado</v>
      </c>
      <c r="D554" s="4">
        <f>VLOOKUP(A554,'Datos generales'!A:L,6,0)</f>
        <v>662.17</v>
      </c>
      <c r="E554" s="4">
        <f>VLOOKUP(A554,'Datos generales'!A:L,12,0)</f>
        <v>662.17</v>
      </c>
      <c r="F554" s="4" t="str">
        <f>VLOOKUP(A554,'Datos generales'!A:L,7,0)</f>
        <v>Accesorios</v>
      </c>
      <c r="G554" s="4">
        <v>2024</v>
      </c>
    </row>
    <row r="555" spans="1:7" x14ac:dyDescent="0.25">
      <c r="A555" t="s">
        <v>165</v>
      </c>
      <c r="B555" s="4">
        <f>VLOOKUP(A555,'Datos generales'!A:L,5,0)</f>
        <v>2</v>
      </c>
      <c r="C555" s="4" t="str">
        <f>VLOOKUP(A555,'Datos generales'!A:L,4,0)</f>
        <v>Webcam</v>
      </c>
      <c r="D555" s="4">
        <f>VLOOKUP(A555,'Datos generales'!A:L,6,0)</f>
        <v>136.68</v>
      </c>
      <c r="E555" s="4">
        <f>VLOOKUP(A555,'Datos generales'!A:L,12,0)</f>
        <v>136.68</v>
      </c>
      <c r="F555" s="4" t="str">
        <f>VLOOKUP(A555,'Datos generales'!A:L,7,0)</f>
        <v>Accesorios</v>
      </c>
      <c r="G555" s="4">
        <v>2024</v>
      </c>
    </row>
    <row r="556" spans="1:7" x14ac:dyDescent="0.25">
      <c r="A556" t="s">
        <v>166</v>
      </c>
      <c r="B556" s="4">
        <f>VLOOKUP(A556,'Datos generales'!A:L,5,0)</f>
        <v>4</v>
      </c>
      <c r="C556" s="4" t="str">
        <f>VLOOKUP(A556,'Datos generales'!A:L,4,0)</f>
        <v>Impresora</v>
      </c>
      <c r="D556" s="4">
        <f>VLOOKUP(A556,'Datos generales'!A:L,6,0)</f>
        <v>118.64</v>
      </c>
      <c r="E556" s="4">
        <f>VLOOKUP(A556,'Datos generales'!A:L,12,0)</f>
        <v>118.64</v>
      </c>
      <c r="F556" s="4" t="str">
        <f>VLOOKUP(A556,'Datos generales'!A:L,7,0)</f>
        <v>Electrónica</v>
      </c>
      <c r="G556" s="4">
        <v>2025</v>
      </c>
    </row>
    <row r="557" spans="1:7" x14ac:dyDescent="0.25">
      <c r="A557" t="s">
        <v>167</v>
      </c>
      <c r="B557" s="4">
        <f>VLOOKUP(A557,'Datos generales'!A:L,5,0)</f>
        <v>3</v>
      </c>
      <c r="C557" s="4" t="str">
        <f>VLOOKUP(A557,'Datos generales'!A:L,4,0)</f>
        <v>Laptop</v>
      </c>
      <c r="D557" s="4">
        <f>VLOOKUP(A557,'Datos generales'!A:L,6,0)</f>
        <v>933.49</v>
      </c>
      <c r="E557" s="4">
        <f>VLOOKUP(A557,'Datos generales'!A:L,12,0)</f>
        <v>933.49000000000012</v>
      </c>
      <c r="F557" s="4" t="str">
        <f>VLOOKUP(A557,'Datos generales'!A:L,7,0)</f>
        <v>Electrónica</v>
      </c>
      <c r="G557" s="4">
        <v>2024</v>
      </c>
    </row>
    <row r="558" spans="1:7" x14ac:dyDescent="0.25">
      <c r="A558" t="s">
        <v>168</v>
      </c>
      <c r="B558" s="4">
        <f>VLOOKUP(A558,'Datos generales'!A:L,5,0)</f>
        <v>2</v>
      </c>
      <c r="C558" s="4" t="str">
        <f>VLOOKUP(A558,'Datos generales'!A:L,4,0)</f>
        <v>Audífonos</v>
      </c>
      <c r="D558" s="4">
        <f>VLOOKUP(A558,'Datos generales'!A:L,6,0)</f>
        <v>1035.0899999999999</v>
      </c>
      <c r="E558" s="4">
        <f>VLOOKUP(A558,'Datos generales'!A:L,12,0)</f>
        <v>1035.0899999999999</v>
      </c>
      <c r="F558" s="4" t="str">
        <f>VLOOKUP(A558,'Datos generales'!A:L,7,0)</f>
        <v>Accesorios</v>
      </c>
      <c r="G558" s="4">
        <v>2023</v>
      </c>
    </row>
    <row r="559" spans="1:7" x14ac:dyDescent="0.25">
      <c r="A559" t="s">
        <v>169</v>
      </c>
      <c r="B559" s="4">
        <f>VLOOKUP(A559,'Datos generales'!A:L,5,0)</f>
        <v>2</v>
      </c>
      <c r="C559" s="4" t="str">
        <f>VLOOKUP(A559,'Datos generales'!A:L,4,0)</f>
        <v>Impresora</v>
      </c>
      <c r="D559" s="4">
        <f>VLOOKUP(A559,'Datos generales'!A:L,6,0)</f>
        <v>1325.01</v>
      </c>
      <c r="E559" s="4">
        <f>VLOOKUP(A559,'Datos generales'!A:L,12,0)</f>
        <v>1325.01</v>
      </c>
      <c r="F559" s="4" t="str">
        <f>VLOOKUP(A559,'Datos generales'!A:L,7,0)</f>
        <v>Electrónica</v>
      </c>
      <c r="G559" s="4">
        <v>2024</v>
      </c>
    </row>
    <row r="560" spans="1:7" x14ac:dyDescent="0.25">
      <c r="A560" t="s">
        <v>170</v>
      </c>
      <c r="B560" s="4">
        <f>VLOOKUP(A560,'Datos generales'!A:L,5,0)</f>
        <v>4</v>
      </c>
      <c r="C560" s="4" t="str">
        <f>VLOOKUP(A560,'Datos generales'!A:L,4,0)</f>
        <v>Teclado</v>
      </c>
      <c r="D560" s="4">
        <f>VLOOKUP(A560,'Datos generales'!A:L,6,0)</f>
        <v>710.84</v>
      </c>
      <c r="E560" s="4">
        <f>VLOOKUP(A560,'Datos generales'!A:L,12,0)</f>
        <v>710.84</v>
      </c>
      <c r="F560" s="4" t="str">
        <f>VLOOKUP(A560,'Datos generales'!A:L,7,0)</f>
        <v>Accesorios</v>
      </c>
      <c r="G560" s="4">
        <v>2023</v>
      </c>
    </row>
    <row r="561" spans="1:7" x14ac:dyDescent="0.25">
      <c r="A561" t="s">
        <v>171</v>
      </c>
      <c r="B561" s="4">
        <f>VLOOKUP(A561,'Datos generales'!A:L,5,0)</f>
        <v>3</v>
      </c>
      <c r="C561" s="4" t="str">
        <f>VLOOKUP(A561,'Datos generales'!A:L,4,0)</f>
        <v>Silla Gamer</v>
      </c>
      <c r="D561" s="4">
        <f>VLOOKUP(A561,'Datos generales'!A:L,6,0)</f>
        <v>97.27</v>
      </c>
      <c r="E561" s="4">
        <f>VLOOKUP(A561,'Datos generales'!A:L,12,0)</f>
        <v>97.27</v>
      </c>
      <c r="F561" s="4" t="str">
        <f>VLOOKUP(A561,'Datos generales'!A:L,7,0)</f>
        <v>Muebles</v>
      </c>
      <c r="G561" s="4">
        <v>2025</v>
      </c>
    </row>
    <row r="562" spans="1:7" x14ac:dyDescent="0.25">
      <c r="A562" t="s">
        <v>172</v>
      </c>
      <c r="B562" s="4">
        <f>VLOOKUP(A562,'Datos generales'!A:L,5,0)</f>
        <v>5</v>
      </c>
      <c r="C562" s="4" t="str">
        <f>VLOOKUP(A562,'Datos generales'!A:L,4,0)</f>
        <v>Impresora</v>
      </c>
      <c r="D562" s="4">
        <f>VLOOKUP(A562,'Datos generales'!A:L,6,0)</f>
        <v>498.36</v>
      </c>
      <c r="E562" s="4">
        <f>VLOOKUP(A562,'Datos generales'!A:L,12,0)</f>
        <v>498.36</v>
      </c>
      <c r="F562" s="4" t="str">
        <f>VLOOKUP(A562,'Datos generales'!A:L,7,0)</f>
        <v>Electrónica</v>
      </c>
      <c r="G562" s="4">
        <v>2024</v>
      </c>
    </row>
    <row r="563" spans="1:7" x14ac:dyDescent="0.25">
      <c r="A563" t="s">
        <v>173</v>
      </c>
      <c r="B563" s="4">
        <f>VLOOKUP(A563,'Datos generales'!A:L,5,0)</f>
        <v>5</v>
      </c>
      <c r="C563" s="4" t="str">
        <f>VLOOKUP(A563,'Datos generales'!A:L,4,0)</f>
        <v>Silla Gamer</v>
      </c>
      <c r="D563" s="4">
        <f>VLOOKUP(A563,'Datos generales'!A:L,6,0)</f>
        <v>980.89</v>
      </c>
      <c r="E563" s="4">
        <f>VLOOKUP(A563,'Datos generales'!A:L,12,0)</f>
        <v>980.89</v>
      </c>
      <c r="F563" s="4" t="str">
        <f>VLOOKUP(A563,'Datos generales'!A:L,7,0)</f>
        <v>Muebles</v>
      </c>
      <c r="G563" s="4">
        <v>2024</v>
      </c>
    </row>
    <row r="564" spans="1:7" x14ac:dyDescent="0.25">
      <c r="A564" t="s">
        <v>174</v>
      </c>
      <c r="B564" s="4">
        <f>VLOOKUP(A564,'Datos generales'!A:L,5,0)</f>
        <v>1</v>
      </c>
      <c r="C564" s="4" t="str">
        <f>VLOOKUP(A564,'Datos generales'!A:L,4,0)</f>
        <v>Teclado</v>
      </c>
      <c r="D564" s="4">
        <f>VLOOKUP(A564,'Datos generales'!A:L,6,0)</f>
        <v>1390.33</v>
      </c>
      <c r="E564" s="4">
        <f>VLOOKUP(A564,'Datos generales'!A:L,12,0)</f>
        <v>1390.33</v>
      </c>
      <c r="F564" s="4" t="str">
        <f>VLOOKUP(A564,'Datos generales'!A:L,7,0)</f>
        <v>Accesorios</v>
      </c>
      <c r="G564" s="4">
        <v>2024</v>
      </c>
    </row>
    <row r="565" spans="1:7" x14ac:dyDescent="0.25">
      <c r="A565" t="s">
        <v>175</v>
      </c>
      <c r="B565" s="4">
        <f>VLOOKUP(A565,'Datos generales'!A:L,5,0)</f>
        <v>5</v>
      </c>
      <c r="C565" s="4" t="str">
        <f>VLOOKUP(A565,'Datos generales'!A:L,4,0)</f>
        <v>Laptop</v>
      </c>
      <c r="D565" s="4">
        <f>VLOOKUP(A565,'Datos generales'!A:L,6,0)</f>
        <v>1708.09</v>
      </c>
      <c r="E565" s="4">
        <f>VLOOKUP(A565,'Datos generales'!A:L,12,0)</f>
        <v>1708.09</v>
      </c>
      <c r="F565" s="4" t="str">
        <f>VLOOKUP(A565,'Datos generales'!A:L,7,0)</f>
        <v>Electrónica</v>
      </c>
      <c r="G565" s="4">
        <v>2023</v>
      </c>
    </row>
    <row r="566" spans="1:7" x14ac:dyDescent="0.25">
      <c r="A566" t="s">
        <v>176</v>
      </c>
      <c r="B566" s="4">
        <f>VLOOKUP(A566,'Datos generales'!A:L,5,0)</f>
        <v>3</v>
      </c>
      <c r="C566" s="4" t="str">
        <f>VLOOKUP(A566,'Datos generales'!A:L,4,0)</f>
        <v>Audífonos</v>
      </c>
      <c r="D566" s="4">
        <f>VLOOKUP(A566,'Datos generales'!A:L,6,0)</f>
        <v>459.4</v>
      </c>
      <c r="E566" s="4">
        <f>VLOOKUP(A566,'Datos generales'!A:L,12,0)</f>
        <v>459.39999999999992</v>
      </c>
      <c r="F566" s="4" t="str">
        <f>VLOOKUP(A566,'Datos generales'!A:L,7,0)</f>
        <v>Accesorios</v>
      </c>
      <c r="G566" s="4">
        <v>2023</v>
      </c>
    </row>
    <row r="567" spans="1:7" x14ac:dyDescent="0.25">
      <c r="A567" t="s">
        <v>177</v>
      </c>
      <c r="B567" s="4">
        <f>VLOOKUP(A567,'Datos generales'!A:L,5,0)</f>
        <v>1</v>
      </c>
      <c r="C567" s="4" t="str">
        <f>VLOOKUP(A567,'Datos generales'!A:L,4,0)</f>
        <v>Impresora</v>
      </c>
      <c r="D567" s="4">
        <f>VLOOKUP(A567,'Datos generales'!A:L,6,0)</f>
        <v>1578.33</v>
      </c>
      <c r="E567" s="4">
        <f>VLOOKUP(A567,'Datos generales'!A:L,12,0)</f>
        <v>1578.33</v>
      </c>
      <c r="F567" s="4" t="str">
        <f>VLOOKUP(A567,'Datos generales'!A:L,7,0)</f>
        <v>Electrónica</v>
      </c>
      <c r="G567" s="4">
        <v>2023</v>
      </c>
    </row>
    <row r="568" spans="1:7" x14ac:dyDescent="0.25">
      <c r="A568" t="s">
        <v>178</v>
      </c>
      <c r="B568" s="4">
        <f>VLOOKUP(A568,'Datos generales'!A:L,5,0)</f>
        <v>5</v>
      </c>
      <c r="C568" s="4" t="str">
        <f>VLOOKUP(A568,'Datos generales'!A:L,4,0)</f>
        <v>Teclado</v>
      </c>
      <c r="D568" s="4">
        <f>VLOOKUP(A568,'Datos generales'!A:L,6,0)</f>
        <v>1602.39</v>
      </c>
      <c r="E568" s="4">
        <f>VLOOKUP(A568,'Datos generales'!A:L,12,0)</f>
        <v>1602.39</v>
      </c>
      <c r="F568" s="4" t="str">
        <f>VLOOKUP(A568,'Datos generales'!A:L,7,0)</f>
        <v>Accesorios</v>
      </c>
      <c r="G568" s="4">
        <v>2024</v>
      </c>
    </row>
    <row r="569" spans="1:7" x14ac:dyDescent="0.25">
      <c r="A569" t="s">
        <v>179</v>
      </c>
      <c r="B569" s="4">
        <f>VLOOKUP(A569,'Datos generales'!A:L,5,0)</f>
        <v>2</v>
      </c>
      <c r="C569" s="4" t="str">
        <f>VLOOKUP(A569,'Datos generales'!A:L,4,0)</f>
        <v>Teclado</v>
      </c>
      <c r="D569" s="4">
        <f>VLOOKUP(A569,'Datos generales'!A:L,6,0)</f>
        <v>714.55</v>
      </c>
      <c r="E569" s="4">
        <f>VLOOKUP(A569,'Datos generales'!A:L,12,0)</f>
        <v>714.55</v>
      </c>
      <c r="F569" s="4" t="str">
        <f>VLOOKUP(A569,'Datos generales'!A:L,7,0)</f>
        <v>Accesorios</v>
      </c>
      <c r="G569" s="4">
        <v>2023</v>
      </c>
    </row>
    <row r="570" spans="1:7" x14ac:dyDescent="0.25">
      <c r="A570" t="s">
        <v>180</v>
      </c>
      <c r="B570" s="4">
        <f>VLOOKUP(A570,'Datos generales'!A:L,5,0)</f>
        <v>2</v>
      </c>
      <c r="C570" s="4" t="str">
        <f>VLOOKUP(A570,'Datos generales'!A:L,4,0)</f>
        <v>Silla Gamer</v>
      </c>
      <c r="D570" s="4">
        <f>VLOOKUP(A570,'Datos generales'!A:L,6,0)</f>
        <v>140.54</v>
      </c>
      <c r="E570" s="4">
        <f>VLOOKUP(A570,'Datos generales'!A:L,12,0)</f>
        <v>140.54</v>
      </c>
      <c r="F570" s="4" t="str">
        <f>VLOOKUP(A570,'Datos generales'!A:L,7,0)</f>
        <v>Muebles</v>
      </c>
      <c r="G570" s="4">
        <v>2025</v>
      </c>
    </row>
    <row r="571" spans="1:7" x14ac:dyDescent="0.25">
      <c r="A571" t="s">
        <v>181</v>
      </c>
      <c r="B571" s="4">
        <f>VLOOKUP(A571,'Datos generales'!A:L,5,0)</f>
        <v>5</v>
      </c>
      <c r="C571" s="4" t="str">
        <f>VLOOKUP(A571,'Datos generales'!A:L,4,0)</f>
        <v>Mouse</v>
      </c>
      <c r="D571" s="4">
        <f>VLOOKUP(A571,'Datos generales'!A:L,6,0)</f>
        <v>286.87</v>
      </c>
      <c r="E571" s="4">
        <f>VLOOKUP(A571,'Datos generales'!A:L,12,0)</f>
        <v>286.87</v>
      </c>
      <c r="F571" s="4" t="str">
        <f>VLOOKUP(A571,'Datos generales'!A:L,7,0)</f>
        <v>Accesorios</v>
      </c>
      <c r="G571" s="4">
        <v>2024</v>
      </c>
    </row>
    <row r="572" spans="1:7" x14ac:dyDescent="0.25">
      <c r="A572" t="s">
        <v>182</v>
      </c>
      <c r="B572" s="4">
        <f>VLOOKUP(A572,'Datos generales'!A:L,5,0)</f>
        <v>5</v>
      </c>
      <c r="C572" s="4" t="str">
        <f>VLOOKUP(A572,'Datos generales'!A:L,4,0)</f>
        <v>Webcam</v>
      </c>
      <c r="D572" s="4">
        <f>VLOOKUP(A572,'Datos generales'!A:L,6,0)</f>
        <v>1897.97</v>
      </c>
      <c r="E572" s="4">
        <f>VLOOKUP(A572,'Datos generales'!A:L,12,0)</f>
        <v>1897.97</v>
      </c>
      <c r="F572" s="4" t="str">
        <f>VLOOKUP(A572,'Datos generales'!A:L,7,0)</f>
        <v>Accesorios</v>
      </c>
      <c r="G572" s="4">
        <v>2024</v>
      </c>
    </row>
    <row r="573" spans="1:7" x14ac:dyDescent="0.25">
      <c r="A573" t="s">
        <v>183</v>
      </c>
      <c r="B573" s="4">
        <f>VLOOKUP(A573,'Datos generales'!A:L,5,0)</f>
        <v>2</v>
      </c>
      <c r="C573" s="4" t="str">
        <f>VLOOKUP(A573,'Datos generales'!A:L,4,0)</f>
        <v>Teclado</v>
      </c>
      <c r="D573" s="4">
        <f>VLOOKUP(A573,'Datos generales'!A:L,6,0)</f>
        <v>587.71</v>
      </c>
      <c r="E573" s="4">
        <f>VLOOKUP(A573,'Datos generales'!A:L,12,0)</f>
        <v>587.71</v>
      </c>
      <c r="F573" s="4" t="str">
        <f>VLOOKUP(A573,'Datos generales'!A:L,7,0)</f>
        <v>Accesorios</v>
      </c>
      <c r="G573" s="4">
        <v>2024</v>
      </c>
    </row>
    <row r="574" spans="1:7" x14ac:dyDescent="0.25">
      <c r="A574" t="s">
        <v>184</v>
      </c>
      <c r="B574" s="4">
        <f>VLOOKUP(A574,'Datos generales'!A:L,5,0)</f>
        <v>4</v>
      </c>
      <c r="C574" s="4" t="str">
        <f>VLOOKUP(A574,'Datos generales'!A:L,4,0)</f>
        <v>Webcam</v>
      </c>
      <c r="D574" s="4">
        <f>VLOOKUP(A574,'Datos generales'!A:L,6,0)</f>
        <v>895.13</v>
      </c>
      <c r="E574" s="4">
        <f>VLOOKUP(A574,'Datos generales'!A:L,12,0)</f>
        <v>895.13</v>
      </c>
      <c r="F574" s="4" t="str">
        <f>VLOOKUP(A574,'Datos generales'!A:L,7,0)</f>
        <v>Accesorios</v>
      </c>
      <c r="G574" s="4">
        <v>2023</v>
      </c>
    </row>
    <row r="575" spans="1:7" x14ac:dyDescent="0.25">
      <c r="A575" t="s">
        <v>185</v>
      </c>
      <c r="B575" s="4">
        <f>VLOOKUP(A575,'Datos generales'!A:L,5,0)</f>
        <v>3</v>
      </c>
      <c r="C575" s="4" t="str">
        <f>VLOOKUP(A575,'Datos generales'!A:L,4,0)</f>
        <v>Impresora</v>
      </c>
      <c r="D575" s="4">
        <f>VLOOKUP(A575,'Datos generales'!A:L,6,0)</f>
        <v>1457.35</v>
      </c>
      <c r="E575" s="4">
        <f>VLOOKUP(A575,'Datos generales'!A:L,12,0)</f>
        <v>1457.35</v>
      </c>
      <c r="F575" s="4" t="str">
        <f>VLOOKUP(A575,'Datos generales'!A:L,7,0)</f>
        <v>Electrónica</v>
      </c>
      <c r="G575" s="4">
        <v>2024</v>
      </c>
    </row>
    <row r="576" spans="1:7" x14ac:dyDescent="0.25">
      <c r="A576" t="s">
        <v>186</v>
      </c>
      <c r="B576" s="4">
        <f>VLOOKUP(A576,'Datos generales'!A:L,5,0)</f>
        <v>3</v>
      </c>
      <c r="C576" s="4" t="str">
        <f>VLOOKUP(A576,'Datos generales'!A:L,4,0)</f>
        <v>Silla Gamer</v>
      </c>
      <c r="D576" s="4">
        <f>VLOOKUP(A576,'Datos generales'!A:L,6,0)</f>
        <v>1083.32</v>
      </c>
      <c r="E576" s="4">
        <f>VLOOKUP(A576,'Datos generales'!A:L,12,0)</f>
        <v>1083.32</v>
      </c>
      <c r="F576" s="4" t="str">
        <f>VLOOKUP(A576,'Datos generales'!A:L,7,0)</f>
        <v>Muebles</v>
      </c>
      <c r="G576" s="4">
        <v>2024</v>
      </c>
    </row>
    <row r="577" spans="1:7" x14ac:dyDescent="0.25">
      <c r="A577" t="s">
        <v>187</v>
      </c>
      <c r="B577" s="4">
        <f>VLOOKUP(A577,'Datos generales'!A:L,5,0)</f>
        <v>3</v>
      </c>
      <c r="C577" s="4" t="str">
        <f>VLOOKUP(A577,'Datos generales'!A:L,4,0)</f>
        <v>Laptop</v>
      </c>
      <c r="D577" s="4">
        <f>VLOOKUP(A577,'Datos generales'!A:L,6,0)</f>
        <v>1542.71</v>
      </c>
      <c r="E577" s="4">
        <f>VLOOKUP(A577,'Datos generales'!A:L,12,0)</f>
        <v>1542.71</v>
      </c>
      <c r="F577" s="4" t="str">
        <f>VLOOKUP(A577,'Datos generales'!A:L,7,0)</f>
        <v>Electrónica</v>
      </c>
      <c r="G577" s="4">
        <v>2025</v>
      </c>
    </row>
    <row r="578" spans="1:7" x14ac:dyDescent="0.25">
      <c r="A578" t="s">
        <v>188</v>
      </c>
      <c r="B578" s="4">
        <f>VLOOKUP(A578,'Datos generales'!A:L,5,0)</f>
        <v>5</v>
      </c>
      <c r="C578" s="4" t="str">
        <f>VLOOKUP(A578,'Datos generales'!A:L,4,0)</f>
        <v>Impresora</v>
      </c>
      <c r="D578" s="4">
        <f>VLOOKUP(A578,'Datos generales'!A:L,6,0)</f>
        <v>723.8</v>
      </c>
      <c r="E578" s="4">
        <f>VLOOKUP(A578,'Datos generales'!A:L,12,0)</f>
        <v>723.8</v>
      </c>
      <c r="F578" s="4" t="str">
        <f>VLOOKUP(A578,'Datos generales'!A:L,7,0)</f>
        <v>Electrónica</v>
      </c>
      <c r="G578" s="4">
        <v>2025</v>
      </c>
    </row>
    <row r="579" spans="1:7" x14ac:dyDescent="0.25">
      <c r="A579" t="s">
        <v>189</v>
      </c>
      <c r="B579" s="4">
        <f>VLOOKUP(A579,'Datos generales'!A:L,5,0)</f>
        <v>5</v>
      </c>
      <c r="C579" s="4" t="str">
        <f>VLOOKUP(A579,'Datos generales'!A:L,4,0)</f>
        <v>Teclado</v>
      </c>
      <c r="D579" s="4">
        <f>VLOOKUP(A579,'Datos generales'!A:L,6,0)</f>
        <v>179.97</v>
      </c>
      <c r="E579" s="4">
        <f>VLOOKUP(A579,'Datos generales'!A:L,12,0)</f>
        <v>179.97</v>
      </c>
      <c r="F579" s="4" t="str">
        <f>VLOOKUP(A579,'Datos generales'!A:L,7,0)</f>
        <v>Accesorios</v>
      </c>
      <c r="G579" s="4">
        <v>2023</v>
      </c>
    </row>
    <row r="580" spans="1:7" x14ac:dyDescent="0.25">
      <c r="A580" t="s">
        <v>190</v>
      </c>
      <c r="B580" s="4">
        <f>VLOOKUP(A580,'Datos generales'!A:L,5,0)</f>
        <v>1</v>
      </c>
      <c r="C580" s="4" t="str">
        <f>VLOOKUP(A580,'Datos generales'!A:L,4,0)</f>
        <v>Laptop</v>
      </c>
      <c r="D580" s="4">
        <f>VLOOKUP(A580,'Datos generales'!A:L,6,0)</f>
        <v>1318.43</v>
      </c>
      <c r="E580" s="4">
        <f>VLOOKUP(A580,'Datos generales'!A:L,12,0)</f>
        <v>1318.43</v>
      </c>
      <c r="F580" s="4" t="str">
        <f>VLOOKUP(A580,'Datos generales'!A:L,7,0)</f>
        <v>Electrónica</v>
      </c>
      <c r="G580" s="4">
        <v>2024</v>
      </c>
    </row>
    <row r="581" spans="1:7" x14ac:dyDescent="0.25">
      <c r="A581" t="s">
        <v>191</v>
      </c>
      <c r="B581" s="4">
        <f>VLOOKUP(A581,'Datos generales'!A:L,5,0)</f>
        <v>2</v>
      </c>
      <c r="C581" s="4" t="str">
        <f>VLOOKUP(A581,'Datos generales'!A:L,4,0)</f>
        <v>Impresora</v>
      </c>
      <c r="D581" s="4">
        <f>VLOOKUP(A581,'Datos generales'!A:L,6,0)</f>
        <v>307.37</v>
      </c>
      <c r="E581" s="4">
        <f>VLOOKUP(A581,'Datos generales'!A:L,12,0)</f>
        <v>307.37</v>
      </c>
      <c r="F581" s="4" t="str">
        <f>VLOOKUP(A581,'Datos generales'!A:L,7,0)</f>
        <v>Electrónica</v>
      </c>
      <c r="G581" s="4">
        <v>2023</v>
      </c>
    </row>
    <row r="582" spans="1:7" x14ac:dyDescent="0.25">
      <c r="A582" t="s">
        <v>192</v>
      </c>
      <c r="B582" s="4">
        <f>VLOOKUP(A582,'Datos generales'!A:L,5,0)</f>
        <v>1</v>
      </c>
      <c r="C582" s="4" t="str">
        <f>VLOOKUP(A582,'Datos generales'!A:L,4,0)</f>
        <v>Silla Gamer</v>
      </c>
      <c r="D582" s="4">
        <f>VLOOKUP(A582,'Datos generales'!A:L,6,0)</f>
        <v>1364.97</v>
      </c>
      <c r="E582" s="4">
        <f>VLOOKUP(A582,'Datos generales'!A:L,12,0)</f>
        <v>1364.97</v>
      </c>
      <c r="F582" s="4" t="str">
        <f>VLOOKUP(A582,'Datos generales'!A:L,7,0)</f>
        <v>Muebles</v>
      </c>
      <c r="G582" s="4">
        <v>2023</v>
      </c>
    </row>
    <row r="583" spans="1:7" x14ac:dyDescent="0.25">
      <c r="A583" t="s">
        <v>193</v>
      </c>
      <c r="B583" s="4">
        <f>VLOOKUP(A583,'Datos generales'!A:L,5,0)</f>
        <v>3</v>
      </c>
      <c r="C583" s="4" t="str">
        <f>VLOOKUP(A583,'Datos generales'!A:L,4,0)</f>
        <v>Audífonos</v>
      </c>
      <c r="D583" s="4">
        <f>VLOOKUP(A583,'Datos generales'!A:L,6,0)</f>
        <v>244.23</v>
      </c>
      <c r="E583" s="4">
        <f>VLOOKUP(A583,'Datos generales'!A:L,12,0)</f>
        <v>244.23</v>
      </c>
      <c r="F583" s="4" t="str">
        <f>VLOOKUP(A583,'Datos generales'!A:L,7,0)</f>
        <v>Accesorios</v>
      </c>
      <c r="G583" s="4">
        <v>2024</v>
      </c>
    </row>
    <row r="584" spans="1:7" x14ac:dyDescent="0.25">
      <c r="A584" t="s">
        <v>194</v>
      </c>
      <c r="B584" s="4">
        <f>VLOOKUP(A584,'Datos generales'!A:L,5,0)</f>
        <v>3</v>
      </c>
      <c r="C584" s="4" t="str">
        <f>VLOOKUP(A584,'Datos generales'!A:L,4,0)</f>
        <v>Webcam</v>
      </c>
      <c r="D584" s="4">
        <f>VLOOKUP(A584,'Datos generales'!A:L,6,0)</f>
        <v>245.64</v>
      </c>
      <c r="E584" s="4">
        <f>VLOOKUP(A584,'Datos generales'!A:L,12,0)</f>
        <v>245.64</v>
      </c>
      <c r="F584" s="4" t="str">
        <f>VLOOKUP(A584,'Datos generales'!A:L,7,0)</f>
        <v>Accesorios</v>
      </c>
      <c r="G584" s="4">
        <v>2023</v>
      </c>
    </row>
    <row r="585" spans="1:7" x14ac:dyDescent="0.25">
      <c r="A585" t="s">
        <v>195</v>
      </c>
      <c r="B585" s="4">
        <f>VLOOKUP(A585,'Datos generales'!A:L,5,0)</f>
        <v>1</v>
      </c>
      <c r="C585" s="4" t="str">
        <f>VLOOKUP(A585,'Datos generales'!A:L,4,0)</f>
        <v>Webcam</v>
      </c>
      <c r="D585" s="4">
        <f>VLOOKUP(A585,'Datos generales'!A:L,6,0)</f>
        <v>1501.34</v>
      </c>
      <c r="E585" s="4">
        <f>VLOOKUP(A585,'Datos generales'!A:L,12,0)</f>
        <v>1501.34</v>
      </c>
      <c r="F585" s="4" t="str">
        <f>VLOOKUP(A585,'Datos generales'!A:L,7,0)</f>
        <v>Accesorios</v>
      </c>
      <c r="G585" s="4">
        <v>2024</v>
      </c>
    </row>
    <row r="586" spans="1:7" x14ac:dyDescent="0.25">
      <c r="A586" t="s">
        <v>196</v>
      </c>
      <c r="B586" s="4">
        <f>VLOOKUP(A586,'Datos generales'!A:L,5,0)</f>
        <v>4</v>
      </c>
      <c r="C586" s="4" t="str">
        <f>VLOOKUP(A586,'Datos generales'!A:L,4,0)</f>
        <v>Teclado</v>
      </c>
      <c r="D586" s="4">
        <f>VLOOKUP(A586,'Datos generales'!A:L,6,0)</f>
        <v>995.18</v>
      </c>
      <c r="E586" s="4">
        <f>VLOOKUP(A586,'Datos generales'!A:L,12,0)</f>
        <v>995.18</v>
      </c>
      <c r="F586" s="4" t="str">
        <f>VLOOKUP(A586,'Datos generales'!A:L,7,0)</f>
        <v>Accesorios</v>
      </c>
      <c r="G586" s="4">
        <v>2024</v>
      </c>
    </row>
    <row r="587" spans="1:7" x14ac:dyDescent="0.25">
      <c r="A587" t="s">
        <v>197</v>
      </c>
      <c r="B587" s="4">
        <f>VLOOKUP(A587,'Datos generales'!A:L,5,0)</f>
        <v>2</v>
      </c>
      <c r="C587" s="4" t="str">
        <f>VLOOKUP(A587,'Datos generales'!A:L,4,0)</f>
        <v>Teclado</v>
      </c>
      <c r="D587" s="4">
        <f>VLOOKUP(A587,'Datos generales'!A:L,6,0)</f>
        <v>1834.72</v>
      </c>
      <c r="E587" s="4">
        <f>VLOOKUP(A587,'Datos generales'!A:L,12,0)</f>
        <v>1834.72</v>
      </c>
      <c r="F587" s="4" t="str">
        <f>VLOOKUP(A587,'Datos generales'!A:L,7,0)</f>
        <v>Accesorios</v>
      </c>
      <c r="G587" s="4">
        <v>2023</v>
      </c>
    </row>
    <row r="588" spans="1:7" x14ac:dyDescent="0.25">
      <c r="A588" t="s">
        <v>198</v>
      </c>
      <c r="B588" s="4">
        <f>VLOOKUP(A588,'Datos generales'!A:L,5,0)</f>
        <v>2</v>
      </c>
      <c r="C588" s="4" t="str">
        <f>VLOOKUP(A588,'Datos generales'!A:L,4,0)</f>
        <v>Audífonos</v>
      </c>
      <c r="D588" s="4">
        <f>VLOOKUP(A588,'Datos generales'!A:L,6,0)</f>
        <v>1942.31</v>
      </c>
      <c r="E588" s="4">
        <f>VLOOKUP(A588,'Datos generales'!A:L,12,0)</f>
        <v>1942.31</v>
      </c>
      <c r="F588" s="4" t="str">
        <f>VLOOKUP(A588,'Datos generales'!A:L,7,0)</f>
        <v>Accesorios</v>
      </c>
      <c r="G588" s="4">
        <v>2024</v>
      </c>
    </row>
    <row r="589" spans="1:7" x14ac:dyDescent="0.25">
      <c r="A589" t="s">
        <v>199</v>
      </c>
      <c r="B589" s="4">
        <f>VLOOKUP(A589,'Datos generales'!A:L,5,0)</f>
        <v>3</v>
      </c>
      <c r="C589" s="4" t="str">
        <f>VLOOKUP(A589,'Datos generales'!A:L,4,0)</f>
        <v>Audífonos</v>
      </c>
      <c r="D589" s="4">
        <f>VLOOKUP(A589,'Datos generales'!A:L,6,0)</f>
        <v>1025.57</v>
      </c>
      <c r="E589" s="4">
        <f>VLOOKUP(A589,'Datos generales'!A:L,12,0)</f>
        <v>1025.57</v>
      </c>
      <c r="F589" s="4" t="str">
        <f>VLOOKUP(A589,'Datos generales'!A:L,7,0)</f>
        <v>Accesorios</v>
      </c>
      <c r="G589" s="4">
        <v>2025</v>
      </c>
    </row>
    <row r="590" spans="1:7" x14ac:dyDescent="0.25">
      <c r="A590" t="s">
        <v>200</v>
      </c>
      <c r="B590" s="4">
        <f>VLOOKUP(A590,'Datos generales'!A:L,5,0)</f>
        <v>4</v>
      </c>
      <c r="C590" s="4" t="str">
        <f>VLOOKUP(A590,'Datos generales'!A:L,4,0)</f>
        <v>Impresora</v>
      </c>
      <c r="D590" s="4">
        <f>VLOOKUP(A590,'Datos generales'!A:L,6,0)</f>
        <v>555.19000000000005</v>
      </c>
      <c r="E590" s="4">
        <f>VLOOKUP(A590,'Datos generales'!A:L,12,0)</f>
        <v>555.19000000000005</v>
      </c>
      <c r="F590" s="4" t="str">
        <f>VLOOKUP(A590,'Datos generales'!A:L,7,0)</f>
        <v>Electrónica</v>
      </c>
      <c r="G590" s="4">
        <v>2023</v>
      </c>
    </row>
    <row r="591" spans="1:7" x14ac:dyDescent="0.25">
      <c r="A591" t="s">
        <v>201</v>
      </c>
      <c r="B591" s="4">
        <f>VLOOKUP(A591,'Datos generales'!A:L,5,0)</f>
        <v>5</v>
      </c>
      <c r="C591" s="4" t="str">
        <f>VLOOKUP(A591,'Datos generales'!A:L,4,0)</f>
        <v>Silla Gamer</v>
      </c>
      <c r="D591" s="4">
        <f>VLOOKUP(A591,'Datos generales'!A:L,6,0)</f>
        <v>750.82</v>
      </c>
      <c r="E591" s="4">
        <f>VLOOKUP(A591,'Datos generales'!A:L,12,0)</f>
        <v>750.82</v>
      </c>
      <c r="F591" s="4" t="str">
        <f>VLOOKUP(A591,'Datos generales'!A:L,7,0)</f>
        <v>Muebles</v>
      </c>
      <c r="G591" s="4">
        <v>2023</v>
      </c>
    </row>
    <row r="592" spans="1:7" x14ac:dyDescent="0.25">
      <c r="A592" t="s">
        <v>202</v>
      </c>
      <c r="B592" s="4">
        <f>VLOOKUP(A592,'Datos generales'!A:L,5,0)</f>
        <v>2</v>
      </c>
      <c r="C592" s="4" t="str">
        <f>VLOOKUP(A592,'Datos generales'!A:L,4,0)</f>
        <v>Impresora</v>
      </c>
      <c r="D592" s="4">
        <f>VLOOKUP(A592,'Datos generales'!A:L,6,0)</f>
        <v>1609.9</v>
      </c>
      <c r="E592" s="4">
        <f>VLOOKUP(A592,'Datos generales'!A:L,12,0)</f>
        <v>1609.9</v>
      </c>
      <c r="F592" s="4" t="str">
        <f>VLOOKUP(A592,'Datos generales'!A:L,7,0)</f>
        <v>Electrónica</v>
      </c>
      <c r="G592" s="4">
        <v>2025</v>
      </c>
    </row>
    <row r="593" spans="1:7" x14ac:dyDescent="0.25">
      <c r="A593" t="s">
        <v>203</v>
      </c>
      <c r="B593" s="4">
        <f>VLOOKUP(A593,'Datos generales'!A:L,5,0)</f>
        <v>3</v>
      </c>
      <c r="C593" s="4" t="str">
        <f>VLOOKUP(A593,'Datos generales'!A:L,4,0)</f>
        <v>Silla Gamer</v>
      </c>
      <c r="D593" s="4">
        <f>VLOOKUP(A593,'Datos generales'!A:L,6,0)</f>
        <v>27.89</v>
      </c>
      <c r="E593" s="4">
        <f>VLOOKUP(A593,'Datos generales'!A:L,12,0)</f>
        <v>27.89</v>
      </c>
      <c r="F593" s="4" t="str">
        <f>VLOOKUP(A593,'Datos generales'!A:L,7,0)</f>
        <v>Muebles</v>
      </c>
      <c r="G593" s="4">
        <v>2025</v>
      </c>
    </row>
    <row r="594" spans="1:7" x14ac:dyDescent="0.25">
      <c r="A594" t="s">
        <v>204</v>
      </c>
      <c r="B594" s="4">
        <f>VLOOKUP(A594,'Datos generales'!A:L,5,0)</f>
        <v>1</v>
      </c>
      <c r="C594" s="4" t="str">
        <f>VLOOKUP(A594,'Datos generales'!A:L,4,0)</f>
        <v>Audífonos</v>
      </c>
      <c r="D594" s="4">
        <f>VLOOKUP(A594,'Datos generales'!A:L,6,0)</f>
        <v>1700.54</v>
      </c>
      <c r="E594" s="4">
        <f>VLOOKUP(A594,'Datos generales'!A:L,12,0)</f>
        <v>1700.54</v>
      </c>
      <c r="F594" s="4" t="str">
        <f>VLOOKUP(A594,'Datos generales'!A:L,7,0)</f>
        <v>Accesorios</v>
      </c>
      <c r="G594" s="4">
        <v>2025</v>
      </c>
    </row>
    <row r="595" spans="1:7" x14ac:dyDescent="0.25">
      <c r="A595" t="s">
        <v>205</v>
      </c>
      <c r="B595" s="4">
        <f>VLOOKUP(A595,'Datos generales'!A:L,5,0)</f>
        <v>3</v>
      </c>
      <c r="C595" s="4" t="str">
        <f>VLOOKUP(A595,'Datos generales'!A:L,4,0)</f>
        <v>Audífonos</v>
      </c>
      <c r="D595" s="4">
        <f>VLOOKUP(A595,'Datos generales'!A:L,6,0)</f>
        <v>473.4</v>
      </c>
      <c r="E595" s="4">
        <f>VLOOKUP(A595,'Datos generales'!A:L,12,0)</f>
        <v>473.39999999999992</v>
      </c>
      <c r="F595" s="4" t="str">
        <f>VLOOKUP(A595,'Datos generales'!A:L,7,0)</f>
        <v>Accesorios</v>
      </c>
      <c r="G595" s="4">
        <v>2025</v>
      </c>
    </row>
    <row r="596" spans="1:7" x14ac:dyDescent="0.25">
      <c r="A596" t="s">
        <v>206</v>
      </c>
      <c r="B596" s="4">
        <f>VLOOKUP(A596,'Datos generales'!A:L,5,0)</f>
        <v>1</v>
      </c>
      <c r="C596" s="4" t="str">
        <f>VLOOKUP(A596,'Datos generales'!A:L,4,0)</f>
        <v>Impresora</v>
      </c>
      <c r="D596" s="4">
        <f>VLOOKUP(A596,'Datos generales'!A:L,6,0)</f>
        <v>521.32000000000005</v>
      </c>
      <c r="E596" s="4">
        <f>VLOOKUP(A596,'Datos generales'!A:L,12,0)</f>
        <v>521.32000000000005</v>
      </c>
      <c r="F596" s="4" t="str">
        <f>VLOOKUP(A596,'Datos generales'!A:L,7,0)</f>
        <v>Electrónica</v>
      </c>
      <c r="G596" s="4">
        <v>2023</v>
      </c>
    </row>
    <row r="597" spans="1:7" x14ac:dyDescent="0.25">
      <c r="A597" t="s">
        <v>207</v>
      </c>
      <c r="B597" s="4">
        <f>VLOOKUP(A597,'Datos generales'!A:L,5,0)</f>
        <v>1</v>
      </c>
      <c r="C597" s="4" t="str">
        <f>VLOOKUP(A597,'Datos generales'!A:L,4,0)</f>
        <v>Teclado</v>
      </c>
      <c r="D597" s="4">
        <f>VLOOKUP(A597,'Datos generales'!A:L,6,0)</f>
        <v>1067.6400000000001</v>
      </c>
      <c r="E597" s="4">
        <f>VLOOKUP(A597,'Datos generales'!A:L,12,0)</f>
        <v>1067.6400000000001</v>
      </c>
      <c r="F597" s="4" t="str">
        <f>VLOOKUP(A597,'Datos generales'!A:L,7,0)</f>
        <v>Accesorios</v>
      </c>
      <c r="G597" s="4">
        <v>2025</v>
      </c>
    </row>
    <row r="598" spans="1:7" x14ac:dyDescent="0.25">
      <c r="A598" t="s">
        <v>208</v>
      </c>
      <c r="B598" s="4">
        <f>VLOOKUP(A598,'Datos generales'!A:L,5,0)</f>
        <v>1</v>
      </c>
      <c r="C598" s="4" t="str">
        <f>VLOOKUP(A598,'Datos generales'!A:L,4,0)</f>
        <v>Mouse</v>
      </c>
      <c r="D598" s="4">
        <f>VLOOKUP(A598,'Datos generales'!A:L,6,0)</f>
        <v>1903.64</v>
      </c>
      <c r="E598" s="4">
        <f>VLOOKUP(A598,'Datos generales'!A:L,12,0)</f>
        <v>1903.64</v>
      </c>
      <c r="F598" s="4" t="str">
        <f>VLOOKUP(A598,'Datos generales'!A:L,7,0)</f>
        <v>Accesorios</v>
      </c>
      <c r="G598" s="4">
        <v>2023</v>
      </c>
    </row>
    <row r="599" spans="1:7" x14ac:dyDescent="0.25">
      <c r="A599" t="s">
        <v>209</v>
      </c>
      <c r="B599" s="4">
        <f>VLOOKUP(A599,'Datos generales'!A:L,5,0)</f>
        <v>2</v>
      </c>
      <c r="C599" s="4" t="str">
        <f>VLOOKUP(A599,'Datos generales'!A:L,4,0)</f>
        <v>Silla Gamer</v>
      </c>
      <c r="D599" s="4">
        <f>VLOOKUP(A599,'Datos generales'!A:L,6,0)</f>
        <v>1460.16</v>
      </c>
      <c r="E599" s="4">
        <f>VLOOKUP(A599,'Datos generales'!A:L,12,0)</f>
        <v>1460.16</v>
      </c>
      <c r="F599" s="4" t="str">
        <f>VLOOKUP(A599,'Datos generales'!A:L,7,0)</f>
        <v>Muebles</v>
      </c>
      <c r="G599" s="4">
        <v>2023</v>
      </c>
    </row>
    <row r="600" spans="1:7" x14ac:dyDescent="0.25">
      <c r="A600" t="s">
        <v>210</v>
      </c>
      <c r="B600" s="4">
        <f>VLOOKUP(A600,'Datos generales'!A:L,5,0)</f>
        <v>4</v>
      </c>
      <c r="C600" s="4" t="str">
        <f>VLOOKUP(A600,'Datos generales'!A:L,4,0)</f>
        <v>Monitor</v>
      </c>
      <c r="D600" s="4">
        <f>VLOOKUP(A600,'Datos generales'!A:L,6,0)</f>
        <v>847</v>
      </c>
      <c r="E600" s="4">
        <f>VLOOKUP(A600,'Datos generales'!A:L,12,0)</f>
        <v>847</v>
      </c>
      <c r="F600" s="4" t="str">
        <f>VLOOKUP(A600,'Datos generales'!A:L,7,0)</f>
        <v>Electrónica</v>
      </c>
      <c r="G600" s="4">
        <v>2025</v>
      </c>
    </row>
    <row r="601" spans="1:7" x14ac:dyDescent="0.25">
      <c r="A601" t="s">
        <v>211</v>
      </c>
      <c r="B601" s="4">
        <f>VLOOKUP(A601,'Datos generales'!A:L,5,0)</f>
        <v>2</v>
      </c>
      <c r="C601" s="4" t="str">
        <f>VLOOKUP(A601,'Datos generales'!A:L,4,0)</f>
        <v>Mouse</v>
      </c>
      <c r="D601" s="4">
        <f>VLOOKUP(A601,'Datos generales'!A:L,6,0)</f>
        <v>1243.3399999999999</v>
      </c>
      <c r="E601" s="4">
        <f>VLOOKUP(A601,'Datos generales'!A:L,12,0)</f>
        <v>1243.3399999999999</v>
      </c>
      <c r="F601" s="4" t="str">
        <f>VLOOKUP(A601,'Datos generales'!A:L,7,0)</f>
        <v>Accesorios</v>
      </c>
      <c r="G601" s="4">
        <v>2023</v>
      </c>
    </row>
    <row r="602" spans="1:7" x14ac:dyDescent="0.25">
      <c r="A602" t="s">
        <v>12</v>
      </c>
      <c r="B602" s="4">
        <f>VLOOKUP(A602,'Datos generales'!A:L,5,0)</f>
        <v>5</v>
      </c>
      <c r="C602" s="4" t="str">
        <f>VLOOKUP(A602,'Datos generales'!A:L,4,0)</f>
        <v>Monitor</v>
      </c>
      <c r="D602" s="4">
        <f>VLOOKUP(A602,'Datos generales'!A:L,6,0)</f>
        <v>1497.24</v>
      </c>
      <c r="E602" s="4">
        <f>VLOOKUP(A602,'Datos generales'!A:L,12,0)</f>
        <v>1497.24</v>
      </c>
      <c r="F602" s="4" t="str">
        <f>VLOOKUP(A602,'Datos generales'!A:L,7,0)</f>
        <v>Electrónica</v>
      </c>
      <c r="G602" s="4">
        <v>2023</v>
      </c>
    </row>
    <row r="603" spans="1:7" x14ac:dyDescent="0.25">
      <c r="A603" t="s">
        <v>13</v>
      </c>
      <c r="B603" s="4">
        <f>VLOOKUP(A603,'Datos generales'!A:L,5,0)</f>
        <v>1</v>
      </c>
      <c r="C603" s="4" t="str">
        <f>VLOOKUP(A603,'Datos generales'!A:L,4,0)</f>
        <v>Monitor</v>
      </c>
      <c r="D603" s="4">
        <f>VLOOKUP(A603,'Datos generales'!A:L,6,0)</f>
        <v>1687.54</v>
      </c>
      <c r="E603" s="4">
        <f>VLOOKUP(A603,'Datos generales'!A:L,12,0)</f>
        <v>1687.54</v>
      </c>
      <c r="F603" s="4" t="str">
        <f>VLOOKUP(A603,'Datos generales'!A:L,7,0)</f>
        <v>Electrónica</v>
      </c>
      <c r="G603" s="4">
        <v>2023</v>
      </c>
    </row>
    <row r="604" spans="1:7" x14ac:dyDescent="0.25">
      <c r="A604" t="s">
        <v>14</v>
      </c>
      <c r="B604" s="4">
        <f>VLOOKUP(A604,'Datos generales'!A:L,5,0)</f>
        <v>3</v>
      </c>
      <c r="C604" s="4" t="str">
        <f>VLOOKUP(A604,'Datos generales'!A:L,4,0)</f>
        <v>Teclado</v>
      </c>
      <c r="D604" s="4">
        <f>VLOOKUP(A604,'Datos generales'!A:L,6,0)</f>
        <v>768.8</v>
      </c>
      <c r="E604" s="4">
        <f>VLOOKUP(A604,'Datos generales'!A:L,12,0)</f>
        <v>768.79999999999984</v>
      </c>
      <c r="F604" s="4" t="str">
        <f>VLOOKUP(A604,'Datos generales'!A:L,7,0)</f>
        <v>Accesorios</v>
      </c>
      <c r="G604" s="4">
        <v>2024</v>
      </c>
    </row>
    <row r="605" spans="1:7" x14ac:dyDescent="0.25">
      <c r="A605" t="s">
        <v>15</v>
      </c>
      <c r="B605" s="4">
        <f>VLOOKUP(A605,'Datos generales'!A:L,5,0)</f>
        <v>1</v>
      </c>
      <c r="C605" s="4" t="str">
        <f>VLOOKUP(A605,'Datos generales'!A:L,4,0)</f>
        <v>Silla Gamer</v>
      </c>
      <c r="D605" s="4">
        <f>VLOOKUP(A605,'Datos generales'!A:L,6,0)</f>
        <v>1532.67</v>
      </c>
      <c r="E605" s="4">
        <f>VLOOKUP(A605,'Datos generales'!A:L,12,0)</f>
        <v>1532.67</v>
      </c>
      <c r="F605" s="4" t="str">
        <f>VLOOKUP(A605,'Datos generales'!A:L,7,0)</f>
        <v>Muebles</v>
      </c>
      <c r="G605" s="4">
        <v>2025</v>
      </c>
    </row>
    <row r="606" spans="1:7" x14ac:dyDescent="0.25">
      <c r="A606" t="s">
        <v>16</v>
      </c>
      <c r="B606" s="4">
        <f>VLOOKUP(A606,'Datos generales'!A:L,5,0)</f>
        <v>3</v>
      </c>
      <c r="C606" s="4" t="str">
        <f>VLOOKUP(A606,'Datos generales'!A:L,4,0)</f>
        <v>Silla Gamer</v>
      </c>
      <c r="D606" s="4">
        <f>VLOOKUP(A606,'Datos generales'!A:L,6,0)</f>
        <v>1709.47</v>
      </c>
      <c r="E606" s="4">
        <f>VLOOKUP(A606,'Datos generales'!A:L,12,0)</f>
        <v>1709.47</v>
      </c>
      <c r="F606" s="4" t="str">
        <f>VLOOKUP(A606,'Datos generales'!A:L,7,0)</f>
        <v>Muebles</v>
      </c>
      <c r="G606" s="4">
        <v>2025</v>
      </c>
    </row>
    <row r="607" spans="1:7" x14ac:dyDescent="0.25">
      <c r="A607" t="s">
        <v>17</v>
      </c>
      <c r="B607" s="4">
        <f>VLOOKUP(A607,'Datos generales'!A:L,5,0)</f>
        <v>3</v>
      </c>
      <c r="C607" s="4" t="str">
        <f>VLOOKUP(A607,'Datos generales'!A:L,4,0)</f>
        <v>Impresora</v>
      </c>
      <c r="D607" s="4">
        <f>VLOOKUP(A607,'Datos generales'!A:L,6,0)</f>
        <v>297.54000000000002</v>
      </c>
      <c r="E607" s="4">
        <f>VLOOKUP(A607,'Datos generales'!A:L,12,0)</f>
        <v>297.54000000000002</v>
      </c>
      <c r="F607" s="4" t="str">
        <f>VLOOKUP(A607,'Datos generales'!A:L,7,0)</f>
        <v>Electrónica</v>
      </c>
      <c r="G607" s="4">
        <v>2023</v>
      </c>
    </row>
    <row r="608" spans="1:7" x14ac:dyDescent="0.25">
      <c r="A608" t="s">
        <v>18</v>
      </c>
      <c r="B608" s="4">
        <f>VLOOKUP(A608,'Datos generales'!A:L,5,0)</f>
        <v>4</v>
      </c>
      <c r="C608" s="4" t="str">
        <f>VLOOKUP(A608,'Datos generales'!A:L,4,0)</f>
        <v>Webcam</v>
      </c>
      <c r="D608" s="4">
        <f>VLOOKUP(A608,'Datos generales'!A:L,6,0)</f>
        <v>1546.65</v>
      </c>
      <c r="E608" s="4">
        <f>VLOOKUP(A608,'Datos generales'!A:L,12,0)</f>
        <v>1546.65</v>
      </c>
      <c r="F608" s="4" t="str">
        <f>VLOOKUP(A608,'Datos generales'!A:L,7,0)</f>
        <v>Accesorios</v>
      </c>
      <c r="G608" s="4">
        <v>2025</v>
      </c>
    </row>
    <row r="609" spans="1:7" x14ac:dyDescent="0.25">
      <c r="A609" t="s">
        <v>19</v>
      </c>
      <c r="B609" s="4">
        <f>VLOOKUP(A609,'Datos generales'!A:L,5,0)</f>
        <v>1</v>
      </c>
      <c r="C609" s="4" t="str">
        <f>VLOOKUP(A609,'Datos generales'!A:L,4,0)</f>
        <v>Monitor</v>
      </c>
      <c r="D609" s="4">
        <f>VLOOKUP(A609,'Datos generales'!A:L,6,0)</f>
        <v>1575.18</v>
      </c>
      <c r="E609" s="4">
        <f>VLOOKUP(A609,'Datos generales'!A:L,12,0)</f>
        <v>1575.18</v>
      </c>
      <c r="F609" s="4" t="str">
        <f>VLOOKUP(A609,'Datos generales'!A:L,7,0)</f>
        <v>Electrónica</v>
      </c>
      <c r="G609" s="4">
        <v>2025</v>
      </c>
    </row>
    <row r="610" spans="1:7" x14ac:dyDescent="0.25">
      <c r="A610" t="s">
        <v>20</v>
      </c>
      <c r="B610" s="4">
        <f>VLOOKUP(A610,'Datos generales'!A:L,5,0)</f>
        <v>5</v>
      </c>
      <c r="C610" s="4" t="str">
        <f>VLOOKUP(A610,'Datos generales'!A:L,4,0)</f>
        <v>Laptop</v>
      </c>
      <c r="D610" s="4">
        <f>VLOOKUP(A610,'Datos generales'!A:L,6,0)</f>
        <v>1815.86</v>
      </c>
      <c r="E610" s="4">
        <f>VLOOKUP(A610,'Datos generales'!A:L,12,0)</f>
        <v>1815.86</v>
      </c>
      <c r="F610" s="4" t="str">
        <f>VLOOKUP(A610,'Datos generales'!A:L,7,0)</f>
        <v>Electrónica</v>
      </c>
      <c r="G610" s="4">
        <v>2024</v>
      </c>
    </row>
    <row r="611" spans="1:7" x14ac:dyDescent="0.25">
      <c r="A611" t="s">
        <v>21</v>
      </c>
      <c r="B611" s="4">
        <f>VLOOKUP(A611,'Datos generales'!A:L,5,0)</f>
        <v>1</v>
      </c>
      <c r="C611" s="4" t="str">
        <f>VLOOKUP(A611,'Datos generales'!A:L,4,0)</f>
        <v>Monitor</v>
      </c>
      <c r="D611" s="4">
        <f>VLOOKUP(A611,'Datos generales'!A:L,6,0)</f>
        <v>564.11</v>
      </c>
      <c r="E611" s="4">
        <f>VLOOKUP(A611,'Datos generales'!A:L,12,0)</f>
        <v>564.11</v>
      </c>
      <c r="F611" s="4" t="str">
        <f>VLOOKUP(A611,'Datos generales'!A:L,7,0)</f>
        <v>Electrónica</v>
      </c>
      <c r="G611" s="4">
        <v>2024</v>
      </c>
    </row>
    <row r="612" spans="1:7" x14ac:dyDescent="0.25">
      <c r="A612" t="s">
        <v>22</v>
      </c>
      <c r="B612" s="4">
        <f>VLOOKUP(A612,'Datos generales'!A:L,5,0)</f>
        <v>1</v>
      </c>
      <c r="C612" s="4" t="str">
        <f>VLOOKUP(A612,'Datos generales'!A:L,4,0)</f>
        <v>Laptop</v>
      </c>
      <c r="D612" s="4">
        <f>VLOOKUP(A612,'Datos generales'!A:L,6,0)</f>
        <v>454.9</v>
      </c>
      <c r="E612" s="4">
        <f>VLOOKUP(A612,'Datos generales'!A:L,12,0)</f>
        <v>454.9</v>
      </c>
      <c r="F612" s="4" t="str">
        <f>VLOOKUP(A612,'Datos generales'!A:L,7,0)</f>
        <v>Electrónica</v>
      </c>
      <c r="G612" s="4">
        <v>2024</v>
      </c>
    </row>
    <row r="613" spans="1:7" x14ac:dyDescent="0.25">
      <c r="A613" t="s">
        <v>23</v>
      </c>
      <c r="B613" s="4">
        <f>VLOOKUP(A613,'Datos generales'!A:L,5,0)</f>
        <v>3</v>
      </c>
      <c r="C613" s="4" t="str">
        <f>VLOOKUP(A613,'Datos generales'!A:L,4,0)</f>
        <v>Mouse</v>
      </c>
      <c r="D613" s="4">
        <f>VLOOKUP(A613,'Datos generales'!A:L,6,0)</f>
        <v>1277.51</v>
      </c>
      <c r="E613" s="4">
        <f>VLOOKUP(A613,'Datos generales'!A:L,12,0)</f>
        <v>1277.51</v>
      </c>
      <c r="F613" s="4" t="str">
        <f>VLOOKUP(A613,'Datos generales'!A:L,7,0)</f>
        <v>Accesorios</v>
      </c>
      <c r="G613" s="4">
        <v>2024</v>
      </c>
    </row>
    <row r="614" spans="1:7" x14ac:dyDescent="0.25">
      <c r="A614" t="s">
        <v>24</v>
      </c>
      <c r="B614" s="4">
        <f>VLOOKUP(A614,'Datos generales'!A:L,5,0)</f>
        <v>2</v>
      </c>
      <c r="C614" s="4" t="str">
        <f>VLOOKUP(A614,'Datos generales'!A:L,4,0)</f>
        <v>Silla Gamer</v>
      </c>
      <c r="D614" s="4">
        <f>VLOOKUP(A614,'Datos generales'!A:L,6,0)</f>
        <v>1870.95</v>
      </c>
      <c r="E614" s="4">
        <f>VLOOKUP(A614,'Datos generales'!A:L,12,0)</f>
        <v>1870.95</v>
      </c>
      <c r="F614" s="4" t="str">
        <f>VLOOKUP(A614,'Datos generales'!A:L,7,0)</f>
        <v>Muebles</v>
      </c>
      <c r="G614" s="4">
        <v>2023</v>
      </c>
    </row>
    <row r="615" spans="1:7" x14ac:dyDescent="0.25">
      <c r="A615" t="s">
        <v>25</v>
      </c>
      <c r="B615" s="4">
        <f>VLOOKUP(A615,'Datos generales'!A:L,5,0)</f>
        <v>4</v>
      </c>
      <c r="C615" s="4" t="str">
        <f>VLOOKUP(A615,'Datos generales'!A:L,4,0)</f>
        <v>Monitor</v>
      </c>
      <c r="D615" s="4">
        <f>VLOOKUP(A615,'Datos generales'!A:L,6,0)</f>
        <v>1227.23</v>
      </c>
      <c r="E615" s="4">
        <f>VLOOKUP(A615,'Datos generales'!A:L,12,0)</f>
        <v>1227.23</v>
      </c>
      <c r="F615" s="4" t="str">
        <f>VLOOKUP(A615,'Datos generales'!A:L,7,0)</f>
        <v>Electrónica</v>
      </c>
      <c r="G615" s="4">
        <v>2023</v>
      </c>
    </row>
    <row r="616" spans="1:7" x14ac:dyDescent="0.25">
      <c r="A616" t="s">
        <v>26</v>
      </c>
      <c r="B616" s="4">
        <f>VLOOKUP(A616,'Datos generales'!A:L,5,0)</f>
        <v>1</v>
      </c>
      <c r="C616" s="4" t="str">
        <f>VLOOKUP(A616,'Datos generales'!A:L,4,0)</f>
        <v>Impresora</v>
      </c>
      <c r="D616" s="4">
        <f>VLOOKUP(A616,'Datos generales'!A:L,6,0)</f>
        <v>1329.6</v>
      </c>
      <c r="E616" s="4">
        <f>VLOOKUP(A616,'Datos generales'!A:L,12,0)</f>
        <v>1329.6</v>
      </c>
      <c r="F616" s="4" t="str">
        <f>VLOOKUP(A616,'Datos generales'!A:L,7,0)</f>
        <v>Electrónica</v>
      </c>
      <c r="G616" s="4">
        <v>2024</v>
      </c>
    </row>
    <row r="617" spans="1:7" x14ac:dyDescent="0.25">
      <c r="A617" t="s">
        <v>27</v>
      </c>
      <c r="B617" s="4">
        <f>VLOOKUP(A617,'Datos generales'!A:L,5,0)</f>
        <v>3</v>
      </c>
      <c r="C617" s="4" t="str">
        <f>VLOOKUP(A617,'Datos generales'!A:L,4,0)</f>
        <v>Monitor</v>
      </c>
      <c r="D617" s="4">
        <f>VLOOKUP(A617,'Datos generales'!A:L,6,0)</f>
        <v>1734.12</v>
      </c>
      <c r="E617" s="4">
        <f>VLOOKUP(A617,'Datos generales'!A:L,12,0)</f>
        <v>1734.12</v>
      </c>
      <c r="F617" s="4" t="str">
        <f>VLOOKUP(A617,'Datos generales'!A:L,7,0)</f>
        <v>Electrónica</v>
      </c>
      <c r="G617" s="4">
        <v>2023</v>
      </c>
    </row>
    <row r="618" spans="1:7" x14ac:dyDescent="0.25">
      <c r="A618" t="s">
        <v>28</v>
      </c>
      <c r="B618" s="4">
        <f>VLOOKUP(A618,'Datos generales'!A:L,5,0)</f>
        <v>1</v>
      </c>
      <c r="C618" s="4" t="str">
        <f>VLOOKUP(A618,'Datos generales'!A:L,4,0)</f>
        <v>Monitor</v>
      </c>
      <c r="D618" s="4">
        <f>VLOOKUP(A618,'Datos generales'!A:L,6,0)</f>
        <v>1209.6199999999999</v>
      </c>
      <c r="E618" s="4">
        <f>VLOOKUP(A618,'Datos generales'!A:L,12,0)</f>
        <v>1209.6199999999999</v>
      </c>
      <c r="F618" s="4" t="str">
        <f>VLOOKUP(A618,'Datos generales'!A:L,7,0)</f>
        <v>Electrónica</v>
      </c>
      <c r="G618" s="4">
        <v>2024</v>
      </c>
    </row>
    <row r="619" spans="1:7" x14ac:dyDescent="0.25">
      <c r="A619" t="s">
        <v>29</v>
      </c>
      <c r="B619" s="4">
        <f>VLOOKUP(A619,'Datos generales'!A:L,5,0)</f>
        <v>3</v>
      </c>
      <c r="C619" s="4" t="str">
        <f>VLOOKUP(A619,'Datos generales'!A:L,4,0)</f>
        <v>Mouse</v>
      </c>
      <c r="D619" s="4">
        <f>VLOOKUP(A619,'Datos generales'!A:L,6,0)</f>
        <v>922.33</v>
      </c>
      <c r="E619" s="4">
        <f>VLOOKUP(A619,'Datos generales'!A:L,12,0)</f>
        <v>922.33</v>
      </c>
      <c r="F619" s="4" t="str">
        <f>VLOOKUP(A619,'Datos generales'!A:L,7,0)</f>
        <v>Accesorios</v>
      </c>
      <c r="G619" s="4">
        <v>2024</v>
      </c>
    </row>
    <row r="620" spans="1:7" x14ac:dyDescent="0.25">
      <c r="A620" t="s">
        <v>30</v>
      </c>
      <c r="B620" s="4">
        <f>VLOOKUP(A620,'Datos generales'!A:L,5,0)</f>
        <v>4</v>
      </c>
      <c r="C620" s="4" t="str">
        <f>VLOOKUP(A620,'Datos generales'!A:L,4,0)</f>
        <v>Webcam</v>
      </c>
      <c r="D620" s="4">
        <f>VLOOKUP(A620,'Datos generales'!A:L,6,0)</f>
        <v>54.42</v>
      </c>
      <c r="E620" s="4">
        <f>VLOOKUP(A620,'Datos generales'!A:L,12,0)</f>
        <v>54.42</v>
      </c>
      <c r="F620" s="4" t="str">
        <f>VLOOKUP(A620,'Datos generales'!A:L,7,0)</f>
        <v>Accesorios</v>
      </c>
      <c r="G620" s="4">
        <v>2025</v>
      </c>
    </row>
    <row r="621" spans="1:7" x14ac:dyDescent="0.25">
      <c r="A621" t="s">
        <v>31</v>
      </c>
      <c r="B621" s="4">
        <f>VLOOKUP(A621,'Datos generales'!A:L,5,0)</f>
        <v>2</v>
      </c>
      <c r="C621" s="4" t="str">
        <f>VLOOKUP(A621,'Datos generales'!A:L,4,0)</f>
        <v>Mouse</v>
      </c>
      <c r="D621" s="4">
        <f>VLOOKUP(A621,'Datos generales'!A:L,6,0)</f>
        <v>1567.18</v>
      </c>
      <c r="E621" s="4">
        <f>VLOOKUP(A621,'Datos generales'!A:L,12,0)</f>
        <v>1567.18</v>
      </c>
      <c r="F621" s="4" t="str">
        <f>VLOOKUP(A621,'Datos generales'!A:L,7,0)</f>
        <v>Accesorios</v>
      </c>
      <c r="G621" s="4">
        <v>2023</v>
      </c>
    </row>
    <row r="622" spans="1:7" x14ac:dyDescent="0.25">
      <c r="A622" t="s">
        <v>32</v>
      </c>
      <c r="B622" s="4">
        <f>VLOOKUP(A622,'Datos generales'!A:L,5,0)</f>
        <v>2</v>
      </c>
      <c r="C622" s="4" t="str">
        <f>VLOOKUP(A622,'Datos generales'!A:L,4,0)</f>
        <v>Teclado</v>
      </c>
      <c r="D622" s="4">
        <f>VLOOKUP(A622,'Datos generales'!A:L,6,0)</f>
        <v>519.79999999999995</v>
      </c>
      <c r="E622" s="4">
        <f>VLOOKUP(A622,'Datos generales'!A:L,12,0)</f>
        <v>519.79999999999995</v>
      </c>
      <c r="F622" s="4" t="str">
        <f>VLOOKUP(A622,'Datos generales'!A:L,7,0)</f>
        <v>Accesorios</v>
      </c>
      <c r="G622" s="4">
        <v>2023</v>
      </c>
    </row>
    <row r="623" spans="1:7" x14ac:dyDescent="0.25">
      <c r="A623" t="s">
        <v>33</v>
      </c>
      <c r="B623" s="4">
        <f>VLOOKUP(A623,'Datos generales'!A:L,5,0)</f>
        <v>1</v>
      </c>
      <c r="C623" s="4" t="str">
        <f>VLOOKUP(A623,'Datos generales'!A:L,4,0)</f>
        <v>Silla Gamer</v>
      </c>
      <c r="D623" s="4">
        <f>VLOOKUP(A623,'Datos generales'!A:L,6,0)</f>
        <v>1267.01</v>
      </c>
      <c r="E623" s="4">
        <f>VLOOKUP(A623,'Datos generales'!A:L,12,0)</f>
        <v>1267.01</v>
      </c>
      <c r="F623" s="4" t="str">
        <f>VLOOKUP(A623,'Datos generales'!A:L,7,0)</f>
        <v>Muebles</v>
      </c>
      <c r="G623" s="4">
        <v>2024</v>
      </c>
    </row>
    <row r="624" spans="1:7" x14ac:dyDescent="0.25">
      <c r="A624" t="s">
        <v>34</v>
      </c>
      <c r="B624" s="4">
        <f>VLOOKUP(A624,'Datos generales'!A:L,5,0)</f>
        <v>4</v>
      </c>
      <c r="C624" s="4" t="str">
        <f>VLOOKUP(A624,'Datos generales'!A:L,4,0)</f>
        <v>Monitor</v>
      </c>
      <c r="D624" s="4">
        <f>VLOOKUP(A624,'Datos generales'!A:L,6,0)</f>
        <v>1027.81</v>
      </c>
      <c r="E624" s="4">
        <f>VLOOKUP(A624,'Datos generales'!A:L,12,0)</f>
        <v>1027.81</v>
      </c>
      <c r="F624" s="4" t="str">
        <f>VLOOKUP(A624,'Datos generales'!A:L,7,0)</f>
        <v>Electrónica</v>
      </c>
      <c r="G624" s="4">
        <v>2024</v>
      </c>
    </row>
    <row r="625" spans="1:7" x14ac:dyDescent="0.25">
      <c r="A625" t="s">
        <v>35</v>
      </c>
      <c r="B625" s="4">
        <f>VLOOKUP(A625,'Datos generales'!A:L,5,0)</f>
        <v>3</v>
      </c>
      <c r="C625" s="4" t="str">
        <f>VLOOKUP(A625,'Datos generales'!A:L,4,0)</f>
        <v>Webcam</v>
      </c>
      <c r="D625" s="4">
        <f>VLOOKUP(A625,'Datos generales'!A:L,6,0)</f>
        <v>925.62</v>
      </c>
      <c r="E625" s="4">
        <f>VLOOKUP(A625,'Datos generales'!A:L,12,0)</f>
        <v>925.62</v>
      </c>
      <c r="F625" s="4" t="str">
        <f>VLOOKUP(A625,'Datos generales'!A:L,7,0)</f>
        <v>Accesorios</v>
      </c>
      <c r="G625" s="4">
        <v>2024</v>
      </c>
    </row>
    <row r="626" spans="1:7" x14ac:dyDescent="0.25">
      <c r="A626" t="s">
        <v>36</v>
      </c>
      <c r="B626" s="4">
        <f>VLOOKUP(A626,'Datos generales'!A:L,5,0)</f>
        <v>3</v>
      </c>
      <c r="C626" s="4" t="str">
        <f>VLOOKUP(A626,'Datos generales'!A:L,4,0)</f>
        <v>Monitor</v>
      </c>
      <c r="D626" s="4">
        <f>VLOOKUP(A626,'Datos generales'!A:L,6,0)</f>
        <v>213.71</v>
      </c>
      <c r="E626" s="4">
        <f>VLOOKUP(A626,'Datos generales'!A:L,12,0)</f>
        <v>213.71</v>
      </c>
      <c r="F626" s="4" t="str">
        <f>VLOOKUP(A626,'Datos generales'!A:L,7,0)</f>
        <v>Electrónica</v>
      </c>
      <c r="G626" s="4">
        <v>2025</v>
      </c>
    </row>
    <row r="627" spans="1:7" x14ac:dyDescent="0.25">
      <c r="A627" t="s">
        <v>37</v>
      </c>
      <c r="B627" s="4">
        <f>VLOOKUP(A627,'Datos generales'!A:L,5,0)</f>
        <v>2</v>
      </c>
      <c r="C627" s="4" t="str">
        <f>VLOOKUP(A627,'Datos generales'!A:L,4,0)</f>
        <v>Laptop</v>
      </c>
      <c r="D627" s="4">
        <f>VLOOKUP(A627,'Datos generales'!A:L,6,0)</f>
        <v>1146.75</v>
      </c>
      <c r="E627" s="4">
        <f>VLOOKUP(A627,'Datos generales'!A:L,12,0)</f>
        <v>1146.75</v>
      </c>
      <c r="F627" s="4" t="str">
        <f>VLOOKUP(A627,'Datos generales'!A:L,7,0)</f>
        <v>Electrónica</v>
      </c>
      <c r="G627" s="4">
        <v>2024</v>
      </c>
    </row>
    <row r="628" spans="1:7" x14ac:dyDescent="0.25">
      <c r="A628" t="s">
        <v>38</v>
      </c>
      <c r="B628" s="4">
        <f>VLOOKUP(A628,'Datos generales'!A:L,5,0)</f>
        <v>5</v>
      </c>
      <c r="C628" s="4" t="str">
        <f>VLOOKUP(A628,'Datos generales'!A:L,4,0)</f>
        <v>Laptop</v>
      </c>
      <c r="D628" s="4">
        <f>VLOOKUP(A628,'Datos generales'!A:L,6,0)</f>
        <v>907.28</v>
      </c>
      <c r="E628" s="4">
        <f>VLOOKUP(A628,'Datos generales'!A:L,12,0)</f>
        <v>907.28</v>
      </c>
      <c r="F628" s="4" t="str">
        <f>VLOOKUP(A628,'Datos generales'!A:L,7,0)</f>
        <v>Electrónica</v>
      </c>
      <c r="G628" s="4">
        <v>2023</v>
      </c>
    </row>
    <row r="629" spans="1:7" x14ac:dyDescent="0.25">
      <c r="A629" t="s">
        <v>39</v>
      </c>
      <c r="B629" s="4">
        <f>VLOOKUP(A629,'Datos generales'!A:L,5,0)</f>
        <v>2</v>
      </c>
      <c r="C629" s="4" t="str">
        <f>VLOOKUP(A629,'Datos generales'!A:L,4,0)</f>
        <v>Webcam</v>
      </c>
      <c r="D629" s="4">
        <f>VLOOKUP(A629,'Datos generales'!A:L,6,0)</f>
        <v>1734.44</v>
      </c>
      <c r="E629" s="4">
        <f>VLOOKUP(A629,'Datos generales'!A:L,12,0)</f>
        <v>1734.44</v>
      </c>
      <c r="F629" s="4" t="str">
        <f>VLOOKUP(A629,'Datos generales'!A:L,7,0)</f>
        <v>Accesorios</v>
      </c>
      <c r="G629" s="4">
        <v>2023</v>
      </c>
    </row>
    <row r="630" spans="1:7" x14ac:dyDescent="0.25">
      <c r="A630" t="s">
        <v>40</v>
      </c>
      <c r="B630" s="4">
        <f>VLOOKUP(A630,'Datos generales'!A:L,5,0)</f>
        <v>1</v>
      </c>
      <c r="C630" s="4" t="str">
        <f>VLOOKUP(A630,'Datos generales'!A:L,4,0)</f>
        <v>Teclado</v>
      </c>
      <c r="D630" s="4">
        <f>VLOOKUP(A630,'Datos generales'!A:L,6,0)</f>
        <v>424.35</v>
      </c>
      <c r="E630" s="4">
        <f>VLOOKUP(A630,'Datos generales'!A:L,12,0)</f>
        <v>424.35</v>
      </c>
      <c r="F630" s="4" t="str">
        <f>VLOOKUP(A630,'Datos generales'!A:L,7,0)</f>
        <v>Accesorios</v>
      </c>
      <c r="G630" s="4">
        <v>2024</v>
      </c>
    </row>
    <row r="631" spans="1:7" x14ac:dyDescent="0.25">
      <c r="A631" t="s">
        <v>41</v>
      </c>
      <c r="B631" s="4">
        <f>VLOOKUP(A631,'Datos generales'!A:L,5,0)</f>
        <v>1</v>
      </c>
      <c r="C631" s="4" t="str">
        <f>VLOOKUP(A631,'Datos generales'!A:L,4,0)</f>
        <v>Monitor</v>
      </c>
      <c r="D631" s="4">
        <f>VLOOKUP(A631,'Datos generales'!A:L,6,0)</f>
        <v>252.57</v>
      </c>
      <c r="E631" s="4">
        <f>VLOOKUP(A631,'Datos generales'!A:L,12,0)</f>
        <v>252.57</v>
      </c>
      <c r="F631" s="4" t="str">
        <f>VLOOKUP(A631,'Datos generales'!A:L,7,0)</f>
        <v>Electrónica</v>
      </c>
      <c r="G631" s="4">
        <v>2025</v>
      </c>
    </row>
    <row r="632" spans="1:7" x14ac:dyDescent="0.25">
      <c r="A632" t="s">
        <v>42</v>
      </c>
      <c r="B632" s="4">
        <f>VLOOKUP(A632,'Datos generales'!A:L,5,0)</f>
        <v>3</v>
      </c>
      <c r="C632" s="4" t="str">
        <f>VLOOKUP(A632,'Datos generales'!A:L,4,0)</f>
        <v>Mouse</v>
      </c>
      <c r="D632" s="4">
        <f>VLOOKUP(A632,'Datos generales'!A:L,6,0)</f>
        <v>21.56</v>
      </c>
      <c r="E632" s="4">
        <f>VLOOKUP(A632,'Datos generales'!A:L,12,0)</f>
        <v>21.56</v>
      </c>
      <c r="F632" s="4" t="str">
        <f>VLOOKUP(A632,'Datos generales'!A:L,7,0)</f>
        <v>Accesorios</v>
      </c>
      <c r="G632" s="4">
        <v>2024</v>
      </c>
    </row>
    <row r="633" spans="1:7" x14ac:dyDescent="0.25">
      <c r="A633" t="s">
        <v>43</v>
      </c>
      <c r="B633" s="4">
        <f>VLOOKUP(A633,'Datos generales'!A:L,5,0)</f>
        <v>1</v>
      </c>
      <c r="C633" s="4" t="str">
        <f>VLOOKUP(A633,'Datos generales'!A:L,4,0)</f>
        <v>Silla Gamer</v>
      </c>
      <c r="D633" s="4">
        <f>VLOOKUP(A633,'Datos generales'!A:L,6,0)</f>
        <v>446.81</v>
      </c>
      <c r="E633" s="4">
        <f>VLOOKUP(A633,'Datos generales'!A:L,12,0)</f>
        <v>446.81</v>
      </c>
      <c r="F633" s="4" t="str">
        <f>VLOOKUP(A633,'Datos generales'!A:L,7,0)</f>
        <v>Muebles</v>
      </c>
      <c r="G633" s="4">
        <v>2024</v>
      </c>
    </row>
    <row r="634" spans="1:7" x14ac:dyDescent="0.25">
      <c r="A634" t="s">
        <v>44</v>
      </c>
      <c r="B634" s="4">
        <f>VLOOKUP(A634,'Datos generales'!A:L,5,0)</f>
        <v>2</v>
      </c>
      <c r="C634" s="4" t="str">
        <f>VLOOKUP(A634,'Datos generales'!A:L,4,0)</f>
        <v>Mouse</v>
      </c>
      <c r="D634" s="4">
        <f>VLOOKUP(A634,'Datos generales'!A:L,6,0)</f>
        <v>64.67</v>
      </c>
      <c r="E634" s="4">
        <f>VLOOKUP(A634,'Datos generales'!A:L,12,0)</f>
        <v>64.67</v>
      </c>
      <c r="F634" s="4" t="str">
        <f>VLOOKUP(A634,'Datos generales'!A:L,7,0)</f>
        <v>Accesorios</v>
      </c>
      <c r="G634" s="4">
        <v>2023</v>
      </c>
    </row>
    <row r="635" spans="1:7" x14ac:dyDescent="0.25">
      <c r="A635" t="s">
        <v>45</v>
      </c>
      <c r="B635" s="4">
        <f>VLOOKUP(A635,'Datos generales'!A:L,5,0)</f>
        <v>5</v>
      </c>
      <c r="C635" s="4" t="str">
        <f>VLOOKUP(A635,'Datos generales'!A:L,4,0)</f>
        <v>Webcam</v>
      </c>
      <c r="D635" s="4">
        <f>VLOOKUP(A635,'Datos generales'!A:L,6,0)</f>
        <v>1168.3499999999999</v>
      </c>
      <c r="E635" s="4">
        <f>VLOOKUP(A635,'Datos generales'!A:L,12,0)</f>
        <v>1168.3499999999999</v>
      </c>
      <c r="F635" s="4" t="str">
        <f>VLOOKUP(A635,'Datos generales'!A:L,7,0)</f>
        <v>Accesorios</v>
      </c>
      <c r="G635" s="4">
        <v>2024</v>
      </c>
    </row>
    <row r="636" spans="1:7" x14ac:dyDescent="0.25">
      <c r="A636" t="s">
        <v>46</v>
      </c>
      <c r="B636" s="4">
        <f>VLOOKUP(A636,'Datos generales'!A:L,5,0)</f>
        <v>2</v>
      </c>
      <c r="C636" s="4" t="str">
        <f>VLOOKUP(A636,'Datos generales'!A:L,4,0)</f>
        <v>Silla Gamer</v>
      </c>
      <c r="D636" s="4">
        <f>VLOOKUP(A636,'Datos generales'!A:L,6,0)</f>
        <v>349.3</v>
      </c>
      <c r="E636" s="4">
        <f>VLOOKUP(A636,'Datos generales'!A:L,12,0)</f>
        <v>349.3</v>
      </c>
      <c r="F636" s="4" t="str">
        <f>VLOOKUP(A636,'Datos generales'!A:L,7,0)</f>
        <v>Muebles</v>
      </c>
      <c r="G636" s="4">
        <v>2025</v>
      </c>
    </row>
    <row r="637" spans="1:7" x14ac:dyDescent="0.25">
      <c r="A637" t="s">
        <v>47</v>
      </c>
      <c r="B637" s="4">
        <f>VLOOKUP(A637,'Datos generales'!A:L,5,0)</f>
        <v>3</v>
      </c>
      <c r="C637" s="4" t="str">
        <f>VLOOKUP(A637,'Datos generales'!A:L,4,0)</f>
        <v>Webcam</v>
      </c>
      <c r="D637" s="4">
        <f>VLOOKUP(A637,'Datos generales'!A:L,6,0)</f>
        <v>1154.06</v>
      </c>
      <c r="E637" s="4">
        <f>VLOOKUP(A637,'Datos generales'!A:L,12,0)</f>
        <v>1154.06</v>
      </c>
      <c r="F637" s="4" t="str">
        <f>VLOOKUP(A637,'Datos generales'!A:L,7,0)</f>
        <v>Accesorios</v>
      </c>
      <c r="G637" s="4">
        <v>2024</v>
      </c>
    </row>
    <row r="638" spans="1:7" x14ac:dyDescent="0.25">
      <c r="A638" t="s">
        <v>48</v>
      </c>
      <c r="B638" s="4">
        <f>VLOOKUP(A638,'Datos generales'!A:L,5,0)</f>
        <v>4</v>
      </c>
      <c r="C638" s="4" t="str">
        <f>VLOOKUP(A638,'Datos generales'!A:L,4,0)</f>
        <v>Impresora</v>
      </c>
      <c r="D638" s="4">
        <f>VLOOKUP(A638,'Datos generales'!A:L,6,0)</f>
        <v>1566.37</v>
      </c>
      <c r="E638" s="4">
        <f>VLOOKUP(A638,'Datos generales'!A:L,12,0)</f>
        <v>1566.37</v>
      </c>
      <c r="F638" s="4" t="str">
        <f>VLOOKUP(A638,'Datos generales'!A:L,7,0)</f>
        <v>Electrónica</v>
      </c>
      <c r="G638" s="4">
        <v>2025</v>
      </c>
    </row>
    <row r="639" spans="1:7" x14ac:dyDescent="0.25">
      <c r="A639" t="s">
        <v>49</v>
      </c>
      <c r="B639" s="4">
        <f>VLOOKUP(A639,'Datos generales'!A:L,5,0)</f>
        <v>2</v>
      </c>
      <c r="C639" s="4" t="str">
        <f>VLOOKUP(A639,'Datos generales'!A:L,4,0)</f>
        <v>Monitor</v>
      </c>
      <c r="D639" s="4">
        <f>VLOOKUP(A639,'Datos generales'!A:L,6,0)</f>
        <v>674.48</v>
      </c>
      <c r="E639" s="4">
        <f>VLOOKUP(A639,'Datos generales'!A:L,12,0)</f>
        <v>674.48</v>
      </c>
      <c r="F639" s="4" t="str">
        <f>VLOOKUP(A639,'Datos generales'!A:L,7,0)</f>
        <v>Electrónica</v>
      </c>
      <c r="G639" s="4">
        <v>2024</v>
      </c>
    </row>
    <row r="640" spans="1:7" x14ac:dyDescent="0.25">
      <c r="A640" t="s">
        <v>50</v>
      </c>
      <c r="B640" s="4">
        <f>VLOOKUP(A640,'Datos generales'!A:L,5,0)</f>
        <v>2</v>
      </c>
      <c r="C640" s="4" t="str">
        <f>VLOOKUP(A640,'Datos generales'!A:L,4,0)</f>
        <v>Monitor</v>
      </c>
      <c r="D640" s="4">
        <f>VLOOKUP(A640,'Datos generales'!A:L,6,0)</f>
        <v>1543.98</v>
      </c>
      <c r="E640" s="4">
        <f>VLOOKUP(A640,'Datos generales'!A:L,12,0)</f>
        <v>1543.98</v>
      </c>
      <c r="F640" s="4" t="str">
        <f>VLOOKUP(A640,'Datos generales'!A:L,7,0)</f>
        <v>Electrónica</v>
      </c>
      <c r="G640" s="4">
        <v>2024</v>
      </c>
    </row>
    <row r="641" spans="1:7" x14ac:dyDescent="0.25">
      <c r="A641" t="s">
        <v>51</v>
      </c>
      <c r="B641" s="4">
        <f>VLOOKUP(A641,'Datos generales'!A:L,5,0)</f>
        <v>5</v>
      </c>
      <c r="C641" s="4" t="str">
        <f>VLOOKUP(A641,'Datos generales'!A:L,4,0)</f>
        <v>Laptop</v>
      </c>
      <c r="D641" s="4">
        <f>VLOOKUP(A641,'Datos generales'!A:L,6,0)</f>
        <v>917.31</v>
      </c>
      <c r="E641" s="4">
        <f>VLOOKUP(A641,'Datos generales'!A:L,12,0)</f>
        <v>917.30999999999983</v>
      </c>
      <c r="F641" s="4" t="str">
        <f>VLOOKUP(A641,'Datos generales'!A:L,7,0)</f>
        <v>Electrónica</v>
      </c>
      <c r="G641" s="4">
        <v>2023</v>
      </c>
    </row>
    <row r="642" spans="1:7" x14ac:dyDescent="0.25">
      <c r="A642" t="s">
        <v>52</v>
      </c>
      <c r="B642" s="4">
        <f>VLOOKUP(A642,'Datos generales'!A:L,5,0)</f>
        <v>4</v>
      </c>
      <c r="C642" s="4" t="str">
        <f>VLOOKUP(A642,'Datos generales'!A:L,4,0)</f>
        <v>Audífonos</v>
      </c>
      <c r="D642" s="4">
        <f>VLOOKUP(A642,'Datos generales'!A:L,6,0)</f>
        <v>450.36</v>
      </c>
      <c r="E642" s="4">
        <f>VLOOKUP(A642,'Datos generales'!A:L,12,0)</f>
        <v>450.36</v>
      </c>
      <c r="F642" s="4" t="str">
        <f>VLOOKUP(A642,'Datos generales'!A:L,7,0)</f>
        <v>Accesorios</v>
      </c>
      <c r="G642" s="4">
        <v>2024</v>
      </c>
    </row>
    <row r="643" spans="1:7" x14ac:dyDescent="0.25">
      <c r="A643" t="s">
        <v>53</v>
      </c>
      <c r="B643" s="4">
        <f>VLOOKUP(A643,'Datos generales'!A:L,5,0)</f>
        <v>2</v>
      </c>
      <c r="C643" s="4" t="str">
        <f>VLOOKUP(A643,'Datos generales'!A:L,4,0)</f>
        <v>Impresora</v>
      </c>
      <c r="D643" s="4">
        <f>VLOOKUP(A643,'Datos generales'!A:L,6,0)</f>
        <v>755.48</v>
      </c>
      <c r="E643" s="4">
        <f>VLOOKUP(A643,'Datos generales'!A:L,12,0)</f>
        <v>755.48</v>
      </c>
      <c r="F643" s="4" t="str">
        <f>VLOOKUP(A643,'Datos generales'!A:L,7,0)</f>
        <v>Electrónica</v>
      </c>
      <c r="G643" s="4">
        <v>2023</v>
      </c>
    </row>
    <row r="644" spans="1:7" x14ac:dyDescent="0.25">
      <c r="A644" t="s">
        <v>54</v>
      </c>
      <c r="B644" s="4">
        <f>VLOOKUP(A644,'Datos generales'!A:L,5,0)</f>
        <v>3</v>
      </c>
      <c r="C644" s="4" t="str">
        <f>VLOOKUP(A644,'Datos generales'!A:L,4,0)</f>
        <v>Teclado</v>
      </c>
      <c r="D644" s="4">
        <f>VLOOKUP(A644,'Datos generales'!A:L,6,0)</f>
        <v>1855.55</v>
      </c>
      <c r="E644" s="4">
        <f>VLOOKUP(A644,'Datos generales'!A:L,12,0)</f>
        <v>1855.55</v>
      </c>
      <c r="F644" s="4" t="str">
        <f>VLOOKUP(A644,'Datos generales'!A:L,7,0)</f>
        <v>Accesorios</v>
      </c>
      <c r="G644" s="4">
        <v>2024</v>
      </c>
    </row>
    <row r="645" spans="1:7" x14ac:dyDescent="0.25">
      <c r="A645" t="s">
        <v>55</v>
      </c>
      <c r="B645" s="4">
        <f>VLOOKUP(A645,'Datos generales'!A:L,5,0)</f>
        <v>5</v>
      </c>
      <c r="C645" s="4" t="str">
        <f>VLOOKUP(A645,'Datos generales'!A:L,4,0)</f>
        <v>Webcam</v>
      </c>
      <c r="D645" s="4">
        <f>VLOOKUP(A645,'Datos generales'!A:L,6,0)</f>
        <v>1011.75</v>
      </c>
      <c r="E645" s="4">
        <f>VLOOKUP(A645,'Datos generales'!A:L,12,0)</f>
        <v>1011.75</v>
      </c>
      <c r="F645" s="4" t="str">
        <f>VLOOKUP(A645,'Datos generales'!A:L,7,0)</f>
        <v>Accesorios</v>
      </c>
      <c r="G645" s="4">
        <v>2023</v>
      </c>
    </row>
    <row r="646" spans="1:7" x14ac:dyDescent="0.25">
      <c r="A646" t="s">
        <v>56</v>
      </c>
      <c r="B646" s="4">
        <f>VLOOKUP(A646,'Datos generales'!A:L,5,0)</f>
        <v>5</v>
      </c>
      <c r="C646" s="4" t="str">
        <f>VLOOKUP(A646,'Datos generales'!A:L,4,0)</f>
        <v>Teclado</v>
      </c>
      <c r="D646" s="4">
        <f>VLOOKUP(A646,'Datos generales'!A:L,6,0)</f>
        <v>1218.3399999999999</v>
      </c>
      <c r="E646" s="4">
        <f>VLOOKUP(A646,'Datos generales'!A:L,12,0)</f>
        <v>1218.3399999999999</v>
      </c>
      <c r="F646" s="4" t="str">
        <f>VLOOKUP(A646,'Datos generales'!A:L,7,0)</f>
        <v>Accesorios</v>
      </c>
      <c r="G646" s="4">
        <v>2023</v>
      </c>
    </row>
    <row r="647" spans="1:7" x14ac:dyDescent="0.25">
      <c r="A647" t="s">
        <v>57</v>
      </c>
      <c r="B647" s="4">
        <f>VLOOKUP(A647,'Datos generales'!A:L,5,0)</f>
        <v>2</v>
      </c>
      <c r="C647" s="4" t="str">
        <f>VLOOKUP(A647,'Datos generales'!A:L,4,0)</f>
        <v>Webcam</v>
      </c>
      <c r="D647" s="4">
        <f>VLOOKUP(A647,'Datos generales'!A:L,6,0)</f>
        <v>361.59</v>
      </c>
      <c r="E647" s="4">
        <f>VLOOKUP(A647,'Datos generales'!A:L,12,0)</f>
        <v>361.59</v>
      </c>
      <c r="F647" s="4" t="str">
        <f>VLOOKUP(A647,'Datos generales'!A:L,7,0)</f>
        <v>Accesorios</v>
      </c>
      <c r="G647" s="4">
        <v>2023</v>
      </c>
    </row>
    <row r="648" spans="1:7" x14ac:dyDescent="0.25">
      <c r="A648" t="s">
        <v>58</v>
      </c>
      <c r="B648" s="4">
        <f>VLOOKUP(A648,'Datos generales'!A:L,5,0)</f>
        <v>5</v>
      </c>
      <c r="C648" s="4" t="str">
        <f>VLOOKUP(A648,'Datos generales'!A:L,4,0)</f>
        <v>Teclado</v>
      </c>
      <c r="D648" s="4">
        <f>VLOOKUP(A648,'Datos generales'!A:L,6,0)</f>
        <v>958.8</v>
      </c>
      <c r="E648" s="4">
        <f>VLOOKUP(A648,'Datos generales'!A:L,12,0)</f>
        <v>958.8</v>
      </c>
      <c r="F648" s="4" t="str">
        <f>VLOOKUP(A648,'Datos generales'!A:L,7,0)</f>
        <v>Accesorios</v>
      </c>
      <c r="G648" s="4">
        <v>2023</v>
      </c>
    </row>
    <row r="649" spans="1:7" x14ac:dyDescent="0.25">
      <c r="A649" t="s">
        <v>59</v>
      </c>
      <c r="B649" s="4">
        <f>VLOOKUP(A649,'Datos generales'!A:L,5,0)</f>
        <v>5</v>
      </c>
      <c r="C649" s="4" t="str">
        <f>VLOOKUP(A649,'Datos generales'!A:L,4,0)</f>
        <v>Silla Gamer</v>
      </c>
      <c r="D649" s="4">
        <f>VLOOKUP(A649,'Datos generales'!A:L,6,0)</f>
        <v>1776.87</v>
      </c>
      <c r="E649" s="4">
        <f>VLOOKUP(A649,'Datos generales'!A:L,12,0)</f>
        <v>1776.87</v>
      </c>
      <c r="F649" s="4" t="str">
        <f>VLOOKUP(A649,'Datos generales'!A:L,7,0)</f>
        <v>Muebles</v>
      </c>
      <c r="G649" s="4">
        <v>2025</v>
      </c>
    </row>
    <row r="650" spans="1:7" x14ac:dyDescent="0.25">
      <c r="A650" t="s">
        <v>60</v>
      </c>
      <c r="B650" s="4">
        <f>VLOOKUP(A650,'Datos generales'!A:L,5,0)</f>
        <v>1</v>
      </c>
      <c r="C650" s="4" t="str">
        <f>VLOOKUP(A650,'Datos generales'!A:L,4,0)</f>
        <v>Audífonos</v>
      </c>
      <c r="D650" s="4">
        <f>VLOOKUP(A650,'Datos generales'!A:L,6,0)</f>
        <v>1467.34</v>
      </c>
      <c r="E650" s="4">
        <f>VLOOKUP(A650,'Datos generales'!A:L,12,0)</f>
        <v>1467.34</v>
      </c>
      <c r="F650" s="4" t="str">
        <f>VLOOKUP(A650,'Datos generales'!A:L,7,0)</f>
        <v>Accesorios</v>
      </c>
      <c r="G650" s="4">
        <v>2025</v>
      </c>
    </row>
    <row r="651" spans="1:7" x14ac:dyDescent="0.25">
      <c r="A651" t="s">
        <v>61</v>
      </c>
      <c r="B651" s="4">
        <f>VLOOKUP(A651,'Datos generales'!A:L,5,0)</f>
        <v>3</v>
      </c>
      <c r="C651" s="4" t="str">
        <f>VLOOKUP(A651,'Datos generales'!A:L,4,0)</f>
        <v>Silla Gamer</v>
      </c>
      <c r="D651" s="4">
        <f>VLOOKUP(A651,'Datos generales'!A:L,6,0)</f>
        <v>683.91</v>
      </c>
      <c r="E651" s="4">
        <f>VLOOKUP(A651,'Datos generales'!A:L,12,0)</f>
        <v>683.91</v>
      </c>
      <c r="F651" s="4" t="str">
        <f>VLOOKUP(A651,'Datos generales'!A:L,7,0)</f>
        <v>Muebles</v>
      </c>
      <c r="G651" s="4">
        <v>2025</v>
      </c>
    </row>
    <row r="652" spans="1:7" x14ac:dyDescent="0.25">
      <c r="A652" t="s">
        <v>62</v>
      </c>
      <c r="B652" s="4">
        <f>VLOOKUP(A652,'Datos generales'!A:L,5,0)</f>
        <v>1</v>
      </c>
      <c r="C652" s="4" t="str">
        <f>VLOOKUP(A652,'Datos generales'!A:L,4,0)</f>
        <v>Silla Gamer</v>
      </c>
      <c r="D652" s="4">
        <f>VLOOKUP(A652,'Datos generales'!A:L,6,0)</f>
        <v>1083.8599999999999</v>
      </c>
      <c r="E652" s="4">
        <f>VLOOKUP(A652,'Datos generales'!A:L,12,0)</f>
        <v>1083.8599999999999</v>
      </c>
      <c r="F652" s="4" t="str">
        <f>VLOOKUP(A652,'Datos generales'!A:L,7,0)</f>
        <v>Muebles</v>
      </c>
      <c r="G652" s="4">
        <v>2024</v>
      </c>
    </row>
    <row r="653" spans="1:7" x14ac:dyDescent="0.25">
      <c r="A653" t="s">
        <v>63</v>
      </c>
      <c r="B653" s="4">
        <f>VLOOKUP(A653,'Datos generales'!A:L,5,0)</f>
        <v>2</v>
      </c>
      <c r="C653" s="4" t="str">
        <f>VLOOKUP(A653,'Datos generales'!A:L,4,0)</f>
        <v>Monitor</v>
      </c>
      <c r="D653" s="4">
        <f>VLOOKUP(A653,'Datos generales'!A:L,6,0)</f>
        <v>1551.85</v>
      </c>
      <c r="E653" s="4">
        <f>VLOOKUP(A653,'Datos generales'!A:L,12,0)</f>
        <v>1551.85</v>
      </c>
      <c r="F653" s="4" t="str">
        <f>VLOOKUP(A653,'Datos generales'!A:L,7,0)</f>
        <v>Electrónica</v>
      </c>
      <c r="G653" s="4">
        <v>2023</v>
      </c>
    </row>
    <row r="654" spans="1:7" x14ac:dyDescent="0.25">
      <c r="A654" t="s">
        <v>64</v>
      </c>
      <c r="B654" s="4">
        <f>VLOOKUP(A654,'Datos generales'!A:L,5,0)</f>
        <v>5</v>
      </c>
      <c r="C654" s="4" t="str">
        <f>VLOOKUP(A654,'Datos generales'!A:L,4,0)</f>
        <v>Laptop</v>
      </c>
      <c r="D654" s="4">
        <f>VLOOKUP(A654,'Datos generales'!A:L,6,0)</f>
        <v>1368.27</v>
      </c>
      <c r="E654" s="4">
        <f>VLOOKUP(A654,'Datos generales'!A:L,12,0)</f>
        <v>1368.27</v>
      </c>
      <c r="F654" s="4" t="str">
        <f>VLOOKUP(A654,'Datos generales'!A:L,7,0)</f>
        <v>Electrónica</v>
      </c>
      <c r="G654" s="4">
        <v>2024</v>
      </c>
    </row>
    <row r="655" spans="1:7" x14ac:dyDescent="0.25">
      <c r="A655" t="s">
        <v>65</v>
      </c>
      <c r="B655" s="4">
        <f>VLOOKUP(A655,'Datos generales'!A:L,5,0)</f>
        <v>4</v>
      </c>
      <c r="C655" s="4" t="str">
        <f>VLOOKUP(A655,'Datos generales'!A:L,4,0)</f>
        <v>Laptop</v>
      </c>
      <c r="D655" s="4">
        <f>VLOOKUP(A655,'Datos generales'!A:L,6,0)</f>
        <v>1818.88</v>
      </c>
      <c r="E655" s="4">
        <f>VLOOKUP(A655,'Datos generales'!A:L,12,0)</f>
        <v>1818.88</v>
      </c>
      <c r="F655" s="4" t="str">
        <f>VLOOKUP(A655,'Datos generales'!A:L,7,0)</f>
        <v>Electrónica</v>
      </c>
      <c r="G655" s="4">
        <v>2024</v>
      </c>
    </row>
    <row r="656" spans="1:7" x14ac:dyDescent="0.25">
      <c r="A656" t="s">
        <v>66</v>
      </c>
      <c r="B656" s="4">
        <f>VLOOKUP(A656,'Datos generales'!A:L,5,0)</f>
        <v>4</v>
      </c>
      <c r="C656" s="4" t="str">
        <f>VLOOKUP(A656,'Datos generales'!A:L,4,0)</f>
        <v>Mouse</v>
      </c>
      <c r="D656" s="4">
        <f>VLOOKUP(A656,'Datos generales'!A:L,6,0)</f>
        <v>1601.32</v>
      </c>
      <c r="E656" s="4">
        <f>VLOOKUP(A656,'Datos generales'!A:L,12,0)</f>
        <v>1601.32</v>
      </c>
      <c r="F656" s="4" t="str">
        <f>VLOOKUP(A656,'Datos generales'!A:L,7,0)</f>
        <v>Accesorios</v>
      </c>
      <c r="G656" s="4">
        <v>2023</v>
      </c>
    </row>
    <row r="657" spans="1:7" x14ac:dyDescent="0.25">
      <c r="A657" t="s">
        <v>67</v>
      </c>
      <c r="B657" s="4">
        <f>VLOOKUP(A657,'Datos generales'!A:L,5,0)</f>
        <v>4</v>
      </c>
      <c r="C657" s="4" t="str">
        <f>VLOOKUP(A657,'Datos generales'!A:L,4,0)</f>
        <v>Teclado</v>
      </c>
      <c r="D657" s="4">
        <f>VLOOKUP(A657,'Datos generales'!A:L,6,0)</f>
        <v>177.79</v>
      </c>
      <c r="E657" s="4">
        <f>VLOOKUP(A657,'Datos generales'!A:L,12,0)</f>
        <v>177.79</v>
      </c>
      <c r="F657" s="4" t="str">
        <f>VLOOKUP(A657,'Datos generales'!A:L,7,0)</f>
        <v>Accesorios</v>
      </c>
      <c r="G657" s="4">
        <v>2023</v>
      </c>
    </row>
    <row r="658" spans="1:7" x14ac:dyDescent="0.25">
      <c r="A658" t="s">
        <v>68</v>
      </c>
      <c r="B658" s="4">
        <f>VLOOKUP(A658,'Datos generales'!A:L,5,0)</f>
        <v>1</v>
      </c>
      <c r="C658" s="4" t="str">
        <f>VLOOKUP(A658,'Datos generales'!A:L,4,0)</f>
        <v>Teclado</v>
      </c>
      <c r="D658" s="4">
        <f>VLOOKUP(A658,'Datos generales'!A:L,6,0)</f>
        <v>83.48</v>
      </c>
      <c r="E658" s="4">
        <f>VLOOKUP(A658,'Datos generales'!A:L,12,0)</f>
        <v>83.48</v>
      </c>
      <c r="F658" s="4" t="str">
        <f>VLOOKUP(A658,'Datos generales'!A:L,7,0)</f>
        <v>Accesorios</v>
      </c>
      <c r="G658" s="4">
        <v>2023</v>
      </c>
    </row>
    <row r="659" spans="1:7" x14ac:dyDescent="0.25">
      <c r="A659" t="s">
        <v>69</v>
      </c>
      <c r="B659" s="4">
        <f>VLOOKUP(A659,'Datos generales'!A:L,5,0)</f>
        <v>1</v>
      </c>
      <c r="C659" s="4" t="str">
        <f>VLOOKUP(A659,'Datos generales'!A:L,4,0)</f>
        <v>Audífonos</v>
      </c>
      <c r="D659" s="4">
        <f>VLOOKUP(A659,'Datos generales'!A:L,6,0)</f>
        <v>1372.72</v>
      </c>
      <c r="E659" s="4">
        <f>VLOOKUP(A659,'Datos generales'!A:L,12,0)</f>
        <v>1372.72</v>
      </c>
      <c r="F659" s="4" t="str">
        <f>VLOOKUP(A659,'Datos generales'!A:L,7,0)</f>
        <v>Accesorios</v>
      </c>
      <c r="G659" s="4">
        <v>2023</v>
      </c>
    </row>
    <row r="660" spans="1:7" x14ac:dyDescent="0.25">
      <c r="A660" t="s">
        <v>70</v>
      </c>
      <c r="B660" s="4">
        <f>VLOOKUP(A660,'Datos generales'!A:L,5,0)</f>
        <v>1</v>
      </c>
      <c r="C660" s="4" t="str">
        <f>VLOOKUP(A660,'Datos generales'!A:L,4,0)</f>
        <v>Monitor</v>
      </c>
      <c r="D660" s="4">
        <f>VLOOKUP(A660,'Datos generales'!A:L,6,0)</f>
        <v>1618.91</v>
      </c>
      <c r="E660" s="4">
        <f>VLOOKUP(A660,'Datos generales'!A:L,12,0)</f>
        <v>1618.91</v>
      </c>
      <c r="F660" s="4" t="str">
        <f>VLOOKUP(A660,'Datos generales'!A:L,7,0)</f>
        <v>Electrónica</v>
      </c>
      <c r="G660" s="4">
        <v>2024</v>
      </c>
    </row>
    <row r="661" spans="1:7" x14ac:dyDescent="0.25">
      <c r="A661" t="s">
        <v>71</v>
      </c>
      <c r="B661" s="4">
        <f>VLOOKUP(A661,'Datos generales'!A:L,5,0)</f>
        <v>4</v>
      </c>
      <c r="C661" s="4" t="str">
        <f>VLOOKUP(A661,'Datos generales'!A:L,4,0)</f>
        <v>Impresora</v>
      </c>
      <c r="D661" s="4">
        <f>VLOOKUP(A661,'Datos generales'!A:L,6,0)</f>
        <v>530.65</v>
      </c>
      <c r="E661" s="4">
        <f>VLOOKUP(A661,'Datos generales'!A:L,12,0)</f>
        <v>530.65</v>
      </c>
      <c r="F661" s="4" t="str">
        <f>VLOOKUP(A661,'Datos generales'!A:L,7,0)</f>
        <v>Electrónica</v>
      </c>
      <c r="G661" s="4">
        <v>2024</v>
      </c>
    </row>
    <row r="662" spans="1:7" x14ac:dyDescent="0.25">
      <c r="A662" t="s">
        <v>72</v>
      </c>
      <c r="B662" s="4">
        <f>VLOOKUP(A662,'Datos generales'!A:L,5,0)</f>
        <v>5</v>
      </c>
      <c r="C662" s="4" t="str">
        <f>VLOOKUP(A662,'Datos generales'!A:L,4,0)</f>
        <v>Webcam</v>
      </c>
      <c r="D662" s="4">
        <f>VLOOKUP(A662,'Datos generales'!A:L,6,0)</f>
        <v>418.83</v>
      </c>
      <c r="E662" s="4">
        <f>VLOOKUP(A662,'Datos generales'!A:L,12,0)</f>
        <v>418.83</v>
      </c>
      <c r="F662" s="4" t="str">
        <f>VLOOKUP(A662,'Datos generales'!A:L,7,0)</f>
        <v>Accesorios</v>
      </c>
      <c r="G662" s="4">
        <v>2024</v>
      </c>
    </row>
    <row r="663" spans="1:7" x14ac:dyDescent="0.25">
      <c r="A663" t="s">
        <v>73</v>
      </c>
      <c r="B663" s="4">
        <f>VLOOKUP(A663,'Datos generales'!A:L,5,0)</f>
        <v>3</v>
      </c>
      <c r="C663" s="4" t="str">
        <f>VLOOKUP(A663,'Datos generales'!A:L,4,0)</f>
        <v>Silla Gamer</v>
      </c>
      <c r="D663" s="4">
        <f>VLOOKUP(A663,'Datos generales'!A:L,6,0)</f>
        <v>664.98</v>
      </c>
      <c r="E663" s="4">
        <f>VLOOKUP(A663,'Datos generales'!A:L,12,0)</f>
        <v>664.98</v>
      </c>
      <c r="F663" s="4" t="str">
        <f>VLOOKUP(A663,'Datos generales'!A:L,7,0)</f>
        <v>Muebles</v>
      </c>
      <c r="G663" s="4">
        <v>2025</v>
      </c>
    </row>
    <row r="664" spans="1:7" x14ac:dyDescent="0.25">
      <c r="A664" t="s">
        <v>74</v>
      </c>
      <c r="B664" s="4">
        <f>VLOOKUP(A664,'Datos generales'!A:L,5,0)</f>
        <v>1</v>
      </c>
      <c r="C664" s="4" t="str">
        <f>VLOOKUP(A664,'Datos generales'!A:L,4,0)</f>
        <v>Laptop</v>
      </c>
      <c r="D664" s="4">
        <f>VLOOKUP(A664,'Datos generales'!A:L,6,0)</f>
        <v>1322.41</v>
      </c>
      <c r="E664" s="4">
        <f>VLOOKUP(A664,'Datos generales'!A:L,12,0)</f>
        <v>1322.41</v>
      </c>
      <c r="F664" s="4" t="str">
        <f>VLOOKUP(A664,'Datos generales'!A:L,7,0)</f>
        <v>Electrónica</v>
      </c>
      <c r="G664" s="4">
        <v>2024</v>
      </c>
    </row>
    <row r="665" spans="1:7" x14ac:dyDescent="0.25">
      <c r="A665" t="s">
        <v>75</v>
      </c>
      <c r="B665" s="4">
        <f>VLOOKUP(A665,'Datos generales'!A:L,5,0)</f>
        <v>4</v>
      </c>
      <c r="C665" s="4" t="str">
        <f>VLOOKUP(A665,'Datos generales'!A:L,4,0)</f>
        <v>Monitor</v>
      </c>
      <c r="D665" s="4">
        <f>VLOOKUP(A665,'Datos generales'!A:L,6,0)</f>
        <v>1467.27</v>
      </c>
      <c r="E665" s="4">
        <f>VLOOKUP(A665,'Datos generales'!A:L,12,0)</f>
        <v>1467.27</v>
      </c>
      <c r="F665" s="4" t="str">
        <f>VLOOKUP(A665,'Datos generales'!A:L,7,0)</f>
        <v>Electrónica</v>
      </c>
      <c r="G665" s="4">
        <v>2023</v>
      </c>
    </row>
    <row r="666" spans="1:7" x14ac:dyDescent="0.25">
      <c r="A666" t="s">
        <v>76</v>
      </c>
      <c r="B666" s="4">
        <f>VLOOKUP(A666,'Datos generales'!A:L,5,0)</f>
        <v>4</v>
      </c>
      <c r="C666" s="4" t="str">
        <f>VLOOKUP(A666,'Datos generales'!A:L,4,0)</f>
        <v>Impresora</v>
      </c>
      <c r="D666" s="4">
        <f>VLOOKUP(A666,'Datos generales'!A:L,6,0)</f>
        <v>1804.12</v>
      </c>
      <c r="E666" s="4">
        <f>VLOOKUP(A666,'Datos generales'!A:L,12,0)</f>
        <v>1804.12</v>
      </c>
      <c r="F666" s="4" t="str">
        <f>VLOOKUP(A666,'Datos generales'!A:L,7,0)</f>
        <v>Electrónica</v>
      </c>
      <c r="G666" s="4">
        <v>2024</v>
      </c>
    </row>
    <row r="667" spans="1:7" x14ac:dyDescent="0.25">
      <c r="A667" t="s">
        <v>77</v>
      </c>
      <c r="B667" s="4">
        <f>VLOOKUP(A667,'Datos generales'!A:L,5,0)</f>
        <v>1</v>
      </c>
      <c r="C667" s="4" t="str">
        <f>VLOOKUP(A667,'Datos generales'!A:L,4,0)</f>
        <v>Audífonos</v>
      </c>
      <c r="D667" s="4">
        <f>VLOOKUP(A667,'Datos generales'!A:L,6,0)</f>
        <v>1172.72</v>
      </c>
      <c r="E667" s="4">
        <f>VLOOKUP(A667,'Datos generales'!A:L,12,0)</f>
        <v>1172.72</v>
      </c>
      <c r="F667" s="4" t="str">
        <f>VLOOKUP(A667,'Datos generales'!A:L,7,0)</f>
        <v>Accesorios</v>
      </c>
      <c r="G667" s="4">
        <v>2024</v>
      </c>
    </row>
    <row r="668" spans="1:7" x14ac:dyDescent="0.25">
      <c r="A668" t="s">
        <v>78</v>
      </c>
      <c r="B668" s="4">
        <f>VLOOKUP(A668,'Datos generales'!A:L,5,0)</f>
        <v>1</v>
      </c>
      <c r="C668" s="4" t="str">
        <f>VLOOKUP(A668,'Datos generales'!A:L,4,0)</f>
        <v>Mouse</v>
      </c>
      <c r="D668" s="4">
        <f>VLOOKUP(A668,'Datos generales'!A:L,6,0)</f>
        <v>725.07</v>
      </c>
      <c r="E668" s="4">
        <f>VLOOKUP(A668,'Datos generales'!A:L,12,0)</f>
        <v>725.07</v>
      </c>
      <c r="F668" s="4" t="str">
        <f>VLOOKUP(A668,'Datos generales'!A:L,7,0)</f>
        <v>Accesorios</v>
      </c>
      <c r="G668" s="4">
        <v>2023</v>
      </c>
    </row>
    <row r="669" spans="1:7" x14ac:dyDescent="0.25">
      <c r="A669" t="s">
        <v>79</v>
      </c>
      <c r="B669" s="4">
        <f>VLOOKUP(A669,'Datos generales'!A:L,5,0)</f>
        <v>5</v>
      </c>
      <c r="C669" s="4" t="str">
        <f>VLOOKUP(A669,'Datos generales'!A:L,4,0)</f>
        <v>Monitor</v>
      </c>
      <c r="D669" s="4">
        <f>VLOOKUP(A669,'Datos generales'!A:L,6,0)</f>
        <v>563.69000000000005</v>
      </c>
      <c r="E669" s="4">
        <f>VLOOKUP(A669,'Datos generales'!A:L,12,0)</f>
        <v>563.69000000000005</v>
      </c>
      <c r="F669" s="4" t="str">
        <f>VLOOKUP(A669,'Datos generales'!A:L,7,0)</f>
        <v>Electrónica</v>
      </c>
      <c r="G669" s="4">
        <v>2025</v>
      </c>
    </row>
    <row r="670" spans="1:7" x14ac:dyDescent="0.25">
      <c r="A670" t="s">
        <v>80</v>
      </c>
      <c r="B670" s="4">
        <f>VLOOKUP(A670,'Datos generales'!A:L,5,0)</f>
        <v>5</v>
      </c>
      <c r="C670" s="4" t="str">
        <f>VLOOKUP(A670,'Datos generales'!A:L,4,0)</f>
        <v>Audífonos</v>
      </c>
      <c r="D670" s="4">
        <f>VLOOKUP(A670,'Datos generales'!A:L,6,0)</f>
        <v>1547.41</v>
      </c>
      <c r="E670" s="4">
        <f>VLOOKUP(A670,'Datos generales'!A:L,12,0)</f>
        <v>1547.41</v>
      </c>
      <c r="F670" s="4" t="str">
        <f>VLOOKUP(A670,'Datos generales'!A:L,7,0)</f>
        <v>Accesorios</v>
      </c>
      <c r="G670" s="4">
        <v>2023</v>
      </c>
    </row>
    <row r="671" spans="1:7" x14ac:dyDescent="0.25">
      <c r="A671" t="s">
        <v>81</v>
      </c>
      <c r="B671" s="4">
        <f>VLOOKUP(A671,'Datos generales'!A:L,5,0)</f>
        <v>2</v>
      </c>
      <c r="C671" s="4" t="str">
        <f>VLOOKUP(A671,'Datos generales'!A:L,4,0)</f>
        <v>Webcam</v>
      </c>
      <c r="D671" s="4">
        <f>VLOOKUP(A671,'Datos generales'!A:L,6,0)</f>
        <v>1903.65</v>
      </c>
      <c r="E671" s="4">
        <f>VLOOKUP(A671,'Datos generales'!A:L,12,0)</f>
        <v>1903.65</v>
      </c>
      <c r="F671" s="4" t="str">
        <f>VLOOKUP(A671,'Datos generales'!A:L,7,0)</f>
        <v>Accesorios</v>
      </c>
      <c r="G671" s="4">
        <v>2023</v>
      </c>
    </row>
    <row r="672" spans="1:7" x14ac:dyDescent="0.25">
      <c r="A672" t="s">
        <v>82</v>
      </c>
      <c r="B672" s="4">
        <f>VLOOKUP(A672,'Datos generales'!A:L,5,0)</f>
        <v>2</v>
      </c>
      <c r="C672" s="4" t="str">
        <f>VLOOKUP(A672,'Datos generales'!A:L,4,0)</f>
        <v>Impresora</v>
      </c>
      <c r="D672" s="4">
        <f>VLOOKUP(A672,'Datos generales'!A:L,6,0)</f>
        <v>1198.2</v>
      </c>
      <c r="E672" s="4">
        <f>VLOOKUP(A672,'Datos generales'!A:L,12,0)</f>
        <v>1198.2</v>
      </c>
      <c r="F672" s="4" t="str">
        <f>VLOOKUP(A672,'Datos generales'!A:L,7,0)</f>
        <v>Electrónica</v>
      </c>
      <c r="G672" s="4">
        <v>2024</v>
      </c>
    </row>
    <row r="673" spans="1:7" x14ac:dyDescent="0.25">
      <c r="A673" t="s">
        <v>83</v>
      </c>
      <c r="B673" s="4">
        <f>VLOOKUP(A673,'Datos generales'!A:L,5,0)</f>
        <v>3</v>
      </c>
      <c r="C673" s="4" t="str">
        <f>VLOOKUP(A673,'Datos generales'!A:L,4,0)</f>
        <v>Teclado</v>
      </c>
      <c r="D673" s="4">
        <f>VLOOKUP(A673,'Datos generales'!A:L,6,0)</f>
        <v>543.72</v>
      </c>
      <c r="E673" s="4">
        <f>VLOOKUP(A673,'Datos generales'!A:L,12,0)</f>
        <v>543.72</v>
      </c>
      <c r="F673" s="4" t="str">
        <f>VLOOKUP(A673,'Datos generales'!A:L,7,0)</f>
        <v>Accesorios</v>
      </c>
      <c r="G673" s="4">
        <v>2025</v>
      </c>
    </row>
    <row r="674" spans="1:7" x14ac:dyDescent="0.25">
      <c r="A674" t="s">
        <v>84</v>
      </c>
      <c r="B674" s="4">
        <f>VLOOKUP(A674,'Datos generales'!A:L,5,0)</f>
        <v>2</v>
      </c>
      <c r="C674" s="4" t="str">
        <f>VLOOKUP(A674,'Datos generales'!A:L,4,0)</f>
        <v>Webcam</v>
      </c>
      <c r="D674" s="4">
        <f>VLOOKUP(A674,'Datos generales'!A:L,6,0)</f>
        <v>1449.53</v>
      </c>
      <c r="E674" s="4">
        <f>VLOOKUP(A674,'Datos generales'!A:L,12,0)</f>
        <v>1449.53</v>
      </c>
      <c r="F674" s="4" t="str">
        <f>VLOOKUP(A674,'Datos generales'!A:L,7,0)</f>
        <v>Accesorios</v>
      </c>
      <c r="G674" s="4">
        <v>2023</v>
      </c>
    </row>
    <row r="675" spans="1:7" x14ac:dyDescent="0.25">
      <c r="A675" t="s">
        <v>85</v>
      </c>
      <c r="B675" s="4">
        <f>VLOOKUP(A675,'Datos generales'!A:L,5,0)</f>
        <v>5</v>
      </c>
      <c r="C675" s="4" t="str">
        <f>VLOOKUP(A675,'Datos generales'!A:L,4,0)</f>
        <v>Silla Gamer</v>
      </c>
      <c r="D675" s="4">
        <f>VLOOKUP(A675,'Datos generales'!A:L,6,0)</f>
        <v>472.42</v>
      </c>
      <c r="E675" s="4">
        <f>VLOOKUP(A675,'Datos generales'!A:L,12,0)</f>
        <v>472.42</v>
      </c>
      <c r="F675" s="4" t="str">
        <f>VLOOKUP(A675,'Datos generales'!A:L,7,0)</f>
        <v>Muebles</v>
      </c>
      <c r="G675" s="4">
        <v>2024</v>
      </c>
    </row>
    <row r="676" spans="1:7" x14ac:dyDescent="0.25">
      <c r="A676" t="s">
        <v>86</v>
      </c>
      <c r="B676" s="4">
        <f>VLOOKUP(A676,'Datos generales'!A:L,5,0)</f>
        <v>3</v>
      </c>
      <c r="C676" s="4" t="str">
        <f>VLOOKUP(A676,'Datos generales'!A:L,4,0)</f>
        <v>Audífonos</v>
      </c>
      <c r="D676" s="4">
        <f>VLOOKUP(A676,'Datos generales'!A:L,6,0)</f>
        <v>367.9</v>
      </c>
      <c r="E676" s="4">
        <f>VLOOKUP(A676,'Datos generales'!A:L,12,0)</f>
        <v>367.89999999999992</v>
      </c>
      <c r="F676" s="4" t="str">
        <f>VLOOKUP(A676,'Datos generales'!A:L,7,0)</f>
        <v>Accesorios</v>
      </c>
      <c r="G676" s="4">
        <v>2023</v>
      </c>
    </row>
    <row r="677" spans="1:7" x14ac:dyDescent="0.25">
      <c r="A677" t="s">
        <v>87</v>
      </c>
      <c r="B677" s="4">
        <f>VLOOKUP(A677,'Datos generales'!A:L,5,0)</f>
        <v>5</v>
      </c>
      <c r="C677" s="4" t="str">
        <f>VLOOKUP(A677,'Datos generales'!A:L,4,0)</f>
        <v>Audífonos</v>
      </c>
      <c r="D677" s="4">
        <f>VLOOKUP(A677,'Datos generales'!A:L,6,0)</f>
        <v>739.51</v>
      </c>
      <c r="E677" s="4">
        <f>VLOOKUP(A677,'Datos generales'!A:L,12,0)</f>
        <v>739.51</v>
      </c>
      <c r="F677" s="4" t="str">
        <f>VLOOKUP(A677,'Datos generales'!A:L,7,0)</f>
        <v>Accesorios</v>
      </c>
      <c r="G677" s="4">
        <v>2025</v>
      </c>
    </row>
    <row r="678" spans="1:7" x14ac:dyDescent="0.25">
      <c r="A678" t="s">
        <v>88</v>
      </c>
      <c r="B678" s="4">
        <f>VLOOKUP(A678,'Datos generales'!A:L,5,0)</f>
        <v>2</v>
      </c>
      <c r="C678" s="4" t="str">
        <f>VLOOKUP(A678,'Datos generales'!A:L,4,0)</f>
        <v>Laptop</v>
      </c>
      <c r="D678" s="4">
        <f>VLOOKUP(A678,'Datos generales'!A:L,6,0)</f>
        <v>1089.1300000000001</v>
      </c>
      <c r="E678" s="4">
        <f>VLOOKUP(A678,'Datos generales'!A:L,12,0)</f>
        <v>1089.1300000000001</v>
      </c>
      <c r="F678" s="4" t="str">
        <f>VLOOKUP(A678,'Datos generales'!A:L,7,0)</f>
        <v>Electrónica</v>
      </c>
      <c r="G678" s="4">
        <v>2023</v>
      </c>
    </row>
    <row r="679" spans="1:7" x14ac:dyDescent="0.25">
      <c r="A679" t="s">
        <v>89</v>
      </c>
      <c r="B679" s="4">
        <f>VLOOKUP(A679,'Datos generales'!A:L,5,0)</f>
        <v>5</v>
      </c>
      <c r="C679" s="4" t="str">
        <f>VLOOKUP(A679,'Datos generales'!A:L,4,0)</f>
        <v>Webcam</v>
      </c>
      <c r="D679" s="4">
        <f>VLOOKUP(A679,'Datos generales'!A:L,6,0)</f>
        <v>1632.75</v>
      </c>
      <c r="E679" s="4">
        <f>VLOOKUP(A679,'Datos generales'!A:L,12,0)</f>
        <v>1632.75</v>
      </c>
      <c r="F679" s="4" t="str">
        <f>VLOOKUP(A679,'Datos generales'!A:L,7,0)</f>
        <v>Accesorios</v>
      </c>
      <c r="G679" s="4">
        <v>2024</v>
      </c>
    </row>
    <row r="680" spans="1:7" x14ac:dyDescent="0.25">
      <c r="A680" t="s">
        <v>90</v>
      </c>
      <c r="B680" s="4">
        <f>VLOOKUP(A680,'Datos generales'!A:L,5,0)</f>
        <v>3</v>
      </c>
      <c r="C680" s="4" t="str">
        <f>VLOOKUP(A680,'Datos generales'!A:L,4,0)</f>
        <v>Monitor</v>
      </c>
      <c r="D680" s="4">
        <f>VLOOKUP(A680,'Datos generales'!A:L,6,0)</f>
        <v>817.35</v>
      </c>
      <c r="E680" s="4">
        <f>VLOOKUP(A680,'Datos generales'!A:L,12,0)</f>
        <v>817.35</v>
      </c>
      <c r="F680" s="4" t="str">
        <f>VLOOKUP(A680,'Datos generales'!A:L,7,0)</f>
        <v>Electrónica</v>
      </c>
      <c r="G680" s="4">
        <v>2023</v>
      </c>
    </row>
    <row r="681" spans="1:7" x14ac:dyDescent="0.25">
      <c r="A681" t="s">
        <v>91</v>
      </c>
      <c r="B681" s="4">
        <f>VLOOKUP(A681,'Datos generales'!A:L,5,0)</f>
        <v>2</v>
      </c>
      <c r="C681" s="4" t="str">
        <f>VLOOKUP(A681,'Datos generales'!A:L,4,0)</f>
        <v>Teclado</v>
      </c>
      <c r="D681" s="4">
        <f>VLOOKUP(A681,'Datos generales'!A:L,6,0)</f>
        <v>1186.58</v>
      </c>
      <c r="E681" s="4">
        <f>VLOOKUP(A681,'Datos generales'!A:L,12,0)</f>
        <v>1186.58</v>
      </c>
      <c r="F681" s="4" t="str">
        <f>VLOOKUP(A681,'Datos generales'!A:L,7,0)</f>
        <v>Accesorios</v>
      </c>
      <c r="G681" s="4">
        <v>2024</v>
      </c>
    </row>
    <row r="682" spans="1:7" x14ac:dyDescent="0.25">
      <c r="A682" t="s">
        <v>92</v>
      </c>
      <c r="B682" s="4">
        <f>VLOOKUP(A682,'Datos generales'!A:L,5,0)</f>
        <v>2</v>
      </c>
      <c r="C682" s="4" t="str">
        <f>VLOOKUP(A682,'Datos generales'!A:L,4,0)</f>
        <v>Impresora</v>
      </c>
      <c r="D682" s="4">
        <f>VLOOKUP(A682,'Datos generales'!A:L,6,0)</f>
        <v>1872.8</v>
      </c>
      <c r="E682" s="4">
        <f>VLOOKUP(A682,'Datos generales'!A:L,12,0)</f>
        <v>1872.8</v>
      </c>
      <c r="F682" s="4" t="str">
        <f>VLOOKUP(A682,'Datos generales'!A:L,7,0)</f>
        <v>Electrónica</v>
      </c>
      <c r="G682" s="4">
        <v>2023</v>
      </c>
    </row>
    <row r="683" spans="1:7" x14ac:dyDescent="0.25">
      <c r="A683" t="s">
        <v>93</v>
      </c>
      <c r="B683" s="4">
        <f>VLOOKUP(A683,'Datos generales'!A:L,5,0)</f>
        <v>3</v>
      </c>
      <c r="C683" s="4" t="str">
        <f>VLOOKUP(A683,'Datos generales'!A:L,4,0)</f>
        <v>Silla Gamer</v>
      </c>
      <c r="D683" s="4">
        <f>VLOOKUP(A683,'Datos generales'!A:L,6,0)</f>
        <v>680.19</v>
      </c>
      <c r="E683" s="4">
        <f>VLOOKUP(A683,'Datos generales'!A:L,12,0)</f>
        <v>680.19</v>
      </c>
      <c r="F683" s="4" t="str">
        <f>VLOOKUP(A683,'Datos generales'!A:L,7,0)</f>
        <v>Muebles</v>
      </c>
      <c r="G683" s="4">
        <v>2023</v>
      </c>
    </row>
    <row r="684" spans="1:7" x14ac:dyDescent="0.25">
      <c r="A684" t="s">
        <v>94</v>
      </c>
      <c r="B684" s="4">
        <f>VLOOKUP(A684,'Datos generales'!A:L,5,0)</f>
        <v>4</v>
      </c>
      <c r="C684" s="4" t="str">
        <f>VLOOKUP(A684,'Datos generales'!A:L,4,0)</f>
        <v>Webcam</v>
      </c>
      <c r="D684" s="4">
        <f>VLOOKUP(A684,'Datos generales'!A:L,6,0)</f>
        <v>262.82</v>
      </c>
      <c r="E684" s="4">
        <f>VLOOKUP(A684,'Datos generales'!A:L,12,0)</f>
        <v>262.82</v>
      </c>
      <c r="F684" s="4" t="str">
        <f>VLOOKUP(A684,'Datos generales'!A:L,7,0)</f>
        <v>Accesorios</v>
      </c>
      <c r="G684" s="4">
        <v>2023</v>
      </c>
    </row>
    <row r="685" spans="1:7" x14ac:dyDescent="0.25">
      <c r="A685" t="s">
        <v>95</v>
      </c>
      <c r="B685" s="4">
        <f>VLOOKUP(A685,'Datos generales'!A:L,5,0)</f>
        <v>4</v>
      </c>
      <c r="C685" s="4" t="str">
        <f>VLOOKUP(A685,'Datos generales'!A:L,4,0)</f>
        <v>Impresora</v>
      </c>
      <c r="D685" s="4">
        <f>VLOOKUP(A685,'Datos generales'!A:L,6,0)</f>
        <v>1531.75</v>
      </c>
      <c r="E685" s="4">
        <f>VLOOKUP(A685,'Datos generales'!A:L,12,0)</f>
        <v>1531.75</v>
      </c>
      <c r="F685" s="4" t="str">
        <f>VLOOKUP(A685,'Datos generales'!A:L,7,0)</f>
        <v>Electrónica</v>
      </c>
      <c r="G685" s="4">
        <v>2025</v>
      </c>
    </row>
    <row r="686" spans="1:7" x14ac:dyDescent="0.25">
      <c r="A686" t="s">
        <v>96</v>
      </c>
      <c r="B686" s="4">
        <f>VLOOKUP(A686,'Datos generales'!A:L,5,0)</f>
        <v>1</v>
      </c>
      <c r="C686" s="4" t="str">
        <f>VLOOKUP(A686,'Datos generales'!A:L,4,0)</f>
        <v>Impresora</v>
      </c>
      <c r="D686" s="4">
        <f>VLOOKUP(A686,'Datos generales'!A:L,6,0)</f>
        <v>503.84</v>
      </c>
      <c r="E686" s="4">
        <f>VLOOKUP(A686,'Datos generales'!A:L,12,0)</f>
        <v>503.84</v>
      </c>
      <c r="F686" s="4" t="str">
        <f>VLOOKUP(A686,'Datos generales'!A:L,7,0)</f>
        <v>Electrónica</v>
      </c>
      <c r="G686" s="4">
        <v>2023</v>
      </c>
    </row>
    <row r="687" spans="1:7" x14ac:dyDescent="0.25">
      <c r="A687" t="s">
        <v>97</v>
      </c>
      <c r="B687" s="4">
        <f>VLOOKUP(A687,'Datos generales'!A:L,5,0)</f>
        <v>4</v>
      </c>
      <c r="C687" s="4" t="str">
        <f>VLOOKUP(A687,'Datos generales'!A:L,4,0)</f>
        <v>Laptop</v>
      </c>
      <c r="D687" s="4">
        <f>VLOOKUP(A687,'Datos generales'!A:L,6,0)</f>
        <v>1908.41</v>
      </c>
      <c r="E687" s="4">
        <f>VLOOKUP(A687,'Datos generales'!A:L,12,0)</f>
        <v>1908.41</v>
      </c>
      <c r="F687" s="4" t="str">
        <f>VLOOKUP(A687,'Datos generales'!A:L,7,0)</f>
        <v>Electrónica</v>
      </c>
      <c r="G687" s="4">
        <v>2024</v>
      </c>
    </row>
    <row r="688" spans="1:7" x14ac:dyDescent="0.25">
      <c r="A688" t="s">
        <v>98</v>
      </c>
      <c r="B688" s="4">
        <f>VLOOKUP(A688,'Datos generales'!A:L,5,0)</f>
        <v>2</v>
      </c>
      <c r="C688" s="4" t="str">
        <f>VLOOKUP(A688,'Datos generales'!A:L,4,0)</f>
        <v>Impresora</v>
      </c>
      <c r="D688" s="4">
        <f>VLOOKUP(A688,'Datos generales'!A:L,6,0)</f>
        <v>114.6</v>
      </c>
      <c r="E688" s="4">
        <f>VLOOKUP(A688,'Datos generales'!A:L,12,0)</f>
        <v>114.6</v>
      </c>
      <c r="F688" s="4" t="str">
        <f>VLOOKUP(A688,'Datos generales'!A:L,7,0)</f>
        <v>Electrónica</v>
      </c>
      <c r="G688" s="4">
        <v>2024</v>
      </c>
    </row>
    <row r="689" spans="1:7" x14ac:dyDescent="0.25">
      <c r="A689" t="s">
        <v>99</v>
      </c>
      <c r="B689" s="4">
        <f>VLOOKUP(A689,'Datos generales'!A:L,5,0)</f>
        <v>2</v>
      </c>
      <c r="C689" s="4" t="str">
        <f>VLOOKUP(A689,'Datos generales'!A:L,4,0)</f>
        <v>Impresora</v>
      </c>
      <c r="D689" s="4">
        <f>VLOOKUP(A689,'Datos generales'!A:L,6,0)</f>
        <v>595.78</v>
      </c>
      <c r="E689" s="4">
        <f>VLOOKUP(A689,'Datos generales'!A:L,12,0)</f>
        <v>595.78</v>
      </c>
      <c r="F689" s="4" t="str">
        <f>VLOOKUP(A689,'Datos generales'!A:L,7,0)</f>
        <v>Electrónica</v>
      </c>
      <c r="G689" s="4">
        <v>2023</v>
      </c>
    </row>
    <row r="690" spans="1:7" x14ac:dyDescent="0.25">
      <c r="A690" t="s">
        <v>100</v>
      </c>
      <c r="B690" s="4">
        <f>VLOOKUP(A690,'Datos generales'!A:L,5,0)</f>
        <v>2</v>
      </c>
      <c r="C690" s="4" t="str">
        <f>VLOOKUP(A690,'Datos generales'!A:L,4,0)</f>
        <v>Laptop</v>
      </c>
      <c r="D690" s="4">
        <f>VLOOKUP(A690,'Datos generales'!A:L,6,0)</f>
        <v>75.02</v>
      </c>
      <c r="E690" s="4">
        <f>VLOOKUP(A690,'Datos generales'!A:L,12,0)</f>
        <v>75.02</v>
      </c>
      <c r="F690" s="4" t="str">
        <f>VLOOKUP(A690,'Datos generales'!A:L,7,0)</f>
        <v>Electrónica</v>
      </c>
      <c r="G690" s="4">
        <v>2024</v>
      </c>
    </row>
    <row r="691" spans="1:7" x14ac:dyDescent="0.25">
      <c r="A691" t="s">
        <v>101</v>
      </c>
      <c r="B691" s="4">
        <f>VLOOKUP(A691,'Datos generales'!A:L,5,0)</f>
        <v>5</v>
      </c>
      <c r="C691" s="4" t="str">
        <f>VLOOKUP(A691,'Datos generales'!A:L,4,0)</f>
        <v>Webcam</v>
      </c>
      <c r="D691" s="4">
        <f>VLOOKUP(A691,'Datos generales'!A:L,6,0)</f>
        <v>540.91999999999996</v>
      </c>
      <c r="E691" s="4">
        <f>VLOOKUP(A691,'Datos generales'!A:L,12,0)</f>
        <v>540.91999999999996</v>
      </c>
      <c r="F691" s="4" t="str">
        <f>VLOOKUP(A691,'Datos generales'!A:L,7,0)</f>
        <v>Accesorios</v>
      </c>
      <c r="G691" s="4">
        <v>2024</v>
      </c>
    </row>
    <row r="692" spans="1:7" x14ac:dyDescent="0.25">
      <c r="A692" t="s">
        <v>102</v>
      </c>
      <c r="B692" s="4">
        <f>VLOOKUP(A692,'Datos generales'!A:L,5,0)</f>
        <v>2</v>
      </c>
      <c r="C692" s="4" t="str">
        <f>VLOOKUP(A692,'Datos generales'!A:L,4,0)</f>
        <v>Monitor</v>
      </c>
      <c r="D692" s="4">
        <f>VLOOKUP(A692,'Datos generales'!A:L,6,0)</f>
        <v>356.91</v>
      </c>
      <c r="E692" s="4">
        <f>VLOOKUP(A692,'Datos generales'!A:L,12,0)</f>
        <v>356.91</v>
      </c>
      <c r="F692" s="4" t="str">
        <f>VLOOKUP(A692,'Datos generales'!A:L,7,0)</f>
        <v>Electrónica</v>
      </c>
      <c r="G692" s="4">
        <v>2025</v>
      </c>
    </row>
    <row r="693" spans="1:7" x14ac:dyDescent="0.25">
      <c r="A693" t="s">
        <v>103</v>
      </c>
      <c r="B693" s="4">
        <f>VLOOKUP(A693,'Datos generales'!A:L,5,0)</f>
        <v>3</v>
      </c>
      <c r="C693" s="4" t="str">
        <f>VLOOKUP(A693,'Datos generales'!A:L,4,0)</f>
        <v>Audífonos</v>
      </c>
      <c r="D693" s="4">
        <f>VLOOKUP(A693,'Datos generales'!A:L,6,0)</f>
        <v>1135.67</v>
      </c>
      <c r="E693" s="4">
        <f>VLOOKUP(A693,'Datos generales'!A:L,12,0)</f>
        <v>1135.67</v>
      </c>
      <c r="F693" s="4" t="str">
        <f>VLOOKUP(A693,'Datos generales'!A:L,7,0)</f>
        <v>Accesorios</v>
      </c>
      <c r="G693" s="4">
        <v>2025</v>
      </c>
    </row>
    <row r="694" spans="1:7" x14ac:dyDescent="0.25">
      <c r="A694" t="s">
        <v>104</v>
      </c>
      <c r="B694" s="4">
        <f>VLOOKUP(A694,'Datos generales'!A:L,5,0)</f>
        <v>3</v>
      </c>
      <c r="C694" s="4" t="str">
        <f>VLOOKUP(A694,'Datos generales'!A:L,4,0)</f>
        <v>Impresora</v>
      </c>
      <c r="D694" s="4">
        <f>VLOOKUP(A694,'Datos generales'!A:L,6,0)</f>
        <v>805.69</v>
      </c>
      <c r="E694" s="4">
        <f>VLOOKUP(A694,'Datos generales'!A:L,12,0)</f>
        <v>805.69</v>
      </c>
      <c r="F694" s="4" t="str">
        <f>VLOOKUP(A694,'Datos generales'!A:L,7,0)</f>
        <v>Electrónica</v>
      </c>
      <c r="G694" s="4">
        <v>2025</v>
      </c>
    </row>
    <row r="695" spans="1:7" x14ac:dyDescent="0.25">
      <c r="A695" t="s">
        <v>105</v>
      </c>
      <c r="B695" s="4">
        <f>VLOOKUP(A695,'Datos generales'!A:L,5,0)</f>
        <v>2</v>
      </c>
      <c r="C695" s="4" t="str">
        <f>VLOOKUP(A695,'Datos generales'!A:L,4,0)</f>
        <v>Laptop</v>
      </c>
      <c r="D695" s="4">
        <f>VLOOKUP(A695,'Datos generales'!A:L,6,0)</f>
        <v>1259.07</v>
      </c>
      <c r="E695" s="4">
        <f>VLOOKUP(A695,'Datos generales'!A:L,12,0)</f>
        <v>1259.07</v>
      </c>
      <c r="F695" s="4" t="str">
        <f>VLOOKUP(A695,'Datos generales'!A:L,7,0)</f>
        <v>Electrónica</v>
      </c>
      <c r="G695" s="4">
        <v>2023</v>
      </c>
    </row>
    <row r="696" spans="1:7" x14ac:dyDescent="0.25">
      <c r="A696" t="s">
        <v>106</v>
      </c>
      <c r="B696" s="4">
        <f>VLOOKUP(A696,'Datos generales'!A:L,5,0)</f>
        <v>3</v>
      </c>
      <c r="C696" s="4" t="str">
        <f>VLOOKUP(A696,'Datos generales'!A:L,4,0)</f>
        <v>Mouse</v>
      </c>
      <c r="D696" s="4">
        <f>VLOOKUP(A696,'Datos generales'!A:L,6,0)</f>
        <v>600.4</v>
      </c>
      <c r="E696" s="4">
        <f>VLOOKUP(A696,'Datos generales'!A:L,12,0)</f>
        <v>600.4</v>
      </c>
      <c r="F696" s="4" t="str">
        <f>VLOOKUP(A696,'Datos generales'!A:L,7,0)</f>
        <v>Accesorios</v>
      </c>
      <c r="G696" s="4">
        <v>2024</v>
      </c>
    </row>
    <row r="697" spans="1:7" x14ac:dyDescent="0.25">
      <c r="A697" t="s">
        <v>107</v>
      </c>
      <c r="B697" s="4">
        <f>VLOOKUP(A697,'Datos generales'!A:L,5,0)</f>
        <v>2</v>
      </c>
      <c r="C697" s="4" t="str">
        <f>VLOOKUP(A697,'Datos generales'!A:L,4,0)</f>
        <v>Silla Gamer</v>
      </c>
      <c r="D697" s="4">
        <f>VLOOKUP(A697,'Datos generales'!A:L,6,0)</f>
        <v>479.81</v>
      </c>
      <c r="E697" s="4">
        <f>VLOOKUP(A697,'Datos generales'!A:L,12,0)</f>
        <v>479.81</v>
      </c>
      <c r="F697" s="4" t="str">
        <f>VLOOKUP(A697,'Datos generales'!A:L,7,0)</f>
        <v>Muebles</v>
      </c>
      <c r="G697" s="4">
        <v>2024</v>
      </c>
    </row>
    <row r="698" spans="1:7" x14ac:dyDescent="0.25">
      <c r="A698" t="s">
        <v>108</v>
      </c>
      <c r="B698" s="4">
        <f>VLOOKUP(A698,'Datos generales'!A:L,5,0)</f>
        <v>1</v>
      </c>
      <c r="C698" s="4" t="str">
        <f>VLOOKUP(A698,'Datos generales'!A:L,4,0)</f>
        <v>Webcam</v>
      </c>
      <c r="D698" s="4">
        <f>VLOOKUP(A698,'Datos generales'!A:L,6,0)</f>
        <v>1888.86</v>
      </c>
      <c r="E698" s="4">
        <f>VLOOKUP(A698,'Datos generales'!A:L,12,0)</f>
        <v>1888.86</v>
      </c>
      <c r="F698" s="4" t="str">
        <f>VLOOKUP(A698,'Datos generales'!A:L,7,0)</f>
        <v>Accesorios</v>
      </c>
      <c r="G698" s="4">
        <v>2024</v>
      </c>
    </row>
    <row r="699" spans="1:7" x14ac:dyDescent="0.25">
      <c r="A699" t="s">
        <v>109</v>
      </c>
      <c r="B699" s="4">
        <f>VLOOKUP(A699,'Datos generales'!A:L,5,0)</f>
        <v>4</v>
      </c>
      <c r="C699" s="4" t="str">
        <f>VLOOKUP(A699,'Datos generales'!A:L,4,0)</f>
        <v>Laptop</v>
      </c>
      <c r="D699" s="4">
        <f>VLOOKUP(A699,'Datos generales'!A:L,6,0)</f>
        <v>1821.05</v>
      </c>
      <c r="E699" s="4">
        <f>VLOOKUP(A699,'Datos generales'!A:L,12,0)</f>
        <v>1821.05</v>
      </c>
      <c r="F699" s="4" t="str">
        <f>VLOOKUP(A699,'Datos generales'!A:L,7,0)</f>
        <v>Electrónica</v>
      </c>
      <c r="G699" s="4">
        <v>2024</v>
      </c>
    </row>
    <row r="700" spans="1:7" x14ac:dyDescent="0.25">
      <c r="A700" t="s">
        <v>110</v>
      </c>
      <c r="B700" s="4">
        <f>VLOOKUP(A700,'Datos generales'!A:L,5,0)</f>
        <v>3</v>
      </c>
      <c r="C700" s="4" t="str">
        <f>VLOOKUP(A700,'Datos generales'!A:L,4,0)</f>
        <v>Mouse</v>
      </c>
      <c r="D700" s="4">
        <f>VLOOKUP(A700,'Datos generales'!A:L,6,0)</f>
        <v>1537.23</v>
      </c>
      <c r="E700" s="4">
        <f>VLOOKUP(A700,'Datos generales'!A:L,12,0)</f>
        <v>1537.23</v>
      </c>
      <c r="F700" s="4" t="str">
        <f>VLOOKUP(A700,'Datos generales'!A:L,7,0)</f>
        <v>Accesorios</v>
      </c>
      <c r="G700" s="4">
        <v>2025</v>
      </c>
    </row>
    <row r="701" spans="1:7" x14ac:dyDescent="0.25">
      <c r="A701" t="s">
        <v>111</v>
      </c>
      <c r="B701" s="4">
        <f>VLOOKUP(A701,'Datos generales'!A:L,5,0)</f>
        <v>3</v>
      </c>
      <c r="C701" s="4" t="str">
        <f>VLOOKUP(A701,'Datos generales'!A:L,4,0)</f>
        <v>Silla Gamer</v>
      </c>
      <c r="D701" s="4">
        <f>VLOOKUP(A701,'Datos generales'!A:L,6,0)</f>
        <v>311.66000000000003</v>
      </c>
      <c r="E701" s="4">
        <f>VLOOKUP(A701,'Datos generales'!A:L,12,0)</f>
        <v>311.66000000000003</v>
      </c>
      <c r="F701" s="4" t="str">
        <f>VLOOKUP(A701,'Datos generales'!A:L,7,0)</f>
        <v>Muebles</v>
      </c>
      <c r="G701" s="4">
        <v>2024</v>
      </c>
    </row>
    <row r="702" spans="1:7" x14ac:dyDescent="0.25">
      <c r="A702" t="s">
        <v>112</v>
      </c>
      <c r="B702" s="4">
        <f>VLOOKUP(A702,'Datos generales'!A:L,5,0)</f>
        <v>5</v>
      </c>
      <c r="C702" s="4" t="str">
        <f>VLOOKUP(A702,'Datos generales'!A:L,4,0)</f>
        <v>Teclado</v>
      </c>
      <c r="D702" s="4">
        <f>VLOOKUP(A702,'Datos generales'!A:L,6,0)</f>
        <v>149.09</v>
      </c>
      <c r="E702" s="4">
        <f>VLOOKUP(A702,'Datos generales'!A:L,12,0)</f>
        <v>149.09</v>
      </c>
      <c r="F702" s="4" t="str">
        <f>VLOOKUP(A702,'Datos generales'!A:L,7,0)</f>
        <v>Accesorios</v>
      </c>
      <c r="G702" s="4">
        <v>2024</v>
      </c>
    </row>
    <row r="703" spans="1:7" x14ac:dyDescent="0.25">
      <c r="A703" t="s">
        <v>113</v>
      </c>
      <c r="B703" s="4">
        <f>VLOOKUP(A703,'Datos generales'!A:L,5,0)</f>
        <v>5</v>
      </c>
      <c r="C703" s="4" t="str">
        <f>VLOOKUP(A703,'Datos generales'!A:L,4,0)</f>
        <v>Laptop</v>
      </c>
      <c r="D703" s="4">
        <f>VLOOKUP(A703,'Datos generales'!A:L,6,0)</f>
        <v>1885.48</v>
      </c>
      <c r="E703" s="4">
        <f>VLOOKUP(A703,'Datos generales'!A:L,12,0)</f>
        <v>1885.48</v>
      </c>
      <c r="F703" s="4" t="str">
        <f>VLOOKUP(A703,'Datos generales'!A:L,7,0)</f>
        <v>Electrónica</v>
      </c>
      <c r="G703" s="4">
        <v>2023</v>
      </c>
    </row>
    <row r="704" spans="1:7" x14ac:dyDescent="0.25">
      <c r="A704" t="s">
        <v>114</v>
      </c>
      <c r="B704" s="4">
        <f>VLOOKUP(A704,'Datos generales'!A:L,5,0)</f>
        <v>3</v>
      </c>
      <c r="C704" s="4" t="str">
        <f>VLOOKUP(A704,'Datos generales'!A:L,4,0)</f>
        <v>Webcam</v>
      </c>
      <c r="D704" s="4">
        <f>VLOOKUP(A704,'Datos generales'!A:L,6,0)</f>
        <v>1591.92</v>
      </c>
      <c r="E704" s="4">
        <f>VLOOKUP(A704,'Datos generales'!A:L,12,0)</f>
        <v>1591.92</v>
      </c>
      <c r="F704" s="4" t="str">
        <f>VLOOKUP(A704,'Datos generales'!A:L,7,0)</f>
        <v>Accesorios</v>
      </c>
      <c r="G704" s="4">
        <v>2023</v>
      </c>
    </row>
    <row r="705" spans="1:7" x14ac:dyDescent="0.25">
      <c r="A705" t="s">
        <v>115</v>
      </c>
      <c r="B705" s="4">
        <f>VLOOKUP(A705,'Datos generales'!A:L,5,0)</f>
        <v>5</v>
      </c>
      <c r="C705" s="4" t="str">
        <f>VLOOKUP(A705,'Datos generales'!A:L,4,0)</f>
        <v>Webcam</v>
      </c>
      <c r="D705" s="4">
        <f>VLOOKUP(A705,'Datos generales'!A:L,6,0)</f>
        <v>1383.33</v>
      </c>
      <c r="E705" s="4">
        <f>VLOOKUP(A705,'Datos generales'!A:L,12,0)</f>
        <v>1383.33</v>
      </c>
      <c r="F705" s="4" t="str">
        <f>VLOOKUP(A705,'Datos generales'!A:L,7,0)</f>
        <v>Accesorios</v>
      </c>
      <c r="G705" s="4">
        <v>2025</v>
      </c>
    </row>
    <row r="706" spans="1:7" x14ac:dyDescent="0.25">
      <c r="A706" t="s">
        <v>116</v>
      </c>
      <c r="B706" s="4">
        <f>VLOOKUP(A706,'Datos generales'!A:L,5,0)</f>
        <v>2</v>
      </c>
      <c r="C706" s="4" t="str">
        <f>VLOOKUP(A706,'Datos generales'!A:L,4,0)</f>
        <v>Silla Gamer</v>
      </c>
      <c r="D706" s="4">
        <f>VLOOKUP(A706,'Datos generales'!A:L,6,0)</f>
        <v>1051.23</v>
      </c>
      <c r="E706" s="4">
        <f>VLOOKUP(A706,'Datos generales'!A:L,12,0)</f>
        <v>1051.23</v>
      </c>
      <c r="F706" s="4" t="str">
        <f>VLOOKUP(A706,'Datos generales'!A:L,7,0)</f>
        <v>Muebles</v>
      </c>
      <c r="G706" s="4">
        <v>2025</v>
      </c>
    </row>
    <row r="707" spans="1:7" x14ac:dyDescent="0.25">
      <c r="A707" t="s">
        <v>117</v>
      </c>
      <c r="B707" s="4">
        <f>VLOOKUP(A707,'Datos generales'!A:L,5,0)</f>
        <v>4</v>
      </c>
      <c r="C707" s="4" t="str">
        <f>VLOOKUP(A707,'Datos generales'!A:L,4,0)</f>
        <v>Audífonos</v>
      </c>
      <c r="D707" s="4">
        <f>VLOOKUP(A707,'Datos generales'!A:L,6,0)</f>
        <v>1274.46</v>
      </c>
      <c r="E707" s="4">
        <f>VLOOKUP(A707,'Datos generales'!A:L,12,0)</f>
        <v>1274.46</v>
      </c>
      <c r="F707" s="4" t="str">
        <f>VLOOKUP(A707,'Datos generales'!A:L,7,0)</f>
        <v>Accesorios</v>
      </c>
      <c r="G707" s="4">
        <v>2023</v>
      </c>
    </row>
    <row r="708" spans="1:7" x14ac:dyDescent="0.25">
      <c r="A708" t="s">
        <v>118</v>
      </c>
      <c r="B708" s="4">
        <f>VLOOKUP(A708,'Datos generales'!A:L,5,0)</f>
        <v>1</v>
      </c>
      <c r="C708" s="4" t="str">
        <f>VLOOKUP(A708,'Datos generales'!A:L,4,0)</f>
        <v>Monitor</v>
      </c>
      <c r="D708" s="4">
        <f>VLOOKUP(A708,'Datos generales'!A:L,6,0)</f>
        <v>1251.08</v>
      </c>
      <c r="E708" s="4">
        <f>VLOOKUP(A708,'Datos generales'!A:L,12,0)</f>
        <v>1251.08</v>
      </c>
      <c r="F708" s="4" t="str">
        <f>VLOOKUP(A708,'Datos generales'!A:L,7,0)</f>
        <v>Electrónica</v>
      </c>
      <c r="G708" s="4">
        <v>2025</v>
      </c>
    </row>
    <row r="709" spans="1:7" x14ac:dyDescent="0.25">
      <c r="A709" t="s">
        <v>119</v>
      </c>
      <c r="B709" s="4">
        <f>VLOOKUP(A709,'Datos generales'!A:L,5,0)</f>
        <v>5</v>
      </c>
      <c r="C709" s="4" t="str">
        <f>VLOOKUP(A709,'Datos generales'!A:L,4,0)</f>
        <v>Audífonos</v>
      </c>
      <c r="D709" s="4">
        <f>VLOOKUP(A709,'Datos generales'!A:L,6,0)</f>
        <v>1582.2</v>
      </c>
      <c r="E709" s="4">
        <f>VLOOKUP(A709,'Datos generales'!A:L,12,0)</f>
        <v>1582.2</v>
      </c>
      <c r="F709" s="4" t="str">
        <f>VLOOKUP(A709,'Datos generales'!A:L,7,0)</f>
        <v>Accesorios</v>
      </c>
      <c r="G709" s="4">
        <v>2025</v>
      </c>
    </row>
    <row r="710" spans="1:7" x14ac:dyDescent="0.25">
      <c r="A710" t="s">
        <v>120</v>
      </c>
      <c r="B710" s="4">
        <f>VLOOKUP(A710,'Datos generales'!A:L,5,0)</f>
        <v>1</v>
      </c>
      <c r="C710" s="4" t="str">
        <f>VLOOKUP(A710,'Datos generales'!A:L,4,0)</f>
        <v>Silla Gamer</v>
      </c>
      <c r="D710" s="4">
        <f>VLOOKUP(A710,'Datos generales'!A:L,6,0)</f>
        <v>81.92</v>
      </c>
      <c r="E710" s="4">
        <f>VLOOKUP(A710,'Datos generales'!A:L,12,0)</f>
        <v>81.92</v>
      </c>
      <c r="F710" s="4" t="str">
        <f>VLOOKUP(A710,'Datos generales'!A:L,7,0)</f>
        <v>Muebles</v>
      </c>
      <c r="G710" s="4">
        <v>2023</v>
      </c>
    </row>
    <row r="711" spans="1:7" x14ac:dyDescent="0.25">
      <c r="A711" t="s">
        <v>121</v>
      </c>
      <c r="B711" s="4">
        <f>VLOOKUP(A711,'Datos generales'!A:L,5,0)</f>
        <v>1</v>
      </c>
      <c r="C711" s="4" t="str">
        <f>VLOOKUP(A711,'Datos generales'!A:L,4,0)</f>
        <v>Mouse</v>
      </c>
      <c r="D711" s="4">
        <f>VLOOKUP(A711,'Datos generales'!A:L,6,0)</f>
        <v>1153.31</v>
      </c>
      <c r="E711" s="4">
        <f>VLOOKUP(A711,'Datos generales'!A:L,12,0)</f>
        <v>1153.31</v>
      </c>
      <c r="F711" s="4" t="str">
        <f>VLOOKUP(A711,'Datos generales'!A:L,7,0)</f>
        <v>Accesorios</v>
      </c>
      <c r="G711" s="4">
        <v>2024</v>
      </c>
    </row>
    <row r="712" spans="1:7" x14ac:dyDescent="0.25">
      <c r="A712" t="s">
        <v>122</v>
      </c>
      <c r="B712" s="4">
        <f>VLOOKUP(A712,'Datos generales'!A:L,5,0)</f>
        <v>3</v>
      </c>
      <c r="C712" s="4" t="str">
        <f>VLOOKUP(A712,'Datos generales'!A:L,4,0)</f>
        <v>Mouse</v>
      </c>
      <c r="D712" s="4">
        <f>VLOOKUP(A712,'Datos generales'!A:L,6,0)</f>
        <v>1078.08</v>
      </c>
      <c r="E712" s="4">
        <f>VLOOKUP(A712,'Datos generales'!A:L,12,0)</f>
        <v>1078.08</v>
      </c>
      <c r="F712" s="4" t="str">
        <f>VLOOKUP(A712,'Datos generales'!A:L,7,0)</f>
        <v>Accesorios</v>
      </c>
      <c r="G712" s="4">
        <v>2025</v>
      </c>
    </row>
    <row r="713" spans="1:7" x14ac:dyDescent="0.25">
      <c r="A713" t="s">
        <v>123</v>
      </c>
      <c r="B713" s="4">
        <f>VLOOKUP(A713,'Datos generales'!A:L,5,0)</f>
        <v>1</v>
      </c>
      <c r="C713" s="4" t="str">
        <f>VLOOKUP(A713,'Datos generales'!A:L,4,0)</f>
        <v>Impresora</v>
      </c>
      <c r="D713" s="4">
        <f>VLOOKUP(A713,'Datos generales'!A:L,6,0)</f>
        <v>201.91</v>
      </c>
      <c r="E713" s="4">
        <f>VLOOKUP(A713,'Datos generales'!A:L,12,0)</f>
        <v>201.91</v>
      </c>
      <c r="F713" s="4" t="str">
        <f>VLOOKUP(A713,'Datos generales'!A:L,7,0)</f>
        <v>Electrónica</v>
      </c>
      <c r="G713" s="4">
        <v>2024</v>
      </c>
    </row>
    <row r="714" spans="1:7" x14ac:dyDescent="0.25">
      <c r="A714" t="s">
        <v>124</v>
      </c>
      <c r="B714" s="4">
        <f>VLOOKUP(A714,'Datos generales'!A:L,5,0)</f>
        <v>3</v>
      </c>
      <c r="C714" s="4" t="str">
        <f>VLOOKUP(A714,'Datos generales'!A:L,4,0)</f>
        <v>Webcam</v>
      </c>
      <c r="D714" s="4">
        <f>VLOOKUP(A714,'Datos generales'!A:L,6,0)</f>
        <v>727.36</v>
      </c>
      <c r="E714" s="4">
        <f>VLOOKUP(A714,'Datos generales'!A:L,12,0)</f>
        <v>727.36</v>
      </c>
      <c r="F714" s="4" t="str">
        <f>VLOOKUP(A714,'Datos generales'!A:L,7,0)</f>
        <v>Accesorios</v>
      </c>
      <c r="G714" s="4">
        <v>2024</v>
      </c>
    </row>
    <row r="715" spans="1:7" x14ac:dyDescent="0.25">
      <c r="A715" t="s">
        <v>125</v>
      </c>
      <c r="B715" s="4">
        <f>VLOOKUP(A715,'Datos generales'!A:L,5,0)</f>
        <v>3</v>
      </c>
      <c r="C715" s="4" t="str">
        <f>VLOOKUP(A715,'Datos generales'!A:L,4,0)</f>
        <v>Audífonos</v>
      </c>
      <c r="D715" s="4">
        <f>VLOOKUP(A715,'Datos generales'!A:L,6,0)</f>
        <v>1645.43</v>
      </c>
      <c r="E715" s="4">
        <f>VLOOKUP(A715,'Datos generales'!A:L,12,0)</f>
        <v>1645.43</v>
      </c>
      <c r="F715" s="4" t="str">
        <f>VLOOKUP(A715,'Datos generales'!A:L,7,0)</f>
        <v>Accesorios</v>
      </c>
      <c r="G715" s="4">
        <v>2023</v>
      </c>
    </row>
    <row r="716" spans="1:7" x14ac:dyDescent="0.25">
      <c r="A716" t="s">
        <v>126</v>
      </c>
      <c r="B716" s="4">
        <f>VLOOKUP(A716,'Datos generales'!A:L,5,0)</f>
        <v>3</v>
      </c>
      <c r="C716" s="4" t="str">
        <f>VLOOKUP(A716,'Datos generales'!A:L,4,0)</f>
        <v>Laptop</v>
      </c>
      <c r="D716" s="4">
        <f>VLOOKUP(A716,'Datos generales'!A:L,6,0)</f>
        <v>420.05</v>
      </c>
      <c r="E716" s="4">
        <f>VLOOKUP(A716,'Datos generales'!A:L,12,0)</f>
        <v>420.05</v>
      </c>
      <c r="F716" s="4" t="str">
        <f>VLOOKUP(A716,'Datos generales'!A:L,7,0)</f>
        <v>Electrónica</v>
      </c>
      <c r="G716" s="4">
        <v>2024</v>
      </c>
    </row>
    <row r="717" spans="1:7" x14ac:dyDescent="0.25">
      <c r="A717" t="s">
        <v>127</v>
      </c>
      <c r="B717" s="4">
        <f>VLOOKUP(A717,'Datos generales'!A:L,5,0)</f>
        <v>4</v>
      </c>
      <c r="C717" s="4" t="str">
        <f>VLOOKUP(A717,'Datos generales'!A:L,4,0)</f>
        <v>Silla Gamer</v>
      </c>
      <c r="D717" s="4">
        <f>VLOOKUP(A717,'Datos generales'!A:L,6,0)</f>
        <v>496.9</v>
      </c>
      <c r="E717" s="4">
        <f>VLOOKUP(A717,'Datos generales'!A:L,12,0)</f>
        <v>496.9</v>
      </c>
      <c r="F717" s="4" t="str">
        <f>VLOOKUP(A717,'Datos generales'!A:L,7,0)</f>
        <v>Muebles</v>
      </c>
      <c r="G717" s="4">
        <v>2024</v>
      </c>
    </row>
    <row r="718" spans="1:7" x14ac:dyDescent="0.25">
      <c r="A718" t="s">
        <v>128</v>
      </c>
      <c r="B718" s="4">
        <f>VLOOKUP(A718,'Datos generales'!A:L,5,0)</f>
        <v>2</v>
      </c>
      <c r="C718" s="4" t="str">
        <f>VLOOKUP(A718,'Datos generales'!A:L,4,0)</f>
        <v>Teclado</v>
      </c>
      <c r="D718" s="4">
        <f>VLOOKUP(A718,'Datos generales'!A:L,6,0)</f>
        <v>721.56</v>
      </c>
      <c r="E718" s="4">
        <f>VLOOKUP(A718,'Datos generales'!A:L,12,0)</f>
        <v>721.56</v>
      </c>
      <c r="F718" s="4" t="str">
        <f>VLOOKUP(A718,'Datos generales'!A:L,7,0)</f>
        <v>Accesorios</v>
      </c>
      <c r="G718" s="4">
        <v>2023</v>
      </c>
    </row>
    <row r="719" spans="1:7" x14ac:dyDescent="0.25">
      <c r="A719" t="s">
        <v>129</v>
      </c>
      <c r="B719" s="4">
        <f>VLOOKUP(A719,'Datos generales'!A:L,5,0)</f>
        <v>4</v>
      </c>
      <c r="C719" s="4" t="str">
        <f>VLOOKUP(A719,'Datos generales'!A:L,4,0)</f>
        <v>Audífonos</v>
      </c>
      <c r="D719" s="4">
        <f>VLOOKUP(A719,'Datos generales'!A:L,6,0)</f>
        <v>1353.9</v>
      </c>
      <c r="E719" s="4">
        <f>VLOOKUP(A719,'Datos generales'!A:L,12,0)</f>
        <v>1353.9</v>
      </c>
      <c r="F719" s="4" t="str">
        <f>VLOOKUP(A719,'Datos generales'!A:L,7,0)</f>
        <v>Accesorios</v>
      </c>
      <c r="G719" s="4">
        <v>2023</v>
      </c>
    </row>
    <row r="720" spans="1:7" x14ac:dyDescent="0.25">
      <c r="A720" t="s">
        <v>130</v>
      </c>
      <c r="B720" s="4">
        <f>VLOOKUP(A720,'Datos generales'!A:L,5,0)</f>
        <v>2</v>
      </c>
      <c r="C720" s="4" t="str">
        <f>VLOOKUP(A720,'Datos generales'!A:L,4,0)</f>
        <v>Impresora</v>
      </c>
      <c r="D720" s="4">
        <f>VLOOKUP(A720,'Datos generales'!A:L,6,0)</f>
        <v>429.52</v>
      </c>
      <c r="E720" s="4">
        <f>VLOOKUP(A720,'Datos generales'!A:L,12,0)</f>
        <v>429.52</v>
      </c>
      <c r="F720" s="4" t="str">
        <f>VLOOKUP(A720,'Datos generales'!A:L,7,0)</f>
        <v>Electrónica</v>
      </c>
      <c r="G720" s="4">
        <v>2024</v>
      </c>
    </row>
    <row r="721" spans="1:7" x14ac:dyDescent="0.25">
      <c r="A721" t="s">
        <v>131</v>
      </c>
      <c r="B721" s="4">
        <f>VLOOKUP(A721,'Datos generales'!A:L,5,0)</f>
        <v>2</v>
      </c>
      <c r="C721" s="4" t="str">
        <f>VLOOKUP(A721,'Datos generales'!A:L,4,0)</f>
        <v>Silla Gamer</v>
      </c>
      <c r="D721" s="4">
        <f>VLOOKUP(A721,'Datos generales'!A:L,6,0)</f>
        <v>1824.96</v>
      </c>
      <c r="E721" s="4">
        <f>VLOOKUP(A721,'Datos generales'!A:L,12,0)</f>
        <v>1824.96</v>
      </c>
      <c r="F721" s="4" t="str">
        <f>VLOOKUP(A721,'Datos generales'!A:L,7,0)</f>
        <v>Muebles</v>
      </c>
      <c r="G721" s="4">
        <v>2024</v>
      </c>
    </row>
    <row r="722" spans="1:7" x14ac:dyDescent="0.25">
      <c r="A722" t="s">
        <v>132</v>
      </c>
      <c r="B722" s="4">
        <f>VLOOKUP(A722,'Datos generales'!A:L,5,0)</f>
        <v>5</v>
      </c>
      <c r="C722" s="4" t="str">
        <f>VLOOKUP(A722,'Datos generales'!A:L,4,0)</f>
        <v>Mouse</v>
      </c>
      <c r="D722" s="4">
        <f>VLOOKUP(A722,'Datos generales'!A:L,6,0)</f>
        <v>1059.81</v>
      </c>
      <c r="E722" s="4">
        <f>VLOOKUP(A722,'Datos generales'!A:L,12,0)</f>
        <v>1059.81</v>
      </c>
      <c r="F722" s="4" t="str">
        <f>VLOOKUP(A722,'Datos generales'!A:L,7,0)</f>
        <v>Accesorios</v>
      </c>
      <c r="G722" s="4">
        <v>2024</v>
      </c>
    </row>
    <row r="723" spans="1:7" x14ac:dyDescent="0.25">
      <c r="A723" t="s">
        <v>133</v>
      </c>
      <c r="B723" s="4">
        <f>VLOOKUP(A723,'Datos generales'!A:L,5,0)</f>
        <v>4</v>
      </c>
      <c r="C723" s="4" t="str">
        <f>VLOOKUP(A723,'Datos generales'!A:L,4,0)</f>
        <v>Silla Gamer</v>
      </c>
      <c r="D723" s="4">
        <f>VLOOKUP(A723,'Datos generales'!A:L,6,0)</f>
        <v>46.39</v>
      </c>
      <c r="E723" s="4">
        <f>VLOOKUP(A723,'Datos generales'!A:L,12,0)</f>
        <v>46.39</v>
      </c>
      <c r="F723" s="4" t="str">
        <f>VLOOKUP(A723,'Datos generales'!A:L,7,0)</f>
        <v>Muebles</v>
      </c>
      <c r="G723" s="4">
        <v>2023</v>
      </c>
    </row>
    <row r="724" spans="1:7" x14ac:dyDescent="0.25">
      <c r="A724" t="s">
        <v>134</v>
      </c>
      <c r="B724" s="4">
        <f>VLOOKUP(A724,'Datos generales'!A:L,5,0)</f>
        <v>1</v>
      </c>
      <c r="C724" s="4" t="str">
        <f>VLOOKUP(A724,'Datos generales'!A:L,4,0)</f>
        <v>Laptop</v>
      </c>
      <c r="D724" s="4">
        <f>VLOOKUP(A724,'Datos generales'!A:L,6,0)</f>
        <v>754.07</v>
      </c>
      <c r="E724" s="4">
        <f>VLOOKUP(A724,'Datos generales'!A:L,12,0)</f>
        <v>754.07</v>
      </c>
      <c r="F724" s="4" t="str">
        <f>VLOOKUP(A724,'Datos generales'!A:L,7,0)</f>
        <v>Electrónica</v>
      </c>
      <c r="G724" s="4">
        <v>2023</v>
      </c>
    </row>
    <row r="725" spans="1:7" x14ac:dyDescent="0.25">
      <c r="A725" t="s">
        <v>135</v>
      </c>
      <c r="B725" s="4">
        <f>VLOOKUP(A725,'Datos generales'!A:L,5,0)</f>
        <v>1</v>
      </c>
      <c r="C725" s="4" t="str">
        <f>VLOOKUP(A725,'Datos generales'!A:L,4,0)</f>
        <v>Audífonos</v>
      </c>
      <c r="D725" s="4">
        <f>VLOOKUP(A725,'Datos generales'!A:L,6,0)</f>
        <v>1681.02</v>
      </c>
      <c r="E725" s="4">
        <f>VLOOKUP(A725,'Datos generales'!A:L,12,0)</f>
        <v>1681.02</v>
      </c>
      <c r="F725" s="4" t="str">
        <f>VLOOKUP(A725,'Datos generales'!A:L,7,0)</f>
        <v>Accesorios</v>
      </c>
      <c r="G725" s="4">
        <v>2025</v>
      </c>
    </row>
    <row r="726" spans="1:7" x14ac:dyDescent="0.25">
      <c r="A726" t="s">
        <v>136</v>
      </c>
      <c r="B726" s="4">
        <f>VLOOKUP(A726,'Datos generales'!A:L,5,0)</f>
        <v>2</v>
      </c>
      <c r="C726" s="4" t="str">
        <f>VLOOKUP(A726,'Datos generales'!A:L,4,0)</f>
        <v>Monitor</v>
      </c>
      <c r="D726" s="4">
        <f>VLOOKUP(A726,'Datos generales'!A:L,6,0)</f>
        <v>1198.72</v>
      </c>
      <c r="E726" s="4">
        <f>VLOOKUP(A726,'Datos generales'!A:L,12,0)</f>
        <v>1198.72</v>
      </c>
      <c r="F726" s="4" t="str">
        <f>VLOOKUP(A726,'Datos generales'!A:L,7,0)</f>
        <v>Electrónica</v>
      </c>
      <c r="G726" s="4">
        <v>2025</v>
      </c>
    </row>
    <row r="727" spans="1:7" x14ac:dyDescent="0.25">
      <c r="A727" t="s">
        <v>137</v>
      </c>
      <c r="B727" s="4">
        <f>VLOOKUP(A727,'Datos generales'!A:L,5,0)</f>
        <v>2</v>
      </c>
      <c r="C727" s="4" t="str">
        <f>VLOOKUP(A727,'Datos generales'!A:L,4,0)</f>
        <v>Audífonos</v>
      </c>
      <c r="D727" s="4">
        <f>VLOOKUP(A727,'Datos generales'!A:L,6,0)</f>
        <v>1040.2</v>
      </c>
      <c r="E727" s="4">
        <f>VLOOKUP(A727,'Datos generales'!A:L,12,0)</f>
        <v>1040.2</v>
      </c>
      <c r="F727" s="4" t="str">
        <f>VLOOKUP(A727,'Datos generales'!A:L,7,0)</f>
        <v>Accesorios</v>
      </c>
      <c r="G727" s="4">
        <v>2023</v>
      </c>
    </row>
    <row r="728" spans="1:7" x14ac:dyDescent="0.25">
      <c r="A728" t="s">
        <v>138</v>
      </c>
      <c r="B728" s="4">
        <f>VLOOKUP(A728,'Datos generales'!A:L,5,0)</f>
        <v>3</v>
      </c>
      <c r="C728" s="4" t="str">
        <f>VLOOKUP(A728,'Datos generales'!A:L,4,0)</f>
        <v>Teclado</v>
      </c>
      <c r="D728" s="4">
        <f>VLOOKUP(A728,'Datos generales'!A:L,6,0)</f>
        <v>107.53</v>
      </c>
      <c r="E728" s="4">
        <f>VLOOKUP(A728,'Datos generales'!A:L,12,0)</f>
        <v>107.53</v>
      </c>
      <c r="F728" s="4" t="str">
        <f>VLOOKUP(A728,'Datos generales'!A:L,7,0)</f>
        <v>Accesorios</v>
      </c>
      <c r="G728" s="4">
        <v>2025</v>
      </c>
    </row>
    <row r="729" spans="1:7" x14ac:dyDescent="0.25">
      <c r="A729" t="s">
        <v>139</v>
      </c>
      <c r="B729" s="4">
        <f>VLOOKUP(A729,'Datos generales'!A:L,5,0)</f>
        <v>4</v>
      </c>
      <c r="C729" s="4" t="str">
        <f>VLOOKUP(A729,'Datos generales'!A:L,4,0)</f>
        <v>Impresora</v>
      </c>
      <c r="D729" s="4">
        <f>VLOOKUP(A729,'Datos generales'!A:L,6,0)</f>
        <v>380.66</v>
      </c>
      <c r="E729" s="4">
        <f>VLOOKUP(A729,'Datos generales'!A:L,12,0)</f>
        <v>380.66</v>
      </c>
      <c r="F729" s="4" t="str">
        <f>VLOOKUP(A729,'Datos generales'!A:L,7,0)</f>
        <v>Electrónica</v>
      </c>
      <c r="G729" s="4">
        <v>2025</v>
      </c>
    </row>
    <row r="730" spans="1:7" x14ac:dyDescent="0.25">
      <c r="A730" t="s">
        <v>140</v>
      </c>
      <c r="B730" s="4">
        <f>VLOOKUP(A730,'Datos generales'!A:L,5,0)</f>
        <v>2</v>
      </c>
      <c r="C730" s="4" t="str">
        <f>VLOOKUP(A730,'Datos generales'!A:L,4,0)</f>
        <v>Monitor</v>
      </c>
      <c r="D730" s="4">
        <f>VLOOKUP(A730,'Datos generales'!A:L,6,0)</f>
        <v>700.11</v>
      </c>
      <c r="E730" s="4">
        <f>VLOOKUP(A730,'Datos generales'!A:L,12,0)</f>
        <v>700.11</v>
      </c>
      <c r="F730" s="4" t="str">
        <f>VLOOKUP(A730,'Datos generales'!A:L,7,0)</f>
        <v>Electrónica</v>
      </c>
      <c r="G730" s="4">
        <v>2025</v>
      </c>
    </row>
    <row r="731" spans="1:7" x14ac:dyDescent="0.25">
      <c r="A731" t="s">
        <v>141</v>
      </c>
      <c r="B731" s="4">
        <f>VLOOKUP(A731,'Datos generales'!A:L,5,0)</f>
        <v>5</v>
      </c>
      <c r="C731" s="4" t="str">
        <f>VLOOKUP(A731,'Datos generales'!A:L,4,0)</f>
        <v>Impresora</v>
      </c>
      <c r="D731" s="4">
        <f>VLOOKUP(A731,'Datos generales'!A:L,6,0)</f>
        <v>358.48</v>
      </c>
      <c r="E731" s="4">
        <f>VLOOKUP(A731,'Datos generales'!A:L,12,0)</f>
        <v>358.48</v>
      </c>
      <c r="F731" s="4" t="str">
        <f>VLOOKUP(A731,'Datos generales'!A:L,7,0)</f>
        <v>Electrónica</v>
      </c>
      <c r="G731" s="4">
        <v>2023</v>
      </c>
    </row>
    <row r="732" spans="1:7" x14ac:dyDescent="0.25">
      <c r="A732" t="s">
        <v>142</v>
      </c>
      <c r="B732" s="4">
        <f>VLOOKUP(A732,'Datos generales'!A:L,5,0)</f>
        <v>4</v>
      </c>
      <c r="C732" s="4" t="str">
        <f>VLOOKUP(A732,'Datos generales'!A:L,4,0)</f>
        <v>Silla Gamer</v>
      </c>
      <c r="D732" s="4">
        <f>VLOOKUP(A732,'Datos generales'!A:L,6,0)</f>
        <v>746.6</v>
      </c>
      <c r="E732" s="4">
        <f>VLOOKUP(A732,'Datos generales'!A:L,12,0)</f>
        <v>746.6</v>
      </c>
      <c r="F732" s="4" t="str">
        <f>VLOOKUP(A732,'Datos generales'!A:L,7,0)</f>
        <v>Muebles</v>
      </c>
      <c r="G732" s="4">
        <v>2024</v>
      </c>
    </row>
    <row r="733" spans="1:7" x14ac:dyDescent="0.25">
      <c r="A733" t="s">
        <v>143</v>
      </c>
      <c r="B733" s="4">
        <f>VLOOKUP(A733,'Datos generales'!A:L,5,0)</f>
        <v>1</v>
      </c>
      <c r="C733" s="4" t="str">
        <f>VLOOKUP(A733,'Datos generales'!A:L,4,0)</f>
        <v>Laptop</v>
      </c>
      <c r="D733" s="4">
        <f>VLOOKUP(A733,'Datos generales'!A:L,6,0)</f>
        <v>751.43</v>
      </c>
      <c r="E733" s="4">
        <f>VLOOKUP(A733,'Datos generales'!A:L,12,0)</f>
        <v>751.43</v>
      </c>
      <c r="F733" s="4" t="str">
        <f>VLOOKUP(A733,'Datos generales'!A:L,7,0)</f>
        <v>Electrónica</v>
      </c>
      <c r="G733" s="4">
        <v>2024</v>
      </c>
    </row>
    <row r="734" spans="1:7" x14ac:dyDescent="0.25">
      <c r="A734" t="s">
        <v>144</v>
      </c>
      <c r="B734" s="4">
        <f>VLOOKUP(A734,'Datos generales'!A:L,5,0)</f>
        <v>5</v>
      </c>
      <c r="C734" s="4" t="str">
        <f>VLOOKUP(A734,'Datos generales'!A:L,4,0)</f>
        <v>Mouse</v>
      </c>
      <c r="D734" s="4">
        <f>VLOOKUP(A734,'Datos generales'!A:L,6,0)</f>
        <v>1109.08</v>
      </c>
      <c r="E734" s="4">
        <f>VLOOKUP(A734,'Datos generales'!A:L,12,0)</f>
        <v>1109.08</v>
      </c>
      <c r="F734" s="4" t="str">
        <f>VLOOKUP(A734,'Datos generales'!A:L,7,0)</f>
        <v>Accesorios</v>
      </c>
      <c r="G734" s="4">
        <v>2023</v>
      </c>
    </row>
    <row r="735" spans="1:7" x14ac:dyDescent="0.25">
      <c r="A735" t="s">
        <v>145</v>
      </c>
      <c r="B735" s="4">
        <f>VLOOKUP(A735,'Datos generales'!A:L,5,0)</f>
        <v>5</v>
      </c>
      <c r="C735" s="4" t="str">
        <f>VLOOKUP(A735,'Datos generales'!A:L,4,0)</f>
        <v>Monitor</v>
      </c>
      <c r="D735" s="4">
        <f>VLOOKUP(A735,'Datos generales'!A:L,6,0)</f>
        <v>642.74</v>
      </c>
      <c r="E735" s="4">
        <f>VLOOKUP(A735,'Datos generales'!A:L,12,0)</f>
        <v>642.74</v>
      </c>
      <c r="F735" s="4" t="str">
        <f>VLOOKUP(A735,'Datos generales'!A:L,7,0)</f>
        <v>Electrónica</v>
      </c>
      <c r="G735" s="4">
        <v>2024</v>
      </c>
    </row>
    <row r="736" spans="1:7" x14ac:dyDescent="0.25">
      <c r="A736" t="s">
        <v>146</v>
      </c>
      <c r="B736" s="4">
        <f>VLOOKUP(A736,'Datos generales'!A:L,5,0)</f>
        <v>5</v>
      </c>
      <c r="C736" s="4" t="str">
        <f>VLOOKUP(A736,'Datos generales'!A:L,4,0)</f>
        <v>Audífonos</v>
      </c>
      <c r="D736" s="4">
        <f>VLOOKUP(A736,'Datos generales'!A:L,6,0)</f>
        <v>245.73</v>
      </c>
      <c r="E736" s="4">
        <f>VLOOKUP(A736,'Datos generales'!A:L,12,0)</f>
        <v>245.73</v>
      </c>
      <c r="F736" s="4" t="str">
        <f>VLOOKUP(A736,'Datos generales'!A:L,7,0)</f>
        <v>Accesorios</v>
      </c>
      <c r="G736" s="4">
        <v>2024</v>
      </c>
    </row>
    <row r="737" spans="1:7" x14ac:dyDescent="0.25">
      <c r="A737" t="s">
        <v>147</v>
      </c>
      <c r="B737" s="4">
        <f>VLOOKUP(A737,'Datos generales'!A:L,5,0)</f>
        <v>3</v>
      </c>
      <c r="C737" s="4" t="str">
        <f>VLOOKUP(A737,'Datos generales'!A:L,4,0)</f>
        <v>Webcam</v>
      </c>
      <c r="D737" s="4">
        <f>VLOOKUP(A737,'Datos generales'!A:L,6,0)</f>
        <v>1782.13</v>
      </c>
      <c r="E737" s="4">
        <f>VLOOKUP(A737,'Datos generales'!A:L,12,0)</f>
        <v>1782.13</v>
      </c>
      <c r="F737" s="4" t="str">
        <f>VLOOKUP(A737,'Datos generales'!A:L,7,0)</f>
        <v>Accesorios</v>
      </c>
      <c r="G737" s="4">
        <v>2023</v>
      </c>
    </row>
    <row r="738" spans="1:7" x14ac:dyDescent="0.25">
      <c r="A738" t="s">
        <v>148</v>
      </c>
      <c r="B738" s="4">
        <f>VLOOKUP(A738,'Datos generales'!A:L,5,0)</f>
        <v>5</v>
      </c>
      <c r="C738" s="4" t="str">
        <f>VLOOKUP(A738,'Datos generales'!A:L,4,0)</f>
        <v>Impresora</v>
      </c>
      <c r="D738" s="4">
        <f>VLOOKUP(A738,'Datos generales'!A:L,6,0)</f>
        <v>1137.1400000000001</v>
      </c>
      <c r="E738" s="4">
        <f>VLOOKUP(A738,'Datos generales'!A:L,12,0)</f>
        <v>1137.1400000000001</v>
      </c>
      <c r="F738" s="4" t="str">
        <f>VLOOKUP(A738,'Datos generales'!A:L,7,0)</f>
        <v>Electrónica</v>
      </c>
      <c r="G738" s="4">
        <v>2024</v>
      </c>
    </row>
    <row r="739" spans="1:7" x14ac:dyDescent="0.25">
      <c r="A739" t="s">
        <v>149</v>
      </c>
      <c r="B739" s="4">
        <f>VLOOKUP(A739,'Datos generales'!A:L,5,0)</f>
        <v>4</v>
      </c>
      <c r="C739" s="4" t="str">
        <f>VLOOKUP(A739,'Datos generales'!A:L,4,0)</f>
        <v>Teclado</v>
      </c>
      <c r="D739" s="4">
        <f>VLOOKUP(A739,'Datos generales'!A:L,6,0)</f>
        <v>966.72</v>
      </c>
      <c r="E739" s="4">
        <f>VLOOKUP(A739,'Datos generales'!A:L,12,0)</f>
        <v>966.72</v>
      </c>
      <c r="F739" s="4" t="str">
        <f>VLOOKUP(A739,'Datos generales'!A:L,7,0)</f>
        <v>Accesorios</v>
      </c>
      <c r="G739" s="4">
        <v>2024</v>
      </c>
    </row>
    <row r="740" spans="1:7" x14ac:dyDescent="0.25">
      <c r="A740" t="s">
        <v>150</v>
      </c>
      <c r="B740" s="4">
        <f>VLOOKUP(A740,'Datos generales'!A:L,5,0)</f>
        <v>5</v>
      </c>
      <c r="C740" s="4" t="str">
        <f>VLOOKUP(A740,'Datos generales'!A:L,4,0)</f>
        <v>Impresora</v>
      </c>
      <c r="D740" s="4">
        <f>VLOOKUP(A740,'Datos generales'!A:L,6,0)</f>
        <v>754.88</v>
      </c>
      <c r="E740" s="4">
        <f>VLOOKUP(A740,'Datos generales'!A:L,12,0)</f>
        <v>754.88</v>
      </c>
      <c r="F740" s="4" t="str">
        <f>VLOOKUP(A740,'Datos generales'!A:L,7,0)</f>
        <v>Electrónica</v>
      </c>
      <c r="G740" s="4">
        <v>2024</v>
      </c>
    </row>
    <row r="741" spans="1:7" x14ac:dyDescent="0.25">
      <c r="A741" t="s">
        <v>151</v>
      </c>
      <c r="B741" s="4">
        <f>VLOOKUP(A741,'Datos generales'!A:L,5,0)</f>
        <v>4</v>
      </c>
      <c r="C741" s="4" t="str">
        <f>VLOOKUP(A741,'Datos generales'!A:L,4,0)</f>
        <v>Webcam</v>
      </c>
      <c r="D741" s="4">
        <f>VLOOKUP(A741,'Datos generales'!A:L,6,0)</f>
        <v>902.5</v>
      </c>
      <c r="E741" s="4">
        <f>VLOOKUP(A741,'Datos generales'!A:L,12,0)</f>
        <v>902.5</v>
      </c>
      <c r="F741" s="4" t="str">
        <f>VLOOKUP(A741,'Datos generales'!A:L,7,0)</f>
        <v>Accesorios</v>
      </c>
      <c r="G741" s="4">
        <v>2025</v>
      </c>
    </row>
    <row r="742" spans="1:7" x14ac:dyDescent="0.25">
      <c r="A742" t="s">
        <v>152</v>
      </c>
      <c r="B742" s="4">
        <f>VLOOKUP(A742,'Datos generales'!A:L,5,0)</f>
        <v>2</v>
      </c>
      <c r="C742" s="4" t="str">
        <f>VLOOKUP(A742,'Datos generales'!A:L,4,0)</f>
        <v>Mouse</v>
      </c>
      <c r="D742" s="4">
        <f>VLOOKUP(A742,'Datos generales'!A:L,6,0)</f>
        <v>78.180000000000007</v>
      </c>
      <c r="E742" s="4">
        <f>VLOOKUP(A742,'Datos generales'!A:L,12,0)</f>
        <v>78.180000000000007</v>
      </c>
      <c r="F742" s="4" t="str">
        <f>VLOOKUP(A742,'Datos generales'!A:L,7,0)</f>
        <v>Accesorios</v>
      </c>
      <c r="G742" s="4">
        <v>2025</v>
      </c>
    </row>
    <row r="743" spans="1:7" x14ac:dyDescent="0.25">
      <c r="A743" t="s">
        <v>153</v>
      </c>
      <c r="B743" s="4">
        <f>VLOOKUP(A743,'Datos generales'!A:L,5,0)</f>
        <v>2</v>
      </c>
      <c r="C743" s="4" t="str">
        <f>VLOOKUP(A743,'Datos generales'!A:L,4,0)</f>
        <v>Monitor</v>
      </c>
      <c r="D743" s="4">
        <f>VLOOKUP(A743,'Datos generales'!A:L,6,0)</f>
        <v>1615.41</v>
      </c>
      <c r="E743" s="4">
        <f>VLOOKUP(A743,'Datos generales'!A:L,12,0)</f>
        <v>1615.41</v>
      </c>
      <c r="F743" s="4" t="str">
        <f>VLOOKUP(A743,'Datos generales'!A:L,7,0)</f>
        <v>Electrónica</v>
      </c>
      <c r="G743" s="4">
        <v>2025</v>
      </c>
    </row>
    <row r="744" spans="1:7" x14ac:dyDescent="0.25">
      <c r="A744" t="s">
        <v>154</v>
      </c>
      <c r="B744" s="4">
        <f>VLOOKUP(A744,'Datos generales'!A:L,5,0)</f>
        <v>5</v>
      </c>
      <c r="C744" s="4" t="str">
        <f>VLOOKUP(A744,'Datos generales'!A:L,4,0)</f>
        <v>Monitor</v>
      </c>
      <c r="D744" s="4">
        <f>VLOOKUP(A744,'Datos generales'!A:L,6,0)</f>
        <v>149.54</v>
      </c>
      <c r="E744" s="4">
        <f>VLOOKUP(A744,'Datos generales'!A:L,12,0)</f>
        <v>149.54</v>
      </c>
      <c r="F744" s="4" t="str">
        <f>VLOOKUP(A744,'Datos generales'!A:L,7,0)</f>
        <v>Electrónica</v>
      </c>
      <c r="G744" s="4">
        <v>2024</v>
      </c>
    </row>
    <row r="745" spans="1:7" x14ac:dyDescent="0.25">
      <c r="A745" t="s">
        <v>155</v>
      </c>
      <c r="B745" s="4">
        <f>VLOOKUP(A745,'Datos generales'!A:L,5,0)</f>
        <v>5</v>
      </c>
      <c r="C745" s="4" t="str">
        <f>VLOOKUP(A745,'Datos generales'!A:L,4,0)</f>
        <v>Teclado</v>
      </c>
      <c r="D745" s="4">
        <f>VLOOKUP(A745,'Datos generales'!A:L,6,0)</f>
        <v>955.39</v>
      </c>
      <c r="E745" s="4">
        <f>VLOOKUP(A745,'Datos generales'!A:L,12,0)</f>
        <v>955.39</v>
      </c>
      <c r="F745" s="4" t="str">
        <f>VLOOKUP(A745,'Datos generales'!A:L,7,0)</f>
        <v>Accesorios</v>
      </c>
      <c r="G745" s="4">
        <v>2025</v>
      </c>
    </row>
    <row r="746" spans="1:7" x14ac:dyDescent="0.25">
      <c r="A746" t="s">
        <v>156</v>
      </c>
      <c r="B746" s="4">
        <f>VLOOKUP(A746,'Datos generales'!A:L,5,0)</f>
        <v>2</v>
      </c>
      <c r="C746" s="4" t="str">
        <f>VLOOKUP(A746,'Datos generales'!A:L,4,0)</f>
        <v>Silla Gamer</v>
      </c>
      <c r="D746" s="4">
        <f>VLOOKUP(A746,'Datos generales'!A:L,6,0)</f>
        <v>1963.63</v>
      </c>
      <c r="E746" s="4">
        <f>VLOOKUP(A746,'Datos generales'!A:L,12,0)</f>
        <v>1963.63</v>
      </c>
      <c r="F746" s="4" t="str">
        <f>VLOOKUP(A746,'Datos generales'!A:L,7,0)</f>
        <v>Muebles</v>
      </c>
      <c r="G746" s="4">
        <v>2024</v>
      </c>
    </row>
    <row r="747" spans="1:7" x14ac:dyDescent="0.25">
      <c r="A747" t="s">
        <v>157</v>
      </c>
      <c r="B747" s="4">
        <f>VLOOKUP(A747,'Datos generales'!A:L,5,0)</f>
        <v>5</v>
      </c>
      <c r="C747" s="4" t="str">
        <f>VLOOKUP(A747,'Datos generales'!A:L,4,0)</f>
        <v>Webcam</v>
      </c>
      <c r="D747" s="4">
        <f>VLOOKUP(A747,'Datos generales'!A:L,6,0)</f>
        <v>1440.14</v>
      </c>
      <c r="E747" s="4">
        <f>VLOOKUP(A747,'Datos generales'!A:L,12,0)</f>
        <v>1440.14</v>
      </c>
      <c r="F747" s="4" t="str">
        <f>VLOOKUP(A747,'Datos generales'!A:L,7,0)</f>
        <v>Accesorios</v>
      </c>
      <c r="G747" s="4">
        <v>2024</v>
      </c>
    </row>
    <row r="748" spans="1:7" x14ac:dyDescent="0.25">
      <c r="A748" t="s">
        <v>158</v>
      </c>
      <c r="B748" s="4">
        <f>VLOOKUP(A748,'Datos generales'!A:L,5,0)</f>
        <v>4</v>
      </c>
      <c r="C748" s="4" t="str">
        <f>VLOOKUP(A748,'Datos generales'!A:L,4,0)</f>
        <v>Monitor</v>
      </c>
      <c r="D748" s="4">
        <f>VLOOKUP(A748,'Datos generales'!A:L,6,0)</f>
        <v>283.7</v>
      </c>
      <c r="E748" s="4">
        <f>VLOOKUP(A748,'Datos generales'!A:L,12,0)</f>
        <v>283.7</v>
      </c>
      <c r="F748" s="4" t="str">
        <f>VLOOKUP(A748,'Datos generales'!A:L,7,0)</f>
        <v>Electrónica</v>
      </c>
      <c r="G748" s="4">
        <v>2023</v>
      </c>
    </row>
    <row r="749" spans="1:7" x14ac:dyDescent="0.25">
      <c r="A749" t="s">
        <v>159</v>
      </c>
      <c r="B749" s="4">
        <f>VLOOKUP(A749,'Datos generales'!A:L,5,0)</f>
        <v>3</v>
      </c>
      <c r="C749" s="4" t="str">
        <f>VLOOKUP(A749,'Datos generales'!A:L,4,0)</f>
        <v>Impresora</v>
      </c>
      <c r="D749" s="4">
        <f>VLOOKUP(A749,'Datos generales'!A:L,6,0)</f>
        <v>687.51</v>
      </c>
      <c r="E749" s="4">
        <f>VLOOKUP(A749,'Datos generales'!A:L,12,0)</f>
        <v>687.50999999999988</v>
      </c>
      <c r="F749" s="4" t="str">
        <f>VLOOKUP(A749,'Datos generales'!A:L,7,0)</f>
        <v>Electrónica</v>
      </c>
      <c r="G749" s="4">
        <v>2024</v>
      </c>
    </row>
    <row r="750" spans="1:7" x14ac:dyDescent="0.25">
      <c r="A750" t="s">
        <v>160</v>
      </c>
      <c r="B750" s="4">
        <f>VLOOKUP(A750,'Datos generales'!A:L,5,0)</f>
        <v>2</v>
      </c>
      <c r="C750" s="4" t="str">
        <f>VLOOKUP(A750,'Datos generales'!A:L,4,0)</f>
        <v>Webcam</v>
      </c>
      <c r="D750" s="4">
        <f>VLOOKUP(A750,'Datos generales'!A:L,6,0)</f>
        <v>282</v>
      </c>
      <c r="E750" s="4">
        <f>VLOOKUP(A750,'Datos generales'!A:L,12,0)</f>
        <v>282</v>
      </c>
      <c r="F750" s="4" t="str">
        <f>VLOOKUP(A750,'Datos generales'!A:L,7,0)</f>
        <v>Accesorios</v>
      </c>
      <c r="G750" s="4">
        <v>2023</v>
      </c>
    </row>
    <row r="751" spans="1:7" x14ac:dyDescent="0.25">
      <c r="A751" t="s">
        <v>161</v>
      </c>
      <c r="B751" s="4">
        <f>VLOOKUP(A751,'Datos generales'!A:L,5,0)</f>
        <v>4</v>
      </c>
      <c r="C751" s="4" t="str">
        <f>VLOOKUP(A751,'Datos generales'!A:L,4,0)</f>
        <v>Impresora</v>
      </c>
      <c r="D751" s="4">
        <f>VLOOKUP(A751,'Datos generales'!A:L,6,0)</f>
        <v>1471.38</v>
      </c>
      <c r="E751" s="4">
        <f>VLOOKUP(A751,'Datos generales'!A:L,12,0)</f>
        <v>1471.38</v>
      </c>
      <c r="F751" s="4" t="str">
        <f>VLOOKUP(A751,'Datos generales'!A:L,7,0)</f>
        <v>Electrónica</v>
      </c>
      <c r="G751" s="4">
        <v>2025</v>
      </c>
    </row>
    <row r="752" spans="1:7" x14ac:dyDescent="0.25">
      <c r="A752" t="s">
        <v>162</v>
      </c>
      <c r="B752" s="4">
        <f>VLOOKUP(A752,'Datos generales'!A:L,5,0)</f>
        <v>1</v>
      </c>
      <c r="C752" s="4" t="str">
        <f>VLOOKUP(A752,'Datos generales'!A:L,4,0)</f>
        <v>Webcam</v>
      </c>
      <c r="D752" s="4">
        <f>VLOOKUP(A752,'Datos generales'!A:L,6,0)</f>
        <v>1463.91</v>
      </c>
      <c r="E752" s="4">
        <f>VLOOKUP(A752,'Datos generales'!A:L,12,0)</f>
        <v>1463.91</v>
      </c>
      <c r="F752" s="4" t="str">
        <f>VLOOKUP(A752,'Datos generales'!A:L,7,0)</f>
        <v>Accesorios</v>
      </c>
      <c r="G752" s="4">
        <v>2025</v>
      </c>
    </row>
    <row r="753" spans="1:7" x14ac:dyDescent="0.25">
      <c r="A753" t="s">
        <v>163</v>
      </c>
      <c r="B753" s="4">
        <f>VLOOKUP(A753,'Datos generales'!A:L,5,0)</f>
        <v>4</v>
      </c>
      <c r="C753" s="4" t="str">
        <f>VLOOKUP(A753,'Datos generales'!A:L,4,0)</f>
        <v>Teclado</v>
      </c>
      <c r="D753" s="4">
        <f>VLOOKUP(A753,'Datos generales'!A:L,6,0)</f>
        <v>1585.49</v>
      </c>
      <c r="E753" s="4">
        <f>VLOOKUP(A753,'Datos generales'!A:L,12,0)</f>
        <v>1585.49</v>
      </c>
      <c r="F753" s="4" t="str">
        <f>VLOOKUP(A753,'Datos generales'!A:L,7,0)</f>
        <v>Accesorios</v>
      </c>
      <c r="G753" s="4">
        <v>2024</v>
      </c>
    </row>
    <row r="754" spans="1:7" x14ac:dyDescent="0.25">
      <c r="A754" t="s">
        <v>164</v>
      </c>
      <c r="B754" s="4">
        <f>VLOOKUP(A754,'Datos generales'!A:L,5,0)</f>
        <v>1</v>
      </c>
      <c r="C754" s="4" t="str">
        <f>VLOOKUP(A754,'Datos generales'!A:L,4,0)</f>
        <v>Teclado</v>
      </c>
      <c r="D754" s="4">
        <f>VLOOKUP(A754,'Datos generales'!A:L,6,0)</f>
        <v>662.17</v>
      </c>
      <c r="E754" s="4">
        <f>VLOOKUP(A754,'Datos generales'!A:L,12,0)</f>
        <v>662.17</v>
      </c>
      <c r="F754" s="4" t="str">
        <f>VLOOKUP(A754,'Datos generales'!A:L,7,0)</f>
        <v>Accesorios</v>
      </c>
      <c r="G754" s="4">
        <v>2024</v>
      </c>
    </row>
    <row r="755" spans="1:7" x14ac:dyDescent="0.25">
      <c r="A755" t="s">
        <v>165</v>
      </c>
      <c r="B755" s="4">
        <f>VLOOKUP(A755,'Datos generales'!A:L,5,0)</f>
        <v>2</v>
      </c>
      <c r="C755" s="4" t="str">
        <f>VLOOKUP(A755,'Datos generales'!A:L,4,0)</f>
        <v>Webcam</v>
      </c>
      <c r="D755" s="4">
        <f>VLOOKUP(A755,'Datos generales'!A:L,6,0)</f>
        <v>136.68</v>
      </c>
      <c r="E755" s="4">
        <f>VLOOKUP(A755,'Datos generales'!A:L,12,0)</f>
        <v>136.68</v>
      </c>
      <c r="F755" s="4" t="str">
        <f>VLOOKUP(A755,'Datos generales'!A:L,7,0)</f>
        <v>Accesorios</v>
      </c>
      <c r="G755" s="4">
        <v>2024</v>
      </c>
    </row>
    <row r="756" spans="1:7" x14ac:dyDescent="0.25">
      <c r="A756" t="s">
        <v>166</v>
      </c>
      <c r="B756" s="4">
        <f>VLOOKUP(A756,'Datos generales'!A:L,5,0)</f>
        <v>4</v>
      </c>
      <c r="C756" s="4" t="str">
        <f>VLOOKUP(A756,'Datos generales'!A:L,4,0)</f>
        <v>Impresora</v>
      </c>
      <c r="D756" s="4">
        <f>VLOOKUP(A756,'Datos generales'!A:L,6,0)</f>
        <v>118.64</v>
      </c>
      <c r="E756" s="4">
        <f>VLOOKUP(A756,'Datos generales'!A:L,12,0)</f>
        <v>118.64</v>
      </c>
      <c r="F756" s="4" t="str">
        <f>VLOOKUP(A756,'Datos generales'!A:L,7,0)</f>
        <v>Electrónica</v>
      </c>
      <c r="G756" s="4">
        <v>2025</v>
      </c>
    </row>
    <row r="757" spans="1:7" x14ac:dyDescent="0.25">
      <c r="A757" t="s">
        <v>167</v>
      </c>
      <c r="B757" s="4">
        <f>VLOOKUP(A757,'Datos generales'!A:L,5,0)</f>
        <v>3</v>
      </c>
      <c r="C757" s="4" t="str">
        <f>VLOOKUP(A757,'Datos generales'!A:L,4,0)</f>
        <v>Laptop</v>
      </c>
      <c r="D757" s="4">
        <f>VLOOKUP(A757,'Datos generales'!A:L,6,0)</f>
        <v>933.49</v>
      </c>
      <c r="E757" s="4">
        <f>VLOOKUP(A757,'Datos generales'!A:L,12,0)</f>
        <v>933.49000000000012</v>
      </c>
      <c r="F757" s="4" t="str">
        <f>VLOOKUP(A757,'Datos generales'!A:L,7,0)</f>
        <v>Electrónica</v>
      </c>
      <c r="G757" s="4">
        <v>2024</v>
      </c>
    </row>
    <row r="758" spans="1:7" x14ac:dyDescent="0.25">
      <c r="A758" t="s">
        <v>168</v>
      </c>
      <c r="B758" s="4">
        <f>VLOOKUP(A758,'Datos generales'!A:L,5,0)</f>
        <v>2</v>
      </c>
      <c r="C758" s="4" t="str">
        <f>VLOOKUP(A758,'Datos generales'!A:L,4,0)</f>
        <v>Audífonos</v>
      </c>
      <c r="D758" s="4">
        <f>VLOOKUP(A758,'Datos generales'!A:L,6,0)</f>
        <v>1035.0899999999999</v>
      </c>
      <c r="E758" s="4">
        <f>VLOOKUP(A758,'Datos generales'!A:L,12,0)</f>
        <v>1035.0899999999999</v>
      </c>
      <c r="F758" s="4" t="str">
        <f>VLOOKUP(A758,'Datos generales'!A:L,7,0)</f>
        <v>Accesorios</v>
      </c>
      <c r="G758" s="4">
        <v>2023</v>
      </c>
    </row>
    <row r="759" spans="1:7" x14ac:dyDescent="0.25">
      <c r="A759" t="s">
        <v>169</v>
      </c>
      <c r="B759" s="4">
        <f>VLOOKUP(A759,'Datos generales'!A:L,5,0)</f>
        <v>2</v>
      </c>
      <c r="C759" s="4" t="str">
        <f>VLOOKUP(A759,'Datos generales'!A:L,4,0)</f>
        <v>Impresora</v>
      </c>
      <c r="D759" s="4">
        <f>VLOOKUP(A759,'Datos generales'!A:L,6,0)</f>
        <v>1325.01</v>
      </c>
      <c r="E759" s="4">
        <f>VLOOKUP(A759,'Datos generales'!A:L,12,0)</f>
        <v>1325.01</v>
      </c>
      <c r="F759" s="4" t="str">
        <f>VLOOKUP(A759,'Datos generales'!A:L,7,0)</f>
        <v>Electrónica</v>
      </c>
      <c r="G759" s="4">
        <v>2024</v>
      </c>
    </row>
    <row r="760" spans="1:7" x14ac:dyDescent="0.25">
      <c r="A760" t="s">
        <v>170</v>
      </c>
      <c r="B760" s="4">
        <f>VLOOKUP(A760,'Datos generales'!A:L,5,0)</f>
        <v>4</v>
      </c>
      <c r="C760" s="4" t="str">
        <f>VLOOKUP(A760,'Datos generales'!A:L,4,0)</f>
        <v>Teclado</v>
      </c>
      <c r="D760" s="4">
        <f>VLOOKUP(A760,'Datos generales'!A:L,6,0)</f>
        <v>710.84</v>
      </c>
      <c r="E760" s="4">
        <f>VLOOKUP(A760,'Datos generales'!A:L,12,0)</f>
        <v>710.84</v>
      </c>
      <c r="F760" s="4" t="str">
        <f>VLOOKUP(A760,'Datos generales'!A:L,7,0)</f>
        <v>Accesorios</v>
      </c>
      <c r="G760" s="4">
        <v>2023</v>
      </c>
    </row>
    <row r="761" spans="1:7" x14ac:dyDescent="0.25">
      <c r="A761" t="s">
        <v>171</v>
      </c>
      <c r="B761" s="4">
        <f>VLOOKUP(A761,'Datos generales'!A:L,5,0)</f>
        <v>3</v>
      </c>
      <c r="C761" s="4" t="str">
        <f>VLOOKUP(A761,'Datos generales'!A:L,4,0)</f>
        <v>Silla Gamer</v>
      </c>
      <c r="D761" s="4">
        <f>VLOOKUP(A761,'Datos generales'!A:L,6,0)</f>
        <v>97.27</v>
      </c>
      <c r="E761" s="4">
        <f>VLOOKUP(A761,'Datos generales'!A:L,12,0)</f>
        <v>97.27</v>
      </c>
      <c r="F761" s="4" t="str">
        <f>VLOOKUP(A761,'Datos generales'!A:L,7,0)</f>
        <v>Muebles</v>
      </c>
      <c r="G761" s="4">
        <v>2025</v>
      </c>
    </row>
    <row r="762" spans="1:7" x14ac:dyDescent="0.25">
      <c r="A762" t="s">
        <v>172</v>
      </c>
      <c r="B762" s="4">
        <f>VLOOKUP(A762,'Datos generales'!A:L,5,0)</f>
        <v>5</v>
      </c>
      <c r="C762" s="4" t="str">
        <f>VLOOKUP(A762,'Datos generales'!A:L,4,0)</f>
        <v>Impresora</v>
      </c>
      <c r="D762" s="4">
        <f>VLOOKUP(A762,'Datos generales'!A:L,6,0)</f>
        <v>498.36</v>
      </c>
      <c r="E762" s="4">
        <f>VLOOKUP(A762,'Datos generales'!A:L,12,0)</f>
        <v>498.36</v>
      </c>
      <c r="F762" s="4" t="str">
        <f>VLOOKUP(A762,'Datos generales'!A:L,7,0)</f>
        <v>Electrónica</v>
      </c>
      <c r="G762" s="4">
        <v>2024</v>
      </c>
    </row>
    <row r="763" spans="1:7" x14ac:dyDescent="0.25">
      <c r="A763" t="s">
        <v>173</v>
      </c>
      <c r="B763" s="4">
        <f>VLOOKUP(A763,'Datos generales'!A:L,5,0)</f>
        <v>5</v>
      </c>
      <c r="C763" s="4" t="str">
        <f>VLOOKUP(A763,'Datos generales'!A:L,4,0)</f>
        <v>Silla Gamer</v>
      </c>
      <c r="D763" s="4">
        <f>VLOOKUP(A763,'Datos generales'!A:L,6,0)</f>
        <v>980.89</v>
      </c>
      <c r="E763" s="4">
        <f>VLOOKUP(A763,'Datos generales'!A:L,12,0)</f>
        <v>980.89</v>
      </c>
      <c r="F763" s="4" t="str">
        <f>VLOOKUP(A763,'Datos generales'!A:L,7,0)</f>
        <v>Muebles</v>
      </c>
      <c r="G763" s="4">
        <v>2024</v>
      </c>
    </row>
    <row r="764" spans="1:7" x14ac:dyDescent="0.25">
      <c r="A764" t="s">
        <v>174</v>
      </c>
      <c r="B764" s="4">
        <f>VLOOKUP(A764,'Datos generales'!A:L,5,0)</f>
        <v>1</v>
      </c>
      <c r="C764" s="4" t="str">
        <f>VLOOKUP(A764,'Datos generales'!A:L,4,0)</f>
        <v>Teclado</v>
      </c>
      <c r="D764" s="4">
        <f>VLOOKUP(A764,'Datos generales'!A:L,6,0)</f>
        <v>1390.33</v>
      </c>
      <c r="E764" s="4">
        <f>VLOOKUP(A764,'Datos generales'!A:L,12,0)</f>
        <v>1390.33</v>
      </c>
      <c r="F764" s="4" t="str">
        <f>VLOOKUP(A764,'Datos generales'!A:L,7,0)</f>
        <v>Accesorios</v>
      </c>
      <c r="G764" s="4">
        <v>2024</v>
      </c>
    </row>
    <row r="765" spans="1:7" x14ac:dyDescent="0.25">
      <c r="A765" t="s">
        <v>175</v>
      </c>
      <c r="B765" s="4">
        <f>VLOOKUP(A765,'Datos generales'!A:L,5,0)</f>
        <v>5</v>
      </c>
      <c r="C765" s="4" t="str">
        <f>VLOOKUP(A765,'Datos generales'!A:L,4,0)</f>
        <v>Laptop</v>
      </c>
      <c r="D765" s="4">
        <f>VLOOKUP(A765,'Datos generales'!A:L,6,0)</f>
        <v>1708.09</v>
      </c>
      <c r="E765" s="4">
        <f>VLOOKUP(A765,'Datos generales'!A:L,12,0)</f>
        <v>1708.09</v>
      </c>
      <c r="F765" s="4" t="str">
        <f>VLOOKUP(A765,'Datos generales'!A:L,7,0)</f>
        <v>Electrónica</v>
      </c>
      <c r="G765" s="4">
        <v>2023</v>
      </c>
    </row>
    <row r="766" spans="1:7" x14ac:dyDescent="0.25">
      <c r="A766" t="s">
        <v>176</v>
      </c>
      <c r="B766" s="4">
        <f>VLOOKUP(A766,'Datos generales'!A:L,5,0)</f>
        <v>3</v>
      </c>
      <c r="C766" s="4" t="str">
        <f>VLOOKUP(A766,'Datos generales'!A:L,4,0)</f>
        <v>Audífonos</v>
      </c>
      <c r="D766" s="4">
        <f>VLOOKUP(A766,'Datos generales'!A:L,6,0)</f>
        <v>459.4</v>
      </c>
      <c r="E766" s="4">
        <f>VLOOKUP(A766,'Datos generales'!A:L,12,0)</f>
        <v>459.39999999999992</v>
      </c>
      <c r="F766" s="4" t="str">
        <f>VLOOKUP(A766,'Datos generales'!A:L,7,0)</f>
        <v>Accesorios</v>
      </c>
      <c r="G766" s="4">
        <v>2023</v>
      </c>
    </row>
    <row r="767" spans="1:7" x14ac:dyDescent="0.25">
      <c r="A767" t="s">
        <v>177</v>
      </c>
      <c r="B767" s="4">
        <f>VLOOKUP(A767,'Datos generales'!A:L,5,0)</f>
        <v>1</v>
      </c>
      <c r="C767" s="4" t="str">
        <f>VLOOKUP(A767,'Datos generales'!A:L,4,0)</f>
        <v>Impresora</v>
      </c>
      <c r="D767" s="4">
        <f>VLOOKUP(A767,'Datos generales'!A:L,6,0)</f>
        <v>1578.33</v>
      </c>
      <c r="E767" s="4">
        <f>VLOOKUP(A767,'Datos generales'!A:L,12,0)</f>
        <v>1578.33</v>
      </c>
      <c r="F767" s="4" t="str">
        <f>VLOOKUP(A767,'Datos generales'!A:L,7,0)</f>
        <v>Electrónica</v>
      </c>
      <c r="G767" s="4">
        <v>2023</v>
      </c>
    </row>
    <row r="768" spans="1:7" x14ac:dyDescent="0.25">
      <c r="A768" t="s">
        <v>178</v>
      </c>
      <c r="B768" s="4">
        <f>VLOOKUP(A768,'Datos generales'!A:L,5,0)</f>
        <v>5</v>
      </c>
      <c r="C768" s="4" t="str">
        <f>VLOOKUP(A768,'Datos generales'!A:L,4,0)</f>
        <v>Teclado</v>
      </c>
      <c r="D768" s="4">
        <f>VLOOKUP(A768,'Datos generales'!A:L,6,0)</f>
        <v>1602.39</v>
      </c>
      <c r="E768" s="4">
        <f>VLOOKUP(A768,'Datos generales'!A:L,12,0)</f>
        <v>1602.39</v>
      </c>
      <c r="F768" s="4" t="str">
        <f>VLOOKUP(A768,'Datos generales'!A:L,7,0)</f>
        <v>Accesorios</v>
      </c>
      <c r="G768" s="4">
        <v>2024</v>
      </c>
    </row>
    <row r="769" spans="1:7" x14ac:dyDescent="0.25">
      <c r="A769" t="s">
        <v>179</v>
      </c>
      <c r="B769" s="4">
        <f>VLOOKUP(A769,'Datos generales'!A:L,5,0)</f>
        <v>2</v>
      </c>
      <c r="C769" s="4" t="str">
        <f>VLOOKUP(A769,'Datos generales'!A:L,4,0)</f>
        <v>Teclado</v>
      </c>
      <c r="D769" s="4">
        <f>VLOOKUP(A769,'Datos generales'!A:L,6,0)</f>
        <v>714.55</v>
      </c>
      <c r="E769" s="4">
        <f>VLOOKUP(A769,'Datos generales'!A:L,12,0)</f>
        <v>714.55</v>
      </c>
      <c r="F769" s="4" t="str">
        <f>VLOOKUP(A769,'Datos generales'!A:L,7,0)</f>
        <v>Accesorios</v>
      </c>
      <c r="G769" s="4">
        <v>2023</v>
      </c>
    </row>
    <row r="770" spans="1:7" x14ac:dyDescent="0.25">
      <c r="A770" t="s">
        <v>180</v>
      </c>
      <c r="B770" s="4">
        <f>VLOOKUP(A770,'Datos generales'!A:L,5,0)</f>
        <v>2</v>
      </c>
      <c r="C770" s="4" t="str">
        <f>VLOOKUP(A770,'Datos generales'!A:L,4,0)</f>
        <v>Silla Gamer</v>
      </c>
      <c r="D770" s="4">
        <f>VLOOKUP(A770,'Datos generales'!A:L,6,0)</f>
        <v>140.54</v>
      </c>
      <c r="E770" s="4">
        <f>VLOOKUP(A770,'Datos generales'!A:L,12,0)</f>
        <v>140.54</v>
      </c>
      <c r="F770" s="4" t="str">
        <f>VLOOKUP(A770,'Datos generales'!A:L,7,0)</f>
        <v>Muebles</v>
      </c>
      <c r="G770" s="4">
        <v>2025</v>
      </c>
    </row>
    <row r="771" spans="1:7" x14ac:dyDescent="0.25">
      <c r="A771" t="s">
        <v>181</v>
      </c>
      <c r="B771" s="4">
        <f>VLOOKUP(A771,'Datos generales'!A:L,5,0)</f>
        <v>5</v>
      </c>
      <c r="C771" s="4" t="str">
        <f>VLOOKUP(A771,'Datos generales'!A:L,4,0)</f>
        <v>Mouse</v>
      </c>
      <c r="D771" s="4">
        <f>VLOOKUP(A771,'Datos generales'!A:L,6,0)</f>
        <v>286.87</v>
      </c>
      <c r="E771" s="4">
        <f>VLOOKUP(A771,'Datos generales'!A:L,12,0)</f>
        <v>286.87</v>
      </c>
      <c r="F771" s="4" t="str">
        <f>VLOOKUP(A771,'Datos generales'!A:L,7,0)</f>
        <v>Accesorios</v>
      </c>
      <c r="G771" s="4">
        <v>2024</v>
      </c>
    </row>
    <row r="772" spans="1:7" x14ac:dyDescent="0.25">
      <c r="A772" t="s">
        <v>182</v>
      </c>
      <c r="B772" s="4">
        <f>VLOOKUP(A772,'Datos generales'!A:L,5,0)</f>
        <v>5</v>
      </c>
      <c r="C772" s="4" t="str">
        <f>VLOOKUP(A772,'Datos generales'!A:L,4,0)</f>
        <v>Webcam</v>
      </c>
      <c r="D772" s="4">
        <f>VLOOKUP(A772,'Datos generales'!A:L,6,0)</f>
        <v>1897.97</v>
      </c>
      <c r="E772" s="4">
        <f>VLOOKUP(A772,'Datos generales'!A:L,12,0)</f>
        <v>1897.97</v>
      </c>
      <c r="F772" s="4" t="str">
        <f>VLOOKUP(A772,'Datos generales'!A:L,7,0)</f>
        <v>Accesorios</v>
      </c>
      <c r="G772" s="4">
        <v>2024</v>
      </c>
    </row>
    <row r="773" spans="1:7" x14ac:dyDescent="0.25">
      <c r="A773" t="s">
        <v>183</v>
      </c>
      <c r="B773" s="4">
        <f>VLOOKUP(A773,'Datos generales'!A:L,5,0)</f>
        <v>2</v>
      </c>
      <c r="C773" s="4" t="str">
        <f>VLOOKUP(A773,'Datos generales'!A:L,4,0)</f>
        <v>Teclado</v>
      </c>
      <c r="D773" s="4">
        <f>VLOOKUP(A773,'Datos generales'!A:L,6,0)</f>
        <v>587.71</v>
      </c>
      <c r="E773" s="4">
        <f>VLOOKUP(A773,'Datos generales'!A:L,12,0)</f>
        <v>587.71</v>
      </c>
      <c r="F773" s="4" t="str">
        <f>VLOOKUP(A773,'Datos generales'!A:L,7,0)</f>
        <v>Accesorios</v>
      </c>
      <c r="G773" s="4">
        <v>2024</v>
      </c>
    </row>
    <row r="774" spans="1:7" x14ac:dyDescent="0.25">
      <c r="A774" t="s">
        <v>184</v>
      </c>
      <c r="B774" s="4">
        <f>VLOOKUP(A774,'Datos generales'!A:L,5,0)</f>
        <v>4</v>
      </c>
      <c r="C774" s="4" t="str">
        <f>VLOOKUP(A774,'Datos generales'!A:L,4,0)</f>
        <v>Webcam</v>
      </c>
      <c r="D774" s="4">
        <f>VLOOKUP(A774,'Datos generales'!A:L,6,0)</f>
        <v>895.13</v>
      </c>
      <c r="E774" s="4">
        <f>VLOOKUP(A774,'Datos generales'!A:L,12,0)</f>
        <v>895.13</v>
      </c>
      <c r="F774" s="4" t="str">
        <f>VLOOKUP(A774,'Datos generales'!A:L,7,0)</f>
        <v>Accesorios</v>
      </c>
      <c r="G774" s="4">
        <v>2023</v>
      </c>
    </row>
    <row r="775" spans="1:7" x14ac:dyDescent="0.25">
      <c r="A775" t="s">
        <v>185</v>
      </c>
      <c r="B775" s="4">
        <f>VLOOKUP(A775,'Datos generales'!A:L,5,0)</f>
        <v>3</v>
      </c>
      <c r="C775" s="4" t="str">
        <f>VLOOKUP(A775,'Datos generales'!A:L,4,0)</f>
        <v>Impresora</v>
      </c>
      <c r="D775" s="4">
        <f>VLOOKUP(A775,'Datos generales'!A:L,6,0)</f>
        <v>1457.35</v>
      </c>
      <c r="E775" s="4">
        <f>VLOOKUP(A775,'Datos generales'!A:L,12,0)</f>
        <v>1457.35</v>
      </c>
      <c r="F775" s="4" t="str">
        <f>VLOOKUP(A775,'Datos generales'!A:L,7,0)</f>
        <v>Electrónica</v>
      </c>
      <c r="G775" s="4">
        <v>2024</v>
      </c>
    </row>
    <row r="776" spans="1:7" x14ac:dyDescent="0.25">
      <c r="A776" t="s">
        <v>186</v>
      </c>
      <c r="B776" s="4">
        <f>VLOOKUP(A776,'Datos generales'!A:L,5,0)</f>
        <v>3</v>
      </c>
      <c r="C776" s="4" t="str">
        <f>VLOOKUP(A776,'Datos generales'!A:L,4,0)</f>
        <v>Silla Gamer</v>
      </c>
      <c r="D776" s="4">
        <f>VLOOKUP(A776,'Datos generales'!A:L,6,0)</f>
        <v>1083.32</v>
      </c>
      <c r="E776" s="4">
        <f>VLOOKUP(A776,'Datos generales'!A:L,12,0)</f>
        <v>1083.32</v>
      </c>
      <c r="F776" s="4" t="str">
        <f>VLOOKUP(A776,'Datos generales'!A:L,7,0)</f>
        <v>Muebles</v>
      </c>
      <c r="G776" s="4">
        <v>2024</v>
      </c>
    </row>
    <row r="777" spans="1:7" x14ac:dyDescent="0.25">
      <c r="A777" t="s">
        <v>187</v>
      </c>
      <c r="B777" s="4">
        <f>VLOOKUP(A777,'Datos generales'!A:L,5,0)</f>
        <v>3</v>
      </c>
      <c r="C777" s="4" t="str">
        <f>VLOOKUP(A777,'Datos generales'!A:L,4,0)</f>
        <v>Laptop</v>
      </c>
      <c r="D777" s="4">
        <f>VLOOKUP(A777,'Datos generales'!A:L,6,0)</f>
        <v>1542.71</v>
      </c>
      <c r="E777" s="4">
        <f>VLOOKUP(A777,'Datos generales'!A:L,12,0)</f>
        <v>1542.71</v>
      </c>
      <c r="F777" s="4" t="str">
        <f>VLOOKUP(A777,'Datos generales'!A:L,7,0)</f>
        <v>Electrónica</v>
      </c>
      <c r="G777" s="4">
        <v>2025</v>
      </c>
    </row>
    <row r="778" spans="1:7" x14ac:dyDescent="0.25">
      <c r="A778" t="s">
        <v>188</v>
      </c>
      <c r="B778" s="4">
        <f>VLOOKUP(A778,'Datos generales'!A:L,5,0)</f>
        <v>5</v>
      </c>
      <c r="C778" s="4" t="str">
        <f>VLOOKUP(A778,'Datos generales'!A:L,4,0)</f>
        <v>Impresora</v>
      </c>
      <c r="D778" s="4">
        <f>VLOOKUP(A778,'Datos generales'!A:L,6,0)</f>
        <v>723.8</v>
      </c>
      <c r="E778" s="4">
        <f>VLOOKUP(A778,'Datos generales'!A:L,12,0)</f>
        <v>723.8</v>
      </c>
      <c r="F778" s="4" t="str">
        <f>VLOOKUP(A778,'Datos generales'!A:L,7,0)</f>
        <v>Electrónica</v>
      </c>
      <c r="G778" s="4">
        <v>2025</v>
      </c>
    </row>
    <row r="779" spans="1:7" x14ac:dyDescent="0.25">
      <c r="A779" t="s">
        <v>189</v>
      </c>
      <c r="B779" s="4">
        <f>VLOOKUP(A779,'Datos generales'!A:L,5,0)</f>
        <v>5</v>
      </c>
      <c r="C779" s="4" t="str">
        <f>VLOOKUP(A779,'Datos generales'!A:L,4,0)</f>
        <v>Teclado</v>
      </c>
      <c r="D779" s="4">
        <f>VLOOKUP(A779,'Datos generales'!A:L,6,0)</f>
        <v>179.97</v>
      </c>
      <c r="E779" s="4">
        <f>VLOOKUP(A779,'Datos generales'!A:L,12,0)</f>
        <v>179.97</v>
      </c>
      <c r="F779" s="4" t="str">
        <f>VLOOKUP(A779,'Datos generales'!A:L,7,0)</f>
        <v>Accesorios</v>
      </c>
      <c r="G779" s="4">
        <v>2023</v>
      </c>
    </row>
    <row r="780" spans="1:7" x14ac:dyDescent="0.25">
      <c r="A780" t="s">
        <v>190</v>
      </c>
      <c r="B780" s="4">
        <f>VLOOKUP(A780,'Datos generales'!A:L,5,0)</f>
        <v>1</v>
      </c>
      <c r="C780" s="4" t="str">
        <f>VLOOKUP(A780,'Datos generales'!A:L,4,0)</f>
        <v>Laptop</v>
      </c>
      <c r="D780" s="4">
        <f>VLOOKUP(A780,'Datos generales'!A:L,6,0)</f>
        <v>1318.43</v>
      </c>
      <c r="E780" s="4">
        <f>VLOOKUP(A780,'Datos generales'!A:L,12,0)</f>
        <v>1318.43</v>
      </c>
      <c r="F780" s="4" t="str">
        <f>VLOOKUP(A780,'Datos generales'!A:L,7,0)</f>
        <v>Electrónica</v>
      </c>
      <c r="G780" s="4">
        <v>2024</v>
      </c>
    </row>
    <row r="781" spans="1:7" x14ac:dyDescent="0.25">
      <c r="A781" t="s">
        <v>191</v>
      </c>
      <c r="B781" s="4">
        <f>VLOOKUP(A781,'Datos generales'!A:L,5,0)</f>
        <v>2</v>
      </c>
      <c r="C781" s="4" t="str">
        <f>VLOOKUP(A781,'Datos generales'!A:L,4,0)</f>
        <v>Impresora</v>
      </c>
      <c r="D781" s="4">
        <f>VLOOKUP(A781,'Datos generales'!A:L,6,0)</f>
        <v>307.37</v>
      </c>
      <c r="E781" s="4">
        <f>VLOOKUP(A781,'Datos generales'!A:L,12,0)</f>
        <v>307.37</v>
      </c>
      <c r="F781" s="4" t="str">
        <f>VLOOKUP(A781,'Datos generales'!A:L,7,0)</f>
        <v>Electrónica</v>
      </c>
      <c r="G781" s="4">
        <v>2023</v>
      </c>
    </row>
    <row r="782" spans="1:7" x14ac:dyDescent="0.25">
      <c r="A782" t="s">
        <v>192</v>
      </c>
      <c r="B782" s="4">
        <f>VLOOKUP(A782,'Datos generales'!A:L,5,0)</f>
        <v>1</v>
      </c>
      <c r="C782" s="4" t="str">
        <f>VLOOKUP(A782,'Datos generales'!A:L,4,0)</f>
        <v>Silla Gamer</v>
      </c>
      <c r="D782" s="4">
        <f>VLOOKUP(A782,'Datos generales'!A:L,6,0)</f>
        <v>1364.97</v>
      </c>
      <c r="E782" s="4">
        <f>VLOOKUP(A782,'Datos generales'!A:L,12,0)</f>
        <v>1364.97</v>
      </c>
      <c r="F782" s="4" t="str">
        <f>VLOOKUP(A782,'Datos generales'!A:L,7,0)</f>
        <v>Muebles</v>
      </c>
      <c r="G782" s="4">
        <v>2023</v>
      </c>
    </row>
    <row r="783" spans="1:7" x14ac:dyDescent="0.25">
      <c r="A783" t="s">
        <v>193</v>
      </c>
      <c r="B783" s="4">
        <f>VLOOKUP(A783,'Datos generales'!A:L,5,0)</f>
        <v>3</v>
      </c>
      <c r="C783" s="4" t="str">
        <f>VLOOKUP(A783,'Datos generales'!A:L,4,0)</f>
        <v>Audífonos</v>
      </c>
      <c r="D783" s="4">
        <f>VLOOKUP(A783,'Datos generales'!A:L,6,0)</f>
        <v>244.23</v>
      </c>
      <c r="E783" s="4">
        <f>VLOOKUP(A783,'Datos generales'!A:L,12,0)</f>
        <v>244.23</v>
      </c>
      <c r="F783" s="4" t="str">
        <f>VLOOKUP(A783,'Datos generales'!A:L,7,0)</f>
        <v>Accesorios</v>
      </c>
      <c r="G783" s="4">
        <v>2024</v>
      </c>
    </row>
    <row r="784" spans="1:7" x14ac:dyDescent="0.25">
      <c r="A784" t="s">
        <v>194</v>
      </c>
      <c r="B784" s="4">
        <f>VLOOKUP(A784,'Datos generales'!A:L,5,0)</f>
        <v>3</v>
      </c>
      <c r="C784" s="4" t="str">
        <f>VLOOKUP(A784,'Datos generales'!A:L,4,0)</f>
        <v>Webcam</v>
      </c>
      <c r="D784" s="4">
        <f>VLOOKUP(A784,'Datos generales'!A:L,6,0)</f>
        <v>245.64</v>
      </c>
      <c r="E784" s="4">
        <f>VLOOKUP(A784,'Datos generales'!A:L,12,0)</f>
        <v>245.64</v>
      </c>
      <c r="F784" s="4" t="str">
        <f>VLOOKUP(A784,'Datos generales'!A:L,7,0)</f>
        <v>Accesorios</v>
      </c>
      <c r="G784" s="4">
        <v>2023</v>
      </c>
    </row>
    <row r="785" spans="1:7" x14ac:dyDescent="0.25">
      <c r="A785" t="s">
        <v>195</v>
      </c>
      <c r="B785" s="4">
        <f>VLOOKUP(A785,'Datos generales'!A:L,5,0)</f>
        <v>1</v>
      </c>
      <c r="C785" s="4" t="str">
        <f>VLOOKUP(A785,'Datos generales'!A:L,4,0)</f>
        <v>Webcam</v>
      </c>
      <c r="D785" s="4">
        <f>VLOOKUP(A785,'Datos generales'!A:L,6,0)</f>
        <v>1501.34</v>
      </c>
      <c r="E785" s="4">
        <f>VLOOKUP(A785,'Datos generales'!A:L,12,0)</f>
        <v>1501.34</v>
      </c>
      <c r="F785" s="4" t="str">
        <f>VLOOKUP(A785,'Datos generales'!A:L,7,0)</f>
        <v>Accesorios</v>
      </c>
      <c r="G785" s="4">
        <v>2024</v>
      </c>
    </row>
    <row r="786" spans="1:7" x14ac:dyDescent="0.25">
      <c r="A786" t="s">
        <v>196</v>
      </c>
      <c r="B786" s="4">
        <f>VLOOKUP(A786,'Datos generales'!A:L,5,0)</f>
        <v>4</v>
      </c>
      <c r="C786" s="4" t="str">
        <f>VLOOKUP(A786,'Datos generales'!A:L,4,0)</f>
        <v>Teclado</v>
      </c>
      <c r="D786" s="4">
        <f>VLOOKUP(A786,'Datos generales'!A:L,6,0)</f>
        <v>995.18</v>
      </c>
      <c r="E786" s="4">
        <f>VLOOKUP(A786,'Datos generales'!A:L,12,0)</f>
        <v>995.18</v>
      </c>
      <c r="F786" s="4" t="str">
        <f>VLOOKUP(A786,'Datos generales'!A:L,7,0)</f>
        <v>Accesorios</v>
      </c>
      <c r="G786" s="4">
        <v>2024</v>
      </c>
    </row>
    <row r="787" spans="1:7" x14ac:dyDescent="0.25">
      <c r="A787" t="s">
        <v>197</v>
      </c>
      <c r="B787" s="4">
        <f>VLOOKUP(A787,'Datos generales'!A:L,5,0)</f>
        <v>2</v>
      </c>
      <c r="C787" s="4" t="str">
        <f>VLOOKUP(A787,'Datos generales'!A:L,4,0)</f>
        <v>Teclado</v>
      </c>
      <c r="D787" s="4">
        <f>VLOOKUP(A787,'Datos generales'!A:L,6,0)</f>
        <v>1834.72</v>
      </c>
      <c r="E787" s="4">
        <f>VLOOKUP(A787,'Datos generales'!A:L,12,0)</f>
        <v>1834.72</v>
      </c>
      <c r="F787" s="4" t="str">
        <f>VLOOKUP(A787,'Datos generales'!A:L,7,0)</f>
        <v>Accesorios</v>
      </c>
      <c r="G787" s="4">
        <v>2023</v>
      </c>
    </row>
    <row r="788" spans="1:7" x14ac:dyDescent="0.25">
      <c r="A788" t="s">
        <v>198</v>
      </c>
      <c r="B788" s="4">
        <f>VLOOKUP(A788,'Datos generales'!A:L,5,0)</f>
        <v>2</v>
      </c>
      <c r="C788" s="4" t="str">
        <f>VLOOKUP(A788,'Datos generales'!A:L,4,0)</f>
        <v>Audífonos</v>
      </c>
      <c r="D788" s="4">
        <f>VLOOKUP(A788,'Datos generales'!A:L,6,0)</f>
        <v>1942.31</v>
      </c>
      <c r="E788" s="4">
        <f>VLOOKUP(A788,'Datos generales'!A:L,12,0)</f>
        <v>1942.31</v>
      </c>
      <c r="F788" s="4" t="str">
        <f>VLOOKUP(A788,'Datos generales'!A:L,7,0)</f>
        <v>Accesorios</v>
      </c>
      <c r="G788" s="4">
        <v>2024</v>
      </c>
    </row>
    <row r="789" spans="1:7" x14ac:dyDescent="0.25">
      <c r="A789" t="s">
        <v>199</v>
      </c>
      <c r="B789" s="4">
        <f>VLOOKUP(A789,'Datos generales'!A:L,5,0)</f>
        <v>3</v>
      </c>
      <c r="C789" s="4" t="str">
        <f>VLOOKUP(A789,'Datos generales'!A:L,4,0)</f>
        <v>Audífonos</v>
      </c>
      <c r="D789" s="4">
        <f>VLOOKUP(A789,'Datos generales'!A:L,6,0)</f>
        <v>1025.57</v>
      </c>
      <c r="E789" s="4">
        <f>VLOOKUP(A789,'Datos generales'!A:L,12,0)</f>
        <v>1025.57</v>
      </c>
      <c r="F789" s="4" t="str">
        <f>VLOOKUP(A789,'Datos generales'!A:L,7,0)</f>
        <v>Accesorios</v>
      </c>
      <c r="G789" s="4">
        <v>2025</v>
      </c>
    </row>
    <row r="790" spans="1:7" x14ac:dyDescent="0.25">
      <c r="A790" t="s">
        <v>200</v>
      </c>
      <c r="B790" s="4">
        <f>VLOOKUP(A790,'Datos generales'!A:L,5,0)</f>
        <v>4</v>
      </c>
      <c r="C790" s="4" t="str">
        <f>VLOOKUP(A790,'Datos generales'!A:L,4,0)</f>
        <v>Impresora</v>
      </c>
      <c r="D790" s="4">
        <f>VLOOKUP(A790,'Datos generales'!A:L,6,0)</f>
        <v>555.19000000000005</v>
      </c>
      <c r="E790" s="4">
        <f>VLOOKUP(A790,'Datos generales'!A:L,12,0)</f>
        <v>555.19000000000005</v>
      </c>
      <c r="F790" s="4" t="str">
        <f>VLOOKUP(A790,'Datos generales'!A:L,7,0)</f>
        <v>Electrónica</v>
      </c>
      <c r="G790" s="4">
        <v>2023</v>
      </c>
    </row>
    <row r="791" spans="1:7" x14ac:dyDescent="0.25">
      <c r="A791" t="s">
        <v>201</v>
      </c>
      <c r="B791" s="4">
        <f>VLOOKUP(A791,'Datos generales'!A:L,5,0)</f>
        <v>5</v>
      </c>
      <c r="C791" s="4" t="str">
        <f>VLOOKUP(A791,'Datos generales'!A:L,4,0)</f>
        <v>Silla Gamer</v>
      </c>
      <c r="D791" s="4">
        <f>VLOOKUP(A791,'Datos generales'!A:L,6,0)</f>
        <v>750.82</v>
      </c>
      <c r="E791" s="4">
        <f>VLOOKUP(A791,'Datos generales'!A:L,12,0)</f>
        <v>750.82</v>
      </c>
      <c r="F791" s="4" t="str">
        <f>VLOOKUP(A791,'Datos generales'!A:L,7,0)</f>
        <v>Muebles</v>
      </c>
      <c r="G791" s="4">
        <v>2023</v>
      </c>
    </row>
    <row r="792" spans="1:7" x14ac:dyDescent="0.25">
      <c r="A792" t="s">
        <v>202</v>
      </c>
      <c r="B792" s="4">
        <f>VLOOKUP(A792,'Datos generales'!A:L,5,0)</f>
        <v>2</v>
      </c>
      <c r="C792" s="4" t="str">
        <f>VLOOKUP(A792,'Datos generales'!A:L,4,0)</f>
        <v>Impresora</v>
      </c>
      <c r="D792" s="4">
        <f>VLOOKUP(A792,'Datos generales'!A:L,6,0)</f>
        <v>1609.9</v>
      </c>
      <c r="E792" s="4">
        <f>VLOOKUP(A792,'Datos generales'!A:L,12,0)</f>
        <v>1609.9</v>
      </c>
      <c r="F792" s="4" t="str">
        <f>VLOOKUP(A792,'Datos generales'!A:L,7,0)</f>
        <v>Electrónica</v>
      </c>
      <c r="G792" s="4">
        <v>2025</v>
      </c>
    </row>
    <row r="793" spans="1:7" x14ac:dyDescent="0.25">
      <c r="A793" t="s">
        <v>203</v>
      </c>
      <c r="B793" s="4">
        <f>VLOOKUP(A793,'Datos generales'!A:L,5,0)</f>
        <v>3</v>
      </c>
      <c r="C793" s="4" t="str">
        <f>VLOOKUP(A793,'Datos generales'!A:L,4,0)</f>
        <v>Silla Gamer</v>
      </c>
      <c r="D793" s="4">
        <f>VLOOKUP(A793,'Datos generales'!A:L,6,0)</f>
        <v>27.89</v>
      </c>
      <c r="E793" s="4">
        <f>VLOOKUP(A793,'Datos generales'!A:L,12,0)</f>
        <v>27.89</v>
      </c>
      <c r="F793" s="4" t="str">
        <f>VLOOKUP(A793,'Datos generales'!A:L,7,0)</f>
        <v>Muebles</v>
      </c>
      <c r="G793" s="4">
        <v>2025</v>
      </c>
    </row>
    <row r="794" spans="1:7" x14ac:dyDescent="0.25">
      <c r="A794" t="s">
        <v>204</v>
      </c>
      <c r="B794" s="4">
        <f>VLOOKUP(A794,'Datos generales'!A:L,5,0)</f>
        <v>1</v>
      </c>
      <c r="C794" s="4" t="str">
        <f>VLOOKUP(A794,'Datos generales'!A:L,4,0)</f>
        <v>Audífonos</v>
      </c>
      <c r="D794" s="4">
        <f>VLOOKUP(A794,'Datos generales'!A:L,6,0)</f>
        <v>1700.54</v>
      </c>
      <c r="E794" s="4">
        <f>VLOOKUP(A794,'Datos generales'!A:L,12,0)</f>
        <v>1700.54</v>
      </c>
      <c r="F794" s="4" t="str">
        <f>VLOOKUP(A794,'Datos generales'!A:L,7,0)</f>
        <v>Accesorios</v>
      </c>
      <c r="G794" s="4">
        <v>2025</v>
      </c>
    </row>
    <row r="795" spans="1:7" x14ac:dyDescent="0.25">
      <c r="A795" t="s">
        <v>205</v>
      </c>
      <c r="B795" s="4">
        <f>VLOOKUP(A795,'Datos generales'!A:L,5,0)</f>
        <v>3</v>
      </c>
      <c r="C795" s="4" t="str">
        <f>VLOOKUP(A795,'Datos generales'!A:L,4,0)</f>
        <v>Audífonos</v>
      </c>
      <c r="D795" s="4">
        <f>VLOOKUP(A795,'Datos generales'!A:L,6,0)</f>
        <v>473.4</v>
      </c>
      <c r="E795" s="4">
        <f>VLOOKUP(A795,'Datos generales'!A:L,12,0)</f>
        <v>473.39999999999992</v>
      </c>
      <c r="F795" s="4" t="str">
        <f>VLOOKUP(A795,'Datos generales'!A:L,7,0)</f>
        <v>Accesorios</v>
      </c>
      <c r="G795" s="4">
        <v>2025</v>
      </c>
    </row>
    <row r="796" spans="1:7" x14ac:dyDescent="0.25">
      <c r="A796" t="s">
        <v>206</v>
      </c>
      <c r="B796" s="4">
        <f>VLOOKUP(A796,'Datos generales'!A:L,5,0)</f>
        <v>1</v>
      </c>
      <c r="C796" s="4" t="str">
        <f>VLOOKUP(A796,'Datos generales'!A:L,4,0)</f>
        <v>Impresora</v>
      </c>
      <c r="D796" s="4">
        <f>VLOOKUP(A796,'Datos generales'!A:L,6,0)</f>
        <v>521.32000000000005</v>
      </c>
      <c r="E796" s="4">
        <f>VLOOKUP(A796,'Datos generales'!A:L,12,0)</f>
        <v>521.32000000000005</v>
      </c>
      <c r="F796" s="4" t="str">
        <f>VLOOKUP(A796,'Datos generales'!A:L,7,0)</f>
        <v>Electrónica</v>
      </c>
      <c r="G796" s="4">
        <v>2023</v>
      </c>
    </row>
    <row r="797" spans="1:7" x14ac:dyDescent="0.25">
      <c r="A797" t="s">
        <v>207</v>
      </c>
      <c r="B797" s="4">
        <f>VLOOKUP(A797,'Datos generales'!A:L,5,0)</f>
        <v>1</v>
      </c>
      <c r="C797" s="4" t="str">
        <f>VLOOKUP(A797,'Datos generales'!A:L,4,0)</f>
        <v>Teclado</v>
      </c>
      <c r="D797" s="4">
        <f>VLOOKUP(A797,'Datos generales'!A:L,6,0)</f>
        <v>1067.6400000000001</v>
      </c>
      <c r="E797" s="4">
        <f>VLOOKUP(A797,'Datos generales'!A:L,12,0)</f>
        <v>1067.6400000000001</v>
      </c>
      <c r="F797" s="4" t="str">
        <f>VLOOKUP(A797,'Datos generales'!A:L,7,0)</f>
        <v>Accesorios</v>
      </c>
      <c r="G797" s="4">
        <v>2025</v>
      </c>
    </row>
    <row r="798" spans="1:7" x14ac:dyDescent="0.25">
      <c r="A798" t="s">
        <v>208</v>
      </c>
      <c r="B798" s="4">
        <f>VLOOKUP(A798,'Datos generales'!A:L,5,0)</f>
        <v>1</v>
      </c>
      <c r="C798" s="4" t="str">
        <f>VLOOKUP(A798,'Datos generales'!A:L,4,0)</f>
        <v>Mouse</v>
      </c>
      <c r="D798" s="4">
        <f>VLOOKUP(A798,'Datos generales'!A:L,6,0)</f>
        <v>1903.64</v>
      </c>
      <c r="E798" s="4">
        <f>VLOOKUP(A798,'Datos generales'!A:L,12,0)</f>
        <v>1903.64</v>
      </c>
      <c r="F798" s="4" t="str">
        <f>VLOOKUP(A798,'Datos generales'!A:L,7,0)</f>
        <v>Accesorios</v>
      </c>
      <c r="G798" s="4">
        <v>2023</v>
      </c>
    </row>
    <row r="799" spans="1:7" x14ac:dyDescent="0.25">
      <c r="A799" t="s">
        <v>209</v>
      </c>
      <c r="B799" s="4">
        <f>VLOOKUP(A799,'Datos generales'!A:L,5,0)</f>
        <v>2</v>
      </c>
      <c r="C799" s="4" t="str">
        <f>VLOOKUP(A799,'Datos generales'!A:L,4,0)</f>
        <v>Silla Gamer</v>
      </c>
      <c r="D799" s="4">
        <f>VLOOKUP(A799,'Datos generales'!A:L,6,0)</f>
        <v>1460.16</v>
      </c>
      <c r="E799" s="4">
        <f>VLOOKUP(A799,'Datos generales'!A:L,12,0)</f>
        <v>1460.16</v>
      </c>
      <c r="F799" s="4" t="str">
        <f>VLOOKUP(A799,'Datos generales'!A:L,7,0)</f>
        <v>Muebles</v>
      </c>
      <c r="G799" s="4">
        <v>2023</v>
      </c>
    </row>
    <row r="800" spans="1:7" x14ac:dyDescent="0.25">
      <c r="A800" t="s">
        <v>210</v>
      </c>
      <c r="B800" s="4">
        <f>VLOOKUP(A800,'Datos generales'!A:L,5,0)</f>
        <v>4</v>
      </c>
      <c r="C800" s="4" t="str">
        <f>VLOOKUP(A800,'Datos generales'!A:L,4,0)</f>
        <v>Monitor</v>
      </c>
      <c r="D800" s="4">
        <f>VLOOKUP(A800,'Datos generales'!A:L,6,0)</f>
        <v>847</v>
      </c>
      <c r="E800" s="4">
        <f>VLOOKUP(A800,'Datos generales'!A:L,12,0)</f>
        <v>847</v>
      </c>
      <c r="F800" s="4" t="str">
        <f>VLOOKUP(A800,'Datos generales'!A:L,7,0)</f>
        <v>Electrónica</v>
      </c>
      <c r="G800" s="4">
        <v>2025</v>
      </c>
    </row>
    <row r="801" spans="1:7" x14ac:dyDescent="0.25">
      <c r="A801" t="s">
        <v>211</v>
      </c>
      <c r="B801" s="4">
        <f>VLOOKUP(A801,'Datos generales'!A:L,5,0)</f>
        <v>2</v>
      </c>
      <c r="C801" s="4" t="str">
        <f>VLOOKUP(A801,'Datos generales'!A:L,4,0)</f>
        <v>Mouse</v>
      </c>
      <c r="D801" s="4">
        <f>VLOOKUP(A801,'Datos generales'!A:L,6,0)</f>
        <v>1243.3399999999999</v>
      </c>
      <c r="E801" s="4">
        <f>VLOOKUP(A801,'Datos generales'!A:L,12,0)</f>
        <v>1243.3399999999999</v>
      </c>
      <c r="F801" s="4" t="str">
        <f>VLOOKUP(A801,'Datos generales'!A:L,7,0)</f>
        <v>Accesorios</v>
      </c>
      <c r="G801" s="4">
        <v>2023</v>
      </c>
    </row>
    <row r="802" spans="1:7" x14ac:dyDescent="0.25">
      <c r="A802" t="s">
        <v>12</v>
      </c>
      <c r="B802" s="4">
        <f>VLOOKUP(A802,'Datos generales'!A:L,5,0)</f>
        <v>5</v>
      </c>
      <c r="C802" s="4" t="str">
        <f>VLOOKUP(A802,'Datos generales'!A:L,4,0)</f>
        <v>Monitor</v>
      </c>
      <c r="D802" s="4">
        <f>VLOOKUP(A802,'Datos generales'!A:L,6,0)</f>
        <v>1497.24</v>
      </c>
      <c r="E802" s="4">
        <f>VLOOKUP(A802,'Datos generales'!A:L,12,0)</f>
        <v>1497.24</v>
      </c>
      <c r="F802" s="4" t="str">
        <f>VLOOKUP(A802,'Datos generales'!A:L,7,0)</f>
        <v>Electrónica</v>
      </c>
      <c r="G802" s="4">
        <v>2023</v>
      </c>
    </row>
    <row r="803" spans="1:7" x14ac:dyDescent="0.25">
      <c r="A803" t="s">
        <v>13</v>
      </c>
      <c r="B803" s="4">
        <f>VLOOKUP(A803,'Datos generales'!A:L,5,0)</f>
        <v>1</v>
      </c>
      <c r="C803" s="4" t="str">
        <f>VLOOKUP(A803,'Datos generales'!A:L,4,0)</f>
        <v>Monitor</v>
      </c>
      <c r="D803" s="4">
        <f>VLOOKUP(A803,'Datos generales'!A:L,6,0)</f>
        <v>1687.54</v>
      </c>
      <c r="E803" s="4">
        <f>VLOOKUP(A803,'Datos generales'!A:L,12,0)</f>
        <v>1687.54</v>
      </c>
      <c r="F803" s="4" t="str">
        <f>VLOOKUP(A803,'Datos generales'!A:L,7,0)</f>
        <v>Electrónica</v>
      </c>
      <c r="G803" s="4">
        <v>2023</v>
      </c>
    </row>
    <row r="804" spans="1:7" x14ac:dyDescent="0.25">
      <c r="A804" t="s">
        <v>14</v>
      </c>
      <c r="B804" s="4">
        <f>VLOOKUP(A804,'Datos generales'!A:L,5,0)</f>
        <v>3</v>
      </c>
      <c r="C804" s="4" t="str">
        <f>VLOOKUP(A804,'Datos generales'!A:L,4,0)</f>
        <v>Teclado</v>
      </c>
      <c r="D804" s="4">
        <f>VLOOKUP(A804,'Datos generales'!A:L,6,0)</f>
        <v>768.8</v>
      </c>
      <c r="E804" s="4">
        <f>VLOOKUP(A804,'Datos generales'!A:L,12,0)</f>
        <v>768.79999999999984</v>
      </c>
      <c r="F804" s="4" t="str">
        <f>VLOOKUP(A804,'Datos generales'!A:L,7,0)</f>
        <v>Accesorios</v>
      </c>
      <c r="G804" s="4">
        <v>2024</v>
      </c>
    </row>
    <row r="805" spans="1:7" x14ac:dyDescent="0.25">
      <c r="A805" t="s">
        <v>15</v>
      </c>
      <c r="B805" s="4">
        <f>VLOOKUP(A805,'Datos generales'!A:L,5,0)</f>
        <v>1</v>
      </c>
      <c r="C805" s="4" t="str">
        <f>VLOOKUP(A805,'Datos generales'!A:L,4,0)</f>
        <v>Silla Gamer</v>
      </c>
      <c r="D805" s="4">
        <f>VLOOKUP(A805,'Datos generales'!A:L,6,0)</f>
        <v>1532.67</v>
      </c>
      <c r="E805" s="4">
        <f>VLOOKUP(A805,'Datos generales'!A:L,12,0)</f>
        <v>1532.67</v>
      </c>
      <c r="F805" s="4" t="str">
        <f>VLOOKUP(A805,'Datos generales'!A:L,7,0)</f>
        <v>Muebles</v>
      </c>
      <c r="G805" s="4">
        <v>2025</v>
      </c>
    </row>
    <row r="806" spans="1:7" x14ac:dyDescent="0.25">
      <c r="A806" t="s">
        <v>16</v>
      </c>
      <c r="B806" s="4">
        <f>VLOOKUP(A806,'Datos generales'!A:L,5,0)</f>
        <v>3</v>
      </c>
      <c r="C806" s="4" t="str">
        <f>VLOOKUP(A806,'Datos generales'!A:L,4,0)</f>
        <v>Silla Gamer</v>
      </c>
      <c r="D806" s="4">
        <f>VLOOKUP(A806,'Datos generales'!A:L,6,0)</f>
        <v>1709.47</v>
      </c>
      <c r="E806" s="4">
        <f>VLOOKUP(A806,'Datos generales'!A:L,12,0)</f>
        <v>1709.47</v>
      </c>
      <c r="F806" s="4" t="str">
        <f>VLOOKUP(A806,'Datos generales'!A:L,7,0)</f>
        <v>Muebles</v>
      </c>
      <c r="G806" s="4">
        <v>2025</v>
      </c>
    </row>
    <row r="807" spans="1:7" x14ac:dyDescent="0.25">
      <c r="A807" t="s">
        <v>17</v>
      </c>
      <c r="B807" s="4">
        <f>VLOOKUP(A807,'Datos generales'!A:L,5,0)</f>
        <v>3</v>
      </c>
      <c r="C807" s="4" t="str">
        <f>VLOOKUP(A807,'Datos generales'!A:L,4,0)</f>
        <v>Impresora</v>
      </c>
      <c r="D807" s="4">
        <f>VLOOKUP(A807,'Datos generales'!A:L,6,0)</f>
        <v>297.54000000000002</v>
      </c>
      <c r="E807" s="4">
        <f>VLOOKUP(A807,'Datos generales'!A:L,12,0)</f>
        <v>297.54000000000002</v>
      </c>
      <c r="F807" s="4" t="str">
        <f>VLOOKUP(A807,'Datos generales'!A:L,7,0)</f>
        <v>Electrónica</v>
      </c>
      <c r="G807" s="4">
        <v>2023</v>
      </c>
    </row>
    <row r="808" spans="1:7" x14ac:dyDescent="0.25">
      <c r="A808" t="s">
        <v>18</v>
      </c>
      <c r="B808" s="4">
        <f>VLOOKUP(A808,'Datos generales'!A:L,5,0)</f>
        <v>4</v>
      </c>
      <c r="C808" s="4" t="str">
        <f>VLOOKUP(A808,'Datos generales'!A:L,4,0)</f>
        <v>Webcam</v>
      </c>
      <c r="D808" s="4">
        <f>VLOOKUP(A808,'Datos generales'!A:L,6,0)</f>
        <v>1546.65</v>
      </c>
      <c r="E808" s="4">
        <f>VLOOKUP(A808,'Datos generales'!A:L,12,0)</f>
        <v>1546.65</v>
      </c>
      <c r="F808" s="4" t="str">
        <f>VLOOKUP(A808,'Datos generales'!A:L,7,0)</f>
        <v>Accesorios</v>
      </c>
      <c r="G808" s="4">
        <v>2025</v>
      </c>
    </row>
    <row r="809" spans="1:7" x14ac:dyDescent="0.25">
      <c r="A809" t="s">
        <v>19</v>
      </c>
      <c r="B809" s="4">
        <f>VLOOKUP(A809,'Datos generales'!A:L,5,0)</f>
        <v>1</v>
      </c>
      <c r="C809" s="4" t="str">
        <f>VLOOKUP(A809,'Datos generales'!A:L,4,0)</f>
        <v>Monitor</v>
      </c>
      <c r="D809" s="4">
        <f>VLOOKUP(A809,'Datos generales'!A:L,6,0)</f>
        <v>1575.18</v>
      </c>
      <c r="E809" s="4">
        <f>VLOOKUP(A809,'Datos generales'!A:L,12,0)</f>
        <v>1575.18</v>
      </c>
      <c r="F809" s="4" t="str">
        <f>VLOOKUP(A809,'Datos generales'!A:L,7,0)</f>
        <v>Electrónica</v>
      </c>
      <c r="G809" s="4">
        <v>2025</v>
      </c>
    </row>
    <row r="810" spans="1:7" x14ac:dyDescent="0.25">
      <c r="A810" t="s">
        <v>20</v>
      </c>
      <c r="B810" s="4">
        <f>VLOOKUP(A810,'Datos generales'!A:L,5,0)</f>
        <v>5</v>
      </c>
      <c r="C810" s="4" t="str">
        <f>VLOOKUP(A810,'Datos generales'!A:L,4,0)</f>
        <v>Laptop</v>
      </c>
      <c r="D810" s="4">
        <f>VLOOKUP(A810,'Datos generales'!A:L,6,0)</f>
        <v>1815.86</v>
      </c>
      <c r="E810" s="4">
        <f>VLOOKUP(A810,'Datos generales'!A:L,12,0)</f>
        <v>1815.86</v>
      </c>
      <c r="F810" s="4" t="str">
        <f>VLOOKUP(A810,'Datos generales'!A:L,7,0)</f>
        <v>Electrónica</v>
      </c>
      <c r="G810" s="4">
        <v>2024</v>
      </c>
    </row>
    <row r="811" spans="1:7" x14ac:dyDescent="0.25">
      <c r="A811" t="s">
        <v>21</v>
      </c>
      <c r="B811" s="4">
        <f>VLOOKUP(A811,'Datos generales'!A:L,5,0)</f>
        <v>1</v>
      </c>
      <c r="C811" s="4" t="str">
        <f>VLOOKUP(A811,'Datos generales'!A:L,4,0)</f>
        <v>Monitor</v>
      </c>
      <c r="D811" s="4">
        <f>VLOOKUP(A811,'Datos generales'!A:L,6,0)</f>
        <v>564.11</v>
      </c>
      <c r="E811" s="4">
        <f>VLOOKUP(A811,'Datos generales'!A:L,12,0)</f>
        <v>564.11</v>
      </c>
      <c r="F811" s="4" t="str">
        <f>VLOOKUP(A811,'Datos generales'!A:L,7,0)</f>
        <v>Electrónica</v>
      </c>
      <c r="G811" s="4">
        <v>2024</v>
      </c>
    </row>
    <row r="812" spans="1:7" x14ac:dyDescent="0.25">
      <c r="A812" t="s">
        <v>22</v>
      </c>
      <c r="B812" s="4">
        <f>VLOOKUP(A812,'Datos generales'!A:L,5,0)</f>
        <v>1</v>
      </c>
      <c r="C812" s="4" t="str">
        <f>VLOOKUP(A812,'Datos generales'!A:L,4,0)</f>
        <v>Laptop</v>
      </c>
      <c r="D812" s="4">
        <f>VLOOKUP(A812,'Datos generales'!A:L,6,0)</f>
        <v>454.9</v>
      </c>
      <c r="E812" s="4">
        <f>VLOOKUP(A812,'Datos generales'!A:L,12,0)</f>
        <v>454.9</v>
      </c>
      <c r="F812" s="4" t="str">
        <f>VLOOKUP(A812,'Datos generales'!A:L,7,0)</f>
        <v>Electrónica</v>
      </c>
      <c r="G812" s="4">
        <v>2024</v>
      </c>
    </row>
    <row r="813" spans="1:7" x14ac:dyDescent="0.25">
      <c r="A813" t="s">
        <v>23</v>
      </c>
      <c r="B813" s="4">
        <f>VLOOKUP(A813,'Datos generales'!A:L,5,0)</f>
        <v>3</v>
      </c>
      <c r="C813" s="4" t="str">
        <f>VLOOKUP(A813,'Datos generales'!A:L,4,0)</f>
        <v>Mouse</v>
      </c>
      <c r="D813" s="4">
        <f>VLOOKUP(A813,'Datos generales'!A:L,6,0)</f>
        <v>1277.51</v>
      </c>
      <c r="E813" s="4">
        <f>VLOOKUP(A813,'Datos generales'!A:L,12,0)</f>
        <v>1277.51</v>
      </c>
      <c r="F813" s="4" t="str">
        <f>VLOOKUP(A813,'Datos generales'!A:L,7,0)</f>
        <v>Accesorios</v>
      </c>
      <c r="G813" s="4">
        <v>2024</v>
      </c>
    </row>
    <row r="814" spans="1:7" x14ac:dyDescent="0.25">
      <c r="A814" t="s">
        <v>24</v>
      </c>
      <c r="B814" s="4">
        <f>VLOOKUP(A814,'Datos generales'!A:L,5,0)</f>
        <v>2</v>
      </c>
      <c r="C814" s="4" t="str">
        <f>VLOOKUP(A814,'Datos generales'!A:L,4,0)</f>
        <v>Silla Gamer</v>
      </c>
      <c r="D814" s="4">
        <f>VLOOKUP(A814,'Datos generales'!A:L,6,0)</f>
        <v>1870.95</v>
      </c>
      <c r="E814" s="4">
        <f>VLOOKUP(A814,'Datos generales'!A:L,12,0)</f>
        <v>1870.95</v>
      </c>
      <c r="F814" s="4" t="str">
        <f>VLOOKUP(A814,'Datos generales'!A:L,7,0)</f>
        <v>Muebles</v>
      </c>
      <c r="G814" s="4">
        <v>2023</v>
      </c>
    </row>
    <row r="815" spans="1:7" x14ac:dyDescent="0.25">
      <c r="A815" t="s">
        <v>25</v>
      </c>
      <c r="B815" s="4">
        <f>VLOOKUP(A815,'Datos generales'!A:L,5,0)</f>
        <v>4</v>
      </c>
      <c r="C815" s="4" t="str">
        <f>VLOOKUP(A815,'Datos generales'!A:L,4,0)</f>
        <v>Monitor</v>
      </c>
      <c r="D815" s="4">
        <f>VLOOKUP(A815,'Datos generales'!A:L,6,0)</f>
        <v>1227.23</v>
      </c>
      <c r="E815" s="4">
        <f>VLOOKUP(A815,'Datos generales'!A:L,12,0)</f>
        <v>1227.23</v>
      </c>
      <c r="F815" s="4" t="str">
        <f>VLOOKUP(A815,'Datos generales'!A:L,7,0)</f>
        <v>Electrónica</v>
      </c>
      <c r="G815" s="4">
        <v>2023</v>
      </c>
    </row>
    <row r="816" spans="1:7" x14ac:dyDescent="0.25">
      <c r="A816" t="s">
        <v>26</v>
      </c>
      <c r="B816" s="4">
        <f>VLOOKUP(A816,'Datos generales'!A:L,5,0)</f>
        <v>1</v>
      </c>
      <c r="C816" s="4" t="str">
        <f>VLOOKUP(A816,'Datos generales'!A:L,4,0)</f>
        <v>Impresora</v>
      </c>
      <c r="D816" s="4">
        <f>VLOOKUP(A816,'Datos generales'!A:L,6,0)</f>
        <v>1329.6</v>
      </c>
      <c r="E816" s="4">
        <f>VLOOKUP(A816,'Datos generales'!A:L,12,0)</f>
        <v>1329.6</v>
      </c>
      <c r="F816" s="4" t="str">
        <f>VLOOKUP(A816,'Datos generales'!A:L,7,0)</f>
        <v>Electrónica</v>
      </c>
      <c r="G816" s="4">
        <v>2024</v>
      </c>
    </row>
    <row r="817" spans="1:7" x14ac:dyDescent="0.25">
      <c r="A817" t="s">
        <v>27</v>
      </c>
      <c r="B817" s="4">
        <f>VLOOKUP(A817,'Datos generales'!A:L,5,0)</f>
        <v>3</v>
      </c>
      <c r="C817" s="4" t="str">
        <f>VLOOKUP(A817,'Datos generales'!A:L,4,0)</f>
        <v>Monitor</v>
      </c>
      <c r="D817" s="4">
        <f>VLOOKUP(A817,'Datos generales'!A:L,6,0)</f>
        <v>1734.12</v>
      </c>
      <c r="E817" s="4">
        <f>VLOOKUP(A817,'Datos generales'!A:L,12,0)</f>
        <v>1734.12</v>
      </c>
      <c r="F817" s="4" t="str">
        <f>VLOOKUP(A817,'Datos generales'!A:L,7,0)</f>
        <v>Electrónica</v>
      </c>
      <c r="G817" s="4">
        <v>2023</v>
      </c>
    </row>
    <row r="818" spans="1:7" x14ac:dyDescent="0.25">
      <c r="A818" t="s">
        <v>28</v>
      </c>
      <c r="B818" s="4">
        <f>VLOOKUP(A818,'Datos generales'!A:L,5,0)</f>
        <v>1</v>
      </c>
      <c r="C818" s="4" t="str">
        <f>VLOOKUP(A818,'Datos generales'!A:L,4,0)</f>
        <v>Monitor</v>
      </c>
      <c r="D818" s="4">
        <f>VLOOKUP(A818,'Datos generales'!A:L,6,0)</f>
        <v>1209.6199999999999</v>
      </c>
      <c r="E818" s="4">
        <f>VLOOKUP(A818,'Datos generales'!A:L,12,0)</f>
        <v>1209.6199999999999</v>
      </c>
      <c r="F818" s="4" t="str">
        <f>VLOOKUP(A818,'Datos generales'!A:L,7,0)</f>
        <v>Electrónica</v>
      </c>
      <c r="G818" s="4">
        <v>2024</v>
      </c>
    </row>
    <row r="819" spans="1:7" x14ac:dyDescent="0.25">
      <c r="A819" t="s">
        <v>29</v>
      </c>
      <c r="B819" s="4">
        <f>VLOOKUP(A819,'Datos generales'!A:L,5,0)</f>
        <v>3</v>
      </c>
      <c r="C819" s="4" t="str">
        <f>VLOOKUP(A819,'Datos generales'!A:L,4,0)</f>
        <v>Mouse</v>
      </c>
      <c r="D819" s="4">
        <f>VLOOKUP(A819,'Datos generales'!A:L,6,0)</f>
        <v>922.33</v>
      </c>
      <c r="E819" s="4">
        <f>VLOOKUP(A819,'Datos generales'!A:L,12,0)</f>
        <v>922.33</v>
      </c>
      <c r="F819" s="4" t="str">
        <f>VLOOKUP(A819,'Datos generales'!A:L,7,0)</f>
        <v>Accesorios</v>
      </c>
      <c r="G819" s="4">
        <v>2024</v>
      </c>
    </row>
    <row r="820" spans="1:7" x14ac:dyDescent="0.25">
      <c r="A820" t="s">
        <v>30</v>
      </c>
      <c r="B820" s="4">
        <f>VLOOKUP(A820,'Datos generales'!A:L,5,0)</f>
        <v>4</v>
      </c>
      <c r="C820" s="4" t="str">
        <f>VLOOKUP(A820,'Datos generales'!A:L,4,0)</f>
        <v>Webcam</v>
      </c>
      <c r="D820" s="4">
        <f>VLOOKUP(A820,'Datos generales'!A:L,6,0)</f>
        <v>54.42</v>
      </c>
      <c r="E820" s="4">
        <f>VLOOKUP(A820,'Datos generales'!A:L,12,0)</f>
        <v>54.42</v>
      </c>
      <c r="F820" s="4" t="str">
        <f>VLOOKUP(A820,'Datos generales'!A:L,7,0)</f>
        <v>Accesorios</v>
      </c>
      <c r="G820" s="4">
        <v>2025</v>
      </c>
    </row>
    <row r="821" spans="1:7" x14ac:dyDescent="0.25">
      <c r="A821" t="s">
        <v>31</v>
      </c>
      <c r="B821" s="4">
        <f>VLOOKUP(A821,'Datos generales'!A:L,5,0)</f>
        <v>2</v>
      </c>
      <c r="C821" s="4" t="str">
        <f>VLOOKUP(A821,'Datos generales'!A:L,4,0)</f>
        <v>Mouse</v>
      </c>
      <c r="D821" s="4">
        <f>VLOOKUP(A821,'Datos generales'!A:L,6,0)</f>
        <v>1567.18</v>
      </c>
      <c r="E821" s="4">
        <f>VLOOKUP(A821,'Datos generales'!A:L,12,0)</f>
        <v>1567.18</v>
      </c>
      <c r="F821" s="4" t="str">
        <f>VLOOKUP(A821,'Datos generales'!A:L,7,0)</f>
        <v>Accesorios</v>
      </c>
      <c r="G821" s="4">
        <v>2023</v>
      </c>
    </row>
    <row r="822" spans="1:7" x14ac:dyDescent="0.25">
      <c r="A822" t="s">
        <v>32</v>
      </c>
      <c r="B822" s="4">
        <f>VLOOKUP(A822,'Datos generales'!A:L,5,0)</f>
        <v>2</v>
      </c>
      <c r="C822" s="4" t="str">
        <f>VLOOKUP(A822,'Datos generales'!A:L,4,0)</f>
        <v>Teclado</v>
      </c>
      <c r="D822" s="4">
        <f>VLOOKUP(A822,'Datos generales'!A:L,6,0)</f>
        <v>519.79999999999995</v>
      </c>
      <c r="E822" s="4">
        <f>VLOOKUP(A822,'Datos generales'!A:L,12,0)</f>
        <v>519.79999999999995</v>
      </c>
      <c r="F822" s="4" t="str">
        <f>VLOOKUP(A822,'Datos generales'!A:L,7,0)</f>
        <v>Accesorios</v>
      </c>
      <c r="G822" s="4">
        <v>2023</v>
      </c>
    </row>
    <row r="823" spans="1:7" x14ac:dyDescent="0.25">
      <c r="A823" t="s">
        <v>33</v>
      </c>
      <c r="B823" s="4">
        <f>VLOOKUP(A823,'Datos generales'!A:L,5,0)</f>
        <v>1</v>
      </c>
      <c r="C823" s="4" t="str">
        <f>VLOOKUP(A823,'Datos generales'!A:L,4,0)</f>
        <v>Silla Gamer</v>
      </c>
      <c r="D823" s="4">
        <f>VLOOKUP(A823,'Datos generales'!A:L,6,0)</f>
        <v>1267.01</v>
      </c>
      <c r="E823" s="4">
        <f>VLOOKUP(A823,'Datos generales'!A:L,12,0)</f>
        <v>1267.01</v>
      </c>
      <c r="F823" s="4" t="str">
        <f>VLOOKUP(A823,'Datos generales'!A:L,7,0)</f>
        <v>Muebles</v>
      </c>
      <c r="G823" s="4">
        <v>2024</v>
      </c>
    </row>
    <row r="824" spans="1:7" x14ac:dyDescent="0.25">
      <c r="A824" t="s">
        <v>34</v>
      </c>
      <c r="B824" s="4">
        <f>VLOOKUP(A824,'Datos generales'!A:L,5,0)</f>
        <v>4</v>
      </c>
      <c r="C824" s="4" t="str">
        <f>VLOOKUP(A824,'Datos generales'!A:L,4,0)</f>
        <v>Monitor</v>
      </c>
      <c r="D824" s="4">
        <f>VLOOKUP(A824,'Datos generales'!A:L,6,0)</f>
        <v>1027.81</v>
      </c>
      <c r="E824" s="4">
        <f>VLOOKUP(A824,'Datos generales'!A:L,12,0)</f>
        <v>1027.81</v>
      </c>
      <c r="F824" s="4" t="str">
        <f>VLOOKUP(A824,'Datos generales'!A:L,7,0)</f>
        <v>Electrónica</v>
      </c>
      <c r="G824" s="4">
        <v>2024</v>
      </c>
    </row>
    <row r="825" spans="1:7" x14ac:dyDescent="0.25">
      <c r="A825" t="s">
        <v>35</v>
      </c>
      <c r="B825" s="4">
        <f>VLOOKUP(A825,'Datos generales'!A:L,5,0)</f>
        <v>3</v>
      </c>
      <c r="C825" s="4" t="str">
        <f>VLOOKUP(A825,'Datos generales'!A:L,4,0)</f>
        <v>Webcam</v>
      </c>
      <c r="D825" s="4">
        <f>VLOOKUP(A825,'Datos generales'!A:L,6,0)</f>
        <v>925.62</v>
      </c>
      <c r="E825" s="4">
        <f>VLOOKUP(A825,'Datos generales'!A:L,12,0)</f>
        <v>925.62</v>
      </c>
      <c r="F825" s="4" t="str">
        <f>VLOOKUP(A825,'Datos generales'!A:L,7,0)</f>
        <v>Accesorios</v>
      </c>
      <c r="G825" s="4">
        <v>2024</v>
      </c>
    </row>
    <row r="826" spans="1:7" x14ac:dyDescent="0.25">
      <c r="A826" t="s">
        <v>36</v>
      </c>
      <c r="B826" s="4">
        <f>VLOOKUP(A826,'Datos generales'!A:L,5,0)</f>
        <v>3</v>
      </c>
      <c r="C826" s="4" t="str">
        <f>VLOOKUP(A826,'Datos generales'!A:L,4,0)</f>
        <v>Monitor</v>
      </c>
      <c r="D826" s="4">
        <f>VLOOKUP(A826,'Datos generales'!A:L,6,0)</f>
        <v>213.71</v>
      </c>
      <c r="E826" s="4">
        <f>VLOOKUP(A826,'Datos generales'!A:L,12,0)</f>
        <v>213.71</v>
      </c>
      <c r="F826" s="4" t="str">
        <f>VLOOKUP(A826,'Datos generales'!A:L,7,0)</f>
        <v>Electrónica</v>
      </c>
      <c r="G826" s="4">
        <v>2025</v>
      </c>
    </row>
    <row r="827" spans="1:7" x14ac:dyDescent="0.25">
      <c r="A827" t="s">
        <v>37</v>
      </c>
      <c r="B827" s="4">
        <f>VLOOKUP(A827,'Datos generales'!A:L,5,0)</f>
        <v>2</v>
      </c>
      <c r="C827" s="4" t="str">
        <f>VLOOKUP(A827,'Datos generales'!A:L,4,0)</f>
        <v>Laptop</v>
      </c>
      <c r="D827" s="4">
        <f>VLOOKUP(A827,'Datos generales'!A:L,6,0)</f>
        <v>1146.75</v>
      </c>
      <c r="E827" s="4">
        <f>VLOOKUP(A827,'Datos generales'!A:L,12,0)</f>
        <v>1146.75</v>
      </c>
      <c r="F827" s="4" t="str">
        <f>VLOOKUP(A827,'Datos generales'!A:L,7,0)</f>
        <v>Electrónica</v>
      </c>
      <c r="G827" s="4">
        <v>2024</v>
      </c>
    </row>
    <row r="828" spans="1:7" x14ac:dyDescent="0.25">
      <c r="A828" t="s">
        <v>38</v>
      </c>
      <c r="B828" s="4">
        <f>VLOOKUP(A828,'Datos generales'!A:L,5,0)</f>
        <v>5</v>
      </c>
      <c r="C828" s="4" t="str">
        <f>VLOOKUP(A828,'Datos generales'!A:L,4,0)</f>
        <v>Laptop</v>
      </c>
      <c r="D828" s="4">
        <f>VLOOKUP(A828,'Datos generales'!A:L,6,0)</f>
        <v>907.28</v>
      </c>
      <c r="E828" s="4">
        <f>VLOOKUP(A828,'Datos generales'!A:L,12,0)</f>
        <v>907.28</v>
      </c>
      <c r="F828" s="4" t="str">
        <f>VLOOKUP(A828,'Datos generales'!A:L,7,0)</f>
        <v>Electrónica</v>
      </c>
      <c r="G828" s="4">
        <v>2023</v>
      </c>
    </row>
    <row r="829" spans="1:7" x14ac:dyDescent="0.25">
      <c r="A829" t="s">
        <v>39</v>
      </c>
      <c r="B829" s="4">
        <f>VLOOKUP(A829,'Datos generales'!A:L,5,0)</f>
        <v>2</v>
      </c>
      <c r="C829" s="4" t="str">
        <f>VLOOKUP(A829,'Datos generales'!A:L,4,0)</f>
        <v>Webcam</v>
      </c>
      <c r="D829" s="4">
        <f>VLOOKUP(A829,'Datos generales'!A:L,6,0)</f>
        <v>1734.44</v>
      </c>
      <c r="E829" s="4">
        <f>VLOOKUP(A829,'Datos generales'!A:L,12,0)</f>
        <v>1734.44</v>
      </c>
      <c r="F829" s="4" t="str">
        <f>VLOOKUP(A829,'Datos generales'!A:L,7,0)</f>
        <v>Accesorios</v>
      </c>
      <c r="G829" s="4">
        <v>2023</v>
      </c>
    </row>
    <row r="830" spans="1:7" x14ac:dyDescent="0.25">
      <c r="A830" t="s">
        <v>40</v>
      </c>
      <c r="B830" s="4">
        <f>VLOOKUP(A830,'Datos generales'!A:L,5,0)</f>
        <v>1</v>
      </c>
      <c r="C830" s="4" t="str">
        <f>VLOOKUP(A830,'Datos generales'!A:L,4,0)</f>
        <v>Teclado</v>
      </c>
      <c r="D830" s="4">
        <f>VLOOKUP(A830,'Datos generales'!A:L,6,0)</f>
        <v>424.35</v>
      </c>
      <c r="E830" s="4">
        <f>VLOOKUP(A830,'Datos generales'!A:L,12,0)</f>
        <v>424.35</v>
      </c>
      <c r="F830" s="4" t="str">
        <f>VLOOKUP(A830,'Datos generales'!A:L,7,0)</f>
        <v>Accesorios</v>
      </c>
      <c r="G830" s="4">
        <v>2024</v>
      </c>
    </row>
    <row r="831" spans="1:7" x14ac:dyDescent="0.25">
      <c r="A831" t="s">
        <v>41</v>
      </c>
      <c r="B831" s="4">
        <f>VLOOKUP(A831,'Datos generales'!A:L,5,0)</f>
        <v>1</v>
      </c>
      <c r="C831" s="4" t="str">
        <f>VLOOKUP(A831,'Datos generales'!A:L,4,0)</f>
        <v>Monitor</v>
      </c>
      <c r="D831" s="4">
        <f>VLOOKUP(A831,'Datos generales'!A:L,6,0)</f>
        <v>252.57</v>
      </c>
      <c r="E831" s="4">
        <f>VLOOKUP(A831,'Datos generales'!A:L,12,0)</f>
        <v>252.57</v>
      </c>
      <c r="F831" s="4" t="str">
        <f>VLOOKUP(A831,'Datos generales'!A:L,7,0)</f>
        <v>Electrónica</v>
      </c>
      <c r="G831" s="4">
        <v>2025</v>
      </c>
    </row>
    <row r="832" spans="1:7" x14ac:dyDescent="0.25">
      <c r="A832" t="s">
        <v>42</v>
      </c>
      <c r="B832" s="4">
        <f>VLOOKUP(A832,'Datos generales'!A:L,5,0)</f>
        <v>3</v>
      </c>
      <c r="C832" s="4" t="str">
        <f>VLOOKUP(A832,'Datos generales'!A:L,4,0)</f>
        <v>Mouse</v>
      </c>
      <c r="D832" s="4">
        <f>VLOOKUP(A832,'Datos generales'!A:L,6,0)</f>
        <v>21.56</v>
      </c>
      <c r="E832" s="4">
        <f>VLOOKUP(A832,'Datos generales'!A:L,12,0)</f>
        <v>21.56</v>
      </c>
      <c r="F832" s="4" t="str">
        <f>VLOOKUP(A832,'Datos generales'!A:L,7,0)</f>
        <v>Accesorios</v>
      </c>
      <c r="G832" s="4">
        <v>2024</v>
      </c>
    </row>
    <row r="833" spans="1:7" x14ac:dyDescent="0.25">
      <c r="A833" t="s">
        <v>43</v>
      </c>
      <c r="B833" s="4">
        <f>VLOOKUP(A833,'Datos generales'!A:L,5,0)</f>
        <v>1</v>
      </c>
      <c r="C833" s="4" t="str">
        <f>VLOOKUP(A833,'Datos generales'!A:L,4,0)</f>
        <v>Silla Gamer</v>
      </c>
      <c r="D833" s="4">
        <f>VLOOKUP(A833,'Datos generales'!A:L,6,0)</f>
        <v>446.81</v>
      </c>
      <c r="E833" s="4">
        <f>VLOOKUP(A833,'Datos generales'!A:L,12,0)</f>
        <v>446.81</v>
      </c>
      <c r="F833" s="4" t="str">
        <f>VLOOKUP(A833,'Datos generales'!A:L,7,0)</f>
        <v>Muebles</v>
      </c>
      <c r="G833" s="4">
        <v>2024</v>
      </c>
    </row>
    <row r="834" spans="1:7" x14ac:dyDescent="0.25">
      <c r="A834" t="s">
        <v>44</v>
      </c>
      <c r="B834" s="4">
        <f>VLOOKUP(A834,'Datos generales'!A:L,5,0)</f>
        <v>2</v>
      </c>
      <c r="C834" s="4" t="str">
        <f>VLOOKUP(A834,'Datos generales'!A:L,4,0)</f>
        <v>Mouse</v>
      </c>
      <c r="D834" s="4">
        <f>VLOOKUP(A834,'Datos generales'!A:L,6,0)</f>
        <v>64.67</v>
      </c>
      <c r="E834" s="4">
        <f>VLOOKUP(A834,'Datos generales'!A:L,12,0)</f>
        <v>64.67</v>
      </c>
      <c r="F834" s="4" t="str">
        <f>VLOOKUP(A834,'Datos generales'!A:L,7,0)</f>
        <v>Accesorios</v>
      </c>
      <c r="G834" s="4">
        <v>2023</v>
      </c>
    </row>
    <row r="835" spans="1:7" x14ac:dyDescent="0.25">
      <c r="A835" t="s">
        <v>45</v>
      </c>
      <c r="B835" s="4">
        <f>VLOOKUP(A835,'Datos generales'!A:L,5,0)</f>
        <v>5</v>
      </c>
      <c r="C835" s="4" t="str">
        <f>VLOOKUP(A835,'Datos generales'!A:L,4,0)</f>
        <v>Webcam</v>
      </c>
      <c r="D835" s="4">
        <f>VLOOKUP(A835,'Datos generales'!A:L,6,0)</f>
        <v>1168.3499999999999</v>
      </c>
      <c r="E835" s="4">
        <f>VLOOKUP(A835,'Datos generales'!A:L,12,0)</f>
        <v>1168.3499999999999</v>
      </c>
      <c r="F835" s="4" t="str">
        <f>VLOOKUP(A835,'Datos generales'!A:L,7,0)</f>
        <v>Accesorios</v>
      </c>
      <c r="G835" s="4">
        <v>2024</v>
      </c>
    </row>
    <row r="836" spans="1:7" x14ac:dyDescent="0.25">
      <c r="A836" t="s">
        <v>46</v>
      </c>
      <c r="B836" s="4">
        <f>VLOOKUP(A836,'Datos generales'!A:L,5,0)</f>
        <v>2</v>
      </c>
      <c r="C836" s="4" t="str">
        <f>VLOOKUP(A836,'Datos generales'!A:L,4,0)</f>
        <v>Silla Gamer</v>
      </c>
      <c r="D836" s="4">
        <f>VLOOKUP(A836,'Datos generales'!A:L,6,0)</f>
        <v>349.3</v>
      </c>
      <c r="E836" s="4">
        <f>VLOOKUP(A836,'Datos generales'!A:L,12,0)</f>
        <v>349.3</v>
      </c>
      <c r="F836" s="4" t="str">
        <f>VLOOKUP(A836,'Datos generales'!A:L,7,0)</f>
        <v>Muebles</v>
      </c>
      <c r="G836" s="4">
        <v>2025</v>
      </c>
    </row>
    <row r="837" spans="1:7" x14ac:dyDescent="0.25">
      <c r="A837" t="s">
        <v>47</v>
      </c>
      <c r="B837" s="4">
        <f>VLOOKUP(A837,'Datos generales'!A:L,5,0)</f>
        <v>3</v>
      </c>
      <c r="C837" s="4" t="str">
        <f>VLOOKUP(A837,'Datos generales'!A:L,4,0)</f>
        <v>Webcam</v>
      </c>
      <c r="D837" s="4">
        <f>VLOOKUP(A837,'Datos generales'!A:L,6,0)</f>
        <v>1154.06</v>
      </c>
      <c r="E837" s="4">
        <f>VLOOKUP(A837,'Datos generales'!A:L,12,0)</f>
        <v>1154.06</v>
      </c>
      <c r="F837" s="4" t="str">
        <f>VLOOKUP(A837,'Datos generales'!A:L,7,0)</f>
        <v>Accesorios</v>
      </c>
      <c r="G837" s="4">
        <v>2024</v>
      </c>
    </row>
    <row r="838" spans="1:7" x14ac:dyDescent="0.25">
      <c r="A838" t="s">
        <v>48</v>
      </c>
      <c r="B838" s="4">
        <f>VLOOKUP(A838,'Datos generales'!A:L,5,0)</f>
        <v>4</v>
      </c>
      <c r="C838" s="4" t="str">
        <f>VLOOKUP(A838,'Datos generales'!A:L,4,0)</f>
        <v>Impresora</v>
      </c>
      <c r="D838" s="4">
        <f>VLOOKUP(A838,'Datos generales'!A:L,6,0)</f>
        <v>1566.37</v>
      </c>
      <c r="E838" s="4">
        <f>VLOOKUP(A838,'Datos generales'!A:L,12,0)</f>
        <v>1566.37</v>
      </c>
      <c r="F838" s="4" t="str">
        <f>VLOOKUP(A838,'Datos generales'!A:L,7,0)</f>
        <v>Electrónica</v>
      </c>
      <c r="G838" s="4">
        <v>2025</v>
      </c>
    </row>
    <row r="839" spans="1:7" x14ac:dyDescent="0.25">
      <c r="A839" t="s">
        <v>49</v>
      </c>
      <c r="B839" s="4">
        <f>VLOOKUP(A839,'Datos generales'!A:L,5,0)</f>
        <v>2</v>
      </c>
      <c r="C839" s="4" t="str">
        <f>VLOOKUP(A839,'Datos generales'!A:L,4,0)</f>
        <v>Monitor</v>
      </c>
      <c r="D839" s="4">
        <f>VLOOKUP(A839,'Datos generales'!A:L,6,0)</f>
        <v>674.48</v>
      </c>
      <c r="E839" s="4">
        <f>VLOOKUP(A839,'Datos generales'!A:L,12,0)</f>
        <v>674.48</v>
      </c>
      <c r="F839" s="4" t="str">
        <f>VLOOKUP(A839,'Datos generales'!A:L,7,0)</f>
        <v>Electrónica</v>
      </c>
      <c r="G839" s="4">
        <v>2024</v>
      </c>
    </row>
    <row r="840" spans="1:7" x14ac:dyDescent="0.25">
      <c r="A840" t="s">
        <v>50</v>
      </c>
      <c r="B840" s="4">
        <f>VLOOKUP(A840,'Datos generales'!A:L,5,0)</f>
        <v>2</v>
      </c>
      <c r="C840" s="4" t="str">
        <f>VLOOKUP(A840,'Datos generales'!A:L,4,0)</f>
        <v>Monitor</v>
      </c>
      <c r="D840" s="4">
        <f>VLOOKUP(A840,'Datos generales'!A:L,6,0)</f>
        <v>1543.98</v>
      </c>
      <c r="E840" s="4">
        <f>VLOOKUP(A840,'Datos generales'!A:L,12,0)</f>
        <v>1543.98</v>
      </c>
      <c r="F840" s="4" t="str">
        <f>VLOOKUP(A840,'Datos generales'!A:L,7,0)</f>
        <v>Electrónica</v>
      </c>
      <c r="G840" s="4">
        <v>2024</v>
      </c>
    </row>
    <row r="841" spans="1:7" x14ac:dyDescent="0.25">
      <c r="A841" t="s">
        <v>51</v>
      </c>
      <c r="B841" s="4">
        <f>VLOOKUP(A841,'Datos generales'!A:L,5,0)</f>
        <v>5</v>
      </c>
      <c r="C841" s="4" t="str">
        <f>VLOOKUP(A841,'Datos generales'!A:L,4,0)</f>
        <v>Laptop</v>
      </c>
      <c r="D841" s="4">
        <f>VLOOKUP(A841,'Datos generales'!A:L,6,0)</f>
        <v>917.31</v>
      </c>
      <c r="E841" s="4">
        <f>VLOOKUP(A841,'Datos generales'!A:L,12,0)</f>
        <v>917.30999999999983</v>
      </c>
      <c r="F841" s="4" t="str">
        <f>VLOOKUP(A841,'Datos generales'!A:L,7,0)</f>
        <v>Electrónica</v>
      </c>
      <c r="G841" s="4">
        <v>2023</v>
      </c>
    </row>
    <row r="842" spans="1:7" x14ac:dyDescent="0.25">
      <c r="A842" t="s">
        <v>52</v>
      </c>
      <c r="B842" s="4">
        <f>VLOOKUP(A842,'Datos generales'!A:L,5,0)</f>
        <v>4</v>
      </c>
      <c r="C842" s="4" t="str">
        <f>VLOOKUP(A842,'Datos generales'!A:L,4,0)</f>
        <v>Audífonos</v>
      </c>
      <c r="D842" s="4">
        <f>VLOOKUP(A842,'Datos generales'!A:L,6,0)</f>
        <v>450.36</v>
      </c>
      <c r="E842" s="4">
        <f>VLOOKUP(A842,'Datos generales'!A:L,12,0)</f>
        <v>450.36</v>
      </c>
      <c r="F842" s="4" t="str">
        <f>VLOOKUP(A842,'Datos generales'!A:L,7,0)</f>
        <v>Accesorios</v>
      </c>
      <c r="G842" s="4">
        <v>2024</v>
      </c>
    </row>
    <row r="843" spans="1:7" x14ac:dyDescent="0.25">
      <c r="A843" t="s">
        <v>53</v>
      </c>
      <c r="B843" s="4">
        <f>VLOOKUP(A843,'Datos generales'!A:L,5,0)</f>
        <v>2</v>
      </c>
      <c r="C843" s="4" t="str">
        <f>VLOOKUP(A843,'Datos generales'!A:L,4,0)</f>
        <v>Impresora</v>
      </c>
      <c r="D843" s="4">
        <f>VLOOKUP(A843,'Datos generales'!A:L,6,0)</f>
        <v>755.48</v>
      </c>
      <c r="E843" s="4">
        <f>VLOOKUP(A843,'Datos generales'!A:L,12,0)</f>
        <v>755.48</v>
      </c>
      <c r="F843" s="4" t="str">
        <f>VLOOKUP(A843,'Datos generales'!A:L,7,0)</f>
        <v>Electrónica</v>
      </c>
      <c r="G843" s="4">
        <v>2023</v>
      </c>
    </row>
    <row r="844" spans="1:7" x14ac:dyDescent="0.25">
      <c r="A844" t="s">
        <v>54</v>
      </c>
      <c r="B844" s="4">
        <f>VLOOKUP(A844,'Datos generales'!A:L,5,0)</f>
        <v>3</v>
      </c>
      <c r="C844" s="4" t="str">
        <f>VLOOKUP(A844,'Datos generales'!A:L,4,0)</f>
        <v>Teclado</v>
      </c>
      <c r="D844" s="4">
        <f>VLOOKUP(A844,'Datos generales'!A:L,6,0)</f>
        <v>1855.55</v>
      </c>
      <c r="E844" s="4">
        <f>VLOOKUP(A844,'Datos generales'!A:L,12,0)</f>
        <v>1855.55</v>
      </c>
      <c r="F844" s="4" t="str">
        <f>VLOOKUP(A844,'Datos generales'!A:L,7,0)</f>
        <v>Accesorios</v>
      </c>
      <c r="G844" s="4">
        <v>2024</v>
      </c>
    </row>
    <row r="845" spans="1:7" x14ac:dyDescent="0.25">
      <c r="A845" t="s">
        <v>55</v>
      </c>
      <c r="B845" s="4">
        <f>VLOOKUP(A845,'Datos generales'!A:L,5,0)</f>
        <v>5</v>
      </c>
      <c r="C845" s="4" t="str">
        <f>VLOOKUP(A845,'Datos generales'!A:L,4,0)</f>
        <v>Webcam</v>
      </c>
      <c r="D845" s="4">
        <f>VLOOKUP(A845,'Datos generales'!A:L,6,0)</f>
        <v>1011.75</v>
      </c>
      <c r="E845" s="4">
        <f>VLOOKUP(A845,'Datos generales'!A:L,12,0)</f>
        <v>1011.75</v>
      </c>
      <c r="F845" s="4" t="str">
        <f>VLOOKUP(A845,'Datos generales'!A:L,7,0)</f>
        <v>Accesorios</v>
      </c>
      <c r="G845" s="4">
        <v>2023</v>
      </c>
    </row>
    <row r="846" spans="1:7" x14ac:dyDescent="0.25">
      <c r="A846" t="s">
        <v>56</v>
      </c>
      <c r="B846" s="4">
        <f>VLOOKUP(A846,'Datos generales'!A:L,5,0)</f>
        <v>5</v>
      </c>
      <c r="C846" s="4" t="str">
        <f>VLOOKUP(A846,'Datos generales'!A:L,4,0)</f>
        <v>Teclado</v>
      </c>
      <c r="D846" s="4">
        <f>VLOOKUP(A846,'Datos generales'!A:L,6,0)</f>
        <v>1218.3399999999999</v>
      </c>
      <c r="E846" s="4">
        <f>VLOOKUP(A846,'Datos generales'!A:L,12,0)</f>
        <v>1218.3399999999999</v>
      </c>
      <c r="F846" s="4" t="str">
        <f>VLOOKUP(A846,'Datos generales'!A:L,7,0)</f>
        <v>Accesorios</v>
      </c>
      <c r="G846" s="4">
        <v>2023</v>
      </c>
    </row>
    <row r="847" spans="1:7" x14ac:dyDescent="0.25">
      <c r="A847" t="s">
        <v>57</v>
      </c>
      <c r="B847" s="4">
        <f>VLOOKUP(A847,'Datos generales'!A:L,5,0)</f>
        <v>2</v>
      </c>
      <c r="C847" s="4" t="str">
        <f>VLOOKUP(A847,'Datos generales'!A:L,4,0)</f>
        <v>Webcam</v>
      </c>
      <c r="D847" s="4">
        <f>VLOOKUP(A847,'Datos generales'!A:L,6,0)</f>
        <v>361.59</v>
      </c>
      <c r="E847" s="4">
        <f>VLOOKUP(A847,'Datos generales'!A:L,12,0)</f>
        <v>361.59</v>
      </c>
      <c r="F847" s="4" t="str">
        <f>VLOOKUP(A847,'Datos generales'!A:L,7,0)</f>
        <v>Accesorios</v>
      </c>
      <c r="G847" s="4">
        <v>2023</v>
      </c>
    </row>
    <row r="848" spans="1:7" x14ac:dyDescent="0.25">
      <c r="A848" t="s">
        <v>58</v>
      </c>
      <c r="B848" s="4">
        <f>VLOOKUP(A848,'Datos generales'!A:L,5,0)</f>
        <v>5</v>
      </c>
      <c r="C848" s="4" t="str">
        <f>VLOOKUP(A848,'Datos generales'!A:L,4,0)</f>
        <v>Teclado</v>
      </c>
      <c r="D848" s="4">
        <f>VLOOKUP(A848,'Datos generales'!A:L,6,0)</f>
        <v>958.8</v>
      </c>
      <c r="E848" s="4">
        <f>VLOOKUP(A848,'Datos generales'!A:L,12,0)</f>
        <v>958.8</v>
      </c>
      <c r="F848" s="4" t="str">
        <f>VLOOKUP(A848,'Datos generales'!A:L,7,0)</f>
        <v>Accesorios</v>
      </c>
      <c r="G848" s="4">
        <v>2023</v>
      </c>
    </row>
    <row r="849" spans="1:7" x14ac:dyDescent="0.25">
      <c r="A849" t="s">
        <v>59</v>
      </c>
      <c r="B849" s="4">
        <f>VLOOKUP(A849,'Datos generales'!A:L,5,0)</f>
        <v>5</v>
      </c>
      <c r="C849" s="4" t="str">
        <f>VLOOKUP(A849,'Datos generales'!A:L,4,0)</f>
        <v>Silla Gamer</v>
      </c>
      <c r="D849" s="4">
        <f>VLOOKUP(A849,'Datos generales'!A:L,6,0)</f>
        <v>1776.87</v>
      </c>
      <c r="E849" s="4">
        <f>VLOOKUP(A849,'Datos generales'!A:L,12,0)</f>
        <v>1776.87</v>
      </c>
      <c r="F849" s="4" t="str">
        <f>VLOOKUP(A849,'Datos generales'!A:L,7,0)</f>
        <v>Muebles</v>
      </c>
      <c r="G849" s="4">
        <v>2025</v>
      </c>
    </row>
    <row r="850" spans="1:7" x14ac:dyDescent="0.25">
      <c r="A850" t="s">
        <v>60</v>
      </c>
      <c r="B850" s="4">
        <f>VLOOKUP(A850,'Datos generales'!A:L,5,0)</f>
        <v>1</v>
      </c>
      <c r="C850" s="4" t="str">
        <f>VLOOKUP(A850,'Datos generales'!A:L,4,0)</f>
        <v>Audífonos</v>
      </c>
      <c r="D850" s="4">
        <f>VLOOKUP(A850,'Datos generales'!A:L,6,0)</f>
        <v>1467.34</v>
      </c>
      <c r="E850" s="4">
        <f>VLOOKUP(A850,'Datos generales'!A:L,12,0)</f>
        <v>1467.34</v>
      </c>
      <c r="F850" s="4" t="str">
        <f>VLOOKUP(A850,'Datos generales'!A:L,7,0)</f>
        <v>Accesorios</v>
      </c>
      <c r="G850" s="4">
        <v>2025</v>
      </c>
    </row>
    <row r="851" spans="1:7" x14ac:dyDescent="0.25">
      <c r="A851" t="s">
        <v>61</v>
      </c>
      <c r="B851" s="4">
        <f>VLOOKUP(A851,'Datos generales'!A:L,5,0)</f>
        <v>3</v>
      </c>
      <c r="C851" s="4" t="str">
        <f>VLOOKUP(A851,'Datos generales'!A:L,4,0)</f>
        <v>Silla Gamer</v>
      </c>
      <c r="D851" s="4">
        <f>VLOOKUP(A851,'Datos generales'!A:L,6,0)</f>
        <v>683.91</v>
      </c>
      <c r="E851" s="4">
        <f>VLOOKUP(A851,'Datos generales'!A:L,12,0)</f>
        <v>683.91</v>
      </c>
      <c r="F851" s="4" t="str">
        <f>VLOOKUP(A851,'Datos generales'!A:L,7,0)</f>
        <v>Muebles</v>
      </c>
      <c r="G851" s="4">
        <v>2025</v>
      </c>
    </row>
    <row r="852" spans="1:7" x14ac:dyDescent="0.25">
      <c r="A852" t="s">
        <v>62</v>
      </c>
      <c r="B852" s="4">
        <f>VLOOKUP(A852,'Datos generales'!A:L,5,0)</f>
        <v>1</v>
      </c>
      <c r="C852" s="4" t="str">
        <f>VLOOKUP(A852,'Datos generales'!A:L,4,0)</f>
        <v>Silla Gamer</v>
      </c>
      <c r="D852" s="4">
        <f>VLOOKUP(A852,'Datos generales'!A:L,6,0)</f>
        <v>1083.8599999999999</v>
      </c>
      <c r="E852" s="4">
        <f>VLOOKUP(A852,'Datos generales'!A:L,12,0)</f>
        <v>1083.8599999999999</v>
      </c>
      <c r="F852" s="4" t="str">
        <f>VLOOKUP(A852,'Datos generales'!A:L,7,0)</f>
        <v>Muebles</v>
      </c>
      <c r="G852" s="4">
        <v>2024</v>
      </c>
    </row>
    <row r="853" spans="1:7" x14ac:dyDescent="0.25">
      <c r="A853" t="s">
        <v>63</v>
      </c>
      <c r="B853" s="4">
        <f>VLOOKUP(A853,'Datos generales'!A:L,5,0)</f>
        <v>2</v>
      </c>
      <c r="C853" s="4" t="str">
        <f>VLOOKUP(A853,'Datos generales'!A:L,4,0)</f>
        <v>Monitor</v>
      </c>
      <c r="D853" s="4">
        <f>VLOOKUP(A853,'Datos generales'!A:L,6,0)</f>
        <v>1551.85</v>
      </c>
      <c r="E853" s="4">
        <f>VLOOKUP(A853,'Datos generales'!A:L,12,0)</f>
        <v>1551.85</v>
      </c>
      <c r="F853" s="4" t="str">
        <f>VLOOKUP(A853,'Datos generales'!A:L,7,0)</f>
        <v>Electrónica</v>
      </c>
      <c r="G853" s="4">
        <v>2023</v>
      </c>
    </row>
    <row r="854" spans="1:7" x14ac:dyDescent="0.25">
      <c r="A854" t="s">
        <v>64</v>
      </c>
      <c r="B854" s="4">
        <f>VLOOKUP(A854,'Datos generales'!A:L,5,0)</f>
        <v>5</v>
      </c>
      <c r="C854" s="4" t="str">
        <f>VLOOKUP(A854,'Datos generales'!A:L,4,0)</f>
        <v>Laptop</v>
      </c>
      <c r="D854" s="4">
        <f>VLOOKUP(A854,'Datos generales'!A:L,6,0)</f>
        <v>1368.27</v>
      </c>
      <c r="E854" s="4">
        <f>VLOOKUP(A854,'Datos generales'!A:L,12,0)</f>
        <v>1368.27</v>
      </c>
      <c r="F854" s="4" t="str">
        <f>VLOOKUP(A854,'Datos generales'!A:L,7,0)</f>
        <v>Electrónica</v>
      </c>
      <c r="G854" s="4">
        <v>2024</v>
      </c>
    </row>
    <row r="855" spans="1:7" x14ac:dyDescent="0.25">
      <c r="A855" t="s">
        <v>65</v>
      </c>
      <c r="B855" s="4">
        <f>VLOOKUP(A855,'Datos generales'!A:L,5,0)</f>
        <v>4</v>
      </c>
      <c r="C855" s="4" t="str">
        <f>VLOOKUP(A855,'Datos generales'!A:L,4,0)</f>
        <v>Laptop</v>
      </c>
      <c r="D855" s="4">
        <f>VLOOKUP(A855,'Datos generales'!A:L,6,0)</f>
        <v>1818.88</v>
      </c>
      <c r="E855" s="4">
        <f>VLOOKUP(A855,'Datos generales'!A:L,12,0)</f>
        <v>1818.88</v>
      </c>
      <c r="F855" s="4" t="str">
        <f>VLOOKUP(A855,'Datos generales'!A:L,7,0)</f>
        <v>Electrónica</v>
      </c>
      <c r="G855" s="4">
        <v>2024</v>
      </c>
    </row>
    <row r="856" spans="1:7" x14ac:dyDescent="0.25">
      <c r="A856" t="s">
        <v>66</v>
      </c>
      <c r="B856" s="4">
        <f>VLOOKUP(A856,'Datos generales'!A:L,5,0)</f>
        <v>4</v>
      </c>
      <c r="C856" s="4" t="str">
        <f>VLOOKUP(A856,'Datos generales'!A:L,4,0)</f>
        <v>Mouse</v>
      </c>
      <c r="D856" s="4">
        <f>VLOOKUP(A856,'Datos generales'!A:L,6,0)</f>
        <v>1601.32</v>
      </c>
      <c r="E856" s="4">
        <f>VLOOKUP(A856,'Datos generales'!A:L,12,0)</f>
        <v>1601.32</v>
      </c>
      <c r="F856" s="4" t="str">
        <f>VLOOKUP(A856,'Datos generales'!A:L,7,0)</f>
        <v>Accesorios</v>
      </c>
      <c r="G856" s="4">
        <v>2023</v>
      </c>
    </row>
    <row r="857" spans="1:7" x14ac:dyDescent="0.25">
      <c r="A857" t="s">
        <v>67</v>
      </c>
      <c r="B857" s="4">
        <f>VLOOKUP(A857,'Datos generales'!A:L,5,0)</f>
        <v>4</v>
      </c>
      <c r="C857" s="4" t="str">
        <f>VLOOKUP(A857,'Datos generales'!A:L,4,0)</f>
        <v>Teclado</v>
      </c>
      <c r="D857" s="4">
        <f>VLOOKUP(A857,'Datos generales'!A:L,6,0)</f>
        <v>177.79</v>
      </c>
      <c r="E857" s="4">
        <f>VLOOKUP(A857,'Datos generales'!A:L,12,0)</f>
        <v>177.79</v>
      </c>
      <c r="F857" s="4" t="str">
        <f>VLOOKUP(A857,'Datos generales'!A:L,7,0)</f>
        <v>Accesorios</v>
      </c>
      <c r="G857" s="4">
        <v>2023</v>
      </c>
    </row>
    <row r="858" spans="1:7" x14ac:dyDescent="0.25">
      <c r="A858" t="s">
        <v>68</v>
      </c>
      <c r="B858" s="4">
        <f>VLOOKUP(A858,'Datos generales'!A:L,5,0)</f>
        <v>1</v>
      </c>
      <c r="C858" s="4" t="str">
        <f>VLOOKUP(A858,'Datos generales'!A:L,4,0)</f>
        <v>Teclado</v>
      </c>
      <c r="D858" s="4">
        <f>VLOOKUP(A858,'Datos generales'!A:L,6,0)</f>
        <v>83.48</v>
      </c>
      <c r="E858" s="4">
        <f>VLOOKUP(A858,'Datos generales'!A:L,12,0)</f>
        <v>83.48</v>
      </c>
      <c r="F858" s="4" t="str">
        <f>VLOOKUP(A858,'Datos generales'!A:L,7,0)</f>
        <v>Accesorios</v>
      </c>
      <c r="G858" s="4">
        <v>2023</v>
      </c>
    </row>
    <row r="859" spans="1:7" x14ac:dyDescent="0.25">
      <c r="A859" t="s">
        <v>69</v>
      </c>
      <c r="B859" s="4">
        <f>VLOOKUP(A859,'Datos generales'!A:L,5,0)</f>
        <v>1</v>
      </c>
      <c r="C859" s="4" t="str">
        <f>VLOOKUP(A859,'Datos generales'!A:L,4,0)</f>
        <v>Audífonos</v>
      </c>
      <c r="D859" s="4">
        <f>VLOOKUP(A859,'Datos generales'!A:L,6,0)</f>
        <v>1372.72</v>
      </c>
      <c r="E859" s="4">
        <f>VLOOKUP(A859,'Datos generales'!A:L,12,0)</f>
        <v>1372.72</v>
      </c>
      <c r="F859" s="4" t="str">
        <f>VLOOKUP(A859,'Datos generales'!A:L,7,0)</f>
        <v>Accesorios</v>
      </c>
      <c r="G859" s="4">
        <v>2023</v>
      </c>
    </row>
    <row r="860" spans="1:7" x14ac:dyDescent="0.25">
      <c r="A860" t="s">
        <v>70</v>
      </c>
      <c r="B860" s="4">
        <f>VLOOKUP(A860,'Datos generales'!A:L,5,0)</f>
        <v>1</v>
      </c>
      <c r="C860" s="4" t="str">
        <f>VLOOKUP(A860,'Datos generales'!A:L,4,0)</f>
        <v>Monitor</v>
      </c>
      <c r="D860" s="4">
        <f>VLOOKUP(A860,'Datos generales'!A:L,6,0)</f>
        <v>1618.91</v>
      </c>
      <c r="E860" s="4">
        <f>VLOOKUP(A860,'Datos generales'!A:L,12,0)</f>
        <v>1618.91</v>
      </c>
      <c r="F860" s="4" t="str">
        <f>VLOOKUP(A860,'Datos generales'!A:L,7,0)</f>
        <v>Electrónica</v>
      </c>
      <c r="G860" s="4">
        <v>2024</v>
      </c>
    </row>
    <row r="861" spans="1:7" x14ac:dyDescent="0.25">
      <c r="A861" t="s">
        <v>71</v>
      </c>
      <c r="B861" s="4">
        <f>VLOOKUP(A861,'Datos generales'!A:L,5,0)</f>
        <v>4</v>
      </c>
      <c r="C861" s="4" t="str">
        <f>VLOOKUP(A861,'Datos generales'!A:L,4,0)</f>
        <v>Impresora</v>
      </c>
      <c r="D861" s="4">
        <f>VLOOKUP(A861,'Datos generales'!A:L,6,0)</f>
        <v>530.65</v>
      </c>
      <c r="E861" s="4">
        <f>VLOOKUP(A861,'Datos generales'!A:L,12,0)</f>
        <v>530.65</v>
      </c>
      <c r="F861" s="4" t="str">
        <f>VLOOKUP(A861,'Datos generales'!A:L,7,0)</f>
        <v>Electrónica</v>
      </c>
      <c r="G861" s="4">
        <v>2024</v>
      </c>
    </row>
    <row r="862" spans="1:7" x14ac:dyDescent="0.25">
      <c r="A862" t="s">
        <v>72</v>
      </c>
      <c r="B862" s="4">
        <f>VLOOKUP(A862,'Datos generales'!A:L,5,0)</f>
        <v>5</v>
      </c>
      <c r="C862" s="4" t="str">
        <f>VLOOKUP(A862,'Datos generales'!A:L,4,0)</f>
        <v>Webcam</v>
      </c>
      <c r="D862" s="4">
        <f>VLOOKUP(A862,'Datos generales'!A:L,6,0)</f>
        <v>418.83</v>
      </c>
      <c r="E862" s="4">
        <f>VLOOKUP(A862,'Datos generales'!A:L,12,0)</f>
        <v>418.83</v>
      </c>
      <c r="F862" s="4" t="str">
        <f>VLOOKUP(A862,'Datos generales'!A:L,7,0)</f>
        <v>Accesorios</v>
      </c>
      <c r="G862" s="4">
        <v>2024</v>
      </c>
    </row>
    <row r="863" spans="1:7" x14ac:dyDescent="0.25">
      <c r="A863" t="s">
        <v>73</v>
      </c>
      <c r="B863" s="4">
        <f>VLOOKUP(A863,'Datos generales'!A:L,5,0)</f>
        <v>3</v>
      </c>
      <c r="C863" s="4" t="str">
        <f>VLOOKUP(A863,'Datos generales'!A:L,4,0)</f>
        <v>Silla Gamer</v>
      </c>
      <c r="D863" s="4">
        <f>VLOOKUP(A863,'Datos generales'!A:L,6,0)</f>
        <v>664.98</v>
      </c>
      <c r="E863" s="4">
        <f>VLOOKUP(A863,'Datos generales'!A:L,12,0)</f>
        <v>664.98</v>
      </c>
      <c r="F863" s="4" t="str">
        <f>VLOOKUP(A863,'Datos generales'!A:L,7,0)</f>
        <v>Muebles</v>
      </c>
      <c r="G863" s="4">
        <v>2025</v>
      </c>
    </row>
    <row r="864" spans="1:7" x14ac:dyDescent="0.25">
      <c r="A864" t="s">
        <v>74</v>
      </c>
      <c r="B864" s="4">
        <f>VLOOKUP(A864,'Datos generales'!A:L,5,0)</f>
        <v>1</v>
      </c>
      <c r="C864" s="4" t="str">
        <f>VLOOKUP(A864,'Datos generales'!A:L,4,0)</f>
        <v>Laptop</v>
      </c>
      <c r="D864" s="4">
        <f>VLOOKUP(A864,'Datos generales'!A:L,6,0)</f>
        <v>1322.41</v>
      </c>
      <c r="E864" s="4">
        <f>VLOOKUP(A864,'Datos generales'!A:L,12,0)</f>
        <v>1322.41</v>
      </c>
      <c r="F864" s="4" t="str">
        <f>VLOOKUP(A864,'Datos generales'!A:L,7,0)</f>
        <v>Electrónica</v>
      </c>
      <c r="G864" s="4">
        <v>2024</v>
      </c>
    </row>
    <row r="865" spans="1:7" x14ac:dyDescent="0.25">
      <c r="A865" t="s">
        <v>75</v>
      </c>
      <c r="B865" s="4">
        <f>VLOOKUP(A865,'Datos generales'!A:L,5,0)</f>
        <v>4</v>
      </c>
      <c r="C865" s="4" t="str">
        <f>VLOOKUP(A865,'Datos generales'!A:L,4,0)</f>
        <v>Monitor</v>
      </c>
      <c r="D865" s="4">
        <f>VLOOKUP(A865,'Datos generales'!A:L,6,0)</f>
        <v>1467.27</v>
      </c>
      <c r="E865" s="4">
        <f>VLOOKUP(A865,'Datos generales'!A:L,12,0)</f>
        <v>1467.27</v>
      </c>
      <c r="F865" s="4" t="str">
        <f>VLOOKUP(A865,'Datos generales'!A:L,7,0)</f>
        <v>Electrónica</v>
      </c>
      <c r="G865" s="4">
        <v>2023</v>
      </c>
    </row>
    <row r="866" spans="1:7" x14ac:dyDescent="0.25">
      <c r="A866" t="s">
        <v>76</v>
      </c>
      <c r="B866" s="4">
        <f>VLOOKUP(A866,'Datos generales'!A:L,5,0)</f>
        <v>4</v>
      </c>
      <c r="C866" s="4" t="str">
        <f>VLOOKUP(A866,'Datos generales'!A:L,4,0)</f>
        <v>Impresora</v>
      </c>
      <c r="D866" s="4">
        <f>VLOOKUP(A866,'Datos generales'!A:L,6,0)</f>
        <v>1804.12</v>
      </c>
      <c r="E866" s="4">
        <f>VLOOKUP(A866,'Datos generales'!A:L,12,0)</f>
        <v>1804.12</v>
      </c>
      <c r="F866" s="4" t="str">
        <f>VLOOKUP(A866,'Datos generales'!A:L,7,0)</f>
        <v>Electrónica</v>
      </c>
      <c r="G866" s="4">
        <v>2024</v>
      </c>
    </row>
    <row r="867" spans="1:7" x14ac:dyDescent="0.25">
      <c r="A867" t="s">
        <v>77</v>
      </c>
      <c r="B867" s="4">
        <f>VLOOKUP(A867,'Datos generales'!A:L,5,0)</f>
        <v>1</v>
      </c>
      <c r="C867" s="4" t="str">
        <f>VLOOKUP(A867,'Datos generales'!A:L,4,0)</f>
        <v>Audífonos</v>
      </c>
      <c r="D867" s="4">
        <f>VLOOKUP(A867,'Datos generales'!A:L,6,0)</f>
        <v>1172.72</v>
      </c>
      <c r="E867" s="4">
        <f>VLOOKUP(A867,'Datos generales'!A:L,12,0)</f>
        <v>1172.72</v>
      </c>
      <c r="F867" s="4" t="str">
        <f>VLOOKUP(A867,'Datos generales'!A:L,7,0)</f>
        <v>Accesorios</v>
      </c>
      <c r="G867" s="4">
        <v>2024</v>
      </c>
    </row>
    <row r="868" spans="1:7" x14ac:dyDescent="0.25">
      <c r="A868" t="s">
        <v>78</v>
      </c>
      <c r="B868" s="4">
        <f>VLOOKUP(A868,'Datos generales'!A:L,5,0)</f>
        <v>1</v>
      </c>
      <c r="C868" s="4" t="str">
        <f>VLOOKUP(A868,'Datos generales'!A:L,4,0)</f>
        <v>Mouse</v>
      </c>
      <c r="D868" s="4">
        <f>VLOOKUP(A868,'Datos generales'!A:L,6,0)</f>
        <v>725.07</v>
      </c>
      <c r="E868" s="4">
        <f>VLOOKUP(A868,'Datos generales'!A:L,12,0)</f>
        <v>725.07</v>
      </c>
      <c r="F868" s="4" t="str">
        <f>VLOOKUP(A868,'Datos generales'!A:L,7,0)</f>
        <v>Accesorios</v>
      </c>
      <c r="G868" s="4">
        <v>2023</v>
      </c>
    </row>
    <row r="869" spans="1:7" x14ac:dyDescent="0.25">
      <c r="A869" t="s">
        <v>79</v>
      </c>
      <c r="B869" s="4">
        <f>VLOOKUP(A869,'Datos generales'!A:L,5,0)</f>
        <v>5</v>
      </c>
      <c r="C869" s="4" t="str">
        <f>VLOOKUP(A869,'Datos generales'!A:L,4,0)</f>
        <v>Monitor</v>
      </c>
      <c r="D869" s="4">
        <f>VLOOKUP(A869,'Datos generales'!A:L,6,0)</f>
        <v>563.69000000000005</v>
      </c>
      <c r="E869" s="4">
        <f>VLOOKUP(A869,'Datos generales'!A:L,12,0)</f>
        <v>563.69000000000005</v>
      </c>
      <c r="F869" s="4" t="str">
        <f>VLOOKUP(A869,'Datos generales'!A:L,7,0)</f>
        <v>Electrónica</v>
      </c>
      <c r="G869" s="4">
        <v>2025</v>
      </c>
    </row>
    <row r="870" spans="1:7" x14ac:dyDescent="0.25">
      <c r="A870" t="s">
        <v>80</v>
      </c>
      <c r="B870" s="4">
        <f>VLOOKUP(A870,'Datos generales'!A:L,5,0)</f>
        <v>5</v>
      </c>
      <c r="C870" s="4" t="str">
        <f>VLOOKUP(A870,'Datos generales'!A:L,4,0)</f>
        <v>Audífonos</v>
      </c>
      <c r="D870" s="4">
        <f>VLOOKUP(A870,'Datos generales'!A:L,6,0)</f>
        <v>1547.41</v>
      </c>
      <c r="E870" s="4">
        <f>VLOOKUP(A870,'Datos generales'!A:L,12,0)</f>
        <v>1547.41</v>
      </c>
      <c r="F870" s="4" t="str">
        <f>VLOOKUP(A870,'Datos generales'!A:L,7,0)</f>
        <v>Accesorios</v>
      </c>
      <c r="G870" s="4">
        <v>2023</v>
      </c>
    </row>
    <row r="871" spans="1:7" x14ac:dyDescent="0.25">
      <c r="A871" t="s">
        <v>81</v>
      </c>
      <c r="B871" s="4">
        <f>VLOOKUP(A871,'Datos generales'!A:L,5,0)</f>
        <v>2</v>
      </c>
      <c r="C871" s="4" t="str">
        <f>VLOOKUP(A871,'Datos generales'!A:L,4,0)</f>
        <v>Webcam</v>
      </c>
      <c r="D871" s="4">
        <f>VLOOKUP(A871,'Datos generales'!A:L,6,0)</f>
        <v>1903.65</v>
      </c>
      <c r="E871" s="4">
        <f>VLOOKUP(A871,'Datos generales'!A:L,12,0)</f>
        <v>1903.65</v>
      </c>
      <c r="F871" s="4" t="str">
        <f>VLOOKUP(A871,'Datos generales'!A:L,7,0)</f>
        <v>Accesorios</v>
      </c>
      <c r="G871" s="4">
        <v>2023</v>
      </c>
    </row>
    <row r="872" spans="1:7" x14ac:dyDescent="0.25">
      <c r="A872" t="s">
        <v>82</v>
      </c>
      <c r="B872" s="4">
        <f>VLOOKUP(A872,'Datos generales'!A:L,5,0)</f>
        <v>2</v>
      </c>
      <c r="C872" s="4" t="str">
        <f>VLOOKUP(A872,'Datos generales'!A:L,4,0)</f>
        <v>Impresora</v>
      </c>
      <c r="D872" s="4">
        <f>VLOOKUP(A872,'Datos generales'!A:L,6,0)</f>
        <v>1198.2</v>
      </c>
      <c r="E872" s="4">
        <f>VLOOKUP(A872,'Datos generales'!A:L,12,0)</f>
        <v>1198.2</v>
      </c>
      <c r="F872" s="4" t="str">
        <f>VLOOKUP(A872,'Datos generales'!A:L,7,0)</f>
        <v>Electrónica</v>
      </c>
      <c r="G872" s="4">
        <v>2024</v>
      </c>
    </row>
    <row r="873" spans="1:7" x14ac:dyDescent="0.25">
      <c r="A873" t="s">
        <v>83</v>
      </c>
      <c r="B873" s="4">
        <f>VLOOKUP(A873,'Datos generales'!A:L,5,0)</f>
        <v>3</v>
      </c>
      <c r="C873" s="4" t="str">
        <f>VLOOKUP(A873,'Datos generales'!A:L,4,0)</f>
        <v>Teclado</v>
      </c>
      <c r="D873" s="4">
        <f>VLOOKUP(A873,'Datos generales'!A:L,6,0)</f>
        <v>543.72</v>
      </c>
      <c r="E873" s="4">
        <f>VLOOKUP(A873,'Datos generales'!A:L,12,0)</f>
        <v>543.72</v>
      </c>
      <c r="F873" s="4" t="str">
        <f>VLOOKUP(A873,'Datos generales'!A:L,7,0)</f>
        <v>Accesorios</v>
      </c>
      <c r="G873" s="4">
        <v>2025</v>
      </c>
    </row>
    <row r="874" spans="1:7" x14ac:dyDescent="0.25">
      <c r="A874" t="s">
        <v>84</v>
      </c>
      <c r="B874" s="4">
        <f>VLOOKUP(A874,'Datos generales'!A:L,5,0)</f>
        <v>2</v>
      </c>
      <c r="C874" s="4" t="str">
        <f>VLOOKUP(A874,'Datos generales'!A:L,4,0)</f>
        <v>Webcam</v>
      </c>
      <c r="D874" s="4">
        <f>VLOOKUP(A874,'Datos generales'!A:L,6,0)</f>
        <v>1449.53</v>
      </c>
      <c r="E874" s="4">
        <f>VLOOKUP(A874,'Datos generales'!A:L,12,0)</f>
        <v>1449.53</v>
      </c>
      <c r="F874" s="4" t="str">
        <f>VLOOKUP(A874,'Datos generales'!A:L,7,0)</f>
        <v>Accesorios</v>
      </c>
      <c r="G874" s="4">
        <v>2023</v>
      </c>
    </row>
    <row r="875" spans="1:7" x14ac:dyDescent="0.25">
      <c r="A875" t="s">
        <v>85</v>
      </c>
      <c r="B875" s="4">
        <f>VLOOKUP(A875,'Datos generales'!A:L,5,0)</f>
        <v>5</v>
      </c>
      <c r="C875" s="4" t="str">
        <f>VLOOKUP(A875,'Datos generales'!A:L,4,0)</f>
        <v>Silla Gamer</v>
      </c>
      <c r="D875" s="4">
        <f>VLOOKUP(A875,'Datos generales'!A:L,6,0)</f>
        <v>472.42</v>
      </c>
      <c r="E875" s="4">
        <f>VLOOKUP(A875,'Datos generales'!A:L,12,0)</f>
        <v>472.42</v>
      </c>
      <c r="F875" s="4" t="str">
        <f>VLOOKUP(A875,'Datos generales'!A:L,7,0)</f>
        <v>Muebles</v>
      </c>
      <c r="G875" s="4">
        <v>2024</v>
      </c>
    </row>
    <row r="876" spans="1:7" x14ac:dyDescent="0.25">
      <c r="A876" t="s">
        <v>86</v>
      </c>
      <c r="B876" s="4">
        <f>VLOOKUP(A876,'Datos generales'!A:L,5,0)</f>
        <v>3</v>
      </c>
      <c r="C876" s="4" t="str">
        <f>VLOOKUP(A876,'Datos generales'!A:L,4,0)</f>
        <v>Audífonos</v>
      </c>
      <c r="D876" s="4">
        <f>VLOOKUP(A876,'Datos generales'!A:L,6,0)</f>
        <v>367.9</v>
      </c>
      <c r="E876" s="4">
        <f>VLOOKUP(A876,'Datos generales'!A:L,12,0)</f>
        <v>367.89999999999992</v>
      </c>
      <c r="F876" s="4" t="str">
        <f>VLOOKUP(A876,'Datos generales'!A:L,7,0)</f>
        <v>Accesorios</v>
      </c>
      <c r="G876" s="4">
        <v>2023</v>
      </c>
    </row>
    <row r="877" spans="1:7" x14ac:dyDescent="0.25">
      <c r="A877" t="s">
        <v>87</v>
      </c>
      <c r="B877" s="4">
        <f>VLOOKUP(A877,'Datos generales'!A:L,5,0)</f>
        <v>5</v>
      </c>
      <c r="C877" s="4" t="str">
        <f>VLOOKUP(A877,'Datos generales'!A:L,4,0)</f>
        <v>Audífonos</v>
      </c>
      <c r="D877" s="4">
        <f>VLOOKUP(A877,'Datos generales'!A:L,6,0)</f>
        <v>739.51</v>
      </c>
      <c r="E877" s="4">
        <f>VLOOKUP(A877,'Datos generales'!A:L,12,0)</f>
        <v>739.51</v>
      </c>
      <c r="F877" s="4" t="str">
        <f>VLOOKUP(A877,'Datos generales'!A:L,7,0)</f>
        <v>Accesorios</v>
      </c>
      <c r="G877" s="4">
        <v>2025</v>
      </c>
    </row>
    <row r="878" spans="1:7" x14ac:dyDescent="0.25">
      <c r="A878" t="s">
        <v>88</v>
      </c>
      <c r="B878" s="4">
        <f>VLOOKUP(A878,'Datos generales'!A:L,5,0)</f>
        <v>2</v>
      </c>
      <c r="C878" s="4" t="str">
        <f>VLOOKUP(A878,'Datos generales'!A:L,4,0)</f>
        <v>Laptop</v>
      </c>
      <c r="D878" s="4">
        <f>VLOOKUP(A878,'Datos generales'!A:L,6,0)</f>
        <v>1089.1300000000001</v>
      </c>
      <c r="E878" s="4">
        <f>VLOOKUP(A878,'Datos generales'!A:L,12,0)</f>
        <v>1089.1300000000001</v>
      </c>
      <c r="F878" s="4" t="str">
        <f>VLOOKUP(A878,'Datos generales'!A:L,7,0)</f>
        <v>Electrónica</v>
      </c>
      <c r="G878" s="4">
        <v>2023</v>
      </c>
    </row>
    <row r="879" spans="1:7" x14ac:dyDescent="0.25">
      <c r="A879" t="s">
        <v>89</v>
      </c>
      <c r="B879" s="4">
        <f>VLOOKUP(A879,'Datos generales'!A:L,5,0)</f>
        <v>5</v>
      </c>
      <c r="C879" s="4" t="str">
        <f>VLOOKUP(A879,'Datos generales'!A:L,4,0)</f>
        <v>Webcam</v>
      </c>
      <c r="D879" s="4">
        <f>VLOOKUP(A879,'Datos generales'!A:L,6,0)</f>
        <v>1632.75</v>
      </c>
      <c r="E879" s="4">
        <f>VLOOKUP(A879,'Datos generales'!A:L,12,0)</f>
        <v>1632.75</v>
      </c>
      <c r="F879" s="4" t="str">
        <f>VLOOKUP(A879,'Datos generales'!A:L,7,0)</f>
        <v>Accesorios</v>
      </c>
      <c r="G879" s="4">
        <v>2024</v>
      </c>
    </row>
    <row r="880" spans="1:7" x14ac:dyDescent="0.25">
      <c r="A880" t="s">
        <v>90</v>
      </c>
      <c r="B880" s="4">
        <f>VLOOKUP(A880,'Datos generales'!A:L,5,0)</f>
        <v>3</v>
      </c>
      <c r="C880" s="4" t="str">
        <f>VLOOKUP(A880,'Datos generales'!A:L,4,0)</f>
        <v>Monitor</v>
      </c>
      <c r="D880" s="4">
        <f>VLOOKUP(A880,'Datos generales'!A:L,6,0)</f>
        <v>817.35</v>
      </c>
      <c r="E880" s="4">
        <f>VLOOKUP(A880,'Datos generales'!A:L,12,0)</f>
        <v>817.35</v>
      </c>
      <c r="F880" s="4" t="str">
        <f>VLOOKUP(A880,'Datos generales'!A:L,7,0)</f>
        <v>Electrónica</v>
      </c>
      <c r="G880" s="4">
        <v>2023</v>
      </c>
    </row>
    <row r="881" spans="1:7" x14ac:dyDescent="0.25">
      <c r="A881" t="s">
        <v>91</v>
      </c>
      <c r="B881" s="4">
        <f>VLOOKUP(A881,'Datos generales'!A:L,5,0)</f>
        <v>2</v>
      </c>
      <c r="C881" s="4" t="str">
        <f>VLOOKUP(A881,'Datos generales'!A:L,4,0)</f>
        <v>Teclado</v>
      </c>
      <c r="D881" s="4">
        <f>VLOOKUP(A881,'Datos generales'!A:L,6,0)</f>
        <v>1186.58</v>
      </c>
      <c r="E881" s="4">
        <f>VLOOKUP(A881,'Datos generales'!A:L,12,0)</f>
        <v>1186.58</v>
      </c>
      <c r="F881" s="4" t="str">
        <f>VLOOKUP(A881,'Datos generales'!A:L,7,0)</f>
        <v>Accesorios</v>
      </c>
      <c r="G881" s="4">
        <v>2024</v>
      </c>
    </row>
    <row r="882" spans="1:7" x14ac:dyDescent="0.25">
      <c r="A882" t="s">
        <v>92</v>
      </c>
      <c r="B882" s="4">
        <f>VLOOKUP(A882,'Datos generales'!A:L,5,0)</f>
        <v>2</v>
      </c>
      <c r="C882" s="4" t="str">
        <f>VLOOKUP(A882,'Datos generales'!A:L,4,0)</f>
        <v>Impresora</v>
      </c>
      <c r="D882" s="4">
        <f>VLOOKUP(A882,'Datos generales'!A:L,6,0)</f>
        <v>1872.8</v>
      </c>
      <c r="E882" s="4">
        <f>VLOOKUP(A882,'Datos generales'!A:L,12,0)</f>
        <v>1872.8</v>
      </c>
      <c r="F882" s="4" t="str">
        <f>VLOOKUP(A882,'Datos generales'!A:L,7,0)</f>
        <v>Electrónica</v>
      </c>
      <c r="G882" s="4">
        <v>2023</v>
      </c>
    </row>
    <row r="883" spans="1:7" x14ac:dyDescent="0.25">
      <c r="A883" t="s">
        <v>93</v>
      </c>
      <c r="B883" s="4">
        <f>VLOOKUP(A883,'Datos generales'!A:L,5,0)</f>
        <v>3</v>
      </c>
      <c r="C883" s="4" t="str">
        <f>VLOOKUP(A883,'Datos generales'!A:L,4,0)</f>
        <v>Silla Gamer</v>
      </c>
      <c r="D883" s="4">
        <f>VLOOKUP(A883,'Datos generales'!A:L,6,0)</f>
        <v>680.19</v>
      </c>
      <c r="E883" s="4">
        <f>VLOOKUP(A883,'Datos generales'!A:L,12,0)</f>
        <v>680.19</v>
      </c>
      <c r="F883" s="4" t="str">
        <f>VLOOKUP(A883,'Datos generales'!A:L,7,0)</f>
        <v>Muebles</v>
      </c>
      <c r="G883" s="4">
        <v>2023</v>
      </c>
    </row>
    <row r="884" spans="1:7" x14ac:dyDescent="0.25">
      <c r="A884" t="s">
        <v>94</v>
      </c>
      <c r="B884" s="4">
        <f>VLOOKUP(A884,'Datos generales'!A:L,5,0)</f>
        <v>4</v>
      </c>
      <c r="C884" s="4" t="str">
        <f>VLOOKUP(A884,'Datos generales'!A:L,4,0)</f>
        <v>Webcam</v>
      </c>
      <c r="D884" s="4">
        <f>VLOOKUP(A884,'Datos generales'!A:L,6,0)</f>
        <v>262.82</v>
      </c>
      <c r="E884" s="4">
        <f>VLOOKUP(A884,'Datos generales'!A:L,12,0)</f>
        <v>262.82</v>
      </c>
      <c r="F884" s="4" t="str">
        <f>VLOOKUP(A884,'Datos generales'!A:L,7,0)</f>
        <v>Accesorios</v>
      </c>
      <c r="G884" s="4">
        <v>2023</v>
      </c>
    </row>
    <row r="885" spans="1:7" x14ac:dyDescent="0.25">
      <c r="A885" t="s">
        <v>95</v>
      </c>
      <c r="B885" s="4">
        <f>VLOOKUP(A885,'Datos generales'!A:L,5,0)</f>
        <v>4</v>
      </c>
      <c r="C885" s="4" t="str">
        <f>VLOOKUP(A885,'Datos generales'!A:L,4,0)</f>
        <v>Impresora</v>
      </c>
      <c r="D885" s="4">
        <f>VLOOKUP(A885,'Datos generales'!A:L,6,0)</f>
        <v>1531.75</v>
      </c>
      <c r="E885" s="4">
        <f>VLOOKUP(A885,'Datos generales'!A:L,12,0)</f>
        <v>1531.75</v>
      </c>
      <c r="F885" s="4" t="str">
        <f>VLOOKUP(A885,'Datos generales'!A:L,7,0)</f>
        <v>Electrónica</v>
      </c>
      <c r="G885" s="4">
        <v>2025</v>
      </c>
    </row>
    <row r="886" spans="1:7" x14ac:dyDescent="0.25">
      <c r="A886" t="s">
        <v>96</v>
      </c>
      <c r="B886" s="4">
        <f>VLOOKUP(A886,'Datos generales'!A:L,5,0)</f>
        <v>1</v>
      </c>
      <c r="C886" s="4" t="str">
        <f>VLOOKUP(A886,'Datos generales'!A:L,4,0)</f>
        <v>Impresora</v>
      </c>
      <c r="D886" s="4">
        <f>VLOOKUP(A886,'Datos generales'!A:L,6,0)</f>
        <v>503.84</v>
      </c>
      <c r="E886" s="4">
        <f>VLOOKUP(A886,'Datos generales'!A:L,12,0)</f>
        <v>503.84</v>
      </c>
      <c r="F886" s="4" t="str">
        <f>VLOOKUP(A886,'Datos generales'!A:L,7,0)</f>
        <v>Electrónica</v>
      </c>
      <c r="G886" s="4">
        <v>2023</v>
      </c>
    </row>
    <row r="887" spans="1:7" x14ac:dyDescent="0.25">
      <c r="A887" t="s">
        <v>97</v>
      </c>
      <c r="B887" s="4">
        <f>VLOOKUP(A887,'Datos generales'!A:L,5,0)</f>
        <v>4</v>
      </c>
      <c r="C887" s="4" t="str">
        <f>VLOOKUP(A887,'Datos generales'!A:L,4,0)</f>
        <v>Laptop</v>
      </c>
      <c r="D887" s="4">
        <f>VLOOKUP(A887,'Datos generales'!A:L,6,0)</f>
        <v>1908.41</v>
      </c>
      <c r="E887" s="4">
        <f>VLOOKUP(A887,'Datos generales'!A:L,12,0)</f>
        <v>1908.41</v>
      </c>
      <c r="F887" s="4" t="str">
        <f>VLOOKUP(A887,'Datos generales'!A:L,7,0)</f>
        <v>Electrónica</v>
      </c>
      <c r="G887" s="4">
        <v>2024</v>
      </c>
    </row>
    <row r="888" spans="1:7" x14ac:dyDescent="0.25">
      <c r="A888" t="s">
        <v>98</v>
      </c>
      <c r="B888" s="4">
        <f>VLOOKUP(A888,'Datos generales'!A:L,5,0)</f>
        <v>2</v>
      </c>
      <c r="C888" s="4" t="str">
        <f>VLOOKUP(A888,'Datos generales'!A:L,4,0)</f>
        <v>Impresora</v>
      </c>
      <c r="D888" s="4">
        <f>VLOOKUP(A888,'Datos generales'!A:L,6,0)</f>
        <v>114.6</v>
      </c>
      <c r="E888" s="4">
        <f>VLOOKUP(A888,'Datos generales'!A:L,12,0)</f>
        <v>114.6</v>
      </c>
      <c r="F888" s="4" t="str">
        <f>VLOOKUP(A888,'Datos generales'!A:L,7,0)</f>
        <v>Electrónica</v>
      </c>
      <c r="G888" s="4">
        <v>2024</v>
      </c>
    </row>
    <row r="889" spans="1:7" x14ac:dyDescent="0.25">
      <c r="A889" t="s">
        <v>99</v>
      </c>
      <c r="B889" s="4">
        <f>VLOOKUP(A889,'Datos generales'!A:L,5,0)</f>
        <v>2</v>
      </c>
      <c r="C889" s="4" t="str">
        <f>VLOOKUP(A889,'Datos generales'!A:L,4,0)</f>
        <v>Impresora</v>
      </c>
      <c r="D889" s="4">
        <f>VLOOKUP(A889,'Datos generales'!A:L,6,0)</f>
        <v>595.78</v>
      </c>
      <c r="E889" s="4">
        <f>VLOOKUP(A889,'Datos generales'!A:L,12,0)</f>
        <v>595.78</v>
      </c>
      <c r="F889" s="4" t="str">
        <f>VLOOKUP(A889,'Datos generales'!A:L,7,0)</f>
        <v>Electrónica</v>
      </c>
      <c r="G889" s="4">
        <v>2023</v>
      </c>
    </row>
    <row r="890" spans="1:7" x14ac:dyDescent="0.25">
      <c r="A890" t="s">
        <v>100</v>
      </c>
      <c r="B890" s="4">
        <f>VLOOKUP(A890,'Datos generales'!A:L,5,0)</f>
        <v>2</v>
      </c>
      <c r="C890" s="4" t="str">
        <f>VLOOKUP(A890,'Datos generales'!A:L,4,0)</f>
        <v>Laptop</v>
      </c>
      <c r="D890" s="4">
        <f>VLOOKUP(A890,'Datos generales'!A:L,6,0)</f>
        <v>75.02</v>
      </c>
      <c r="E890" s="4">
        <f>VLOOKUP(A890,'Datos generales'!A:L,12,0)</f>
        <v>75.02</v>
      </c>
      <c r="F890" s="4" t="str">
        <f>VLOOKUP(A890,'Datos generales'!A:L,7,0)</f>
        <v>Electrónica</v>
      </c>
      <c r="G890" s="4">
        <v>2024</v>
      </c>
    </row>
    <row r="891" spans="1:7" x14ac:dyDescent="0.25">
      <c r="A891" t="s">
        <v>101</v>
      </c>
      <c r="B891" s="4">
        <f>VLOOKUP(A891,'Datos generales'!A:L,5,0)</f>
        <v>5</v>
      </c>
      <c r="C891" s="4" t="str">
        <f>VLOOKUP(A891,'Datos generales'!A:L,4,0)</f>
        <v>Webcam</v>
      </c>
      <c r="D891" s="4">
        <f>VLOOKUP(A891,'Datos generales'!A:L,6,0)</f>
        <v>540.91999999999996</v>
      </c>
      <c r="E891" s="4">
        <f>VLOOKUP(A891,'Datos generales'!A:L,12,0)</f>
        <v>540.91999999999996</v>
      </c>
      <c r="F891" s="4" t="str">
        <f>VLOOKUP(A891,'Datos generales'!A:L,7,0)</f>
        <v>Accesorios</v>
      </c>
      <c r="G891" s="4">
        <v>2024</v>
      </c>
    </row>
    <row r="892" spans="1:7" x14ac:dyDescent="0.25">
      <c r="A892" t="s">
        <v>102</v>
      </c>
      <c r="B892" s="4">
        <f>VLOOKUP(A892,'Datos generales'!A:L,5,0)</f>
        <v>2</v>
      </c>
      <c r="C892" s="4" t="str">
        <f>VLOOKUP(A892,'Datos generales'!A:L,4,0)</f>
        <v>Monitor</v>
      </c>
      <c r="D892" s="4">
        <f>VLOOKUP(A892,'Datos generales'!A:L,6,0)</f>
        <v>356.91</v>
      </c>
      <c r="E892" s="4">
        <f>VLOOKUP(A892,'Datos generales'!A:L,12,0)</f>
        <v>356.91</v>
      </c>
      <c r="F892" s="4" t="str">
        <f>VLOOKUP(A892,'Datos generales'!A:L,7,0)</f>
        <v>Electrónica</v>
      </c>
      <c r="G892" s="4">
        <v>2025</v>
      </c>
    </row>
    <row r="893" spans="1:7" x14ac:dyDescent="0.25">
      <c r="A893" t="s">
        <v>103</v>
      </c>
      <c r="B893" s="4">
        <f>VLOOKUP(A893,'Datos generales'!A:L,5,0)</f>
        <v>3</v>
      </c>
      <c r="C893" s="4" t="str">
        <f>VLOOKUP(A893,'Datos generales'!A:L,4,0)</f>
        <v>Audífonos</v>
      </c>
      <c r="D893" s="4">
        <f>VLOOKUP(A893,'Datos generales'!A:L,6,0)</f>
        <v>1135.67</v>
      </c>
      <c r="E893" s="4">
        <f>VLOOKUP(A893,'Datos generales'!A:L,12,0)</f>
        <v>1135.67</v>
      </c>
      <c r="F893" s="4" t="str">
        <f>VLOOKUP(A893,'Datos generales'!A:L,7,0)</f>
        <v>Accesorios</v>
      </c>
      <c r="G893" s="4">
        <v>2025</v>
      </c>
    </row>
    <row r="894" spans="1:7" x14ac:dyDescent="0.25">
      <c r="A894" t="s">
        <v>104</v>
      </c>
      <c r="B894" s="4">
        <f>VLOOKUP(A894,'Datos generales'!A:L,5,0)</f>
        <v>3</v>
      </c>
      <c r="C894" s="4" t="str">
        <f>VLOOKUP(A894,'Datos generales'!A:L,4,0)</f>
        <v>Impresora</v>
      </c>
      <c r="D894" s="4">
        <f>VLOOKUP(A894,'Datos generales'!A:L,6,0)</f>
        <v>805.69</v>
      </c>
      <c r="E894" s="4">
        <f>VLOOKUP(A894,'Datos generales'!A:L,12,0)</f>
        <v>805.69</v>
      </c>
      <c r="F894" s="4" t="str">
        <f>VLOOKUP(A894,'Datos generales'!A:L,7,0)</f>
        <v>Electrónica</v>
      </c>
      <c r="G894" s="4">
        <v>2025</v>
      </c>
    </row>
    <row r="895" spans="1:7" x14ac:dyDescent="0.25">
      <c r="A895" t="s">
        <v>105</v>
      </c>
      <c r="B895" s="4">
        <f>VLOOKUP(A895,'Datos generales'!A:L,5,0)</f>
        <v>2</v>
      </c>
      <c r="C895" s="4" t="str">
        <f>VLOOKUP(A895,'Datos generales'!A:L,4,0)</f>
        <v>Laptop</v>
      </c>
      <c r="D895" s="4">
        <f>VLOOKUP(A895,'Datos generales'!A:L,6,0)</f>
        <v>1259.07</v>
      </c>
      <c r="E895" s="4">
        <f>VLOOKUP(A895,'Datos generales'!A:L,12,0)</f>
        <v>1259.07</v>
      </c>
      <c r="F895" s="4" t="str">
        <f>VLOOKUP(A895,'Datos generales'!A:L,7,0)</f>
        <v>Electrónica</v>
      </c>
      <c r="G895" s="4">
        <v>2023</v>
      </c>
    </row>
    <row r="896" spans="1:7" x14ac:dyDescent="0.25">
      <c r="A896" t="s">
        <v>106</v>
      </c>
      <c r="B896" s="4">
        <f>VLOOKUP(A896,'Datos generales'!A:L,5,0)</f>
        <v>3</v>
      </c>
      <c r="C896" s="4" t="str">
        <f>VLOOKUP(A896,'Datos generales'!A:L,4,0)</f>
        <v>Mouse</v>
      </c>
      <c r="D896" s="4">
        <f>VLOOKUP(A896,'Datos generales'!A:L,6,0)</f>
        <v>600.4</v>
      </c>
      <c r="E896" s="4">
        <f>VLOOKUP(A896,'Datos generales'!A:L,12,0)</f>
        <v>600.4</v>
      </c>
      <c r="F896" s="4" t="str">
        <f>VLOOKUP(A896,'Datos generales'!A:L,7,0)</f>
        <v>Accesorios</v>
      </c>
      <c r="G896" s="4">
        <v>2024</v>
      </c>
    </row>
    <row r="897" spans="1:7" x14ac:dyDescent="0.25">
      <c r="A897" t="s">
        <v>107</v>
      </c>
      <c r="B897" s="4">
        <f>VLOOKUP(A897,'Datos generales'!A:L,5,0)</f>
        <v>2</v>
      </c>
      <c r="C897" s="4" t="str">
        <f>VLOOKUP(A897,'Datos generales'!A:L,4,0)</f>
        <v>Silla Gamer</v>
      </c>
      <c r="D897" s="4">
        <f>VLOOKUP(A897,'Datos generales'!A:L,6,0)</f>
        <v>479.81</v>
      </c>
      <c r="E897" s="4">
        <f>VLOOKUP(A897,'Datos generales'!A:L,12,0)</f>
        <v>479.81</v>
      </c>
      <c r="F897" s="4" t="str">
        <f>VLOOKUP(A897,'Datos generales'!A:L,7,0)</f>
        <v>Muebles</v>
      </c>
      <c r="G897" s="4">
        <v>2024</v>
      </c>
    </row>
    <row r="898" spans="1:7" x14ac:dyDescent="0.25">
      <c r="A898" t="s">
        <v>108</v>
      </c>
      <c r="B898" s="4">
        <f>VLOOKUP(A898,'Datos generales'!A:L,5,0)</f>
        <v>1</v>
      </c>
      <c r="C898" s="4" t="str">
        <f>VLOOKUP(A898,'Datos generales'!A:L,4,0)</f>
        <v>Webcam</v>
      </c>
      <c r="D898" s="4">
        <f>VLOOKUP(A898,'Datos generales'!A:L,6,0)</f>
        <v>1888.86</v>
      </c>
      <c r="E898" s="4">
        <f>VLOOKUP(A898,'Datos generales'!A:L,12,0)</f>
        <v>1888.86</v>
      </c>
      <c r="F898" s="4" t="str">
        <f>VLOOKUP(A898,'Datos generales'!A:L,7,0)</f>
        <v>Accesorios</v>
      </c>
      <c r="G898" s="4">
        <v>2024</v>
      </c>
    </row>
    <row r="899" spans="1:7" x14ac:dyDescent="0.25">
      <c r="A899" t="s">
        <v>109</v>
      </c>
      <c r="B899" s="4">
        <f>VLOOKUP(A899,'Datos generales'!A:L,5,0)</f>
        <v>4</v>
      </c>
      <c r="C899" s="4" t="str">
        <f>VLOOKUP(A899,'Datos generales'!A:L,4,0)</f>
        <v>Laptop</v>
      </c>
      <c r="D899" s="4">
        <f>VLOOKUP(A899,'Datos generales'!A:L,6,0)</f>
        <v>1821.05</v>
      </c>
      <c r="E899" s="4">
        <f>VLOOKUP(A899,'Datos generales'!A:L,12,0)</f>
        <v>1821.05</v>
      </c>
      <c r="F899" s="4" t="str">
        <f>VLOOKUP(A899,'Datos generales'!A:L,7,0)</f>
        <v>Electrónica</v>
      </c>
      <c r="G899" s="4">
        <v>2024</v>
      </c>
    </row>
    <row r="900" spans="1:7" x14ac:dyDescent="0.25">
      <c r="A900" t="s">
        <v>110</v>
      </c>
      <c r="B900" s="4">
        <f>VLOOKUP(A900,'Datos generales'!A:L,5,0)</f>
        <v>3</v>
      </c>
      <c r="C900" s="4" t="str">
        <f>VLOOKUP(A900,'Datos generales'!A:L,4,0)</f>
        <v>Mouse</v>
      </c>
      <c r="D900" s="4">
        <f>VLOOKUP(A900,'Datos generales'!A:L,6,0)</f>
        <v>1537.23</v>
      </c>
      <c r="E900" s="4">
        <f>VLOOKUP(A900,'Datos generales'!A:L,12,0)</f>
        <v>1537.23</v>
      </c>
      <c r="F900" s="4" t="str">
        <f>VLOOKUP(A900,'Datos generales'!A:L,7,0)</f>
        <v>Accesorios</v>
      </c>
      <c r="G900" s="4">
        <v>2025</v>
      </c>
    </row>
    <row r="901" spans="1:7" x14ac:dyDescent="0.25">
      <c r="A901" t="s">
        <v>111</v>
      </c>
      <c r="B901" s="4">
        <f>VLOOKUP(A901,'Datos generales'!A:L,5,0)</f>
        <v>3</v>
      </c>
      <c r="C901" s="4" t="str">
        <f>VLOOKUP(A901,'Datos generales'!A:L,4,0)</f>
        <v>Silla Gamer</v>
      </c>
      <c r="D901" s="4">
        <f>VLOOKUP(A901,'Datos generales'!A:L,6,0)</f>
        <v>311.66000000000003</v>
      </c>
      <c r="E901" s="4">
        <f>VLOOKUP(A901,'Datos generales'!A:L,12,0)</f>
        <v>311.66000000000003</v>
      </c>
      <c r="F901" s="4" t="str">
        <f>VLOOKUP(A901,'Datos generales'!A:L,7,0)</f>
        <v>Muebles</v>
      </c>
      <c r="G901" s="4">
        <v>2024</v>
      </c>
    </row>
    <row r="902" spans="1:7" x14ac:dyDescent="0.25">
      <c r="A902" t="s">
        <v>112</v>
      </c>
      <c r="B902" s="4">
        <f>VLOOKUP(A902,'Datos generales'!A:L,5,0)</f>
        <v>5</v>
      </c>
      <c r="C902" s="4" t="str">
        <f>VLOOKUP(A902,'Datos generales'!A:L,4,0)</f>
        <v>Teclado</v>
      </c>
      <c r="D902" s="4">
        <f>VLOOKUP(A902,'Datos generales'!A:L,6,0)</f>
        <v>149.09</v>
      </c>
      <c r="E902" s="4">
        <f>VLOOKUP(A902,'Datos generales'!A:L,12,0)</f>
        <v>149.09</v>
      </c>
      <c r="F902" s="4" t="str">
        <f>VLOOKUP(A902,'Datos generales'!A:L,7,0)</f>
        <v>Accesorios</v>
      </c>
      <c r="G902" s="4">
        <v>2024</v>
      </c>
    </row>
    <row r="903" spans="1:7" x14ac:dyDescent="0.25">
      <c r="A903" t="s">
        <v>113</v>
      </c>
      <c r="B903" s="4">
        <f>VLOOKUP(A903,'Datos generales'!A:L,5,0)</f>
        <v>5</v>
      </c>
      <c r="C903" s="4" t="str">
        <f>VLOOKUP(A903,'Datos generales'!A:L,4,0)</f>
        <v>Laptop</v>
      </c>
      <c r="D903" s="4">
        <f>VLOOKUP(A903,'Datos generales'!A:L,6,0)</f>
        <v>1885.48</v>
      </c>
      <c r="E903" s="4">
        <f>VLOOKUP(A903,'Datos generales'!A:L,12,0)</f>
        <v>1885.48</v>
      </c>
      <c r="F903" s="4" t="str">
        <f>VLOOKUP(A903,'Datos generales'!A:L,7,0)</f>
        <v>Electrónica</v>
      </c>
      <c r="G903" s="4">
        <v>2023</v>
      </c>
    </row>
    <row r="904" spans="1:7" x14ac:dyDescent="0.25">
      <c r="A904" t="s">
        <v>114</v>
      </c>
      <c r="B904" s="4">
        <f>VLOOKUP(A904,'Datos generales'!A:L,5,0)</f>
        <v>3</v>
      </c>
      <c r="C904" s="4" t="str">
        <f>VLOOKUP(A904,'Datos generales'!A:L,4,0)</f>
        <v>Webcam</v>
      </c>
      <c r="D904" s="4">
        <f>VLOOKUP(A904,'Datos generales'!A:L,6,0)</f>
        <v>1591.92</v>
      </c>
      <c r="E904" s="4">
        <f>VLOOKUP(A904,'Datos generales'!A:L,12,0)</f>
        <v>1591.92</v>
      </c>
      <c r="F904" s="4" t="str">
        <f>VLOOKUP(A904,'Datos generales'!A:L,7,0)</f>
        <v>Accesorios</v>
      </c>
      <c r="G904" s="4">
        <v>2023</v>
      </c>
    </row>
    <row r="905" spans="1:7" x14ac:dyDescent="0.25">
      <c r="A905" t="s">
        <v>115</v>
      </c>
      <c r="B905" s="4">
        <f>VLOOKUP(A905,'Datos generales'!A:L,5,0)</f>
        <v>5</v>
      </c>
      <c r="C905" s="4" t="str">
        <f>VLOOKUP(A905,'Datos generales'!A:L,4,0)</f>
        <v>Webcam</v>
      </c>
      <c r="D905" s="4">
        <f>VLOOKUP(A905,'Datos generales'!A:L,6,0)</f>
        <v>1383.33</v>
      </c>
      <c r="E905" s="4">
        <f>VLOOKUP(A905,'Datos generales'!A:L,12,0)</f>
        <v>1383.33</v>
      </c>
      <c r="F905" s="4" t="str">
        <f>VLOOKUP(A905,'Datos generales'!A:L,7,0)</f>
        <v>Accesorios</v>
      </c>
      <c r="G905" s="4">
        <v>2025</v>
      </c>
    </row>
    <row r="906" spans="1:7" x14ac:dyDescent="0.25">
      <c r="A906" t="s">
        <v>116</v>
      </c>
      <c r="B906" s="4">
        <f>VLOOKUP(A906,'Datos generales'!A:L,5,0)</f>
        <v>2</v>
      </c>
      <c r="C906" s="4" t="str">
        <f>VLOOKUP(A906,'Datos generales'!A:L,4,0)</f>
        <v>Silla Gamer</v>
      </c>
      <c r="D906" s="4">
        <f>VLOOKUP(A906,'Datos generales'!A:L,6,0)</f>
        <v>1051.23</v>
      </c>
      <c r="E906" s="4">
        <f>VLOOKUP(A906,'Datos generales'!A:L,12,0)</f>
        <v>1051.23</v>
      </c>
      <c r="F906" s="4" t="str">
        <f>VLOOKUP(A906,'Datos generales'!A:L,7,0)</f>
        <v>Muebles</v>
      </c>
      <c r="G906" s="4">
        <v>2025</v>
      </c>
    </row>
    <row r="907" spans="1:7" x14ac:dyDescent="0.25">
      <c r="A907" t="s">
        <v>117</v>
      </c>
      <c r="B907" s="4">
        <f>VLOOKUP(A907,'Datos generales'!A:L,5,0)</f>
        <v>4</v>
      </c>
      <c r="C907" s="4" t="str">
        <f>VLOOKUP(A907,'Datos generales'!A:L,4,0)</f>
        <v>Audífonos</v>
      </c>
      <c r="D907" s="4">
        <f>VLOOKUP(A907,'Datos generales'!A:L,6,0)</f>
        <v>1274.46</v>
      </c>
      <c r="E907" s="4">
        <f>VLOOKUP(A907,'Datos generales'!A:L,12,0)</f>
        <v>1274.46</v>
      </c>
      <c r="F907" s="4" t="str">
        <f>VLOOKUP(A907,'Datos generales'!A:L,7,0)</f>
        <v>Accesorios</v>
      </c>
      <c r="G907" s="4">
        <v>2023</v>
      </c>
    </row>
    <row r="908" spans="1:7" x14ac:dyDescent="0.25">
      <c r="A908" t="s">
        <v>118</v>
      </c>
      <c r="B908" s="4">
        <f>VLOOKUP(A908,'Datos generales'!A:L,5,0)</f>
        <v>1</v>
      </c>
      <c r="C908" s="4" t="str">
        <f>VLOOKUP(A908,'Datos generales'!A:L,4,0)</f>
        <v>Monitor</v>
      </c>
      <c r="D908" s="4">
        <f>VLOOKUP(A908,'Datos generales'!A:L,6,0)</f>
        <v>1251.08</v>
      </c>
      <c r="E908" s="4">
        <f>VLOOKUP(A908,'Datos generales'!A:L,12,0)</f>
        <v>1251.08</v>
      </c>
      <c r="F908" s="4" t="str">
        <f>VLOOKUP(A908,'Datos generales'!A:L,7,0)</f>
        <v>Electrónica</v>
      </c>
      <c r="G908" s="4">
        <v>2025</v>
      </c>
    </row>
    <row r="909" spans="1:7" x14ac:dyDescent="0.25">
      <c r="A909" t="s">
        <v>119</v>
      </c>
      <c r="B909" s="4">
        <f>VLOOKUP(A909,'Datos generales'!A:L,5,0)</f>
        <v>5</v>
      </c>
      <c r="C909" s="4" t="str">
        <f>VLOOKUP(A909,'Datos generales'!A:L,4,0)</f>
        <v>Audífonos</v>
      </c>
      <c r="D909" s="4">
        <f>VLOOKUP(A909,'Datos generales'!A:L,6,0)</f>
        <v>1582.2</v>
      </c>
      <c r="E909" s="4">
        <f>VLOOKUP(A909,'Datos generales'!A:L,12,0)</f>
        <v>1582.2</v>
      </c>
      <c r="F909" s="4" t="str">
        <f>VLOOKUP(A909,'Datos generales'!A:L,7,0)</f>
        <v>Accesorios</v>
      </c>
      <c r="G909" s="4">
        <v>2025</v>
      </c>
    </row>
    <row r="910" spans="1:7" x14ac:dyDescent="0.25">
      <c r="A910" t="s">
        <v>120</v>
      </c>
      <c r="B910" s="4">
        <f>VLOOKUP(A910,'Datos generales'!A:L,5,0)</f>
        <v>1</v>
      </c>
      <c r="C910" s="4" t="str">
        <f>VLOOKUP(A910,'Datos generales'!A:L,4,0)</f>
        <v>Silla Gamer</v>
      </c>
      <c r="D910" s="4">
        <f>VLOOKUP(A910,'Datos generales'!A:L,6,0)</f>
        <v>81.92</v>
      </c>
      <c r="E910" s="4">
        <f>VLOOKUP(A910,'Datos generales'!A:L,12,0)</f>
        <v>81.92</v>
      </c>
      <c r="F910" s="4" t="str">
        <f>VLOOKUP(A910,'Datos generales'!A:L,7,0)</f>
        <v>Muebles</v>
      </c>
      <c r="G910" s="4">
        <v>2023</v>
      </c>
    </row>
    <row r="911" spans="1:7" x14ac:dyDescent="0.25">
      <c r="A911" t="s">
        <v>121</v>
      </c>
      <c r="B911" s="4">
        <f>VLOOKUP(A911,'Datos generales'!A:L,5,0)</f>
        <v>1</v>
      </c>
      <c r="C911" s="4" t="str">
        <f>VLOOKUP(A911,'Datos generales'!A:L,4,0)</f>
        <v>Mouse</v>
      </c>
      <c r="D911" s="4">
        <f>VLOOKUP(A911,'Datos generales'!A:L,6,0)</f>
        <v>1153.31</v>
      </c>
      <c r="E911" s="4">
        <f>VLOOKUP(A911,'Datos generales'!A:L,12,0)</f>
        <v>1153.31</v>
      </c>
      <c r="F911" s="4" t="str">
        <f>VLOOKUP(A911,'Datos generales'!A:L,7,0)</f>
        <v>Accesorios</v>
      </c>
      <c r="G911" s="4">
        <v>2024</v>
      </c>
    </row>
    <row r="912" spans="1:7" x14ac:dyDescent="0.25">
      <c r="A912" t="s">
        <v>122</v>
      </c>
      <c r="B912" s="4">
        <f>VLOOKUP(A912,'Datos generales'!A:L,5,0)</f>
        <v>3</v>
      </c>
      <c r="C912" s="4" t="str">
        <f>VLOOKUP(A912,'Datos generales'!A:L,4,0)</f>
        <v>Mouse</v>
      </c>
      <c r="D912" s="4">
        <f>VLOOKUP(A912,'Datos generales'!A:L,6,0)</f>
        <v>1078.08</v>
      </c>
      <c r="E912" s="4">
        <f>VLOOKUP(A912,'Datos generales'!A:L,12,0)</f>
        <v>1078.08</v>
      </c>
      <c r="F912" s="4" t="str">
        <f>VLOOKUP(A912,'Datos generales'!A:L,7,0)</f>
        <v>Accesorios</v>
      </c>
      <c r="G912" s="4">
        <v>2025</v>
      </c>
    </row>
    <row r="913" spans="1:7" x14ac:dyDescent="0.25">
      <c r="A913" t="s">
        <v>123</v>
      </c>
      <c r="B913" s="4">
        <f>VLOOKUP(A913,'Datos generales'!A:L,5,0)</f>
        <v>1</v>
      </c>
      <c r="C913" s="4" t="str">
        <f>VLOOKUP(A913,'Datos generales'!A:L,4,0)</f>
        <v>Impresora</v>
      </c>
      <c r="D913" s="4">
        <f>VLOOKUP(A913,'Datos generales'!A:L,6,0)</f>
        <v>201.91</v>
      </c>
      <c r="E913" s="4">
        <f>VLOOKUP(A913,'Datos generales'!A:L,12,0)</f>
        <v>201.91</v>
      </c>
      <c r="F913" s="4" t="str">
        <f>VLOOKUP(A913,'Datos generales'!A:L,7,0)</f>
        <v>Electrónica</v>
      </c>
      <c r="G913" s="4">
        <v>2024</v>
      </c>
    </row>
    <row r="914" spans="1:7" x14ac:dyDescent="0.25">
      <c r="A914" t="s">
        <v>124</v>
      </c>
      <c r="B914" s="4">
        <f>VLOOKUP(A914,'Datos generales'!A:L,5,0)</f>
        <v>3</v>
      </c>
      <c r="C914" s="4" t="str">
        <f>VLOOKUP(A914,'Datos generales'!A:L,4,0)</f>
        <v>Webcam</v>
      </c>
      <c r="D914" s="4">
        <f>VLOOKUP(A914,'Datos generales'!A:L,6,0)</f>
        <v>727.36</v>
      </c>
      <c r="E914" s="4">
        <f>VLOOKUP(A914,'Datos generales'!A:L,12,0)</f>
        <v>727.36</v>
      </c>
      <c r="F914" s="4" t="str">
        <f>VLOOKUP(A914,'Datos generales'!A:L,7,0)</f>
        <v>Accesorios</v>
      </c>
      <c r="G914" s="4">
        <v>2024</v>
      </c>
    </row>
    <row r="915" spans="1:7" x14ac:dyDescent="0.25">
      <c r="A915" t="s">
        <v>125</v>
      </c>
      <c r="B915" s="4">
        <f>VLOOKUP(A915,'Datos generales'!A:L,5,0)</f>
        <v>3</v>
      </c>
      <c r="C915" s="4" t="str">
        <f>VLOOKUP(A915,'Datos generales'!A:L,4,0)</f>
        <v>Audífonos</v>
      </c>
      <c r="D915" s="4">
        <f>VLOOKUP(A915,'Datos generales'!A:L,6,0)</f>
        <v>1645.43</v>
      </c>
      <c r="E915" s="4">
        <f>VLOOKUP(A915,'Datos generales'!A:L,12,0)</f>
        <v>1645.43</v>
      </c>
      <c r="F915" s="4" t="str">
        <f>VLOOKUP(A915,'Datos generales'!A:L,7,0)</f>
        <v>Accesorios</v>
      </c>
      <c r="G915" s="4">
        <v>2023</v>
      </c>
    </row>
    <row r="916" spans="1:7" x14ac:dyDescent="0.25">
      <c r="A916" t="s">
        <v>126</v>
      </c>
      <c r="B916" s="4">
        <f>VLOOKUP(A916,'Datos generales'!A:L,5,0)</f>
        <v>3</v>
      </c>
      <c r="C916" s="4" t="str">
        <f>VLOOKUP(A916,'Datos generales'!A:L,4,0)</f>
        <v>Laptop</v>
      </c>
      <c r="D916" s="4">
        <f>VLOOKUP(A916,'Datos generales'!A:L,6,0)</f>
        <v>420.05</v>
      </c>
      <c r="E916" s="4">
        <f>VLOOKUP(A916,'Datos generales'!A:L,12,0)</f>
        <v>420.05</v>
      </c>
      <c r="F916" s="4" t="str">
        <f>VLOOKUP(A916,'Datos generales'!A:L,7,0)</f>
        <v>Electrónica</v>
      </c>
      <c r="G916" s="4">
        <v>2024</v>
      </c>
    </row>
    <row r="917" spans="1:7" x14ac:dyDescent="0.25">
      <c r="A917" t="s">
        <v>127</v>
      </c>
      <c r="B917" s="4">
        <f>VLOOKUP(A917,'Datos generales'!A:L,5,0)</f>
        <v>4</v>
      </c>
      <c r="C917" s="4" t="str">
        <f>VLOOKUP(A917,'Datos generales'!A:L,4,0)</f>
        <v>Silla Gamer</v>
      </c>
      <c r="D917" s="4">
        <f>VLOOKUP(A917,'Datos generales'!A:L,6,0)</f>
        <v>496.9</v>
      </c>
      <c r="E917" s="4">
        <f>VLOOKUP(A917,'Datos generales'!A:L,12,0)</f>
        <v>496.9</v>
      </c>
      <c r="F917" s="4" t="str">
        <f>VLOOKUP(A917,'Datos generales'!A:L,7,0)</f>
        <v>Muebles</v>
      </c>
      <c r="G917" s="4">
        <v>2024</v>
      </c>
    </row>
    <row r="918" spans="1:7" x14ac:dyDescent="0.25">
      <c r="A918" t="s">
        <v>128</v>
      </c>
      <c r="B918" s="4">
        <f>VLOOKUP(A918,'Datos generales'!A:L,5,0)</f>
        <v>2</v>
      </c>
      <c r="C918" s="4" t="str">
        <f>VLOOKUP(A918,'Datos generales'!A:L,4,0)</f>
        <v>Teclado</v>
      </c>
      <c r="D918" s="4">
        <f>VLOOKUP(A918,'Datos generales'!A:L,6,0)</f>
        <v>721.56</v>
      </c>
      <c r="E918" s="4">
        <f>VLOOKUP(A918,'Datos generales'!A:L,12,0)</f>
        <v>721.56</v>
      </c>
      <c r="F918" s="4" t="str">
        <f>VLOOKUP(A918,'Datos generales'!A:L,7,0)</f>
        <v>Accesorios</v>
      </c>
      <c r="G918" s="4">
        <v>2023</v>
      </c>
    </row>
    <row r="919" spans="1:7" x14ac:dyDescent="0.25">
      <c r="A919" t="s">
        <v>129</v>
      </c>
      <c r="B919" s="4">
        <f>VLOOKUP(A919,'Datos generales'!A:L,5,0)</f>
        <v>4</v>
      </c>
      <c r="C919" s="4" t="str">
        <f>VLOOKUP(A919,'Datos generales'!A:L,4,0)</f>
        <v>Audífonos</v>
      </c>
      <c r="D919" s="4">
        <f>VLOOKUP(A919,'Datos generales'!A:L,6,0)</f>
        <v>1353.9</v>
      </c>
      <c r="E919" s="4">
        <f>VLOOKUP(A919,'Datos generales'!A:L,12,0)</f>
        <v>1353.9</v>
      </c>
      <c r="F919" s="4" t="str">
        <f>VLOOKUP(A919,'Datos generales'!A:L,7,0)</f>
        <v>Accesorios</v>
      </c>
      <c r="G919" s="4">
        <v>2023</v>
      </c>
    </row>
    <row r="920" spans="1:7" x14ac:dyDescent="0.25">
      <c r="A920" t="s">
        <v>130</v>
      </c>
      <c r="B920" s="4">
        <f>VLOOKUP(A920,'Datos generales'!A:L,5,0)</f>
        <v>2</v>
      </c>
      <c r="C920" s="4" t="str">
        <f>VLOOKUP(A920,'Datos generales'!A:L,4,0)</f>
        <v>Impresora</v>
      </c>
      <c r="D920" s="4">
        <f>VLOOKUP(A920,'Datos generales'!A:L,6,0)</f>
        <v>429.52</v>
      </c>
      <c r="E920" s="4">
        <f>VLOOKUP(A920,'Datos generales'!A:L,12,0)</f>
        <v>429.52</v>
      </c>
      <c r="F920" s="4" t="str">
        <f>VLOOKUP(A920,'Datos generales'!A:L,7,0)</f>
        <v>Electrónica</v>
      </c>
      <c r="G920" s="4">
        <v>2024</v>
      </c>
    </row>
    <row r="921" spans="1:7" x14ac:dyDescent="0.25">
      <c r="A921" t="s">
        <v>131</v>
      </c>
      <c r="B921" s="4">
        <f>VLOOKUP(A921,'Datos generales'!A:L,5,0)</f>
        <v>2</v>
      </c>
      <c r="C921" s="4" t="str">
        <f>VLOOKUP(A921,'Datos generales'!A:L,4,0)</f>
        <v>Silla Gamer</v>
      </c>
      <c r="D921" s="4">
        <f>VLOOKUP(A921,'Datos generales'!A:L,6,0)</f>
        <v>1824.96</v>
      </c>
      <c r="E921" s="4">
        <f>VLOOKUP(A921,'Datos generales'!A:L,12,0)</f>
        <v>1824.96</v>
      </c>
      <c r="F921" s="4" t="str">
        <f>VLOOKUP(A921,'Datos generales'!A:L,7,0)</f>
        <v>Muebles</v>
      </c>
      <c r="G921" s="4">
        <v>2024</v>
      </c>
    </row>
    <row r="922" spans="1:7" x14ac:dyDescent="0.25">
      <c r="A922" t="s">
        <v>132</v>
      </c>
      <c r="B922" s="4">
        <f>VLOOKUP(A922,'Datos generales'!A:L,5,0)</f>
        <v>5</v>
      </c>
      <c r="C922" s="4" t="str">
        <f>VLOOKUP(A922,'Datos generales'!A:L,4,0)</f>
        <v>Mouse</v>
      </c>
      <c r="D922" s="4">
        <f>VLOOKUP(A922,'Datos generales'!A:L,6,0)</f>
        <v>1059.81</v>
      </c>
      <c r="E922" s="4">
        <f>VLOOKUP(A922,'Datos generales'!A:L,12,0)</f>
        <v>1059.81</v>
      </c>
      <c r="F922" s="4" t="str">
        <f>VLOOKUP(A922,'Datos generales'!A:L,7,0)</f>
        <v>Accesorios</v>
      </c>
      <c r="G922" s="4">
        <v>2024</v>
      </c>
    </row>
    <row r="923" spans="1:7" x14ac:dyDescent="0.25">
      <c r="A923" t="s">
        <v>133</v>
      </c>
      <c r="B923" s="4">
        <f>VLOOKUP(A923,'Datos generales'!A:L,5,0)</f>
        <v>4</v>
      </c>
      <c r="C923" s="4" t="str">
        <f>VLOOKUP(A923,'Datos generales'!A:L,4,0)</f>
        <v>Silla Gamer</v>
      </c>
      <c r="D923" s="4">
        <f>VLOOKUP(A923,'Datos generales'!A:L,6,0)</f>
        <v>46.39</v>
      </c>
      <c r="E923" s="4">
        <f>VLOOKUP(A923,'Datos generales'!A:L,12,0)</f>
        <v>46.39</v>
      </c>
      <c r="F923" s="4" t="str">
        <f>VLOOKUP(A923,'Datos generales'!A:L,7,0)</f>
        <v>Muebles</v>
      </c>
      <c r="G923" s="4">
        <v>2023</v>
      </c>
    </row>
    <row r="924" spans="1:7" x14ac:dyDescent="0.25">
      <c r="A924" t="s">
        <v>134</v>
      </c>
      <c r="B924" s="4">
        <f>VLOOKUP(A924,'Datos generales'!A:L,5,0)</f>
        <v>1</v>
      </c>
      <c r="C924" s="4" t="str">
        <f>VLOOKUP(A924,'Datos generales'!A:L,4,0)</f>
        <v>Laptop</v>
      </c>
      <c r="D924" s="4">
        <f>VLOOKUP(A924,'Datos generales'!A:L,6,0)</f>
        <v>754.07</v>
      </c>
      <c r="E924" s="4">
        <f>VLOOKUP(A924,'Datos generales'!A:L,12,0)</f>
        <v>754.07</v>
      </c>
      <c r="F924" s="4" t="str">
        <f>VLOOKUP(A924,'Datos generales'!A:L,7,0)</f>
        <v>Electrónica</v>
      </c>
      <c r="G924" s="4">
        <v>2023</v>
      </c>
    </row>
    <row r="925" spans="1:7" x14ac:dyDescent="0.25">
      <c r="A925" t="s">
        <v>135</v>
      </c>
      <c r="B925" s="4">
        <f>VLOOKUP(A925,'Datos generales'!A:L,5,0)</f>
        <v>1</v>
      </c>
      <c r="C925" s="4" t="str">
        <f>VLOOKUP(A925,'Datos generales'!A:L,4,0)</f>
        <v>Audífonos</v>
      </c>
      <c r="D925" s="4">
        <f>VLOOKUP(A925,'Datos generales'!A:L,6,0)</f>
        <v>1681.02</v>
      </c>
      <c r="E925" s="4">
        <f>VLOOKUP(A925,'Datos generales'!A:L,12,0)</f>
        <v>1681.02</v>
      </c>
      <c r="F925" s="4" t="str">
        <f>VLOOKUP(A925,'Datos generales'!A:L,7,0)</f>
        <v>Accesorios</v>
      </c>
      <c r="G925" s="4">
        <v>2025</v>
      </c>
    </row>
    <row r="926" spans="1:7" x14ac:dyDescent="0.25">
      <c r="A926" t="s">
        <v>136</v>
      </c>
      <c r="B926" s="4">
        <f>VLOOKUP(A926,'Datos generales'!A:L,5,0)</f>
        <v>2</v>
      </c>
      <c r="C926" s="4" t="str">
        <f>VLOOKUP(A926,'Datos generales'!A:L,4,0)</f>
        <v>Monitor</v>
      </c>
      <c r="D926" s="4">
        <f>VLOOKUP(A926,'Datos generales'!A:L,6,0)</f>
        <v>1198.72</v>
      </c>
      <c r="E926" s="4">
        <f>VLOOKUP(A926,'Datos generales'!A:L,12,0)</f>
        <v>1198.72</v>
      </c>
      <c r="F926" s="4" t="str">
        <f>VLOOKUP(A926,'Datos generales'!A:L,7,0)</f>
        <v>Electrónica</v>
      </c>
      <c r="G926" s="4">
        <v>2025</v>
      </c>
    </row>
    <row r="927" spans="1:7" x14ac:dyDescent="0.25">
      <c r="A927" t="s">
        <v>137</v>
      </c>
      <c r="B927" s="4">
        <f>VLOOKUP(A927,'Datos generales'!A:L,5,0)</f>
        <v>2</v>
      </c>
      <c r="C927" s="4" t="str">
        <f>VLOOKUP(A927,'Datos generales'!A:L,4,0)</f>
        <v>Audífonos</v>
      </c>
      <c r="D927" s="4">
        <f>VLOOKUP(A927,'Datos generales'!A:L,6,0)</f>
        <v>1040.2</v>
      </c>
      <c r="E927" s="4">
        <f>VLOOKUP(A927,'Datos generales'!A:L,12,0)</f>
        <v>1040.2</v>
      </c>
      <c r="F927" s="4" t="str">
        <f>VLOOKUP(A927,'Datos generales'!A:L,7,0)</f>
        <v>Accesorios</v>
      </c>
      <c r="G927" s="4">
        <v>2023</v>
      </c>
    </row>
    <row r="928" spans="1:7" x14ac:dyDescent="0.25">
      <c r="A928" t="s">
        <v>138</v>
      </c>
      <c r="B928" s="4">
        <f>VLOOKUP(A928,'Datos generales'!A:L,5,0)</f>
        <v>3</v>
      </c>
      <c r="C928" s="4" t="str">
        <f>VLOOKUP(A928,'Datos generales'!A:L,4,0)</f>
        <v>Teclado</v>
      </c>
      <c r="D928" s="4">
        <f>VLOOKUP(A928,'Datos generales'!A:L,6,0)</f>
        <v>107.53</v>
      </c>
      <c r="E928" s="4">
        <f>VLOOKUP(A928,'Datos generales'!A:L,12,0)</f>
        <v>107.53</v>
      </c>
      <c r="F928" s="4" t="str">
        <f>VLOOKUP(A928,'Datos generales'!A:L,7,0)</f>
        <v>Accesorios</v>
      </c>
      <c r="G928" s="4">
        <v>2025</v>
      </c>
    </row>
    <row r="929" spans="1:7" x14ac:dyDescent="0.25">
      <c r="A929" t="s">
        <v>139</v>
      </c>
      <c r="B929" s="4">
        <f>VLOOKUP(A929,'Datos generales'!A:L,5,0)</f>
        <v>4</v>
      </c>
      <c r="C929" s="4" t="str">
        <f>VLOOKUP(A929,'Datos generales'!A:L,4,0)</f>
        <v>Impresora</v>
      </c>
      <c r="D929" s="4">
        <f>VLOOKUP(A929,'Datos generales'!A:L,6,0)</f>
        <v>380.66</v>
      </c>
      <c r="E929" s="4">
        <f>VLOOKUP(A929,'Datos generales'!A:L,12,0)</f>
        <v>380.66</v>
      </c>
      <c r="F929" s="4" t="str">
        <f>VLOOKUP(A929,'Datos generales'!A:L,7,0)</f>
        <v>Electrónica</v>
      </c>
      <c r="G929" s="4">
        <v>2025</v>
      </c>
    </row>
    <row r="930" spans="1:7" x14ac:dyDescent="0.25">
      <c r="A930" t="s">
        <v>140</v>
      </c>
      <c r="B930" s="4">
        <f>VLOOKUP(A930,'Datos generales'!A:L,5,0)</f>
        <v>2</v>
      </c>
      <c r="C930" s="4" t="str">
        <f>VLOOKUP(A930,'Datos generales'!A:L,4,0)</f>
        <v>Monitor</v>
      </c>
      <c r="D930" s="4">
        <f>VLOOKUP(A930,'Datos generales'!A:L,6,0)</f>
        <v>700.11</v>
      </c>
      <c r="E930" s="4">
        <f>VLOOKUP(A930,'Datos generales'!A:L,12,0)</f>
        <v>700.11</v>
      </c>
      <c r="F930" s="4" t="str">
        <f>VLOOKUP(A930,'Datos generales'!A:L,7,0)</f>
        <v>Electrónica</v>
      </c>
      <c r="G930" s="4">
        <v>2025</v>
      </c>
    </row>
    <row r="931" spans="1:7" x14ac:dyDescent="0.25">
      <c r="A931" t="s">
        <v>141</v>
      </c>
      <c r="B931" s="4">
        <f>VLOOKUP(A931,'Datos generales'!A:L,5,0)</f>
        <v>5</v>
      </c>
      <c r="C931" s="4" t="str">
        <f>VLOOKUP(A931,'Datos generales'!A:L,4,0)</f>
        <v>Impresora</v>
      </c>
      <c r="D931" s="4">
        <f>VLOOKUP(A931,'Datos generales'!A:L,6,0)</f>
        <v>358.48</v>
      </c>
      <c r="E931" s="4">
        <f>VLOOKUP(A931,'Datos generales'!A:L,12,0)</f>
        <v>358.48</v>
      </c>
      <c r="F931" s="4" t="str">
        <f>VLOOKUP(A931,'Datos generales'!A:L,7,0)</f>
        <v>Electrónica</v>
      </c>
      <c r="G931" s="4">
        <v>2023</v>
      </c>
    </row>
    <row r="932" spans="1:7" x14ac:dyDescent="0.25">
      <c r="A932" t="s">
        <v>142</v>
      </c>
      <c r="B932" s="4">
        <f>VLOOKUP(A932,'Datos generales'!A:L,5,0)</f>
        <v>4</v>
      </c>
      <c r="C932" s="4" t="str">
        <f>VLOOKUP(A932,'Datos generales'!A:L,4,0)</f>
        <v>Silla Gamer</v>
      </c>
      <c r="D932" s="4">
        <f>VLOOKUP(A932,'Datos generales'!A:L,6,0)</f>
        <v>746.6</v>
      </c>
      <c r="E932" s="4">
        <f>VLOOKUP(A932,'Datos generales'!A:L,12,0)</f>
        <v>746.6</v>
      </c>
      <c r="F932" s="4" t="str">
        <f>VLOOKUP(A932,'Datos generales'!A:L,7,0)</f>
        <v>Muebles</v>
      </c>
      <c r="G932" s="4">
        <v>2024</v>
      </c>
    </row>
    <row r="933" spans="1:7" x14ac:dyDescent="0.25">
      <c r="A933" t="s">
        <v>143</v>
      </c>
      <c r="B933" s="4">
        <f>VLOOKUP(A933,'Datos generales'!A:L,5,0)</f>
        <v>1</v>
      </c>
      <c r="C933" s="4" t="str">
        <f>VLOOKUP(A933,'Datos generales'!A:L,4,0)</f>
        <v>Laptop</v>
      </c>
      <c r="D933" s="4">
        <f>VLOOKUP(A933,'Datos generales'!A:L,6,0)</f>
        <v>751.43</v>
      </c>
      <c r="E933" s="4">
        <f>VLOOKUP(A933,'Datos generales'!A:L,12,0)</f>
        <v>751.43</v>
      </c>
      <c r="F933" s="4" t="str">
        <f>VLOOKUP(A933,'Datos generales'!A:L,7,0)</f>
        <v>Electrónica</v>
      </c>
      <c r="G933" s="4">
        <v>2024</v>
      </c>
    </row>
    <row r="934" spans="1:7" x14ac:dyDescent="0.25">
      <c r="A934" t="s">
        <v>144</v>
      </c>
      <c r="B934" s="4">
        <f>VLOOKUP(A934,'Datos generales'!A:L,5,0)</f>
        <v>5</v>
      </c>
      <c r="C934" s="4" t="str">
        <f>VLOOKUP(A934,'Datos generales'!A:L,4,0)</f>
        <v>Mouse</v>
      </c>
      <c r="D934" s="4">
        <f>VLOOKUP(A934,'Datos generales'!A:L,6,0)</f>
        <v>1109.08</v>
      </c>
      <c r="E934" s="4">
        <f>VLOOKUP(A934,'Datos generales'!A:L,12,0)</f>
        <v>1109.08</v>
      </c>
      <c r="F934" s="4" t="str">
        <f>VLOOKUP(A934,'Datos generales'!A:L,7,0)</f>
        <v>Accesorios</v>
      </c>
      <c r="G934" s="4">
        <v>2023</v>
      </c>
    </row>
    <row r="935" spans="1:7" x14ac:dyDescent="0.25">
      <c r="A935" t="s">
        <v>145</v>
      </c>
      <c r="B935" s="4">
        <f>VLOOKUP(A935,'Datos generales'!A:L,5,0)</f>
        <v>5</v>
      </c>
      <c r="C935" s="4" t="str">
        <f>VLOOKUP(A935,'Datos generales'!A:L,4,0)</f>
        <v>Monitor</v>
      </c>
      <c r="D935" s="4">
        <f>VLOOKUP(A935,'Datos generales'!A:L,6,0)</f>
        <v>642.74</v>
      </c>
      <c r="E935" s="4">
        <f>VLOOKUP(A935,'Datos generales'!A:L,12,0)</f>
        <v>642.74</v>
      </c>
      <c r="F935" s="4" t="str">
        <f>VLOOKUP(A935,'Datos generales'!A:L,7,0)</f>
        <v>Electrónica</v>
      </c>
      <c r="G935" s="4">
        <v>2024</v>
      </c>
    </row>
    <row r="936" spans="1:7" x14ac:dyDescent="0.25">
      <c r="A936" t="s">
        <v>146</v>
      </c>
      <c r="B936" s="4">
        <f>VLOOKUP(A936,'Datos generales'!A:L,5,0)</f>
        <v>5</v>
      </c>
      <c r="C936" s="4" t="str">
        <f>VLOOKUP(A936,'Datos generales'!A:L,4,0)</f>
        <v>Audífonos</v>
      </c>
      <c r="D936" s="4">
        <f>VLOOKUP(A936,'Datos generales'!A:L,6,0)</f>
        <v>245.73</v>
      </c>
      <c r="E936" s="4">
        <f>VLOOKUP(A936,'Datos generales'!A:L,12,0)</f>
        <v>245.73</v>
      </c>
      <c r="F936" s="4" t="str">
        <f>VLOOKUP(A936,'Datos generales'!A:L,7,0)</f>
        <v>Accesorios</v>
      </c>
      <c r="G936" s="4">
        <v>2024</v>
      </c>
    </row>
    <row r="937" spans="1:7" x14ac:dyDescent="0.25">
      <c r="A937" t="s">
        <v>147</v>
      </c>
      <c r="B937" s="4">
        <f>VLOOKUP(A937,'Datos generales'!A:L,5,0)</f>
        <v>3</v>
      </c>
      <c r="C937" s="4" t="str">
        <f>VLOOKUP(A937,'Datos generales'!A:L,4,0)</f>
        <v>Webcam</v>
      </c>
      <c r="D937" s="4">
        <f>VLOOKUP(A937,'Datos generales'!A:L,6,0)</f>
        <v>1782.13</v>
      </c>
      <c r="E937" s="4">
        <f>VLOOKUP(A937,'Datos generales'!A:L,12,0)</f>
        <v>1782.13</v>
      </c>
      <c r="F937" s="4" t="str">
        <f>VLOOKUP(A937,'Datos generales'!A:L,7,0)</f>
        <v>Accesorios</v>
      </c>
      <c r="G937" s="4">
        <v>2023</v>
      </c>
    </row>
    <row r="938" spans="1:7" x14ac:dyDescent="0.25">
      <c r="A938" t="s">
        <v>148</v>
      </c>
      <c r="B938" s="4">
        <f>VLOOKUP(A938,'Datos generales'!A:L,5,0)</f>
        <v>5</v>
      </c>
      <c r="C938" s="4" t="str">
        <f>VLOOKUP(A938,'Datos generales'!A:L,4,0)</f>
        <v>Impresora</v>
      </c>
      <c r="D938" s="4">
        <f>VLOOKUP(A938,'Datos generales'!A:L,6,0)</f>
        <v>1137.1400000000001</v>
      </c>
      <c r="E938" s="4">
        <f>VLOOKUP(A938,'Datos generales'!A:L,12,0)</f>
        <v>1137.1400000000001</v>
      </c>
      <c r="F938" s="4" t="str">
        <f>VLOOKUP(A938,'Datos generales'!A:L,7,0)</f>
        <v>Electrónica</v>
      </c>
      <c r="G938" s="4">
        <v>2024</v>
      </c>
    </row>
    <row r="939" spans="1:7" x14ac:dyDescent="0.25">
      <c r="A939" t="s">
        <v>149</v>
      </c>
      <c r="B939" s="4">
        <f>VLOOKUP(A939,'Datos generales'!A:L,5,0)</f>
        <v>4</v>
      </c>
      <c r="C939" s="4" t="str">
        <f>VLOOKUP(A939,'Datos generales'!A:L,4,0)</f>
        <v>Teclado</v>
      </c>
      <c r="D939" s="4">
        <f>VLOOKUP(A939,'Datos generales'!A:L,6,0)</f>
        <v>966.72</v>
      </c>
      <c r="E939" s="4">
        <f>VLOOKUP(A939,'Datos generales'!A:L,12,0)</f>
        <v>966.72</v>
      </c>
      <c r="F939" s="4" t="str">
        <f>VLOOKUP(A939,'Datos generales'!A:L,7,0)</f>
        <v>Accesorios</v>
      </c>
      <c r="G939" s="4">
        <v>2024</v>
      </c>
    </row>
    <row r="940" spans="1:7" x14ac:dyDescent="0.25">
      <c r="A940" t="s">
        <v>150</v>
      </c>
      <c r="B940" s="4">
        <f>VLOOKUP(A940,'Datos generales'!A:L,5,0)</f>
        <v>5</v>
      </c>
      <c r="C940" s="4" t="str">
        <f>VLOOKUP(A940,'Datos generales'!A:L,4,0)</f>
        <v>Impresora</v>
      </c>
      <c r="D940" s="4">
        <f>VLOOKUP(A940,'Datos generales'!A:L,6,0)</f>
        <v>754.88</v>
      </c>
      <c r="E940" s="4">
        <f>VLOOKUP(A940,'Datos generales'!A:L,12,0)</f>
        <v>754.88</v>
      </c>
      <c r="F940" s="4" t="str">
        <f>VLOOKUP(A940,'Datos generales'!A:L,7,0)</f>
        <v>Electrónica</v>
      </c>
      <c r="G940" s="4">
        <v>2024</v>
      </c>
    </row>
    <row r="941" spans="1:7" x14ac:dyDescent="0.25">
      <c r="A941" t="s">
        <v>151</v>
      </c>
      <c r="B941" s="4">
        <f>VLOOKUP(A941,'Datos generales'!A:L,5,0)</f>
        <v>4</v>
      </c>
      <c r="C941" s="4" t="str">
        <f>VLOOKUP(A941,'Datos generales'!A:L,4,0)</f>
        <v>Webcam</v>
      </c>
      <c r="D941" s="4">
        <f>VLOOKUP(A941,'Datos generales'!A:L,6,0)</f>
        <v>902.5</v>
      </c>
      <c r="E941" s="4">
        <f>VLOOKUP(A941,'Datos generales'!A:L,12,0)</f>
        <v>902.5</v>
      </c>
      <c r="F941" s="4" t="str">
        <f>VLOOKUP(A941,'Datos generales'!A:L,7,0)</f>
        <v>Accesorios</v>
      </c>
      <c r="G941" s="4">
        <v>2025</v>
      </c>
    </row>
    <row r="942" spans="1:7" x14ac:dyDescent="0.25">
      <c r="A942" t="s">
        <v>152</v>
      </c>
      <c r="B942" s="4">
        <f>VLOOKUP(A942,'Datos generales'!A:L,5,0)</f>
        <v>2</v>
      </c>
      <c r="C942" s="4" t="str">
        <f>VLOOKUP(A942,'Datos generales'!A:L,4,0)</f>
        <v>Mouse</v>
      </c>
      <c r="D942" s="4">
        <f>VLOOKUP(A942,'Datos generales'!A:L,6,0)</f>
        <v>78.180000000000007</v>
      </c>
      <c r="E942" s="4">
        <f>VLOOKUP(A942,'Datos generales'!A:L,12,0)</f>
        <v>78.180000000000007</v>
      </c>
      <c r="F942" s="4" t="str">
        <f>VLOOKUP(A942,'Datos generales'!A:L,7,0)</f>
        <v>Accesorios</v>
      </c>
      <c r="G942" s="4">
        <v>2025</v>
      </c>
    </row>
    <row r="943" spans="1:7" x14ac:dyDescent="0.25">
      <c r="A943" t="s">
        <v>153</v>
      </c>
      <c r="B943" s="4">
        <f>VLOOKUP(A943,'Datos generales'!A:L,5,0)</f>
        <v>2</v>
      </c>
      <c r="C943" s="4" t="str">
        <f>VLOOKUP(A943,'Datos generales'!A:L,4,0)</f>
        <v>Monitor</v>
      </c>
      <c r="D943" s="4">
        <f>VLOOKUP(A943,'Datos generales'!A:L,6,0)</f>
        <v>1615.41</v>
      </c>
      <c r="E943" s="4">
        <f>VLOOKUP(A943,'Datos generales'!A:L,12,0)</f>
        <v>1615.41</v>
      </c>
      <c r="F943" s="4" t="str">
        <f>VLOOKUP(A943,'Datos generales'!A:L,7,0)</f>
        <v>Electrónica</v>
      </c>
      <c r="G943" s="4">
        <v>2025</v>
      </c>
    </row>
    <row r="944" spans="1:7" x14ac:dyDescent="0.25">
      <c r="A944" t="s">
        <v>154</v>
      </c>
      <c r="B944" s="4">
        <f>VLOOKUP(A944,'Datos generales'!A:L,5,0)</f>
        <v>5</v>
      </c>
      <c r="C944" s="4" t="str">
        <f>VLOOKUP(A944,'Datos generales'!A:L,4,0)</f>
        <v>Monitor</v>
      </c>
      <c r="D944" s="4">
        <f>VLOOKUP(A944,'Datos generales'!A:L,6,0)</f>
        <v>149.54</v>
      </c>
      <c r="E944" s="4">
        <f>VLOOKUP(A944,'Datos generales'!A:L,12,0)</f>
        <v>149.54</v>
      </c>
      <c r="F944" s="4" t="str">
        <f>VLOOKUP(A944,'Datos generales'!A:L,7,0)</f>
        <v>Electrónica</v>
      </c>
      <c r="G944" s="4">
        <v>2024</v>
      </c>
    </row>
    <row r="945" spans="1:7" x14ac:dyDescent="0.25">
      <c r="A945" t="s">
        <v>155</v>
      </c>
      <c r="B945" s="4">
        <f>VLOOKUP(A945,'Datos generales'!A:L,5,0)</f>
        <v>5</v>
      </c>
      <c r="C945" s="4" t="str">
        <f>VLOOKUP(A945,'Datos generales'!A:L,4,0)</f>
        <v>Teclado</v>
      </c>
      <c r="D945" s="4">
        <f>VLOOKUP(A945,'Datos generales'!A:L,6,0)</f>
        <v>955.39</v>
      </c>
      <c r="E945" s="4">
        <f>VLOOKUP(A945,'Datos generales'!A:L,12,0)</f>
        <v>955.39</v>
      </c>
      <c r="F945" s="4" t="str">
        <f>VLOOKUP(A945,'Datos generales'!A:L,7,0)</f>
        <v>Accesorios</v>
      </c>
      <c r="G945" s="4">
        <v>2025</v>
      </c>
    </row>
    <row r="946" spans="1:7" x14ac:dyDescent="0.25">
      <c r="A946" t="s">
        <v>156</v>
      </c>
      <c r="B946" s="4">
        <f>VLOOKUP(A946,'Datos generales'!A:L,5,0)</f>
        <v>2</v>
      </c>
      <c r="C946" s="4" t="str">
        <f>VLOOKUP(A946,'Datos generales'!A:L,4,0)</f>
        <v>Silla Gamer</v>
      </c>
      <c r="D946" s="4">
        <f>VLOOKUP(A946,'Datos generales'!A:L,6,0)</f>
        <v>1963.63</v>
      </c>
      <c r="E946" s="4">
        <f>VLOOKUP(A946,'Datos generales'!A:L,12,0)</f>
        <v>1963.63</v>
      </c>
      <c r="F946" s="4" t="str">
        <f>VLOOKUP(A946,'Datos generales'!A:L,7,0)</f>
        <v>Muebles</v>
      </c>
      <c r="G946" s="4">
        <v>2024</v>
      </c>
    </row>
    <row r="947" spans="1:7" x14ac:dyDescent="0.25">
      <c r="A947" t="s">
        <v>157</v>
      </c>
      <c r="B947" s="4">
        <f>VLOOKUP(A947,'Datos generales'!A:L,5,0)</f>
        <v>5</v>
      </c>
      <c r="C947" s="4" t="str">
        <f>VLOOKUP(A947,'Datos generales'!A:L,4,0)</f>
        <v>Webcam</v>
      </c>
      <c r="D947" s="4">
        <f>VLOOKUP(A947,'Datos generales'!A:L,6,0)</f>
        <v>1440.14</v>
      </c>
      <c r="E947" s="4">
        <f>VLOOKUP(A947,'Datos generales'!A:L,12,0)</f>
        <v>1440.14</v>
      </c>
      <c r="F947" s="4" t="str">
        <f>VLOOKUP(A947,'Datos generales'!A:L,7,0)</f>
        <v>Accesorios</v>
      </c>
      <c r="G947" s="4">
        <v>2024</v>
      </c>
    </row>
    <row r="948" spans="1:7" x14ac:dyDescent="0.25">
      <c r="A948" t="s">
        <v>158</v>
      </c>
      <c r="B948" s="4">
        <f>VLOOKUP(A948,'Datos generales'!A:L,5,0)</f>
        <v>4</v>
      </c>
      <c r="C948" s="4" t="str">
        <f>VLOOKUP(A948,'Datos generales'!A:L,4,0)</f>
        <v>Monitor</v>
      </c>
      <c r="D948" s="4">
        <f>VLOOKUP(A948,'Datos generales'!A:L,6,0)</f>
        <v>283.7</v>
      </c>
      <c r="E948" s="4">
        <f>VLOOKUP(A948,'Datos generales'!A:L,12,0)</f>
        <v>283.7</v>
      </c>
      <c r="F948" s="4" t="str">
        <f>VLOOKUP(A948,'Datos generales'!A:L,7,0)</f>
        <v>Electrónica</v>
      </c>
      <c r="G948" s="4">
        <v>2023</v>
      </c>
    </row>
    <row r="949" spans="1:7" x14ac:dyDescent="0.25">
      <c r="A949" t="s">
        <v>159</v>
      </c>
      <c r="B949" s="4">
        <f>VLOOKUP(A949,'Datos generales'!A:L,5,0)</f>
        <v>3</v>
      </c>
      <c r="C949" s="4" t="str">
        <f>VLOOKUP(A949,'Datos generales'!A:L,4,0)</f>
        <v>Impresora</v>
      </c>
      <c r="D949" s="4">
        <f>VLOOKUP(A949,'Datos generales'!A:L,6,0)</f>
        <v>687.51</v>
      </c>
      <c r="E949" s="4">
        <f>VLOOKUP(A949,'Datos generales'!A:L,12,0)</f>
        <v>687.50999999999988</v>
      </c>
      <c r="F949" s="4" t="str">
        <f>VLOOKUP(A949,'Datos generales'!A:L,7,0)</f>
        <v>Electrónica</v>
      </c>
      <c r="G949" s="4">
        <v>2024</v>
      </c>
    </row>
    <row r="950" spans="1:7" x14ac:dyDescent="0.25">
      <c r="A950" t="s">
        <v>160</v>
      </c>
      <c r="B950" s="4">
        <f>VLOOKUP(A950,'Datos generales'!A:L,5,0)</f>
        <v>2</v>
      </c>
      <c r="C950" s="4" t="str">
        <f>VLOOKUP(A950,'Datos generales'!A:L,4,0)</f>
        <v>Webcam</v>
      </c>
      <c r="D950" s="4">
        <f>VLOOKUP(A950,'Datos generales'!A:L,6,0)</f>
        <v>282</v>
      </c>
      <c r="E950" s="4">
        <f>VLOOKUP(A950,'Datos generales'!A:L,12,0)</f>
        <v>282</v>
      </c>
      <c r="F950" s="4" t="str">
        <f>VLOOKUP(A950,'Datos generales'!A:L,7,0)</f>
        <v>Accesorios</v>
      </c>
      <c r="G950" s="4">
        <v>2023</v>
      </c>
    </row>
    <row r="951" spans="1:7" x14ac:dyDescent="0.25">
      <c r="A951" t="s">
        <v>161</v>
      </c>
      <c r="B951" s="4">
        <f>VLOOKUP(A951,'Datos generales'!A:L,5,0)</f>
        <v>4</v>
      </c>
      <c r="C951" s="4" t="str">
        <f>VLOOKUP(A951,'Datos generales'!A:L,4,0)</f>
        <v>Impresora</v>
      </c>
      <c r="D951" s="4">
        <f>VLOOKUP(A951,'Datos generales'!A:L,6,0)</f>
        <v>1471.38</v>
      </c>
      <c r="E951" s="4">
        <f>VLOOKUP(A951,'Datos generales'!A:L,12,0)</f>
        <v>1471.38</v>
      </c>
      <c r="F951" s="4" t="str">
        <f>VLOOKUP(A951,'Datos generales'!A:L,7,0)</f>
        <v>Electrónica</v>
      </c>
      <c r="G951" s="4">
        <v>2025</v>
      </c>
    </row>
    <row r="952" spans="1:7" x14ac:dyDescent="0.25">
      <c r="A952" t="s">
        <v>162</v>
      </c>
      <c r="B952" s="4">
        <f>VLOOKUP(A952,'Datos generales'!A:L,5,0)</f>
        <v>1</v>
      </c>
      <c r="C952" s="4" t="str">
        <f>VLOOKUP(A952,'Datos generales'!A:L,4,0)</f>
        <v>Webcam</v>
      </c>
      <c r="D952" s="4">
        <f>VLOOKUP(A952,'Datos generales'!A:L,6,0)</f>
        <v>1463.91</v>
      </c>
      <c r="E952" s="4">
        <f>VLOOKUP(A952,'Datos generales'!A:L,12,0)</f>
        <v>1463.91</v>
      </c>
      <c r="F952" s="4" t="str">
        <f>VLOOKUP(A952,'Datos generales'!A:L,7,0)</f>
        <v>Accesorios</v>
      </c>
      <c r="G952" s="4">
        <v>2025</v>
      </c>
    </row>
    <row r="953" spans="1:7" x14ac:dyDescent="0.25">
      <c r="A953" t="s">
        <v>163</v>
      </c>
      <c r="B953" s="4">
        <f>VLOOKUP(A953,'Datos generales'!A:L,5,0)</f>
        <v>4</v>
      </c>
      <c r="C953" s="4" t="str">
        <f>VLOOKUP(A953,'Datos generales'!A:L,4,0)</f>
        <v>Teclado</v>
      </c>
      <c r="D953" s="4">
        <f>VLOOKUP(A953,'Datos generales'!A:L,6,0)</f>
        <v>1585.49</v>
      </c>
      <c r="E953" s="4">
        <f>VLOOKUP(A953,'Datos generales'!A:L,12,0)</f>
        <v>1585.49</v>
      </c>
      <c r="F953" s="4" t="str">
        <f>VLOOKUP(A953,'Datos generales'!A:L,7,0)</f>
        <v>Accesorios</v>
      </c>
      <c r="G953" s="4">
        <v>2024</v>
      </c>
    </row>
    <row r="954" spans="1:7" x14ac:dyDescent="0.25">
      <c r="A954" t="s">
        <v>164</v>
      </c>
      <c r="B954" s="4">
        <f>VLOOKUP(A954,'Datos generales'!A:L,5,0)</f>
        <v>1</v>
      </c>
      <c r="C954" s="4" t="str">
        <f>VLOOKUP(A954,'Datos generales'!A:L,4,0)</f>
        <v>Teclado</v>
      </c>
      <c r="D954" s="4">
        <f>VLOOKUP(A954,'Datos generales'!A:L,6,0)</f>
        <v>662.17</v>
      </c>
      <c r="E954" s="4">
        <f>VLOOKUP(A954,'Datos generales'!A:L,12,0)</f>
        <v>662.17</v>
      </c>
      <c r="F954" s="4" t="str">
        <f>VLOOKUP(A954,'Datos generales'!A:L,7,0)</f>
        <v>Accesorios</v>
      </c>
      <c r="G954" s="4">
        <v>2024</v>
      </c>
    </row>
    <row r="955" spans="1:7" x14ac:dyDescent="0.25">
      <c r="A955" t="s">
        <v>165</v>
      </c>
      <c r="B955" s="4">
        <f>VLOOKUP(A955,'Datos generales'!A:L,5,0)</f>
        <v>2</v>
      </c>
      <c r="C955" s="4" t="str">
        <f>VLOOKUP(A955,'Datos generales'!A:L,4,0)</f>
        <v>Webcam</v>
      </c>
      <c r="D955" s="4">
        <f>VLOOKUP(A955,'Datos generales'!A:L,6,0)</f>
        <v>136.68</v>
      </c>
      <c r="E955" s="4">
        <f>VLOOKUP(A955,'Datos generales'!A:L,12,0)</f>
        <v>136.68</v>
      </c>
      <c r="F955" s="4" t="str">
        <f>VLOOKUP(A955,'Datos generales'!A:L,7,0)</f>
        <v>Accesorios</v>
      </c>
      <c r="G955" s="4">
        <v>2024</v>
      </c>
    </row>
    <row r="956" spans="1:7" x14ac:dyDescent="0.25">
      <c r="A956" t="s">
        <v>166</v>
      </c>
      <c r="B956" s="4">
        <f>VLOOKUP(A956,'Datos generales'!A:L,5,0)</f>
        <v>4</v>
      </c>
      <c r="C956" s="4" t="str">
        <f>VLOOKUP(A956,'Datos generales'!A:L,4,0)</f>
        <v>Impresora</v>
      </c>
      <c r="D956" s="4">
        <f>VLOOKUP(A956,'Datos generales'!A:L,6,0)</f>
        <v>118.64</v>
      </c>
      <c r="E956" s="4">
        <f>VLOOKUP(A956,'Datos generales'!A:L,12,0)</f>
        <v>118.64</v>
      </c>
      <c r="F956" s="4" t="str">
        <f>VLOOKUP(A956,'Datos generales'!A:L,7,0)</f>
        <v>Electrónica</v>
      </c>
      <c r="G956" s="4">
        <v>2025</v>
      </c>
    </row>
    <row r="957" spans="1:7" x14ac:dyDescent="0.25">
      <c r="A957" t="s">
        <v>167</v>
      </c>
      <c r="B957" s="4">
        <f>VLOOKUP(A957,'Datos generales'!A:L,5,0)</f>
        <v>3</v>
      </c>
      <c r="C957" s="4" t="str">
        <f>VLOOKUP(A957,'Datos generales'!A:L,4,0)</f>
        <v>Laptop</v>
      </c>
      <c r="D957" s="4">
        <f>VLOOKUP(A957,'Datos generales'!A:L,6,0)</f>
        <v>933.49</v>
      </c>
      <c r="E957" s="4">
        <f>VLOOKUP(A957,'Datos generales'!A:L,12,0)</f>
        <v>933.49000000000012</v>
      </c>
      <c r="F957" s="4" t="str">
        <f>VLOOKUP(A957,'Datos generales'!A:L,7,0)</f>
        <v>Electrónica</v>
      </c>
      <c r="G957" s="4">
        <v>2024</v>
      </c>
    </row>
    <row r="958" spans="1:7" x14ac:dyDescent="0.25">
      <c r="A958" t="s">
        <v>168</v>
      </c>
      <c r="B958" s="4">
        <f>VLOOKUP(A958,'Datos generales'!A:L,5,0)</f>
        <v>2</v>
      </c>
      <c r="C958" s="4" t="str">
        <f>VLOOKUP(A958,'Datos generales'!A:L,4,0)</f>
        <v>Audífonos</v>
      </c>
      <c r="D958" s="4">
        <f>VLOOKUP(A958,'Datos generales'!A:L,6,0)</f>
        <v>1035.0899999999999</v>
      </c>
      <c r="E958" s="4">
        <f>VLOOKUP(A958,'Datos generales'!A:L,12,0)</f>
        <v>1035.0899999999999</v>
      </c>
      <c r="F958" s="4" t="str">
        <f>VLOOKUP(A958,'Datos generales'!A:L,7,0)</f>
        <v>Accesorios</v>
      </c>
      <c r="G958" s="4">
        <v>2023</v>
      </c>
    </row>
    <row r="959" spans="1:7" x14ac:dyDescent="0.25">
      <c r="A959" t="s">
        <v>169</v>
      </c>
      <c r="B959" s="4">
        <f>VLOOKUP(A959,'Datos generales'!A:L,5,0)</f>
        <v>2</v>
      </c>
      <c r="C959" s="4" t="str">
        <f>VLOOKUP(A959,'Datos generales'!A:L,4,0)</f>
        <v>Impresora</v>
      </c>
      <c r="D959" s="4">
        <f>VLOOKUP(A959,'Datos generales'!A:L,6,0)</f>
        <v>1325.01</v>
      </c>
      <c r="E959" s="4">
        <f>VLOOKUP(A959,'Datos generales'!A:L,12,0)</f>
        <v>1325.01</v>
      </c>
      <c r="F959" s="4" t="str">
        <f>VLOOKUP(A959,'Datos generales'!A:L,7,0)</f>
        <v>Electrónica</v>
      </c>
      <c r="G959" s="4">
        <v>2024</v>
      </c>
    </row>
    <row r="960" spans="1:7" x14ac:dyDescent="0.25">
      <c r="A960" t="s">
        <v>170</v>
      </c>
      <c r="B960" s="4">
        <f>VLOOKUP(A960,'Datos generales'!A:L,5,0)</f>
        <v>4</v>
      </c>
      <c r="C960" s="4" t="str">
        <f>VLOOKUP(A960,'Datos generales'!A:L,4,0)</f>
        <v>Teclado</v>
      </c>
      <c r="D960" s="4">
        <f>VLOOKUP(A960,'Datos generales'!A:L,6,0)</f>
        <v>710.84</v>
      </c>
      <c r="E960" s="4">
        <f>VLOOKUP(A960,'Datos generales'!A:L,12,0)</f>
        <v>710.84</v>
      </c>
      <c r="F960" s="4" t="str">
        <f>VLOOKUP(A960,'Datos generales'!A:L,7,0)</f>
        <v>Accesorios</v>
      </c>
      <c r="G960" s="4">
        <v>2023</v>
      </c>
    </row>
    <row r="961" spans="1:7" x14ac:dyDescent="0.25">
      <c r="A961" t="s">
        <v>171</v>
      </c>
      <c r="B961" s="4">
        <f>VLOOKUP(A961,'Datos generales'!A:L,5,0)</f>
        <v>3</v>
      </c>
      <c r="C961" s="4" t="str">
        <f>VLOOKUP(A961,'Datos generales'!A:L,4,0)</f>
        <v>Silla Gamer</v>
      </c>
      <c r="D961" s="4">
        <f>VLOOKUP(A961,'Datos generales'!A:L,6,0)</f>
        <v>97.27</v>
      </c>
      <c r="E961" s="4">
        <f>VLOOKUP(A961,'Datos generales'!A:L,12,0)</f>
        <v>97.27</v>
      </c>
      <c r="F961" s="4" t="str">
        <f>VLOOKUP(A961,'Datos generales'!A:L,7,0)</f>
        <v>Muebles</v>
      </c>
      <c r="G961" s="4">
        <v>2025</v>
      </c>
    </row>
    <row r="962" spans="1:7" x14ac:dyDescent="0.25">
      <c r="A962" t="s">
        <v>172</v>
      </c>
      <c r="B962" s="4">
        <f>VLOOKUP(A962,'Datos generales'!A:L,5,0)</f>
        <v>5</v>
      </c>
      <c r="C962" s="4" t="str">
        <f>VLOOKUP(A962,'Datos generales'!A:L,4,0)</f>
        <v>Impresora</v>
      </c>
      <c r="D962" s="4">
        <f>VLOOKUP(A962,'Datos generales'!A:L,6,0)</f>
        <v>498.36</v>
      </c>
      <c r="E962" s="4">
        <f>VLOOKUP(A962,'Datos generales'!A:L,12,0)</f>
        <v>498.36</v>
      </c>
      <c r="F962" s="4" t="str">
        <f>VLOOKUP(A962,'Datos generales'!A:L,7,0)</f>
        <v>Electrónica</v>
      </c>
      <c r="G962" s="4">
        <v>2024</v>
      </c>
    </row>
    <row r="963" spans="1:7" x14ac:dyDescent="0.25">
      <c r="A963" t="s">
        <v>173</v>
      </c>
      <c r="B963" s="4">
        <f>VLOOKUP(A963,'Datos generales'!A:L,5,0)</f>
        <v>5</v>
      </c>
      <c r="C963" s="4" t="str">
        <f>VLOOKUP(A963,'Datos generales'!A:L,4,0)</f>
        <v>Silla Gamer</v>
      </c>
      <c r="D963" s="4">
        <f>VLOOKUP(A963,'Datos generales'!A:L,6,0)</f>
        <v>980.89</v>
      </c>
      <c r="E963" s="4">
        <f>VLOOKUP(A963,'Datos generales'!A:L,12,0)</f>
        <v>980.89</v>
      </c>
      <c r="F963" s="4" t="str">
        <f>VLOOKUP(A963,'Datos generales'!A:L,7,0)</f>
        <v>Muebles</v>
      </c>
      <c r="G963" s="4">
        <v>2024</v>
      </c>
    </row>
    <row r="964" spans="1:7" x14ac:dyDescent="0.25">
      <c r="A964" t="s">
        <v>174</v>
      </c>
      <c r="B964" s="4">
        <f>VLOOKUP(A964,'Datos generales'!A:L,5,0)</f>
        <v>1</v>
      </c>
      <c r="C964" s="4" t="str">
        <f>VLOOKUP(A964,'Datos generales'!A:L,4,0)</f>
        <v>Teclado</v>
      </c>
      <c r="D964" s="4">
        <f>VLOOKUP(A964,'Datos generales'!A:L,6,0)</f>
        <v>1390.33</v>
      </c>
      <c r="E964" s="4">
        <f>VLOOKUP(A964,'Datos generales'!A:L,12,0)</f>
        <v>1390.33</v>
      </c>
      <c r="F964" s="4" t="str">
        <f>VLOOKUP(A964,'Datos generales'!A:L,7,0)</f>
        <v>Accesorios</v>
      </c>
      <c r="G964" s="4">
        <v>2024</v>
      </c>
    </row>
    <row r="965" spans="1:7" x14ac:dyDescent="0.25">
      <c r="A965" t="s">
        <v>175</v>
      </c>
      <c r="B965" s="4">
        <f>VLOOKUP(A965,'Datos generales'!A:L,5,0)</f>
        <v>5</v>
      </c>
      <c r="C965" s="4" t="str">
        <f>VLOOKUP(A965,'Datos generales'!A:L,4,0)</f>
        <v>Laptop</v>
      </c>
      <c r="D965" s="4">
        <f>VLOOKUP(A965,'Datos generales'!A:L,6,0)</f>
        <v>1708.09</v>
      </c>
      <c r="E965" s="4">
        <f>VLOOKUP(A965,'Datos generales'!A:L,12,0)</f>
        <v>1708.09</v>
      </c>
      <c r="F965" s="4" t="str">
        <f>VLOOKUP(A965,'Datos generales'!A:L,7,0)</f>
        <v>Electrónica</v>
      </c>
      <c r="G965" s="4">
        <v>2023</v>
      </c>
    </row>
    <row r="966" spans="1:7" x14ac:dyDescent="0.25">
      <c r="A966" t="s">
        <v>176</v>
      </c>
      <c r="B966" s="4">
        <f>VLOOKUP(A966,'Datos generales'!A:L,5,0)</f>
        <v>3</v>
      </c>
      <c r="C966" s="4" t="str">
        <f>VLOOKUP(A966,'Datos generales'!A:L,4,0)</f>
        <v>Audífonos</v>
      </c>
      <c r="D966" s="4">
        <f>VLOOKUP(A966,'Datos generales'!A:L,6,0)</f>
        <v>459.4</v>
      </c>
      <c r="E966" s="4">
        <f>VLOOKUP(A966,'Datos generales'!A:L,12,0)</f>
        <v>459.39999999999992</v>
      </c>
      <c r="F966" s="4" t="str">
        <f>VLOOKUP(A966,'Datos generales'!A:L,7,0)</f>
        <v>Accesorios</v>
      </c>
      <c r="G966" s="4">
        <v>2023</v>
      </c>
    </row>
    <row r="967" spans="1:7" x14ac:dyDescent="0.25">
      <c r="A967" t="s">
        <v>177</v>
      </c>
      <c r="B967" s="4">
        <f>VLOOKUP(A967,'Datos generales'!A:L,5,0)</f>
        <v>1</v>
      </c>
      <c r="C967" s="4" t="str">
        <f>VLOOKUP(A967,'Datos generales'!A:L,4,0)</f>
        <v>Impresora</v>
      </c>
      <c r="D967" s="4">
        <f>VLOOKUP(A967,'Datos generales'!A:L,6,0)</f>
        <v>1578.33</v>
      </c>
      <c r="E967" s="4">
        <f>VLOOKUP(A967,'Datos generales'!A:L,12,0)</f>
        <v>1578.33</v>
      </c>
      <c r="F967" s="4" t="str">
        <f>VLOOKUP(A967,'Datos generales'!A:L,7,0)</f>
        <v>Electrónica</v>
      </c>
      <c r="G967" s="4">
        <v>2023</v>
      </c>
    </row>
    <row r="968" spans="1:7" x14ac:dyDescent="0.25">
      <c r="A968" t="s">
        <v>178</v>
      </c>
      <c r="B968" s="4">
        <f>VLOOKUP(A968,'Datos generales'!A:L,5,0)</f>
        <v>5</v>
      </c>
      <c r="C968" s="4" t="str">
        <f>VLOOKUP(A968,'Datos generales'!A:L,4,0)</f>
        <v>Teclado</v>
      </c>
      <c r="D968" s="4">
        <f>VLOOKUP(A968,'Datos generales'!A:L,6,0)</f>
        <v>1602.39</v>
      </c>
      <c r="E968" s="4">
        <f>VLOOKUP(A968,'Datos generales'!A:L,12,0)</f>
        <v>1602.39</v>
      </c>
      <c r="F968" s="4" t="str">
        <f>VLOOKUP(A968,'Datos generales'!A:L,7,0)</f>
        <v>Accesorios</v>
      </c>
      <c r="G968" s="4">
        <v>2024</v>
      </c>
    </row>
    <row r="969" spans="1:7" x14ac:dyDescent="0.25">
      <c r="A969" t="s">
        <v>179</v>
      </c>
      <c r="B969" s="4">
        <f>VLOOKUP(A969,'Datos generales'!A:L,5,0)</f>
        <v>2</v>
      </c>
      <c r="C969" s="4" t="str">
        <f>VLOOKUP(A969,'Datos generales'!A:L,4,0)</f>
        <v>Teclado</v>
      </c>
      <c r="D969" s="4">
        <f>VLOOKUP(A969,'Datos generales'!A:L,6,0)</f>
        <v>714.55</v>
      </c>
      <c r="E969" s="4">
        <f>VLOOKUP(A969,'Datos generales'!A:L,12,0)</f>
        <v>714.55</v>
      </c>
      <c r="F969" s="4" t="str">
        <f>VLOOKUP(A969,'Datos generales'!A:L,7,0)</f>
        <v>Accesorios</v>
      </c>
      <c r="G969" s="4">
        <v>2023</v>
      </c>
    </row>
    <row r="970" spans="1:7" x14ac:dyDescent="0.25">
      <c r="A970" t="s">
        <v>180</v>
      </c>
      <c r="B970" s="4">
        <f>VLOOKUP(A970,'Datos generales'!A:L,5,0)</f>
        <v>2</v>
      </c>
      <c r="C970" s="4" t="str">
        <f>VLOOKUP(A970,'Datos generales'!A:L,4,0)</f>
        <v>Silla Gamer</v>
      </c>
      <c r="D970" s="4">
        <f>VLOOKUP(A970,'Datos generales'!A:L,6,0)</f>
        <v>140.54</v>
      </c>
      <c r="E970" s="4">
        <f>VLOOKUP(A970,'Datos generales'!A:L,12,0)</f>
        <v>140.54</v>
      </c>
      <c r="F970" s="4" t="str">
        <f>VLOOKUP(A970,'Datos generales'!A:L,7,0)</f>
        <v>Muebles</v>
      </c>
      <c r="G970" s="4">
        <v>2025</v>
      </c>
    </row>
    <row r="971" spans="1:7" x14ac:dyDescent="0.25">
      <c r="A971" t="s">
        <v>181</v>
      </c>
      <c r="B971" s="4">
        <f>VLOOKUP(A971,'Datos generales'!A:L,5,0)</f>
        <v>5</v>
      </c>
      <c r="C971" s="4" t="str">
        <f>VLOOKUP(A971,'Datos generales'!A:L,4,0)</f>
        <v>Mouse</v>
      </c>
      <c r="D971" s="4">
        <f>VLOOKUP(A971,'Datos generales'!A:L,6,0)</f>
        <v>286.87</v>
      </c>
      <c r="E971" s="4">
        <f>VLOOKUP(A971,'Datos generales'!A:L,12,0)</f>
        <v>286.87</v>
      </c>
      <c r="F971" s="4" t="str">
        <f>VLOOKUP(A971,'Datos generales'!A:L,7,0)</f>
        <v>Accesorios</v>
      </c>
      <c r="G971" s="4">
        <v>2024</v>
      </c>
    </row>
    <row r="972" spans="1:7" x14ac:dyDescent="0.25">
      <c r="A972" t="s">
        <v>182</v>
      </c>
      <c r="B972" s="4">
        <f>VLOOKUP(A972,'Datos generales'!A:L,5,0)</f>
        <v>5</v>
      </c>
      <c r="C972" s="4" t="str">
        <f>VLOOKUP(A972,'Datos generales'!A:L,4,0)</f>
        <v>Webcam</v>
      </c>
      <c r="D972" s="4">
        <f>VLOOKUP(A972,'Datos generales'!A:L,6,0)</f>
        <v>1897.97</v>
      </c>
      <c r="E972" s="4">
        <f>VLOOKUP(A972,'Datos generales'!A:L,12,0)</f>
        <v>1897.97</v>
      </c>
      <c r="F972" s="4" t="str">
        <f>VLOOKUP(A972,'Datos generales'!A:L,7,0)</f>
        <v>Accesorios</v>
      </c>
      <c r="G972" s="4">
        <v>2024</v>
      </c>
    </row>
    <row r="973" spans="1:7" x14ac:dyDescent="0.25">
      <c r="A973" t="s">
        <v>183</v>
      </c>
      <c r="B973" s="4">
        <f>VLOOKUP(A973,'Datos generales'!A:L,5,0)</f>
        <v>2</v>
      </c>
      <c r="C973" s="4" t="str">
        <f>VLOOKUP(A973,'Datos generales'!A:L,4,0)</f>
        <v>Teclado</v>
      </c>
      <c r="D973" s="4">
        <f>VLOOKUP(A973,'Datos generales'!A:L,6,0)</f>
        <v>587.71</v>
      </c>
      <c r="E973" s="4">
        <f>VLOOKUP(A973,'Datos generales'!A:L,12,0)</f>
        <v>587.71</v>
      </c>
      <c r="F973" s="4" t="str">
        <f>VLOOKUP(A973,'Datos generales'!A:L,7,0)</f>
        <v>Accesorios</v>
      </c>
      <c r="G973" s="4">
        <v>2024</v>
      </c>
    </row>
    <row r="974" spans="1:7" x14ac:dyDescent="0.25">
      <c r="A974" t="s">
        <v>184</v>
      </c>
      <c r="B974" s="4">
        <f>VLOOKUP(A974,'Datos generales'!A:L,5,0)</f>
        <v>4</v>
      </c>
      <c r="C974" s="4" t="str">
        <f>VLOOKUP(A974,'Datos generales'!A:L,4,0)</f>
        <v>Webcam</v>
      </c>
      <c r="D974" s="4">
        <f>VLOOKUP(A974,'Datos generales'!A:L,6,0)</f>
        <v>895.13</v>
      </c>
      <c r="E974" s="4">
        <f>VLOOKUP(A974,'Datos generales'!A:L,12,0)</f>
        <v>895.13</v>
      </c>
      <c r="F974" s="4" t="str">
        <f>VLOOKUP(A974,'Datos generales'!A:L,7,0)</f>
        <v>Accesorios</v>
      </c>
      <c r="G974" s="4">
        <v>2023</v>
      </c>
    </row>
    <row r="975" spans="1:7" x14ac:dyDescent="0.25">
      <c r="A975" t="s">
        <v>185</v>
      </c>
      <c r="B975" s="4">
        <f>VLOOKUP(A975,'Datos generales'!A:L,5,0)</f>
        <v>3</v>
      </c>
      <c r="C975" s="4" t="str">
        <f>VLOOKUP(A975,'Datos generales'!A:L,4,0)</f>
        <v>Impresora</v>
      </c>
      <c r="D975" s="4">
        <f>VLOOKUP(A975,'Datos generales'!A:L,6,0)</f>
        <v>1457.35</v>
      </c>
      <c r="E975" s="4">
        <f>VLOOKUP(A975,'Datos generales'!A:L,12,0)</f>
        <v>1457.35</v>
      </c>
      <c r="F975" s="4" t="str">
        <f>VLOOKUP(A975,'Datos generales'!A:L,7,0)</f>
        <v>Electrónica</v>
      </c>
      <c r="G975" s="4">
        <v>2024</v>
      </c>
    </row>
    <row r="976" spans="1:7" x14ac:dyDescent="0.25">
      <c r="A976" t="s">
        <v>186</v>
      </c>
      <c r="B976" s="4">
        <f>VLOOKUP(A976,'Datos generales'!A:L,5,0)</f>
        <v>3</v>
      </c>
      <c r="C976" s="4" t="str">
        <f>VLOOKUP(A976,'Datos generales'!A:L,4,0)</f>
        <v>Silla Gamer</v>
      </c>
      <c r="D976" s="4">
        <f>VLOOKUP(A976,'Datos generales'!A:L,6,0)</f>
        <v>1083.32</v>
      </c>
      <c r="E976" s="4">
        <f>VLOOKUP(A976,'Datos generales'!A:L,12,0)</f>
        <v>1083.32</v>
      </c>
      <c r="F976" s="4" t="str">
        <f>VLOOKUP(A976,'Datos generales'!A:L,7,0)</f>
        <v>Muebles</v>
      </c>
      <c r="G976" s="4">
        <v>2024</v>
      </c>
    </row>
    <row r="977" spans="1:7" x14ac:dyDescent="0.25">
      <c r="A977" t="s">
        <v>187</v>
      </c>
      <c r="B977" s="4">
        <f>VLOOKUP(A977,'Datos generales'!A:L,5,0)</f>
        <v>3</v>
      </c>
      <c r="C977" s="4" t="str">
        <f>VLOOKUP(A977,'Datos generales'!A:L,4,0)</f>
        <v>Laptop</v>
      </c>
      <c r="D977" s="4">
        <f>VLOOKUP(A977,'Datos generales'!A:L,6,0)</f>
        <v>1542.71</v>
      </c>
      <c r="E977" s="4">
        <f>VLOOKUP(A977,'Datos generales'!A:L,12,0)</f>
        <v>1542.71</v>
      </c>
      <c r="F977" s="4" t="str">
        <f>VLOOKUP(A977,'Datos generales'!A:L,7,0)</f>
        <v>Electrónica</v>
      </c>
      <c r="G977" s="4">
        <v>2025</v>
      </c>
    </row>
    <row r="978" spans="1:7" x14ac:dyDescent="0.25">
      <c r="A978" t="s">
        <v>188</v>
      </c>
      <c r="B978" s="4">
        <f>VLOOKUP(A978,'Datos generales'!A:L,5,0)</f>
        <v>5</v>
      </c>
      <c r="C978" s="4" t="str">
        <f>VLOOKUP(A978,'Datos generales'!A:L,4,0)</f>
        <v>Impresora</v>
      </c>
      <c r="D978" s="4">
        <f>VLOOKUP(A978,'Datos generales'!A:L,6,0)</f>
        <v>723.8</v>
      </c>
      <c r="E978" s="4">
        <f>VLOOKUP(A978,'Datos generales'!A:L,12,0)</f>
        <v>723.8</v>
      </c>
      <c r="F978" s="4" t="str">
        <f>VLOOKUP(A978,'Datos generales'!A:L,7,0)</f>
        <v>Electrónica</v>
      </c>
      <c r="G978" s="4">
        <v>2025</v>
      </c>
    </row>
    <row r="979" spans="1:7" x14ac:dyDescent="0.25">
      <c r="A979" t="s">
        <v>189</v>
      </c>
      <c r="B979" s="4">
        <f>VLOOKUP(A979,'Datos generales'!A:L,5,0)</f>
        <v>5</v>
      </c>
      <c r="C979" s="4" t="str">
        <f>VLOOKUP(A979,'Datos generales'!A:L,4,0)</f>
        <v>Teclado</v>
      </c>
      <c r="D979" s="4">
        <f>VLOOKUP(A979,'Datos generales'!A:L,6,0)</f>
        <v>179.97</v>
      </c>
      <c r="E979" s="4">
        <f>VLOOKUP(A979,'Datos generales'!A:L,12,0)</f>
        <v>179.97</v>
      </c>
      <c r="F979" s="4" t="str">
        <f>VLOOKUP(A979,'Datos generales'!A:L,7,0)</f>
        <v>Accesorios</v>
      </c>
      <c r="G979" s="4">
        <v>2023</v>
      </c>
    </row>
    <row r="980" spans="1:7" x14ac:dyDescent="0.25">
      <c r="A980" t="s">
        <v>190</v>
      </c>
      <c r="B980" s="4">
        <f>VLOOKUP(A980,'Datos generales'!A:L,5,0)</f>
        <v>1</v>
      </c>
      <c r="C980" s="4" t="str">
        <f>VLOOKUP(A980,'Datos generales'!A:L,4,0)</f>
        <v>Laptop</v>
      </c>
      <c r="D980" s="4">
        <f>VLOOKUP(A980,'Datos generales'!A:L,6,0)</f>
        <v>1318.43</v>
      </c>
      <c r="E980" s="4">
        <f>VLOOKUP(A980,'Datos generales'!A:L,12,0)</f>
        <v>1318.43</v>
      </c>
      <c r="F980" s="4" t="str">
        <f>VLOOKUP(A980,'Datos generales'!A:L,7,0)</f>
        <v>Electrónica</v>
      </c>
      <c r="G980" s="4">
        <v>2024</v>
      </c>
    </row>
    <row r="981" spans="1:7" x14ac:dyDescent="0.25">
      <c r="A981" t="s">
        <v>191</v>
      </c>
      <c r="B981" s="4">
        <f>VLOOKUP(A981,'Datos generales'!A:L,5,0)</f>
        <v>2</v>
      </c>
      <c r="C981" s="4" t="str">
        <f>VLOOKUP(A981,'Datos generales'!A:L,4,0)</f>
        <v>Impresora</v>
      </c>
      <c r="D981" s="4">
        <f>VLOOKUP(A981,'Datos generales'!A:L,6,0)</f>
        <v>307.37</v>
      </c>
      <c r="E981" s="4">
        <f>VLOOKUP(A981,'Datos generales'!A:L,12,0)</f>
        <v>307.37</v>
      </c>
      <c r="F981" s="4" t="str">
        <f>VLOOKUP(A981,'Datos generales'!A:L,7,0)</f>
        <v>Electrónica</v>
      </c>
      <c r="G981" s="4">
        <v>2023</v>
      </c>
    </row>
    <row r="982" spans="1:7" x14ac:dyDescent="0.25">
      <c r="A982" t="s">
        <v>192</v>
      </c>
      <c r="B982" s="4">
        <f>VLOOKUP(A982,'Datos generales'!A:L,5,0)</f>
        <v>1</v>
      </c>
      <c r="C982" s="4" t="str">
        <f>VLOOKUP(A982,'Datos generales'!A:L,4,0)</f>
        <v>Silla Gamer</v>
      </c>
      <c r="D982" s="4">
        <f>VLOOKUP(A982,'Datos generales'!A:L,6,0)</f>
        <v>1364.97</v>
      </c>
      <c r="E982" s="4">
        <f>VLOOKUP(A982,'Datos generales'!A:L,12,0)</f>
        <v>1364.97</v>
      </c>
      <c r="F982" s="4" t="str">
        <f>VLOOKUP(A982,'Datos generales'!A:L,7,0)</f>
        <v>Muebles</v>
      </c>
      <c r="G982" s="4">
        <v>2023</v>
      </c>
    </row>
    <row r="983" spans="1:7" x14ac:dyDescent="0.25">
      <c r="A983" t="s">
        <v>193</v>
      </c>
      <c r="B983" s="4">
        <f>VLOOKUP(A983,'Datos generales'!A:L,5,0)</f>
        <v>3</v>
      </c>
      <c r="C983" s="4" t="str">
        <f>VLOOKUP(A983,'Datos generales'!A:L,4,0)</f>
        <v>Audífonos</v>
      </c>
      <c r="D983" s="4">
        <f>VLOOKUP(A983,'Datos generales'!A:L,6,0)</f>
        <v>244.23</v>
      </c>
      <c r="E983" s="4">
        <f>VLOOKUP(A983,'Datos generales'!A:L,12,0)</f>
        <v>244.23</v>
      </c>
      <c r="F983" s="4" t="str">
        <f>VLOOKUP(A983,'Datos generales'!A:L,7,0)</f>
        <v>Accesorios</v>
      </c>
      <c r="G983" s="4">
        <v>2024</v>
      </c>
    </row>
    <row r="984" spans="1:7" x14ac:dyDescent="0.25">
      <c r="A984" t="s">
        <v>194</v>
      </c>
      <c r="B984" s="4">
        <f>VLOOKUP(A984,'Datos generales'!A:L,5,0)</f>
        <v>3</v>
      </c>
      <c r="C984" s="4" t="str">
        <f>VLOOKUP(A984,'Datos generales'!A:L,4,0)</f>
        <v>Webcam</v>
      </c>
      <c r="D984" s="4">
        <f>VLOOKUP(A984,'Datos generales'!A:L,6,0)</f>
        <v>245.64</v>
      </c>
      <c r="E984" s="4">
        <f>VLOOKUP(A984,'Datos generales'!A:L,12,0)</f>
        <v>245.64</v>
      </c>
      <c r="F984" s="4" t="str">
        <f>VLOOKUP(A984,'Datos generales'!A:L,7,0)</f>
        <v>Accesorios</v>
      </c>
      <c r="G984" s="4">
        <v>2023</v>
      </c>
    </row>
    <row r="985" spans="1:7" x14ac:dyDescent="0.25">
      <c r="A985" t="s">
        <v>195</v>
      </c>
      <c r="B985" s="4">
        <f>VLOOKUP(A985,'Datos generales'!A:L,5,0)</f>
        <v>1</v>
      </c>
      <c r="C985" s="4" t="str">
        <f>VLOOKUP(A985,'Datos generales'!A:L,4,0)</f>
        <v>Webcam</v>
      </c>
      <c r="D985" s="4">
        <f>VLOOKUP(A985,'Datos generales'!A:L,6,0)</f>
        <v>1501.34</v>
      </c>
      <c r="E985" s="4">
        <f>VLOOKUP(A985,'Datos generales'!A:L,12,0)</f>
        <v>1501.34</v>
      </c>
      <c r="F985" s="4" t="str">
        <f>VLOOKUP(A985,'Datos generales'!A:L,7,0)</f>
        <v>Accesorios</v>
      </c>
      <c r="G985" s="4">
        <v>2024</v>
      </c>
    </row>
    <row r="986" spans="1:7" x14ac:dyDescent="0.25">
      <c r="A986" t="s">
        <v>196</v>
      </c>
      <c r="B986" s="4">
        <f>VLOOKUP(A986,'Datos generales'!A:L,5,0)</f>
        <v>4</v>
      </c>
      <c r="C986" s="4" t="str">
        <f>VLOOKUP(A986,'Datos generales'!A:L,4,0)</f>
        <v>Teclado</v>
      </c>
      <c r="D986" s="4">
        <f>VLOOKUP(A986,'Datos generales'!A:L,6,0)</f>
        <v>995.18</v>
      </c>
      <c r="E986" s="4">
        <f>VLOOKUP(A986,'Datos generales'!A:L,12,0)</f>
        <v>995.18</v>
      </c>
      <c r="F986" s="4" t="str">
        <f>VLOOKUP(A986,'Datos generales'!A:L,7,0)</f>
        <v>Accesorios</v>
      </c>
      <c r="G986" s="4">
        <v>2024</v>
      </c>
    </row>
    <row r="987" spans="1:7" x14ac:dyDescent="0.25">
      <c r="A987" t="s">
        <v>197</v>
      </c>
      <c r="B987" s="4">
        <f>VLOOKUP(A987,'Datos generales'!A:L,5,0)</f>
        <v>2</v>
      </c>
      <c r="C987" s="4" t="str">
        <f>VLOOKUP(A987,'Datos generales'!A:L,4,0)</f>
        <v>Teclado</v>
      </c>
      <c r="D987" s="4">
        <f>VLOOKUP(A987,'Datos generales'!A:L,6,0)</f>
        <v>1834.72</v>
      </c>
      <c r="E987" s="4">
        <f>VLOOKUP(A987,'Datos generales'!A:L,12,0)</f>
        <v>1834.72</v>
      </c>
      <c r="F987" s="4" t="str">
        <f>VLOOKUP(A987,'Datos generales'!A:L,7,0)</f>
        <v>Accesorios</v>
      </c>
      <c r="G987" s="4">
        <v>2023</v>
      </c>
    </row>
    <row r="988" spans="1:7" x14ac:dyDescent="0.25">
      <c r="A988" t="s">
        <v>198</v>
      </c>
      <c r="B988" s="4">
        <f>VLOOKUP(A988,'Datos generales'!A:L,5,0)</f>
        <v>2</v>
      </c>
      <c r="C988" s="4" t="str">
        <f>VLOOKUP(A988,'Datos generales'!A:L,4,0)</f>
        <v>Audífonos</v>
      </c>
      <c r="D988" s="4">
        <f>VLOOKUP(A988,'Datos generales'!A:L,6,0)</f>
        <v>1942.31</v>
      </c>
      <c r="E988" s="4">
        <f>VLOOKUP(A988,'Datos generales'!A:L,12,0)</f>
        <v>1942.31</v>
      </c>
      <c r="F988" s="4" t="str">
        <f>VLOOKUP(A988,'Datos generales'!A:L,7,0)</f>
        <v>Accesorios</v>
      </c>
      <c r="G988" s="4">
        <v>2024</v>
      </c>
    </row>
    <row r="989" spans="1:7" x14ac:dyDescent="0.25">
      <c r="A989" t="s">
        <v>199</v>
      </c>
      <c r="B989" s="4">
        <f>VLOOKUP(A989,'Datos generales'!A:L,5,0)</f>
        <v>3</v>
      </c>
      <c r="C989" s="4" t="str">
        <f>VLOOKUP(A989,'Datos generales'!A:L,4,0)</f>
        <v>Audífonos</v>
      </c>
      <c r="D989" s="4">
        <f>VLOOKUP(A989,'Datos generales'!A:L,6,0)</f>
        <v>1025.57</v>
      </c>
      <c r="E989" s="4">
        <f>VLOOKUP(A989,'Datos generales'!A:L,12,0)</f>
        <v>1025.57</v>
      </c>
      <c r="F989" s="4" t="str">
        <f>VLOOKUP(A989,'Datos generales'!A:L,7,0)</f>
        <v>Accesorios</v>
      </c>
      <c r="G989" s="4">
        <v>2025</v>
      </c>
    </row>
    <row r="990" spans="1:7" x14ac:dyDescent="0.25">
      <c r="A990" t="s">
        <v>200</v>
      </c>
      <c r="B990" s="4">
        <f>VLOOKUP(A990,'Datos generales'!A:L,5,0)</f>
        <v>4</v>
      </c>
      <c r="C990" s="4" t="str">
        <f>VLOOKUP(A990,'Datos generales'!A:L,4,0)</f>
        <v>Impresora</v>
      </c>
      <c r="D990" s="4">
        <f>VLOOKUP(A990,'Datos generales'!A:L,6,0)</f>
        <v>555.19000000000005</v>
      </c>
      <c r="E990" s="4">
        <f>VLOOKUP(A990,'Datos generales'!A:L,12,0)</f>
        <v>555.19000000000005</v>
      </c>
      <c r="F990" s="4" t="str">
        <f>VLOOKUP(A990,'Datos generales'!A:L,7,0)</f>
        <v>Electrónica</v>
      </c>
      <c r="G990" s="4">
        <v>2023</v>
      </c>
    </row>
    <row r="991" spans="1:7" x14ac:dyDescent="0.25">
      <c r="A991" t="s">
        <v>201</v>
      </c>
      <c r="B991" s="4">
        <f>VLOOKUP(A991,'Datos generales'!A:L,5,0)</f>
        <v>5</v>
      </c>
      <c r="C991" s="4" t="str">
        <f>VLOOKUP(A991,'Datos generales'!A:L,4,0)</f>
        <v>Silla Gamer</v>
      </c>
      <c r="D991" s="4">
        <f>VLOOKUP(A991,'Datos generales'!A:L,6,0)</f>
        <v>750.82</v>
      </c>
      <c r="E991" s="4">
        <f>VLOOKUP(A991,'Datos generales'!A:L,12,0)</f>
        <v>750.82</v>
      </c>
      <c r="F991" s="4" t="str">
        <f>VLOOKUP(A991,'Datos generales'!A:L,7,0)</f>
        <v>Muebles</v>
      </c>
      <c r="G991" s="4">
        <v>2023</v>
      </c>
    </row>
    <row r="992" spans="1:7" x14ac:dyDescent="0.25">
      <c r="A992" t="s">
        <v>202</v>
      </c>
      <c r="B992" s="4">
        <f>VLOOKUP(A992,'Datos generales'!A:L,5,0)</f>
        <v>2</v>
      </c>
      <c r="C992" s="4" t="str">
        <f>VLOOKUP(A992,'Datos generales'!A:L,4,0)</f>
        <v>Impresora</v>
      </c>
      <c r="D992" s="4">
        <f>VLOOKUP(A992,'Datos generales'!A:L,6,0)</f>
        <v>1609.9</v>
      </c>
      <c r="E992" s="4">
        <f>VLOOKUP(A992,'Datos generales'!A:L,12,0)</f>
        <v>1609.9</v>
      </c>
      <c r="F992" s="4" t="str">
        <f>VLOOKUP(A992,'Datos generales'!A:L,7,0)</f>
        <v>Electrónica</v>
      </c>
      <c r="G992" s="4">
        <v>2025</v>
      </c>
    </row>
    <row r="993" spans="1:7" x14ac:dyDescent="0.25">
      <c r="A993" t="s">
        <v>203</v>
      </c>
      <c r="B993" s="4">
        <f>VLOOKUP(A993,'Datos generales'!A:L,5,0)</f>
        <v>3</v>
      </c>
      <c r="C993" s="4" t="str">
        <f>VLOOKUP(A993,'Datos generales'!A:L,4,0)</f>
        <v>Silla Gamer</v>
      </c>
      <c r="D993" s="4">
        <f>VLOOKUP(A993,'Datos generales'!A:L,6,0)</f>
        <v>27.89</v>
      </c>
      <c r="E993" s="4">
        <f>VLOOKUP(A993,'Datos generales'!A:L,12,0)</f>
        <v>27.89</v>
      </c>
      <c r="F993" s="4" t="str">
        <f>VLOOKUP(A993,'Datos generales'!A:L,7,0)</f>
        <v>Muebles</v>
      </c>
      <c r="G993" s="4">
        <v>2025</v>
      </c>
    </row>
    <row r="994" spans="1:7" x14ac:dyDescent="0.25">
      <c r="A994" t="s">
        <v>204</v>
      </c>
      <c r="B994" s="4">
        <f>VLOOKUP(A994,'Datos generales'!A:L,5,0)</f>
        <v>1</v>
      </c>
      <c r="C994" s="4" t="str">
        <f>VLOOKUP(A994,'Datos generales'!A:L,4,0)</f>
        <v>Audífonos</v>
      </c>
      <c r="D994" s="4">
        <f>VLOOKUP(A994,'Datos generales'!A:L,6,0)</f>
        <v>1700.54</v>
      </c>
      <c r="E994" s="4">
        <f>VLOOKUP(A994,'Datos generales'!A:L,12,0)</f>
        <v>1700.54</v>
      </c>
      <c r="F994" s="4" t="str">
        <f>VLOOKUP(A994,'Datos generales'!A:L,7,0)</f>
        <v>Accesorios</v>
      </c>
      <c r="G994" s="4">
        <v>2025</v>
      </c>
    </row>
    <row r="995" spans="1:7" x14ac:dyDescent="0.25">
      <c r="A995" t="s">
        <v>205</v>
      </c>
      <c r="B995" s="4">
        <f>VLOOKUP(A995,'Datos generales'!A:L,5,0)</f>
        <v>3</v>
      </c>
      <c r="C995" s="4" t="str">
        <f>VLOOKUP(A995,'Datos generales'!A:L,4,0)</f>
        <v>Audífonos</v>
      </c>
      <c r="D995" s="4">
        <f>VLOOKUP(A995,'Datos generales'!A:L,6,0)</f>
        <v>473.4</v>
      </c>
      <c r="E995" s="4">
        <f>VLOOKUP(A995,'Datos generales'!A:L,12,0)</f>
        <v>473.39999999999992</v>
      </c>
      <c r="F995" s="4" t="str">
        <f>VLOOKUP(A995,'Datos generales'!A:L,7,0)</f>
        <v>Accesorios</v>
      </c>
      <c r="G995" s="4">
        <v>2025</v>
      </c>
    </row>
    <row r="996" spans="1:7" x14ac:dyDescent="0.25">
      <c r="A996" t="s">
        <v>206</v>
      </c>
      <c r="B996" s="4">
        <f>VLOOKUP(A996,'Datos generales'!A:L,5,0)</f>
        <v>1</v>
      </c>
      <c r="C996" s="4" t="str">
        <f>VLOOKUP(A996,'Datos generales'!A:L,4,0)</f>
        <v>Impresora</v>
      </c>
      <c r="D996" s="4">
        <f>VLOOKUP(A996,'Datos generales'!A:L,6,0)</f>
        <v>521.32000000000005</v>
      </c>
      <c r="E996" s="4">
        <f>VLOOKUP(A996,'Datos generales'!A:L,12,0)</f>
        <v>521.32000000000005</v>
      </c>
      <c r="F996" s="4" t="str">
        <f>VLOOKUP(A996,'Datos generales'!A:L,7,0)</f>
        <v>Electrónica</v>
      </c>
      <c r="G996" s="4">
        <v>2023</v>
      </c>
    </row>
    <row r="997" spans="1:7" x14ac:dyDescent="0.25">
      <c r="A997" t="s">
        <v>207</v>
      </c>
      <c r="B997" s="4">
        <f>VLOOKUP(A997,'Datos generales'!A:L,5,0)</f>
        <v>1</v>
      </c>
      <c r="C997" s="4" t="str">
        <f>VLOOKUP(A997,'Datos generales'!A:L,4,0)</f>
        <v>Teclado</v>
      </c>
      <c r="D997" s="4">
        <f>VLOOKUP(A997,'Datos generales'!A:L,6,0)</f>
        <v>1067.6400000000001</v>
      </c>
      <c r="E997" s="4">
        <f>VLOOKUP(A997,'Datos generales'!A:L,12,0)</f>
        <v>1067.6400000000001</v>
      </c>
      <c r="F997" s="4" t="str">
        <f>VLOOKUP(A997,'Datos generales'!A:L,7,0)</f>
        <v>Accesorios</v>
      </c>
      <c r="G997" s="4">
        <v>2025</v>
      </c>
    </row>
    <row r="998" spans="1:7" x14ac:dyDescent="0.25">
      <c r="A998" t="s">
        <v>208</v>
      </c>
      <c r="B998" s="4">
        <f>VLOOKUP(A998,'Datos generales'!A:L,5,0)</f>
        <v>1</v>
      </c>
      <c r="C998" s="4" t="str">
        <f>VLOOKUP(A998,'Datos generales'!A:L,4,0)</f>
        <v>Mouse</v>
      </c>
      <c r="D998" s="4">
        <f>VLOOKUP(A998,'Datos generales'!A:L,6,0)</f>
        <v>1903.64</v>
      </c>
      <c r="E998" s="4">
        <f>VLOOKUP(A998,'Datos generales'!A:L,12,0)</f>
        <v>1903.64</v>
      </c>
      <c r="F998" s="4" t="str">
        <f>VLOOKUP(A998,'Datos generales'!A:L,7,0)</f>
        <v>Accesorios</v>
      </c>
      <c r="G998" s="4">
        <v>2023</v>
      </c>
    </row>
    <row r="999" spans="1:7" x14ac:dyDescent="0.25">
      <c r="A999" t="s">
        <v>209</v>
      </c>
      <c r="B999" s="4">
        <f>VLOOKUP(A999,'Datos generales'!A:L,5,0)</f>
        <v>2</v>
      </c>
      <c r="C999" s="4" t="str">
        <f>VLOOKUP(A999,'Datos generales'!A:L,4,0)</f>
        <v>Silla Gamer</v>
      </c>
      <c r="D999" s="4">
        <f>VLOOKUP(A999,'Datos generales'!A:L,6,0)</f>
        <v>1460.16</v>
      </c>
      <c r="E999" s="4">
        <f>VLOOKUP(A999,'Datos generales'!A:L,12,0)</f>
        <v>1460.16</v>
      </c>
      <c r="F999" s="4" t="str">
        <f>VLOOKUP(A999,'Datos generales'!A:L,7,0)</f>
        <v>Muebles</v>
      </c>
      <c r="G999" s="4">
        <v>2023</v>
      </c>
    </row>
    <row r="1000" spans="1:7" x14ac:dyDescent="0.25">
      <c r="A1000" t="s">
        <v>210</v>
      </c>
      <c r="B1000" s="4">
        <f>VLOOKUP(A1000,'Datos generales'!A:L,5,0)</f>
        <v>4</v>
      </c>
      <c r="C1000" s="4" t="str">
        <f>VLOOKUP(A1000,'Datos generales'!A:L,4,0)</f>
        <v>Monitor</v>
      </c>
      <c r="D1000" s="4">
        <f>VLOOKUP(A1000,'Datos generales'!A:L,6,0)</f>
        <v>847</v>
      </c>
      <c r="E1000" s="4">
        <f>VLOOKUP(A1000,'Datos generales'!A:L,12,0)</f>
        <v>847</v>
      </c>
      <c r="F1000" s="4" t="str">
        <f>VLOOKUP(A1000,'Datos generales'!A:L,7,0)</f>
        <v>Electrónica</v>
      </c>
      <c r="G1000" s="4">
        <v>2025</v>
      </c>
    </row>
    <row r="1001" spans="1:7" x14ac:dyDescent="0.25">
      <c r="A1001" t="s">
        <v>211</v>
      </c>
      <c r="B1001" s="4">
        <f>VLOOKUP(A1001,'Datos generales'!A:L,5,0)</f>
        <v>2</v>
      </c>
      <c r="C1001" s="4" t="str">
        <f>VLOOKUP(A1001,'Datos generales'!A:L,4,0)</f>
        <v>Mouse</v>
      </c>
      <c r="D1001" s="4">
        <f>VLOOKUP(A1001,'Datos generales'!A:L,6,0)</f>
        <v>1243.3399999999999</v>
      </c>
      <c r="E1001" s="4">
        <f>VLOOKUP(A1001,'Datos generales'!A:L,12,0)</f>
        <v>1243.3399999999999</v>
      </c>
      <c r="F1001" s="4" t="str">
        <f>VLOOKUP(A1001,'Datos generales'!A:L,7,0)</f>
        <v>Accesorios</v>
      </c>
      <c r="G1001" s="4">
        <v>2023</v>
      </c>
    </row>
    <row r="1002" spans="1:7" x14ac:dyDescent="0.25">
      <c r="A1002" t="s">
        <v>12</v>
      </c>
      <c r="B1002" s="4">
        <f>VLOOKUP(A1002,'Datos generales'!A:L,5,0)</f>
        <v>5</v>
      </c>
      <c r="C1002" s="4" t="str">
        <f>VLOOKUP(A1002,'Datos generales'!A:L,4,0)</f>
        <v>Monitor</v>
      </c>
      <c r="D1002" s="4">
        <f>VLOOKUP(A1002,'Datos generales'!A:L,6,0)</f>
        <v>1497.24</v>
      </c>
      <c r="E1002" s="4">
        <f>VLOOKUP(A1002,'Datos generales'!A:L,12,0)</f>
        <v>1497.24</v>
      </c>
      <c r="F1002" s="4" t="str">
        <f>VLOOKUP(A1002,'Datos generales'!A:L,7,0)</f>
        <v>Electrónica</v>
      </c>
      <c r="G1002" s="4">
        <v>2023</v>
      </c>
    </row>
    <row r="1003" spans="1:7" x14ac:dyDescent="0.25">
      <c r="A1003" t="s">
        <v>13</v>
      </c>
      <c r="B1003" s="4">
        <f>VLOOKUP(A1003,'Datos generales'!A:L,5,0)</f>
        <v>1</v>
      </c>
      <c r="C1003" s="4" t="str">
        <f>VLOOKUP(A1003,'Datos generales'!A:L,4,0)</f>
        <v>Monitor</v>
      </c>
      <c r="D1003" s="4">
        <f>VLOOKUP(A1003,'Datos generales'!A:L,6,0)</f>
        <v>1687.54</v>
      </c>
      <c r="E1003" s="4">
        <f>VLOOKUP(A1003,'Datos generales'!A:L,12,0)</f>
        <v>1687.54</v>
      </c>
      <c r="F1003" s="4" t="str">
        <f>VLOOKUP(A1003,'Datos generales'!A:L,7,0)</f>
        <v>Electrónica</v>
      </c>
      <c r="G1003" s="4">
        <v>2023</v>
      </c>
    </row>
    <row r="1004" spans="1:7" x14ac:dyDescent="0.25">
      <c r="A1004" t="s">
        <v>14</v>
      </c>
      <c r="B1004" s="4">
        <f>VLOOKUP(A1004,'Datos generales'!A:L,5,0)</f>
        <v>3</v>
      </c>
      <c r="C1004" s="4" t="str">
        <f>VLOOKUP(A1004,'Datos generales'!A:L,4,0)</f>
        <v>Teclado</v>
      </c>
      <c r="D1004" s="4">
        <f>VLOOKUP(A1004,'Datos generales'!A:L,6,0)</f>
        <v>768.8</v>
      </c>
      <c r="E1004" s="4">
        <f>VLOOKUP(A1004,'Datos generales'!A:L,12,0)</f>
        <v>768.79999999999984</v>
      </c>
      <c r="F1004" s="4" t="str">
        <f>VLOOKUP(A1004,'Datos generales'!A:L,7,0)</f>
        <v>Accesorios</v>
      </c>
      <c r="G1004" s="4">
        <v>2024</v>
      </c>
    </row>
    <row r="1005" spans="1:7" x14ac:dyDescent="0.25">
      <c r="A1005" t="s">
        <v>15</v>
      </c>
      <c r="B1005" s="4">
        <f>VLOOKUP(A1005,'Datos generales'!A:L,5,0)</f>
        <v>1</v>
      </c>
      <c r="C1005" s="4" t="str">
        <f>VLOOKUP(A1005,'Datos generales'!A:L,4,0)</f>
        <v>Silla Gamer</v>
      </c>
      <c r="D1005" s="4">
        <f>VLOOKUP(A1005,'Datos generales'!A:L,6,0)</f>
        <v>1532.67</v>
      </c>
      <c r="E1005" s="4">
        <f>VLOOKUP(A1005,'Datos generales'!A:L,12,0)</f>
        <v>1532.67</v>
      </c>
      <c r="F1005" s="4" t="str">
        <f>VLOOKUP(A1005,'Datos generales'!A:L,7,0)</f>
        <v>Muebles</v>
      </c>
      <c r="G1005" s="4">
        <v>2025</v>
      </c>
    </row>
    <row r="1006" spans="1:7" x14ac:dyDescent="0.25">
      <c r="A1006" t="s">
        <v>16</v>
      </c>
      <c r="B1006" s="4">
        <f>VLOOKUP(A1006,'Datos generales'!A:L,5,0)</f>
        <v>3</v>
      </c>
      <c r="C1006" s="4" t="str">
        <f>VLOOKUP(A1006,'Datos generales'!A:L,4,0)</f>
        <v>Silla Gamer</v>
      </c>
      <c r="D1006" s="4">
        <f>VLOOKUP(A1006,'Datos generales'!A:L,6,0)</f>
        <v>1709.47</v>
      </c>
      <c r="E1006" s="4">
        <f>VLOOKUP(A1006,'Datos generales'!A:L,12,0)</f>
        <v>1709.47</v>
      </c>
      <c r="F1006" s="4" t="str">
        <f>VLOOKUP(A1006,'Datos generales'!A:L,7,0)</f>
        <v>Muebles</v>
      </c>
      <c r="G1006" s="4">
        <v>2025</v>
      </c>
    </row>
    <row r="1007" spans="1:7" x14ac:dyDescent="0.25">
      <c r="A1007" t="s">
        <v>17</v>
      </c>
      <c r="B1007" s="4">
        <f>VLOOKUP(A1007,'Datos generales'!A:L,5,0)</f>
        <v>3</v>
      </c>
      <c r="C1007" s="4" t="str">
        <f>VLOOKUP(A1007,'Datos generales'!A:L,4,0)</f>
        <v>Impresora</v>
      </c>
      <c r="D1007" s="4">
        <f>VLOOKUP(A1007,'Datos generales'!A:L,6,0)</f>
        <v>297.54000000000002</v>
      </c>
      <c r="E1007" s="4">
        <f>VLOOKUP(A1007,'Datos generales'!A:L,12,0)</f>
        <v>297.54000000000002</v>
      </c>
      <c r="F1007" s="4" t="str">
        <f>VLOOKUP(A1007,'Datos generales'!A:L,7,0)</f>
        <v>Electrónica</v>
      </c>
      <c r="G1007" s="4">
        <v>2023</v>
      </c>
    </row>
    <row r="1008" spans="1:7" x14ac:dyDescent="0.25">
      <c r="A1008" t="s">
        <v>18</v>
      </c>
      <c r="B1008" s="4">
        <f>VLOOKUP(A1008,'Datos generales'!A:L,5,0)</f>
        <v>4</v>
      </c>
      <c r="C1008" s="4" t="str">
        <f>VLOOKUP(A1008,'Datos generales'!A:L,4,0)</f>
        <v>Webcam</v>
      </c>
      <c r="D1008" s="4">
        <f>VLOOKUP(A1008,'Datos generales'!A:L,6,0)</f>
        <v>1546.65</v>
      </c>
      <c r="E1008" s="4">
        <f>VLOOKUP(A1008,'Datos generales'!A:L,12,0)</f>
        <v>1546.65</v>
      </c>
      <c r="F1008" s="4" t="str">
        <f>VLOOKUP(A1008,'Datos generales'!A:L,7,0)</f>
        <v>Accesorios</v>
      </c>
      <c r="G1008" s="4">
        <v>2025</v>
      </c>
    </row>
    <row r="1009" spans="1:7" x14ac:dyDescent="0.25">
      <c r="A1009" t="s">
        <v>19</v>
      </c>
      <c r="B1009" s="4">
        <f>VLOOKUP(A1009,'Datos generales'!A:L,5,0)</f>
        <v>1</v>
      </c>
      <c r="C1009" s="4" t="str">
        <f>VLOOKUP(A1009,'Datos generales'!A:L,4,0)</f>
        <v>Monitor</v>
      </c>
      <c r="D1009" s="4">
        <f>VLOOKUP(A1009,'Datos generales'!A:L,6,0)</f>
        <v>1575.18</v>
      </c>
      <c r="E1009" s="4">
        <f>VLOOKUP(A1009,'Datos generales'!A:L,12,0)</f>
        <v>1575.18</v>
      </c>
      <c r="F1009" s="4" t="str">
        <f>VLOOKUP(A1009,'Datos generales'!A:L,7,0)</f>
        <v>Electrónica</v>
      </c>
      <c r="G1009" s="4">
        <v>2025</v>
      </c>
    </row>
    <row r="1010" spans="1:7" x14ac:dyDescent="0.25">
      <c r="A1010" t="s">
        <v>20</v>
      </c>
      <c r="B1010" s="4">
        <f>VLOOKUP(A1010,'Datos generales'!A:L,5,0)</f>
        <v>5</v>
      </c>
      <c r="C1010" s="4" t="str">
        <f>VLOOKUP(A1010,'Datos generales'!A:L,4,0)</f>
        <v>Laptop</v>
      </c>
      <c r="D1010" s="4">
        <f>VLOOKUP(A1010,'Datos generales'!A:L,6,0)</f>
        <v>1815.86</v>
      </c>
      <c r="E1010" s="4">
        <f>VLOOKUP(A1010,'Datos generales'!A:L,12,0)</f>
        <v>1815.86</v>
      </c>
      <c r="F1010" s="4" t="str">
        <f>VLOOKUP(A1010,'Datos generales'!A:L,7,0)</f>
        <v>Electrónica</v>
      </c>
      <c r="G1010" s="4">
        <v>2024</v>
      </c>
    </row>
    <row r="1011" spans="1:7" x14ac:dyDescent="0.25">
      <c r="A1011" t="s">
        <v>21</v>
      </c>
      <c r="B1011" s="4">
        <f>VLOOKUP(A1011,'Datos generales'!A:L,5,0)</f>
        <v>1</v>
      </c>
      <c r="C1011" s="4" t="str">
        <f>VLOOKUP(A1011,'Datos generales'!A:L,4,0)</f>
        <v>Monitor</v>
      </c>
      <c r="D1011" s="4">
        <f>VLOOKUP(A1011,'Datos generales'!A:L,6,0)</f>
        <v>564.11</v>
      </c>
      <c r="E1011" s="4">
        <f>VLOOKUP(A1011,'Datos generales'!A:L,12,0)</f>
        <v>564.11</v>
      </c>
      <c r="F1011" s="4" t="str">
        <f>VLOOKUP(A1011,'Datos generales'!A:L,7,0)</f>
        <v>Electrónica</v>
      </c>
      <c r="G1011" s="4">
        <v>2024</v>
      </c>
    </row>
    <row r="1012" spans="1:7" x14ac:dyDescent="0.25">
      <c r="A1012" t="s">
        <v>22</v>
      </c>
      <c r="B1012" s="4">
        <f>VLOOKUP(A1012,'Datos generales'!A:L,5,0)</f>
        <v>1</v>
      </c>
      <c r="C1012" s="4" t="str">
        <f>VLOOKUP(A1012,'Datos generales'!A:L,4,0)</f>
        <v>Laptop</v>
      </c>
      <c r="D1012" s="4">
        <f>VLOOKUP(A1012,'Datos generales'!A:L,6,0)</f>
        <v>454.9</v>
      </c>
      <c r="E1012" s="4">
        <f>VLOOKUP(A1012,'Datos generales'!A:L,12,0)</f>
        <v>454.9</v>
      </c>
      <c r="F1012" s="4" t="str">
        <f>VLOOKUP(A1012,'Datos generales'!A:L,7,0)</f>
        <v>Electrónica</v>
      </c>
      <c r="G1012" s="4">
        <v>2024</v>
      </c>
    </row>
    <row r="1013" spans="1:7" x14ac:dyDescent="0.25">
      <c r="A1013" t="s">
        <v>23</v>
      </c>
      <c r="B1013" s="4">
        <f>VLOOKUP(A1013,'Datos generales'!A:L,5,0)</f>
        <v>3</v>
      </c>
      <c r="C1013" s="4" t="str">
        <f>VLOOKUP(A1013,'Datos generales'!A:L,4,0)</f>
        <v>Mouse</v>
      </c>
      <c r="D1013" s="4">
        <f>VLOOKUP(A1013,'Datos generales'!A:L,6,0)</f>
        <v>1277.51</v>
      </c>
      <c r="E1013" s="4">
        <f>VLOOKUP(A1013,'Datos generales'!A:L,12,0)</f>
        <v>1277.51</v>
      </c>
      <c r="F1013" s="4" t="str">
        <f>VLOOKUP(A1013,'Datos generales'!A:L,7,0)</f>
        <v>Accesorios</v>
      </c>
      <c r="G1013" s="4">
        <v>2024</v>
      </c>
    </row>
    <row r="1014" spans="1:7" x14ac:dyDescent="0.25">
      <c r="A1014" t="s">
        <v>24</v>
      </c>
      <c r="B1014" s="4">
        <f>VLOOKUP(A1014,'Datos generales'!A:L,5,0)</f>
        <v>2</v>
      </c>
      <c r="C1014" s="4" t="str">
        <f>VLOOKUP(A1014,'Datos generales'!A:L,4,0)</f>
        <v>Silla Gamer</v>
      </c>
      <c r="D1014" s="4">
        <f>VLOOKUP(A1014,'Datos generales'!A:L,6,0)</f>
        <v>1870.95</v>
      </c>
      <c r="E1014" s="4">
        <f>VLOOKUP(A1014,'Datos generales'!A:L,12,0)</f>
        <v>1870.95</v>
      </c>
      <c r="F1014" s="4" t="str">
        <f>VLOOKUP(A1014,'Datos generales'!A:L,7,0)</f>
        <v>Muebles</v>
      </c>
      <c r="G1014" s="4">
        <v>2023</v>
      </c>
    </row>
    <row r="1015" spans="1:7" x14ac:dyDescent="0.25">
      <c r="A1015" t="s">
        <v>25</v>
      </c>
      <c r="B1015" s="4">
        <f>VLOOKUP(A1015,'Datos generales'!A:L,5,0)</f>
        <v>4</v>
      </c>
      <c r="C1015" s="4" t="str">
        <f>VLOOKUP(A1015,'Datos generales'!A:L,4,0)</f>
        <v>Monitor</v>
      </c>
      <c r="D1015" s="4">
        <f>VLOOKUP(A1015,'Datos generales'!A:L,6,0)</f>
        <v>1227.23</v>
      </c>
      <c r="E1015" s="4">
        <f>VLOOKUP(A1015,'Datos generales'!A:L,12,0)</f>
        <v>1227.23</v>
      </c>
      <c r="F1015" s="4" t="str">
        <f>VLOOKUP(A1015,'Datos generales'!A:L,7,0)</f>
        <v>Electrónica</v>
      </c>
      <c r="G1015" s="4">
        <v>2023</v>
      </c>
    </row>
    <row r="1016" spans="1:7" x14ac:dyDescent="0.25">
      <c r="A1016" t="s">
        <v>26</v>
      </c>
      <c r="B1016" s="4">
        <f>VLOOKUP(A1016,'Datos generales'!A:L,5,0)</f>
        <v>1</v>
      </c>
      <c r="C1016" s="4" t="str">
        <f>VLOOKUP(A1016,'Datos generales'!A:L,4,0)</f>
        <v>Impresora</v>
      </c>
      <c r="D1016" s="4">
        <f>VLOOKUP(A1016,'Datos generales'!A:L,6,0)</f>
        <v>1329.6</v>
      </c>
      <c r="E1016" s="4">
        <f>VLOOKUP(A1016,'Datos generales'!A:L,12,0)</f>
        <v>1329.6</v>
      </c>
      <c r="F1016" s="4" t="str">
        <f>VLOOKUP(A1016,'Datos generales'!A:L,7,0)</f>
        <v>Electrónica</v>
      </c>
      <c r="G1016" s="4">
        <v>2024</v>
      </c>
    </row>
    <row r="1017" spans="1:7" x14ac:dyDescent="0.25">
      <c r="A1017" t="s">
        <v>27</v>
      </c>
      <c r="B1017" s="4">
        <f>VLOOKUP(A1017,'Datos generales'!A:L,5,0)</f>
        <v>3</v>
      </c>
      <c r="C1017" s="4" t="str">
        <f>VLOOKUP(A1017,'Datos generales'!A:L,4,0)</f>
        <v>Monitor</v>
      </c>
      <c r="D1017" s="4">
        <f>VLOOKUP(A1017,'Datos generales'!A:L,6,0)</f>
        <v>1734.12</v>
      </c>
      <c r="E1017" s="4">
        <f>VLOOKUP(A1017,'Datos generales'!A:L,12,0)</f>
        <v>1734.12</v>
      </c>
      <c r="F1017" s="4" t="str">
        <f>VLOOKUP(A1017,'Datos generales'!A:L,7,0)</f>
        <v>Electrónica</v>
      </c>
      <c r="G1017" s="4">
        <v>2023</v>
      </c>
    </row>
    <row r="1018" spans="1:7" x14ac:dyDescent="0.25">
      <c r="A1018" t="s">
        <v>28</v>
      </c>
      <c r="B1018" s="4">
        <f>VLOOKUP(A1018,'Datos generales'!A:L,5,0)</f>
        <v>1</v>
      </c>
      <c r="C1018" s="4" t="str">
        <f>VLOOKUP(A1018,'Datos generales'!A:L,4,0)</f>
        <v>Monitor</v>
      </c>
      <c r="D1018" s="4">
        <f>VLOOKUP(A1018,'Datos generales'!A:L,6,0)</f>
        <v>1209.6199999999999</v>
      </c>
      <c r="E1018" s="4">
        <f>VLOOKUP(A1018,'Datos generales'!A:L,12,0)</f>
        <v>1209.6199999999999</v>
      </c>
      <c r="F1018" s="4" t="str">
        <f>VLOOKUP(A1018,'Datos generales'!A:L,7,0)</f>
        <v>Electrónica</v>
      </c>
      <c r="G1018" s="4">
        <v>2024</v>
      </c>
    </row>
    <row r="1019" spans="1:7" x14ac:dyDescent="0.25">
      <c r="A1019" t="s">
        <v>29</v>
      </c>
      <c r="B1019" s="4">
        <f>VLOOKUP(A1019,'Datos generales'!A:L,5,0)</f>
        <v>3</v>
      </c>
      <c r="C1019" s="4" t="str">
        <f>VLOOKUP(A1019,'Datos generales'!A:L,4,0)</f>
        <v>Mouse</v>
      </c>
      <c r="D1019" s="4">
        <f>VLOOKUP(A1019,'Datos generales'!A:L,6,0)</f>
        <v>922.33</v>
      </c>
      <c r="E1019" s="4">
        <f>VLOOKUP(A1019,'Datos generales'!A:L,12,0)</f>
        <v>922.33</v>
      </c>
      <c r="F1019" s="4" t="str">
        <f>VLOOKUP(A1019,'Datos generales'!A:L,7,0)</f>
        <v>Accesorios</v>
      </c>
      <c r="G1019" s="4">
        <v>2024</v>
      </c>
    </row>
    <row r="1020" spans="1:7" x14ac:dyDescent="0.25">
      <c r="A1020" t="s">
        <v>30</v>
      </c>
      <c r="B1020" s="4">
        <f>VLOOKUP(A1020,'Datos generales'!A:L,5,0)</f>
        <v>4</v>
      </c>
      <c r="C1020" s="4" t="str">
        <f>VLOOKUP(A1020,'Datos generales'!A:L,4,0)</f>
        <v>Webcam</v>
      </c>
      <c r="D1020" s="4">
        <f>VLOOKUP(A1020,'Datos generales'!A:L,6,0)</f>
        <v>54.42</v>
      </c>
      <c r="E1020" s="4">
        <f>VLOOKUP(A1020,'Datos generales'!A:L,12,0)</f>
        <v>54.42</v>
      </c>
      <c r="F1020" s="4" t="str">
        <f>VLOOKUP(A1020,'Datos generales'!A:L,7,0)</f>
        <v>Accesorios</v>
      </c>
      <c r="G1020" s="4">
        <v>2025</v>
      </c>
    </row>
    <row r="1021" spans="1:7" x14ac:dyDescent="0.25">
      <c r="A1021" t="s">
        <v>31</v>
      </c>
      <c r="B1021" s="4">
        <f>VLOOKUP(A1021,'Datos generales'!A:L,5,0)</f>
        <v>2</v>
      </c>
      <c r="C1021" s="4" t="str">
        <f>VLOOKUP(A1021,'Datos generales'!A:L,4,0)</f>
        <v>Mouse</v>
      </c>
      <c r="D1021" s="4">
        <f>VLOOKUP(A1021,'Datos generales'!A:L,6,0)</f>
        <v>1567.18</v>
      </c>
      <c r="E1021" s="4">
        <f>VLOOKUP(A1021,'Datos generales'!A:L,12,0)</f>
        <v>1567.18</v>
      </c>
      <c r="F1021" s="4" t="str">
        <f>VLOOKUP(A1021,'Datos generales'!A:L,7,0)</f>
        <v>Accesorios</v>
      </c>
      <c r="G1021" s="4">
        <v>2023</v>
      </c>
    </row>
    <row r="1022" spans="1:7" x14ac:dyDescent="0.25">
      <c r="A1022" t="s">
        <v>32</v>
      </c>
      <c r="B1022" s="4">
        <f>VLOOKUP(A1022,'Datos generales'!A:L,5,0)</f>
        <v>2</v>
      </c>
      <c r="C1022" s="4" t="str">
        <f>VLOOKUP(A1022,'Datos generales'!A:L,4,0)</f>
        <v>Teclado</v>
      </c>
      <c r="D1022" s="4">
        <f>VLOOKUP(A1022,'Datos generales'!A:L,6,0)</f>
        <v>519.79999999999995</v>
      </c>
      <c r="E1022" s="4">
        <f>VLOOKUP(A1022,'Datos generales'!A:L,12,0)</f>
        <v>519.79999999999995</v>
      </c>
      <c r="F1022" s="4" t="str">
        <f>VLOOKUP(A1022,'Datos generales'!A:L,7,0)</f>
        <v>Accesorios</v>
      </c>
      <c r="G1022" s="4">
        <v>2023</v>
      </c>
    </row>
    <row r="1023" spans="1:7" x14ac:dyDescent="0.25">
      <c r="A1023" t="s">
        <v>33</v>
      </c>
      <c r="B1023" s="4">
        <f>VLOOKUP(A1023,'Datos generales'!A:L,5,0)</f>
        <v>1</v>
      </c>
      <c r="C1023" s="4" t="str">
        <f>VLOOKUP(A1023,'Datos generales'!A:L,4,0)</f>
        <v>Silla Gamer</v>
      </c>
      <c r="D1023" s="4">
        <f>VLOOKUP(A1023,'Datos generales'!A:L,6,0)</f>
        <v>1267.01</v>
      </c>
      <c r="E1023" s="4">
        <f>VLOOKUP(A1023,'Datos generales'!A:L,12,0)</f>
        <v>1267.01</v>
      </c>
      <c r="F1023" s="4" t="str">
        <f>VLOOKUP(A1023,'Datos generales'!A:L,7,0)</f>
        <v>Muebles</v>
      </c>
      <c r="G1023" s="4">
        <v>2024</v>
      </c>
    </row>
    <row r="1024" spans="1:7" x14ac:dyDescent="0.25">
      <c r="A1024" t="s">
        <v>34</v>
      </c>
      <c r="B1024" s="4">
        <f>VLOOKUP(A1024,'Datos generales'!A:L,5,0)</f>
        <v>4</v>
      </c>
      <c r="C1024" s="4" t="str">
        <f>VLOOKUP(A1024,'Datos generales'!A:L,4,0)</f>
        <v>Monitor</v>
      </c>
      <c r="D1024" s="4">
        <f>VLOOKUP(A1024,'Datos generales'!A:L,6,0)</f>
        <v>1027.81</v>
      </c>
      <c r="E1024" s="4">
        <f>VLOOKUP(A1024,'Datos generales'!A:L,12,0)</f>
        <v>1027.81</v>
      </c>
      <c r="F1024" s="4" t="str">
        <f>VLOOKUP(A1024,'Datos generales'!A:L,7,0)</f>
        <v>Electrónica</v>
      </c>
      <c r="G1024" s="4">
        <v>2024</v>
      </c>
    </row>
    <row r="1025" spans="1:7" x14ac:dyDescent="0.25">
      <c r="A1025" t="s">
        <v>35</v>
      </c>
      <c r="B1025" s="4">
        <f>VLOOKUP(A1025,'Datos generales'!A:L,5,0)</f>
        <v>3</v>
      </c>
      <c r="C1025" s="4" t="str">
        <f>VLOOKUP(A1025,'Datos generales'!A:L,4,0)</f>
        <v>Webcam</v>
      </c>
      <c r="D1025" s="4">
        <f>VLOOKUP(A1025,'Datos generales'!A:L,6,0)</f>
        <v>925.62</v>
      </c>
      <c r="E1025" s="4">
        <f>VLOOKUP(A1025,'Datos generales'!A:L,12,0)</f>
        <v>925.62</v>
      </c>
      <c r="F1025" s="4" t="str">
        <f>VLOOKUP(A1025,'Datos generales'!A:L,7,0)</f>
        <v>Accesorios</v>
      </c>
      <c r="G1025" s="4">
        <v>2024</v>
      </c>
    </row>
    <row r="1026" spans="1:7" x14ac:dyDescent="0.25">
      <c r="A1026" t="s">
        <v>36</v>
      </c>
      <c r="B1026" s="4">
        <f>VLOOKUP(A1026,'Datos generales'!A:L,5,0)</f>
        <v>3</v>
      </c>
      <c r="C1026" s="4" t="str">
        <f>VLOOKUP(A1026,'Datos generales'!A:L,4,0)</f>
        <v>Monitor</v>
      </c>
      <c r="D1026" s="4">
        <f>VLOOKUP(A1026,'Datos generales'!A:L,6,0)</f>
        <v>213.71</v>
      </c>
      <c r="E1026" s="4">
        <f>VLOOKUP(A1026,'Datos generales'!A:L,12,0)</f>
        <v>213.71</v>
      </c>
      <c r="F1026" s="4" t="str">
        <f>VLOOKUP(A1026,'Datos generales'!A:L,7,0)</f>
        <v>Electrónica</v>
      </c>
      <c r="G1026" s="4">
        <v>2025</v>
      </c>
    </row>
    <row r="1027" spans="1:7" x14ac:dyDescent="0.25">
      <c r="A1027" t="s">
        <v>37</v>
      </c>
      <c r="B1027" s="4">
        <f>VLOOKUP(A1027,'Datos generales'!A:L,5,0)</f>
        <v>2</v>
      </c>
      <c r="C1027" s="4" t="str">
        <f>VLOOKUP(A1027,'Datos generales'!A:L,4,0)</f>
        <v>Laptop</v>
      </c>
      <c r="D1027" s="4">
        <f>VLOOKUP(A1027,'Datos generales'!A:L,6,0)</f>
        <v>1146.75</v>
      </c>
      <c r="E1027" s="4">
        <f>VLOOKUP(A1027,'Datos generales'!A:L,12,0)</f>
        <v>1146.75</v>
      </c>
      <c r="F1027" s="4" t="str">
        <f>VLOOKUP(A1027,'Datos generales'!A:L,7,0)</f>
        <v>Electrónica</v>
      </c>
      <c r="G1027" s="4">
        <v>2024</v>
      </c>
    </row>
    <row r="1028" spans="1:7" x14ac:dyDescent="0.25">
      <c r="A1028" t="s">
        <v>38</v>
      </c>
      <c r="B1028" s="4">
        <f>VLOOKUP(A1028,'Datos generales'!A:L,5,0)</f>
        <v>5</v>
      </c>
      <c r="C1028" s="4" t="str">
        <f>VLOOKUP(A1028,'Datos generales'!A:L,4,0)</f>
        <v>Laptop</v>
      </c>
      <c r="D1028" s="4">
        <f>VLOOKUP(A1028,'Datos generales'!A:L,6,0)</f>
        <v>907.28</v>
      </c>
      <c r="E1028" s="4">
        <f>VLOOKUP(A1028,'Datos generales'!A:L,12,0)</f>
        <v>907.28</v>
      </c>
      <c r="F1028" s="4" t="str">
        <f>VLOOKUP(A1028,'Datos generales'!A:L,7,0)</f>
        <v>Electrónica</v>
      </c>
      <c r="G1028" s="4">
        <v>2023</v>
      </c>
    </row>
    <row r="1029" spans="1:7" x14ac:dyDescent="0.25">
      <c r="A1029" t="s">
        <v>39</v>
      </c>
      <c r="B1029" s="4">
        <f>VLOOKUP(A1029,'Datos generales'!A:L,5,0)</f>
        <v>2</v>
      </c>
      <c r="C1029" s="4" t="str">
        <f>VLOOKUP(A1029,'Datos generales'!A:L,4,0)</f>
        <v>Webcam</v>
      </c>
      <c r="D1029" s="4">
        <f>VLOOKUP(A1029,'Datos generales'!A:L,6,0)</f>
        <v>1734.44</v>
      </c>
      <c r="E1029" s="4">
        <f>VLOOKUP(A1029,'Datos generales'!A:L,12,0)</f>
        <v>1734.44</v>
      </c>
      <c r="F1029" s="4" t="str">
        <f>VLOOKUP(A1029,'Datos generales'!A:L,7,0)</f>
        <v>Accesorios</v>
      </c>
      <c r="G1029" s="4">
        <v>2023</v>
      </c>
    </row>
    <row r="1030" spans="1:7" x14ac:dyDescent="0.25">
      <c r="A1030" t="s">
        <v>40</v>
      </c>
      <c r="B1030" s="4">
        <f>VLOOKUP(A1030,'Datos generales'!A:L,5,0)</f>
        <v>1</v>
      </c>
      <c r="C1030" s="4" t="str">
        <f>VLOOKUP(A1030,'Datos generales'!A:L,4,0)</f>
        <v>Teclado</v>
      </c>
      <c r="D1030" s="4">
        <f>VLOOKUP(A1030,'Datos generales'!A:L,6,0)</f>
        <v>424.35</v>
      </c>
      <c r="E1030" s="4">
        <f>VLOOKUP(A1030,'Datos generales'!A:L,12,0)</f>
        <v>424.35</v>
      </c>
      <c r="F1030" s="4" t="str">
        <f>VLOOKUP(A1030,'Datos generales'!A:L,7,0)</f>
        <v>Accesorios</v>
      </c>
      <c r="G1030" s="4">
        <v>2024</v>
      </c>
    </row>
    <row r="1031" spans="1:7" x14ac:dyDescent="0.25">
      <c r="A1031" t="s">
        <v>41</v>
      </c>
      <c r="B1031" s="4">
        <f>VLOOKUP(A1031,'Datos generales'!A:L,5,0)</f>
        <v>1</v>
      </c>
      <c r="C1031" s="4" t="str">
        <f>VLOOKUP(A1031,'Datos generales'!A:L,4,0)</f>
        <v>Monitor</v>
      </c>
      <c r="D1031" s="4">
        <f>VLOOKUP(A1031,'Datos generales'!A:L,6,0)</f>
        <v>252.57</v>
      </c>
      <c r="E1031" s="4">
        <f>VLOOKUP(A1031,'Datos generales'!A:L,12,0)</f>
        <v>252.57</v>
      </c>
      <c r="F1031" s="4" t="str">
        <f>VLOOKUP(A1031,'Datos generales'!A:L,7,0)</f>
        <v>Electrónica</v>
      </c>
      <c r="G1031" s="4">
        <v>2025</v>
      </c>
    </row>
    <row r="1032" spans="1:7" x14ac:dyDescent="0.25">
      <c r="A1032" t="s">
        <v>42</v>
      </c>
      <c r="B1032" s="4">
        <f>VLOOKUP(A1032,'Datos generales'!A:L,5,0)</f>
        <v>3</v>
      </c>
      <c r="C1032" s="4" t="str">
        <f>VLOOKUP(A1032,'Datos generales'!A:L,4,0)</f>
        <v>Mouse</v>
      </c>
      <c r="D1032" s="4">
        <f>VLOOKUP(A1032,'Datos generales'!A:L,6,0)</f>
        <v>21.56</v>
      </c>
      <c r="E1032" s="4">
        <f>VLOOKUP(A1032,'Datos generales'!A:L,12,0)</f>
        <v>21.56</v>
      </c>
      <c r="F1032" s="4" t="str">
        <f>VLOOKUP(A1032,'Datos generales'!A:L,7,0)</f>
        <v>Accesorios</v>
      </c>
      <c r="G1032" s="4">
        <v>2024</v>
      </c>
    </row>
    <row r="1033" spans="1:7" x14ac:dyDescent="0.25">
      <c r="A1033" t="s">
        <v>43</v>
      </c>
      <c r="B1033" s="4">
        <f>VLOOKUP(A1033,'Datos generales'!A:L,5,0)</f>
        <v>1</v>
      </c>
      <c r="C1033" s="4" t="str">
        <f>VLOOKUP(A1033,'Datos generales'!A:L,4,0)</f>
        <v>Silla Gamer</v>
      </c>
      <c r="D1033" s="4">
        <f>VLOOKUP(A1033,'Datos generales'!A:L,6,0)</f>
        <v>446.81</v>
      </c>
      <c r="E1033" s="4">
        <f>VLOOKUP(A1033,'Datos generales'!A:L,12,0)</f>
        <v>446.81</v>
      </c>
      <c r="F1033" s="4" t="str">
        <f>VLOOKUP(A1033,'Datos generales'!A:L,7,0)</f>
        <v>Muebles</v>
      </c>
      <c r="G1033" s="4">
        <v>2024</v>
      </c>
    </row>
    <row r="1034" spans="1:7" x14ac:dyDescent="0.25">
      <c r="A1034" t="s">
        <v>44</v>
      </c>
      <c r="B1034" s="4">
        <f>VLOOKUP(A1034,'Datos generales'!A:L,5,0)</f>
        <v>2</v>
      </c>
      <c r="C1034" s="4" t="str">
        <f>VLOOKUP(A1034,'Datos generales'!A:L,4,0)</f>
        <v>Mouse</v>
      </c>
      <c r="D1034" s="4">
        <f>VLOOKUP(A1034,'Datos generales'!A:L,6,0)</f>
        <v>64.67</v>
      </c>
      <c r="E1034" s="4">
        <f>VLOOKUP(A1034,'Datos generales'!A:L,12,0)</f>
        <v>64.67</v>
      </c>
      <c r="F1034" s="4" t="str">
        <f>VLOOKUP(A1034,'Datos generales'!A:L,7,0)</f>
        <v>Accesorios</v>
      </c>
      <c r="G1034" s="4">
        <v>2023</v>
      </c>
    </row>
    <row r="1035" spans="1:7" x14ac:dyDescent="0.25">
      <c r="A1035" t="s">
        <v>45</v>
      </c>
      <c r="B1035" s="4">
        <f>VLOOKUP(A1035,'Datos generales'!A:L,5,0)</f>
        <v>5</v>
      </c>
      <c r="C1035" s="4" t="str">
        <f>VLOOKUP(A1035,'Datos generales'!A:L,4,0)</f>
        <v>Webcam</v>
      </c>
      <c r="D1035" s="4">
        <f>VLOOKUP(A1035,'Datos generales'!A:L,6,0)</f>
        <v>1168.3499999999999</v>
      </c>
      <c r="E1035" s="4">
        <f>VLOOKUP(A1035,'Datos generales'!A:L,12,0)</f>
        <v>1168.3499999999999</v>
      </c>
      <c r="F1035" s="4" t="str">
        <f>VLOOKUP(A1035,'Datos generales'!A:L,7,0)</f>
        <v>Accesorios</v>
      </c>
      <c r="G1035" s="4">
        <v>2024</v>
      </c>
    </row>
    <row r="1036" spans="1:7" x14ac:dyDescent="0.25">
      <c r="A1036" t="s">
        <v>46</v>
      </c>
      <c r="B1036" s="4">
        <f>VLOOKUP(A1036,'Datos generales'!A:L,5,0)</f>
        <v>2</v>
      </c>
      <c r="C1036" s="4" t="str">
        <f>VLOOKUP(A1036,'Datos generales'!A:L,4,0)</f>
        <v>Silla Gamer</v>
      </c>
      <c r="D1036" s="4">
        <f>VLOOKUP(A1036,'Datos generales'!A:L,6,0)</f>
        <v>349.3</v>
      </c>
      <c r="E1036" s="4">
        <f>VLOOKUP(A1036,'Datos generales'!A:L,12,0)</f>
        <v>349.3</v>
      </c>
      <c r="F1036" s="4" t="str">
        <f>VLOOKUP(A1036,'Datos generales'!A:L,7,0)</f>
        <v>Muebles</v>
      </c>
      <c r="G1036" s="4">
        <v>2025</v>
      </c>
    </row>
    <row r="1037" spans="1:7" x14ac:dyDescent="0.25">
      <c r="A1037" t="s">
        <v>47</v>
      </c>
      <c r="B1037" s="4">
        <f>VLOOKUP(A1037,'Datos generales'!A:L,5,0)</f>
        <v>3</v>
      </c>
      <c r="C1037" s="4" t="str">
        <f>VLOOKUP(A1037,'Datos generales'!A:L,4,0)</f>
        <v>Webcam</v>
      </c>
      <c r="D1037" s="4">
        <f>VLOOKUP(A1037,'Datos generales'!A:L,6,0)</f>
        <v>1154.06</v>
      </c>
      <c r="E1037" s="4">
        <f>VLOOKUP(A1037,'Datos generales'!A:L,12,0)</f>
        <v>1154.06</v>
      </c>
      <c r="F1037" s="4" t="str">
        <f>VLOOKUP(A1037,'Datos generales'!A:L,7,0)</f>
        <v>Accesorios</v>
      </c>
      <c r="G1037" s="4">
        <v>2024</v>
      </c>
    </row>
    <row r="1038" spans="1:7" x14ac:dyDescent="0.25">
      <c r="A1038" t="s">
        <v>48</v>
      </c>
      <c r="B1038" s="4">
        <f>VLOOKUP(A1038,'Datos generales'!A:L,5,0)</f>
        <v>4</v>
      </c>
      <c r="C1038" s="4" t="str">
        <f>VLOOKUP(A1038,'Datos generales'!A:L,4,0)</f>
        <v>Impresora</v>
      </c>
      <c r="D1038" s="4">
        <f>VLOOKUP(A1038,'Datos generales'!A:L,6,0)</f>
        <v>1566.37</v>
      </c>
      <c r="E1038" s="4">
        <f>VLOOKUP(A1038,'Datos generales'!A:L,12,0)</f>
        <v>1566.37</v>
      </c>
      <c r="F1038" s="4" t="str">
        <f>VLOOKUP(A1038,'Datos generales'!A:L,7,0)</f>
        <v>Electrónica</v>
      </c>
      <c r="G1038" s="4">
        <v>2025</v>
      </c>
    </row>
    <row r="1039" spans="1:7" x14ac:dyDescent="0.25">
      <c r="A1039" t="s">
        <v>49</v>
      </c>
      <c r="B1039" s="4">
        <f>VLOOKUP(A1039,'Datos generales'!A:L,5,0)</f>
        <v>2</v>
      </c>
      <c r="C1039" s="4" t="str">
        <f>VLOOKUP(A1039,'Datos generales'!A:L,4,0)</f>
        <v>Monitor</v>
      </c>
      <c r="D1039" s="4">
        <f>VLOOKUP(A1039,'Datos generales'!A:L,6,0)</f>
        <v>674.48</v>
      </c>
      <c r="E1039" s="4">
        <f>VLOOKUP(A1039,'Datos generales'!A:L,12,0)</f>
        <v>674.48</v>
      </c>
      <c r="F1039" s="4" t="str">
        <f>VLOOKUP(A1039,'Datos generales'!A:L,7,0)</f>
        <v>Electrónica</v>
      </c>
      <c r="G1039" s="4">
        <v>2024</v>
      </c>
    </row>
    <row r="1040" spans="1:7" x14ac:dyDescent="0.25">
      <c r="A1040" t="s">
        <v>50</v>
      </c>
      <c r="B1040" s="4">
        <f>VLOOKUP(A1040,'Datos generales'!A:L,5,0)</f>
        <v>2</v>
      </c>
      <c r="C1040" s="4" t="str">
        <f>VLOOKUP(A1040,'Datos generales'!A:L,4,0)</f>
        <v>Monitor</v>
      </c>
      <c r="D1040" s="4">
        <f>VLOOKUP(A1040,'Datos generales'!A:L,6,0)</f>
        <v>1543.98</v>
      </c>
      <c r="E1040" s="4">
        <f>VLOOKUP(A1040,'Datos generales'!A:L,12,0)</f>
        <v>1543.98</v>
      </c>
      <c r="F1040" s="4" t="str">
        <f>VLOOKUP(A1040,'Datos generales'!A:L,7,0)</f>
        <v>Electrónica</v>
      </c>
      <c r="G1040" s="4">
        <v>2024</v>
      </c>
    </row>
    <row r="1041" spans="1:7" x14ac:dyDescent="0.25">
      <c r="A1041" t="s">
        <v>51</v>
      </c>
      <c r="B1041" s="4">
        <f>VLOOKUP(A1041,'Datos generales'!A:L,5,0)</f>
        <v>5</v>
      </c>
      <c r="C1041" s="4" t="str">
        <f>VLOOKUP(A1041,'Datos generales'!A:L,4,0)</f>
        <v>Laptop</v>
      </c>
      <c r="D1041" s="4">
        <f>VLOOKUP(A1041,'Datos generales'!A:L,6,0)</f>
        <v>917.31</v>
      </c>
      <c r="E1041" s="4">
        <f>VLOOKUP(A1041,'Datos generales'!A:L,12,0)</f>
        <v>917.30999999999983</v>
      </c>
      <c r="F1041" s="4" t="str">
        <f>VLOOKUP(A1041,'Datos generales'!A:L,7,0)</f>
        <v>Electrónica</v>
      </c>
      <c r="G1041" s="4">
        <v>2023</v>
      </c>
    </row>
    <row r="1042" spans="1:7" x14ac:dyDescent="0.25">
      <c r="A1042" t="s">
        <v>52</v>
      </c>
      <c r="B1042" s="4">
        <f>VLOOKUP(A1042,'Datos generales'!A:L,5,0)</f>
        <v>4</v>
      </c>
      <c r="C1042" s="4" t="str">
        <f>VLOOKUP(A1042,'Datos generales'!A:L,4,0)</f>
        <v>Audífonos</v>
      </c>
      <c r="D1042" s="4">
        <f>VLOOKUP(A1042,'Datos generales'!A:L,6,0)</f>
        <v>450.36</v>
      </c>
      <c r="E1042" s="4">
        <f>VLOOKUP(A1042,'Datos generales'!A:L,12,0)</f>
        <v>450.36</v>
      </c>
      <c r="F1042" s="4" t="str">
        <f>VLOOKUP(A1042,'Datos generales'!A:L,7,0)</f>
        <v>Accesorios</v>
      </c>
      <c r="G1042" s="4">
        <v>2024</v>
      </c>
    </row>
    <row r="1043" spans="1:7" x14ac:dyDescent="0.25">
      <c r="A1043" t="s">
        <v>53</v>
      </c>
      <c r="B1043" s="4">
        <f>VLOOKUP(A1043,'Datos generales'!A:L,5,0)</f>
        <v>2</v>
      </c>
      <c r="C1043" s="4" t="str">
        <f>VLOOKUP(A1043,'Datos generales'!A:L,4,0)</f>
        <v>Impresora</v>
      </c>
      <c r="D1043" s="4">
        <f>VLOOKUP(A1043,'Datos generales'!A:L,6,0)</f>
        <v>755.48</v>
      </c>
      <c r="E1043" s="4">
        <f>VLOOKUP(A1043,'Datos generales'!A:L,12,0)</f>
        <v>755.48</v>
      </c>
      <c r="F1043" s="4" t="str">
        <f>VLOOKUP(A1043,'Datos generales'!A:L,7,0)</f>
        <v>Electrónica</v>
      </c>
      <c r="G1043" s="4">
        <v>2023</v>
      </c>
    </row>
    <row r="1044" spans="1:7" x14ac:dyDescent="0.25">
      <c r="A1044" t="s">
        <v>54</v>
      </c>
      <c r="B1044" s="4">
        <f>VLOOKUP(A1044,'Datos generales'!A:L,5,0)</f>
        <v>3</v>
      </c>
      <c r="C1044" s="4" t="str">
        <f>VLOOKUP(A1044,'Datos generales'!A:L,4,0)</f>
        <v>Teclado</v>
      </c>
      <c r="D1044" s="4">
        <f>VLOOKUP(A1044,'Datos generales'!A:L,6,0)</f>
        <v>1855.55</v>
      </c>
      <c r="E1044" s="4">
        <f>VLOOKUP(A1044,'Datos generales'!A:L,12,0)</f>
        <v>1855.55</v>
      </c>
      <c r="F1044" s="4" t="str">
        <f>VLOOKUP(A1044,'Datos generales'!A:L,7,0)</f>
        <v>Accesorios</v>
      </c>
      <c r="G1044" s="4">
        <v>2024</v>
      </c>
    </row>
    <row r="1045" spans="1:7" x14ac:dyDescent="0.25">
      <c r="A1045" t="s">
        <v>55</v>
      </c>
      <c r="B1045" s="4">
        <f>VLOOKUP(A1045,'Datos generales'!A:L,5,0)</f>
        <v>5</v>
      </c>
      <c r="C1045" s="4" t="str">
        <f>VLOOKUP(A1045,'Datos generales'!A:L,4,0)</f>
        <v>Webcam</v>
      </c>
      <c r="D1045" s="4">
        <f>VLOOKUP(A1045,'Datos generales'!A:L,6,0)</f>
        <v>1011.75</v>
      </c>
      <c r="E1045" s="4">
        <f>VLOOKUP(A1045,'Datos generales'!A:L,12,0)</f>
        <v>1011.75</v>
      </c>
      <c r="F1045" s="4" t="str">
        <f>VLOOKUP(A1045,'Datos generales'!A:L,7,0)</f>
        <v>Accesorios</v>
      </c>
      <c r="G1045" s="4">
        <v>2023</v>
      </c>
    </row>
    <row r="1046" spans="1:7" x14ac:dyDescent="0.25">
      <c r="A1046" t="s">
        <v>56</v>
      </c>
      <c r="B1046" s="4">
        <f>VLOOKUP(A1046,'Datos generales'!A:L,5,0)</f>
        <v>5</v>
      </c>
      <c r="C1046" s="4" t="str">
        <f>VLOOKUP(A1046,'Datos generales'!A:L,4,0)</f>
        <v>Teclado</v>
      </c>
      <c r="D1046" s="4">
        <f>VLOOKUP(A1046,'Datos generales'!A:L,6,0)</f>
        <v>1218.3399999999999</v>
      </c>
      <c r="E1046" s="4">
        <f>VLOOKUP(A1046,'Datos generales'!A:L,12,0)</f>
        <v>1218.3399999999999</v>
      </c>
      <c r="F1046" s="4" t="str">
        <f>VLOOKUP(A1046,'Datos generales'!A:L,7,0)</f>
        <v>Accesorios</v>
      </c>
      <c r="G1046" s="4">
        <v>2023</v>
      </c>
    </row>
    <row r="1047" spans="1:7" x14ac:dyDescent="0.25">
      <c r="A1047" t="s">
        <v>57</v>
      </c>
      <c r="B1047" s="4">
        <f>VLOOKUP(A1047,'Datos generales'!A:L,5,0)</f>
        <v>2</v>
      </c>
      <c r="C1047" s="4" t="str">
        <f>VLOOKUP(A1047,'Datos generales'!A:L,4,0)</f>
        <v>Webcam</v>
      </c>
      <c r="D1047" s="4">
        <f>VLOOKUP(A1047,'Datos generales'!A:L,6,0)</f>
        <v>361.59</v>
      </c>
      <c r="E1047" s="4">
        <f>VLOOKUP(A1047,'Datos generales'!A:L,12,0)</f>
        <v>361.59</v>
      </c>
      <c r="F1047" s="4" t="str">
        <f>VLOOKUP(A1047,'Datos generales'!A:L,7,0)</f>
        <v>Accesorios</v>
      </c>
      <c r="G1047" s="4">
        <v>2023</v>
      </c>
    </row>
    <row r="1048" spans="1:7" x14ac:dyDescent="0.25">
      <c r="A1048" t="s">
        <v>58</v>
      </c>
      <c r="B1048" s="4">
        <f>VLOOKUP(A1048,'Datos generales'!A:L,5,0)</f>
        <v>5</v>
      </c>
      <c r="C1048" s="4" t="str">
        <f>VLOOKUP(A1048,'Datos generales'!A:L,4,0)</f>
        <v>Teclado</v>
      </c>
      <c r="D1048" s="4">
        <f>VLOOKUP(A1048,'Datos generales'!A:L,6,0)</f>
        <v>958.8</v>
      </c>
      <c r="E1048" s="4">
        <f>VLOOKUP(A1048,'Datos generales'!A:L,12,0)</f>
        <v>958.8</v>
      </c>
      <c r="F1048" s="4" t="str">
        <f>VLOOKUP(A1048,'Datos generales'!A:L,7,0)</f>
        <v>Accesorios</v>
      </c>
      <c r="G1048" s="4">
        <v>2023</v>
      </c>
    </row>
    <row r="1049" spans="1:7" x14ac:dyDescent="0.25">
      <c r="A1049" t="s">
        <v>59</v>
      </c>
      <c r="B1049" s="4">
        <f>VLOOKUP(A1049,'Datos generales'!A:L,5,0)</f>
        <v>5</v>
      </c>
      <c r="C1049" s="4" t="str">
        <f>VLOOKUP(A1049,'Datos generales'!A:L,4,0)</f>
        <v>Silla Gamer</v>
      </c>
      <c r="D1049" s="4">
        <f>VLOOKUP(A1049,'Datos generales'!A:L,6,0)</f>
        <v>1776.87</v>
      </c>
      <c r="E1049" s="4">
        <f>VLOOKUP(A1049,'Datos generales'!A:L,12,0)</f>
        <v>1776.87</v>
      </c>
      <c r="F1049" s="4" t="str">
        <f>VLOOKUP(A1049,'Datos generales'!A:L,7,0)</f>
        <v>Muebles</v>
      </c>
      <c r="G1049" s="4">
        <v>2025</v>
      </c>
    </row>
    <row r="1050" spans="1:7" x14ac:dyDescent="0.25">
      <c r="A1050" t="s">
        <v>60</v>
      </c>
      <c r="B1050" s="4">
        <f>VLOOKUP(A1050,'Datos generales'!A:L,5,0)</f>
        <v>1</v>
      </c>
      <c r="C1050" s="4" t="str">
        <f>VLOOKUP(A1050,'Datos generales'!A:L,4,0)</f>
        <v>Audífonos</v>
      </c>
      <c r="D1050" s="4">
        <f>VLOOKUP(A1050,'Datos generales'!A:L,6,0)</f>
        <v>1467.34</v>
      </c>
      <c r="E1050" s="4">
        <f>VLOOKUP(A1050,'Datos generales'!A:L,12,0)</f>
        <v>1467.34</v>
      </c>
      <c r="F1050" s="4" t="str">
        <f>VLOOKUP(A1050,'Datos generales'!A:L,7,0)</f>
        <v>Accesorios</v>
      </c>
      <c r="G1050" s="4">
        <v>2025</v>
      </c>
    </row>
    <row r="1051" spans="1:7" x14ac:dyDescent="0.25">
      <c r="A1051" t="s">
        <v>61</v>
      </c>
      <c r="B1051" s="4">
        <f>VLOOKUP(A1051,'Datos generales'!A:L,5,0)</f>
        <v>3</v>
      </c>
      <c r="C1051" s="4" t="str">
        <f>VLOOKUP(A1051,'Datos generales'!A:L,4,0)</f>
        <v>Silla Gamer</v>
      </c>
      <c r="D1051" s="4">
        <f>VLOOKUP(A1051,'Datos generales'!A:L,6,0)</f>
        <v>683.91</v>
      </c>
      <c r="E1051" s="4">
        <f>VLOOKUP(A1051,'Datos generales'!A:L,12,0)</f>
        <v>683.91</v>
      </c>
      <c r="F1051" s="4" t="str">
        <f>VLOOKUP(A1051,'Datos generales'!A:L,7,0)</f>
        <v>Muebles</v>
      </c>
      <c r="G1051" s="4">
        <v>2025</v>
      </c>
    </row>
    <row r="1052" spans="1:7" x14ac:dyDescent="0.25">
      <c r="A1052" t="s">
        <v>62</v>
      </c>
      <c r="B1052" s="4">
        <f>VLOOKUP(A1052,'Datos generales'!A:L,5,0)</f>
        <v>1</v>
      </c>
      <c r="C1052" s="4" t="str">
        <f>VLOOKUP(A1052,'Datos generales'!A:L,4,0)</f>
        <v>Silla Gamer</v>
      </c>
      <c r="D1052" s="4">
        <f>VLOOKUP(A1052,'Datos generales'!A:L,6,0)</f>
        <v>1083.8599999999999</v>
      </c>
      <c r="E1052" s="4">
        <f>VLOOKUP(A1052,'Datos generales'!A:L,12,0)</f>
        <v>1083.8599999999999</v>
      </c>
      <c r="F1052" s="4" t="str">
        <f>VLOOKUP(A1052,'Datos generales'!A:L,7,0)</f>
        <v>Muebles</v>
      </c>
      <c r="G1052" s="4">
        <v>2024</v>
      </c>
    </row>
    <row r="1053" spans="1:7" x14ac:dyDescent="0.25">
      <c r="A1053" t="s">
        <v>63</v>
      </c>
      <c r="B1053" s="4">
        <f>VLOOKUP(A1053,'Datos generales'!A:L,5,0)</f>
        <v>2</v>
      </c>
      <c r="C1053" s="4" t="str">
        <f>VLOOKUP(A1053,'Datos generales'!A:L,4,0)</f>
        <v>Monitor</v>
      </c>
      <c r="D1053" s="4">
        <f>VLOOKUP(A1053,'Datos generales'!A:L,6,0)</f>
        <v>1551.85</v>
      </c>
      <c r="E1053" s="4">
        <f>VLOOKUP(A1053,'Datos generales'!A:L,12,0)</f>
        <v>1551.85</v>
      </c>
      <c r="F1053" s="4" t="str">
        <f>VLOOKUP(A1053,'Datos generales'!A:L,7,0)</f>
        <v>Electrónica</v>
      </c>
      <c r="G1053" s="4">
        <v>2023</v>
      </c>
    </row>
    <row r="1054" spans="1:7" x14ac:dyDescent="0.25">
      <c r="A1054" t="s">
        <v>64</v>
      </c>
      <c r="B1054" s="4">
        <f>VLOOKUP(A1054,'Datos generales'!A:L,5,0)</f>
        <v>5</v>
      </c>
      <c r="C1054" s="4" t="str">
        <f>VLOOKUP(A1054,'Datos generales'!A:L,4,0)</f>
        <v>Laptop</v>
      </c>
      <c r="D1054" s="4">
        <f>VLOOKUP(A1054,'Datos generales'!A:L,6,0)</f>
        <v>1368.27</v>
      </c>
      <c r="E1054" s="4">
        <f>VLOOKUP(A1054,'Datos generales'!A:L,12,0)</f>
        <v>1368.27</v>
      </c>
      <c r="F1054" s="4" t="str">
        <f>VLOOKUP(A1054,'Datos generales'!A:L,7,0)</f>
        <v>Electrónica</v>
      </c>
      <c r="G1054" s="4">
        <v>2024</v>
      </c>
    </row>
    <row r="1055" spans="1:7" x14ac:dyDescent="0.25">
      <c r="A1055" t="s">
        <v>65</v>
      </c>
      <c r="B1055" s="4">
        <f>VLOOKUP(A1055,'Datos generales'!A:L,5,0)</f>
        <v>4</v>
      </c>
      <c r="C1055" s="4" t="str">
        <f>VLOOKUP(A1055,'Datos generales'!A:L,4,0)</f>
        <v>Laptop</v>
      </c>
      <c r="D1055" s="4">
        <f>VLOOKUP(A1055,'Datos generales'!A:L,6,0)</f>
        <v>1818.88</v>
      </c>
      <c r="E1055" s="4">
        <f>VLOOKUP(A1055,'Datos generales'!A:L,12,0)</f>
        <v>1818.88</v>
      </c>
      <c r="F1055" s="4" t="str">
        <f>VLOOKUP(A1055,'Datos generales'!A:L,7,0)</f>
        <v>Electrónica</v>
      </c>
      <c r="G1055" s="4">
        <v>2024</v>
      </c>
    </row>
    <row r="1056" spans="1:7" x14ac:dyDescent="0.25">
      <c r="A1056" t="s">
        <v>66</v>
      </c>
      <c r="B1056" s="4">
        <f>VLOOKUP(A1056,'Datos generales'!A:L,5,0)</f>
        <v>4</v>
      </c>
      <c r="C1056" s="4" t="str">
        <f>VLOOKUP(A1056,'Datos generales'!A:L,4,0)</f>
        <v>Mouse</v>
      </c>
      <c r="D1056" s="4">
        <f>VLOOKUP(A1056,'Datos generales'!A:L,6,0)</f>
        <v>1601.32</v>
      </c>
      <c r="E1056" s="4">
        <f>VLOOKUP(A1056,'Datos generales'!A:L,12,0)</f>
        <v>1601.32</v>
      </c>
      <c r="F1056" s="4" t="str">
        <f>VLOOKUP(A1056,'Datos generales'!A:L,7,0)</f>
        <v>Accesorios</v>
      </c>
      <c r="G1056" s="4">
        <v>2023</v>
      </c>
    </row>
    <row r="1057" spans="1:7" x14ac:dyDescent="0.25">
      <c r="A1057" t="s">
        <v>67</v>
      </c>
      <c r="B1057" s="4">
        <f>VLOOKUP(A1057,'Datos generales'!A:L,5,0)</f>
        <v>4</v>
      </c>
      <c r="C1057" s="4" t="str">
        <f>VLOOKUP(A1057,'Datos generales'!A:L,4,0)</f>
        <v>Teclado</v>
      </c>
      <c r="D1057" s="4">
        <f>VLOOKUP(A1057,'Datos generales'!A:L,6,0)</f>
        <v>177.79</v>
      </c>
      <c r="E1057" s="4">
        <f>VLOOKUP(A1057,'Datos generales'!A:L,12,0)</f>
        <v>177.79</v>
      </c>
      <c r="F1057" s="4" t="str">
        <f>VLOOKUP(A1057,'Datos generales'!A:L,7,0)</f>
        <v>Accesorios</v>
      </c>
      <c r="G1057" s="4">
        <v>2023</v>
      </c>
    </row>
    <row r="1058" spans="1:7" x14ac:dyDescent="0.25">
      <c r="A1058" t="s">
        <v>68</v>
      </c>
      <c r="B1058" s="4">
        <f>VLOOKUP(A1058,'Datos generales'!A:L,5,0)</f>
        <v>1</v>
      </c>
      <c r="C1058" s="4" t="str">
        <f>VLOOKUP(A1058,'Datos generales'!A:L,4,0)</f>
        <v>Teclado</v>
      </c>
      <c r="D1058" s="4">
        <f>VLOOKUP(A1058,'Datos generales'!A:L,6,0)</f>
        <v>83.48</v>
      </c>
      <c r="E1058" s="4">
        <f>VLOOKUP(A1058,'Datos generales'!A:L,12,0)</f>
        <v>83.48</v>
      </c>
      <c r="F1058" s="4" t="str">
        <f>VLOOKUP(A1058,'Datos generales'!A:L,7,0)</f>
        <v>Accesorios</v>
      </c>
      <c r="G1058" s="4">
        <v>2023</v>
      </c>
    </row>
    <row r="1059" spans="1:7" x14ac:dyDescent="0.25">
      <c r="A1059" t="s">
        <v>69</v>
      </c>
      <c r="B1059" s="4">
        <f>VLOOKUP(A1059,'Datos generales'!A:L,5,0)</f>
        <v>1</v>
      </c>
      <c r="C1059" s="4" t="str">
        <f>VLOOKUP(A1059,'Datos generales'!A:L,4,0)</f>
        <v>Audífonos</v>
      </c>
      <c r="D1059" s="4">
        <f>VLOOKUP(A1059,'Datos generales'!A:L,6,0)</f>
        <v>1372.72</v>
      </c>
      <c r="E1059" s="4">
        <f>VLOOKUP(A1059,'Datos generales'!A:L,12,0)</f>
        <v>1372.72</v>
      </c>
      <c r="F1059" s="4" t="str">
        <f>VLOOKUP(A1059,'Datos generales'!A:L,7,0)</f>
        <v>Accesorios</v>
      </c>
      <c r="G1059" s="4">
        <v>2023</v>
      </c>
    </row>
    <row r="1060" spans="1:7" x14ac:dyDescent="0.25">
      <c r="A1060" t="s">
        <v>70</v>
      </c>
      <c r="B1060" s="4">
        <f>VLOOKUP(A1060,'Datos generales'!A:L,5,0)</f>
        <v>1</v>
      </c>
      <c r="C1060" s="4" t="str">
        <f>VLOOKUP(A1060,'Datos generales'!A:L,4,0)</f>
        <v>Monitor</v>
      </c>
      <c r="D1060" s="4">
        <f>VLOOKUP(A1060,'Datos generales'!A:L,6,0)</f>
        <v>1618.91</v>
      </c>
      <c r="E1060" s="4">
        <f>VLOOKUP(A1060,'Datos generales'!A:L,12,0)</f>
        <v>1618.91</v>
      </c>
      <c r="F1060" s="4" t="str">
        <f>VLOOKUP(A1060,'Datos generales'!A:L,7,0)</f>
        <v>Electrónica</v>
      </c>
      <c r="G1060" s="4">
        <v>2024</v>
      </c>
    </row>
    <row r="1061" spans="1:7" x14ac:dyDescent="0.25">
      <c r="A1061" t="s">
        <v>71</v>
      </c>
      <c r="B1061" s="4">
        <f>VLOOKUP(A1061,'Datos generales'!A:L,5,0)</f>
        <v>4</v>
      </c>
      <c r="C1061" s="4" t="str">
        <f>VLOOKUP(A1061,'Datos generales'!A:L,4,0)</f>
        <v>Impresora</v>
      </c>
      <c r="D1061" s="4">
        <f>VLOOKUP(A1061,'Datos generales'!A:L,6,0)</f>
        <v>530.65</v>
      </c>
      <c r="E1061" s="4">
        <f>VLOOKUP(A1061,'Datos generales'!A:L,12,0)</f>
        <v>530.65</v>
      </c>
      <c r="F1061" s="4" t="str">
        <f>VLOOKUP(A1061,'Datos generales'!A:L,7,0)</f>
        <v>Electrónica</v>
      </c>
      <c r="G1061" s="4">
        <v>2024</v>
      </c>
    </row>
    <row r="1062" spans="1:7" x14ac:dyDescent="0.25">
      <c r="A1062" t="s">
        <v>72</v>
      </c>
      <c r="B1062" s="4">
        <f>VLOOKUP(A1062,'Datos generales'!A:L,5,0)</f>
        <v>5</v>
      </c>
      <c r="C1062" s="4" t="str">
        <f>VLOOKUP(A1062,'Datos generales'!A:L,4,0)</f>
        <v>Webcam</v>
      </c>
      <c r="D1062" s="4">
        <f>VLOOKUP(A1062,'Datos generales'!A:L,6,0)</f>
        <v>418.83</v>
      </c>
      <c r="E1062" s="4">
        <f>VLOOKUP(A1062,'Datos generales'!A:L,12,0)</f>
        <v>418.83</v>
      </c>
      <c r="F1062" s="4" t="str">
        <f>VLOOKUP(A1062,'Datos generales'!A:L,7,0)</f>
        <v>Accesorios</v>
      </c>
      <c r="G1062" s="4">
        <v>2024</v>
      </c>
    </row>
    <row r="1063" spans="1:7" x14ac:dyDescent="0.25">
      <c r="A1063" t="s">
        <v>73</v>
      </c>
      <c r="B1063" s="4">
        <f>VLOOKUP(A1063,'Datos generales'!A:L,5,0)</f>
        <v>3</v>
      </c>
      <c r="C1063" s="4" t="str">
        <f>VLOOKUP(A1063,'Datos generales'!A:L,4,0)</f>
        <v>Silla Gamer</v>
      </c>
      <c r="D1063" s="4">
        <f>VLOOKUP(A1063,'Datos generales'!A:L,6,0)</f>
        <v>664.98</v>
      </c>
      <c r="E1063" s="4">
        <f>VLOOKUP(A1063,'Datos generales'!A:L,12,0)</f>
        <v>664.98</v>
      </c>
      <c r="F1063" s="4" t="str">
        <f>VLOOKUP(A1063,'Datos generales'!A:L,7,0)</f>
        <v>Muebles</v>
      </c>
      <c r="G1063" s="4">
        <v>2025</v>
      </c>
    </row>
    <row r="1064" spans="1:7" x14ac:dyDescent="0.25">
      <c r="A1064" t="s">
        <v>74</v>
      </c>
      <c r="B1064" s="4">
        <f>VLOOKUP(A1064,'Datos generales'!A:L,5,0)</f>
        <v>1</v>
      </c>
      <c r="C1064" s="4" t="str">
        <f>VLOOKUP(A1064,'Datos generales'!A:L,4,0)</f>
        <v>Laptop</v>
      </c>
      <c r="D1064" s="4">
        <f>VLOOKUP(A1064,'Datos generales'!A:L,6,0)</f>
        <v>1322.41</v>
      </c>
      <c r="E1064" s="4">
        <f>VLOOKUP(A1064,'Datos generales'!A:L,12,0)</f>
        <v>1322.41</v>
      </c>
      <c r="F1064" s="4" t="str">
        <f>VLOOKUP(A1064,'Datos generales'!A:L,7,0)</f>
        <v>Electrónica</v>
      </c>
      <c r="G1064" s="4">
        <v>2024</v>
      </c>
    </row>
    <row r="1065" spans="1:7" x14ac:dyDescent="0.25">
      <c r="A1065" t="s">
        <v>75</v>
      </c>
      <c r="B1065" s="4">
        <f>VLOOKUP(A1065,'Datos generales'!A:L,5,0)</f>
        <v>4</v>
      </c>
      <c r="C1065" s="4" t="str">
        <f>VLOOKUP(A1065,'Datos generales'!A:L,4,0)</f>
        <v>Monitor</v>
      </c>
      <c r="D1065" s="4">
        <f>VLOOKUP(A1065,'Datos generales'!A:L,6,0)</f>
        <v>1467.27</v>
      </c>
      <c r="E1065" s="4">
        <f>VLOOKUP(A1065,'Datos generales'!A:L,12,0)</f>
        <v>1467.27</v>
      </c>
      <c r="F1065" s="4" t="str">
        <f>VLOOKUP(A1065,'Datos generales'!A:L,7,0)</f>
        <v>Electrónica</v>
      </c>
      <c r="G1065" s="4">
        <v>2023</v>
      </c>
    </row>
    <row r="1066" spans="1:7" x14ac:dyDescent="0.25">
      <c r="A1066" t="s">
        <v>76</v>
      </c>
      <c r="B1066" s="4">
        <f>VLOOKUP(A1066,'Datos generales'!A:L,5,0)</f>
        <v>4</v>
      </c>
      <c r="C1066" s="4" t="str">
        <f>VLOOKUP(A1066,'Datos generales'!A:L,4,0)</f>
        <v>Impresora</v>
      </c>
      <c r="D1066" s="4">
        <f>VLOOKUP(A1066,'Datos generales'!A:L,6,0)</f>
        <v>1804.12</v>
      </c>
      <c r="E1066" s="4">
        <f>VLOOKUP(A1066,'Datos generales'!A:L,12,0)</f>
        <v>1804.12</v>
      </c>
      <c r="F1066" s="4" t="str">
        <f>VLOOKUP(A1066,'Datos generales'!A:L,7,0)</f>
        <v>Electrónica</v>
      </c>
      <c r="G1066" s="4">
        <v>2024</v>
      </c>
    </row>
    <row r="1067" spans="1:7" x14ac:dyDescent="0.25">
      <c r="A1067" t="s">
        <v>77</v>
      </c>
      <c r="B1067" s="4">
        <f>VLOOKUP(A1067,'Datos generales'!A:L,5,0)</f>
        <v>1</v>
      </c>
      <c r="C1067" s="4" t="str">
        <f>VLOOKUP(A1067,'Datos generales'!A:L,4,0)</f>
        <v>Audífonos</v>
      </c>
      <c r="D1067" s="4">
        <f>VLOOKUP(A1067,'Datos generales'!A:L,6,0)</f>
        <v>1172.72</v>
      </c>
      <c r="E1067" s="4">
        <f>VLOOKUP(A1067,'Datos generales'!A:L,12,0)</f>
        <v>1172.72</v>
      </c>
      <c r="F1067" s="4" t="str">
        <f>VLOOKUP(A1067,'Datos generales'!A:L,7,0)</f>
        <v>Accesorios</v>
      </c>
      <c r="G1067" s="4">
        <v>2024</v>
      </c>
    </row>
    <row r="1068" spans="1:7" x14ac:dyDescent="0.25">
      <c r="A1068" t="s">
        <v>78</v>
      </c>
      <c r="B1068" s="4">
        <f>VLOOKUP(A1068,'Datos generales'!A:L,5,0)</f>
        <v>1</v>
      </c>
      <c r="C1068" s="4" t="str">
        <f>VLOOKUP(A1068,'Datos generales'!A:L,4,0)</f>
        <v>Mouse</v>
      </c>
      <c r="D1068" s="4">
        <f>VLOOKUP(A1068,'Datos generales'!A:L,6,0)</f>
        <v>725.07</v>
      </c>
      <c r="E1068" s="4">
        <f>VLOOKUP(A1068,'Datos generales'!A:L,12,0)</f>
        <v>725.07</v>
      </c>
      <c r="F1068" s="4" t="str">
        <f>VLOOKUP(A1068,'Datos generales'!A:L,7,0)</f>
        <v>Accesorios</v>
      </c>
      <c r="G1068" s="4">
        <v>2023</v>
      </c>
    </row>
    <row r="1069" spans="1:7" x14ac:dyDescent="0.25">
      <c r="A1069" t="s">
        <v>79</v>
      </c>
      <c r="B1069" s="4">
        <f>VLOOKUP(A1069,'Datos generales'!A:L,5,0)</f>
        <v>5</v>
      </c>
      <c r="C1069" s="4" t="str">
        <f>VLOOKUP(A1069,'Datos generales'!A:L,4,0)</f>
        <v>Monitor</v>
      </c>
      <c r="D1069" s="4">
        <f>VLOOKUP(A1069,'Datos generales'!A:L,6,0)</f>
        <v>563.69000000000005</v>
      </c>
      <c r="E1069" s="4">
        <f>VLOOKUP(A1069,'Datos generales'!A:L,12,0)</f>
        <v>563.69000000000005</v>
      </c>
      <c r="F1069" s="4" t="str">
        <f>VLOOKUP(A1069,'Datos generales'!A:L,7,0)</f>
        <v>Electrónica</v>
      </c>
      <c r="G1069" s="4">
        <v>2025</v>
      </c>
    </row>
    <row r="1070" spans="1:7" x14ac:dyDescent="0.25">
      <c r="A1070" t="s">
        <v>80</v>
      </c>
      <c r="B1070" s="4">
        <f>VLOOKUP(A1070,'Datos generales'!A:L,5,0)</f>
        <v>5</v>
      </c>
      <c r="C1070" s="4" t="str">
        <f>VLOOKUP(A1070,'Datos generales'!A:L,4,0)</f>
        <v>Audífonos</v>
      </c>
      <c r="D1070" s="4">
        <f>VLOOKUP(A1070,'Datos generales'!A:L,6,0)</f>
        <v>1547.41</v>
      </c>
      <c r="E1070" s="4">
        <f>VLOOKUP(A1070,'Datos generales'!A:L,12,0)</f>
        <v>1547.41</v>
      </c>
      <c r="F1070" s="4" t="str">
        <f>VLOOKUP(A1070,'Datos generales'!A:L,7,0)</f>
        <v>Accesorios</v>
      </c>
      <c r="G1070" s="4">
        <v>2023</v>
      </c>
    </row>
    <row r="1071" spans="1:7" x14ac:dyDescent="0.25">
      <c r="A1071" t="s">
        <v>81</v>
      </c>
      <c r="B1071" s="4">
        <f>VLOOKUP(A1071,'Datos generales'!A:L,5,0)</f>
        <v>2</v>
      </c>
      <c r="C1071" s="4" t="str">
        <f>VLOOKUP(A1071,'Datos generales'!A:L,4,0)</f>
        <v>Webcam</v>
      </c>
      <c r="D1071" s="4">
        <f>VLOOKUP(A1071,'Datos generales'!A:L,6,0)</f>
        <v>1903.65</v>
      </c>
      <c r="E1071" s="4">
        <f>VLOOKUP(A1071,'Datos generales'!A:L,12,0)</f>
        <v>1903.65</v>
      </c>
      <c r="F1071" s="4" t="str">
        <f>VLOOKUP(A1071,'Datos generales'!A:L,7,0)</f>
        <v>Accesorios</v>
      </c>
      <c r="G1071" s="4">
        <v>2023</v>
      </c>
    </row>
    <row r="1072" spans="1:7" x14ac:dyDescent="0.25">
      <c r="A1072" t="s">
        <v>82</v>
      </c>
      <c r="B1072" s="4">
        <f>VLOOKUP(A1072,'Datos generales'!A:L,5,0)</f>
        <v>2</v>
      </c>
      <c r="C1072" s="4" t="str">
        <f>VLOOKUP(A1072,'Datos generales'!A:L,4,0)</f>
        <v>Impresora</v>
      </c>
      <c r="D1072" s="4">
        <f>VLOOKUP(A1072,'Datos generales'!A:L,6,0)</f>
        <v>1198.2</v>
      </c>
      <c r="E1072" s="4">
        <f>VLOOKUP(A1072,'Datos generales'!A:L,12,0)</f>
        <v>1198.2</v>
      </c>
      <c r="F1072" s="4" t="str">
        <f>VLOOKUP(A1072,'Datos generales'!A:L,7,0)</f>
        <v>Electrónica</v>
      </c>
      <c r="G1072" s="4">
        <v>2024</v>
      </c>
    </row>
    <row r="1073" spans="1:7" x14ac:dyDescent="0.25">
      <c r="A1073" t="s">
        <v>83</v>
      </c>
      <c r="B1073" s="4">
        <f>VLOOKUP(A1073,'Datos generales'!A:L,5,0)</f>
        <v>3</v>
      </c>
      <c r="C1073" s="4" t="str">
        <f>VLOOKUP(A1073,'Datos generales'!A:L,4,0)</f>
        <v>Teclado</v>
      </c>
      <c r="D1073" s="4">
        <f>VLOOKUP(A1073,'Datos generales'!A:L,6,0)</f>
        <v>543.72</v>
      </c>
      <c r="E1073" s="4">
        <f>VLOOKUP(A1073,'Datos generales'!A:L,12,0)</f>
        <v>543.72</v>
      </c>
      <c r="F1073" s="4" t="str">
        <f>VLOOKUP(A1073,'Datos generales'!A:L,7,0)</f>
        <v>Accesorios</v>
      </c>
      <c r="G1073" s="4">
        <v>2025</v>
      </c>
    </row>
    <row r="1074" spans="1:7" x14ac:dyDescent="0.25">
      <c r="A1074" t="s">
        <v>84</v>
      </c>
      <c r="B1074" s="4">
        <f>VLOOKUP(A1074,'Datos generales'!A:L,5,0)</f>
        <v>2</v>
      </c>
      <c r="C1074" s="4" t="str">
        <f>VLOOKUP(A1074,'Datos generales'!A:L,4,0)</f>
        <v>Webcam</v>
      </c>
      <c r="D1074" s="4">
        <f>VLOOKUP(A1074,'Datos generales'!A:L,6,0)</f>
        <v>1449.53</v>
      </c>
      <c r="E1074" s="4">
        <f>VLOOKUP(A1074,'Datos generales'!A:L,12,0)</f>
        <v>1449.53</v>
      </c>
      <c r="F1074" s="4" t="str">
        <f>VLOOKUP(A1074,'Datos generales'!A:L,7,0)</f>
        <v>Accesorios</v>
      </c>
      <c r="G1074" s="4">
        <v>2023</v>
      </c>
    </row>
    <row r="1075" spans="1:7" x14ac:dyDescent="0.25">
      <c r="A1075" t="s">
        <v>85</v>
      </c>
      <c r="B1075" s="4">
        <f>VLOOKUP(A1075,'Datos generales'!A:L,5,0)</f>
        <v>5</v>
      </c>
      <c r="C1075" s="4" t="str">
        <f>VLOOKUP(A1075,'Datos generales'!A:L,4,0)</f>
        <v>Silla Gamer</v>
      </c>
      <c r="D1075" s="4">
        <f>VLOOKUP(A1075,'Datos generales'!A:L,6,0)</f>
        <v>472.42</v>
      </c>
      <c r="E1075" s="4">
        <f>VLOOKUP(A1075,'Datos generales'!A:L,12,0)</f>
        <v>472.42</v>
      </c>
      <c r="F1075" s="4" t="str">
        <f>VLOOKUP(A1075,'Datos generales'!A:L,7,0)</f>
        <v>Muebles</v>
      </c>
      <c r="G1075" s="4">
        <v>2024</v>
      </c>
    </row>
    <row r="1076" spans="1:7" x14ac:dyDescent="0.25">
      <c r="A1076" t="s">
        <v>86</v>
      </c>
      <c r="B1076" s="4">
        <f>VLOOKUP(A1076,'Datos generales'!A:L,5,0)</f>
        <v>3</v>
      </c>
      <c r="C1076" s="4" t="str">
        <f>VLOOKUP(A1076,'Datos generales'!A:L,4,0)</f>
        <v>Audífonos</v>
      </c>
      <c r="D1076" s="4">
        <f>VLOOKUP(A1076,'Datos generales'!A:L,6,0)</f>
        <v>367.9</v>
      </c>
      <c r="E1076" s="4">
        <f>VLOOKUP(A1076,'Datos generales'!A:L,12,0)</f>
        <v>367.89999999999992</v>
      </c>
      <c r="F1076" s="4" t="str">
        <f>VLOOKUP(A1076,'Datos generales'!A:L,7,0)</f>
        <v>Accesorios</v>
      </c>
      <c r="G1076" s="4">
        <v>2023</v>
      </c>
    </row>
    <row r="1077" spans="1:7" x14ac:dyDescent="0.25">
      <c r="A1077" t="s">
        <v>87</v>
      </c>
      <c r="B1077" s="4">
        <f>VLOOKUP(A1077,'Datos generales'!A:L,5,0)</f>
        <v>5</v>
      </c>
      <c r="C1077" s="4" t="str">
        <f>VLOOKUP(A1077,'Datos generales'!A:L,4,0)</f>
        <v>Audífonos</v>
      </c>
      <c r="D1077" s="4">
        <f>VLOOKUP(A1077,'Datos generales'!A:L,6,0)</f>
        <v>739.51</v>
      </c>
      <c r="E1077" s="4">
        <f>VLOOKUP(A1077,'Datos generales'!A:L,12,0)</f>
        <v>739.51</v>
      </c>
      <c r="F1077" s="4" t="str">
        <f>VLOOKUP(A1077,'Datos generales'!A:L,7,0)</f>
        <v>Accesorios</v>
      </c>
      <c r="G1077" s="4">
        <v>2025</v>
      </c>
    </row>
    <row r="1078" spans="1:7" x14ac:dyDescent="0.25">
      <c r="A1078" t="s">
        <v>88</v>
      </c>
      <c r="B1078" s="4">
        <f>VLOOKUP(A1078,'Datos generales'!A:L,5,0)</f>
        <v>2</v>
      </c>
      <c r="C1078" s="4" t="str">
        <f>VLOOKUP(A1078,'Datos generales'!A:L,4,0)</f>
        <v>Laptop</v>
      </c>
      <c r="D1078" s="4">
        <f>VLOOKUP(A1078,'Datos generales'!A:L,6,0)</f>
        <v>1089.1300000000001</v>
      </c>
      <c r="E1078" s="4">
        <f>VLOOKUP(A1078,'Datos generales'!A:L,12,0)</f>
        <v>1089.1300000000001</v>
      </c>
      <c r="F1078" s="4" t="str">
        <f>VLOOKUP(A1078,'Datos generales'!A:L,7,0)</f>
        <v>Electrónica</v>
      </c>
      <c r="G1078" s="4">
        <v>2023</v>
      </c>
    </row>
    <row r="1079" spans="1:7" x14ac:dyDescent="0.25">
      <c r="A1079" t="s">
        <v>89</v>
      </c>
      <c r="B1079" s="4">
        <f>VLOOKUP(A1079,'Datos generales'!A:L,5,0)</f>
        <v>5</v>
      </c>
      <c r="C1079" s="4" t="str">
        <f>VLOOKUP(A1079,'Datos generales'!A:L,4,0)</f>
        <v>Webcam</v>
      </c>
      <c r="D1079" s="4">
        <f>VLOOKUP(A1079,'Datos generales'!A:L,6,0)</f>
        <v>1632.75</v>
      </c>
      <c r="E1079" s="4">
        <f>VLOOKUP(A1079,'Datos generales'!A:L,12,0)</f>
        <v>1632.75</v>
      </c>
      <c r="F1079" s="4" t="str">
        <f>VLOOKUP(A1079,'Datos generales'!A:L,7,0)</f>
        <v>Accesorios</v>
      </c>
      <c r="G1079" s="4">
        <v>2024</v>
      </c>
    </row>
    <row r="1080" spans="1:7" x14ac:dyDescent="0.25">
      <c r="A1080" t="s">
        <v>90</v>
      </c>
      <c r="B1080" s="4">
        <f>VLOOKUP(A1080,'Datos generales'!A:L,5,0)</f>
        <v>3</v>
      </c>
      <c r="C1080" s="4" t="str">
        <f>VLOOKUP(A1080,'Datos generales'!A:L,4,0)</f>
        <v>Monitor</v>
      </c>
      <c r="D1080" s="4">
        <f>VLOOKUP(A1080,'Datos generales'!A:L,6,0)</f>
        <v>817.35</v>
      </c>
      <c r="E1080" s="4">
        <f>VLOOKUP(A1080,'Datos generales'!A:L,12,0)</f>
        <v>817.35</v>
      </c>
      <c r="F1080" s="4" t="str">
        <f>VLOOKUP(A1080,'Datos generales'!A:L,7,0)</f>
        <v>Electrónica</v>
      </c>
      <c r="G1080" s="4">
        <v>2023</v>
      </c>
    </row>
    <row r="1081" spans="1:7" x14ac:dyDescent="0.25">
      <c r="A1081" t="s">
        <v>91</v>
      </c>
      <c r="B1081" s="4">
        <f>VLOOKUP(A1081,'Datos generales'!A:L,5,0)</f>
        <v>2</v>
      </c>
      <c r="C1081" s="4" t="str">
        <f>VLOOKUP(A1081,'Datos generales'!A:L,4,0)</f>
        <v>Teclado</v>
      </c>
      <c r="D1081" s="4">
        <f>VLOOKUP(A1081,'Datos generales'!A:L,6,0)</f>
        <v>1186.58</v>
      </c>
      <c r="E1081" s="4">
        <f>VLOOKUP(A1081,'Datos generales'!A:L,12,0)</f>
        <v>1186.58</v>
      </c>
      <c r="F1081" s="4" t="str">
        <f>VLOOKUP(A1081,'Datos generales'!A:L,7,0)</f>
        <v>Accesorios</v>
      </c>
      <c r="G1081" s="4">
        <v>2024</v>
      </c>
    </row>
    <row r="1082" spans="1:7" x14ac:dyDescent="0.25">
      <c r="A1082" t="s">
        <v>92</v>
      </c>
      <c r="B1082" s="4">
        <f>VLOOKUP(A1082,'Datos generales'!A:L,5,0)</f>
        <v>2</v>
      </c>
      <c r="C1082" s="4" t="str">
        <f>VLOOKUP(A1082,'Datos generales'!A:L,4,0)</f>
        <v>Impresora</v>
      </c>
      <c r="D1082" s="4">
        <f>VLOOKUP(A1082,'Datos generales'!A:L,6,0)</f>
        <v>1872.8</v>
      </c>
      <c r="E1082" s="4">
        <f>VLOOKUP(A1082,'Datos generales'!A:L,12,0)</f>
        <v>1872.8</v>
      </c>
      <c r="F1082" s="4" t="str">
        <f>VLOOKUP(A1082,'Datos generales'!A:L,7,0)</f>
        <v>Electrónica</v>
      </c>
      <c r="G1082" s="4">
        <v>2023</v>
      </c>
    </row>
    <row r="1083" spans="1:7" x14ac:dyDescent="0.25">
      <c r="A1083" t="s">
        <v>93</v>
      </c>
      <c r="B1083" s="4">
        <f>VLOOKUP(A1083,'Datos generales'!A:L,5,0)</f>
        <v>3</v>
      </c>
      <c r="C1083" s="4" t="str">
        <f>VLOOKUP(A1083,'Datos generales'!A:L,4,0)</f>
        <v>Silla Gamer</v>
      </c>
      <c r="D1083" s="4">
        <f>VLOOKUP(A1083,'Datos generales'!A:L,6,0)</f>
        <v>680.19</v>
      </c>
      <c r="E1083" s="4">
        <f>VLOOKUP(A1083,'Datos generales'!A:L,12,0)</f>
        <v>680.19</v>
      </c>
      <c r="F1083" s="4" t="str">
        <f>VLOOKUP(A1083,'Datos generales'!A:L,7,0)</f>
        <v>Muebles</v>
      </c>
      <c r="G1083" s="4">
        <v>2023</v>
      </c>
    </row>
    <row r="1084" spans="1:7" x14ac:dyDescent="0.25">
      <c r="A1084" t="s">
        <v>94</v>
      </c>
      <c r="B1084" s="4">
        <f>VLOOKUP(A1084,'Datos generales'!A:L,5,0)</f>
        <v>4</v>
      </c>
      <c r="C1084" s="4" t="str">
        <f>VLOOKUP(A1084,'Datos generales'!A:L,4,0)</f>
        <v>Webcam</v>
      </c>
      <c r="D1084" s="4">
        <f>VLOOKUP(A1084,'Datos generales'!A:L,6,0)</f>
        <v>262.82</v>
      </c>
      <c r="E1084" s="4">
        <f>VLOOKUP(A1084,'Datos generales'!A:L,12,0)</f>
        <v>262.82</v>
      </c>
      <c r="F1084" s="4" t="str">
        <f>VLOOKUP(A1084,'Datos generales'!A:L,7,0)</f>
        <v>Accesorios</v>
      </c>
      <c r="G1084" s="4">
        <v>2023</v>
      </c>
    </row>
    <row r="1085" spans="1:7" x14ac:dyDescent="0.25">
      <c r="A1085" t="s">
        <v>95</v>
      </c>
      <c r="B1085" s="4">
        <f>VLOOKUP(A1085,'Datos generales'!A:L,5,0)</f>
        <v>4</v>
      </c>
      <c r="C1085" s="4" t="str">
        <f>VLOOKUP(A1085,'Datos generales'!A:L,4,0)</f>
        <v>Impresora</v>
      </c>
      <c r="D1085" s="4">
        <f>VLOOKUP(A1085,'Datos generales'!A:L,6,0)</f>
        <v>1531.75</v>
      </c>
      <c r="E1085" s="4">
        <f>VLOOKUP(A1085,'Datos generales'!A:L,12,0)</f>
        <v>1531.75</v>
      </c>
      <c r="F1085" s="4" t="str">
        <f>VLOOKUP(A1085,'Datos generales'!A:L,7,0)</f>
        <v>Electrónica</v>
      </c>
      <c r="G1085" s="4">
        <v>2025</v>
      </c>
    </row>
    <row r="1086" spans="1:7" x14ac:dyDescent="0.25">
      <c r="A1086" t="s">
        <v>96</v>
      </c>
      <c r="B1086" s="4">
        <f>VLOOKUP(A1086,'Datos generales'!A:L,5,0)</f>
        <v>1</v>
      </c>
      <c r="C1086" s="4" t="str">
        <f>VLOOKUP(A1086,'Datos generales'!A:L,4,0)</f>
        <v>Impresora</v>
      </c>
      <c r="D1086" s="4">
        <f>VLOOKUP(A1086,'Datos generales'!A:L,6,0)</f>
        <v>503.84</v>
      </c>
      <c r="E1086" s="4">
        <f>VLOOKUP(A1086,'Datos generales'!A:L,12,0)</f>
        <v>503.84</v>
      </c>
      <c r="F1086" s="4" t="str">
        <f>VLOOKUP(A1086,'Datos generales'!A:L,7,0)</f>
        <v>Electrónica</v>
      </c>
      <c r="G1086" s="4">
        <v>2023</v>
      </c>
    </row>
    <row r="1087" spans="1:7" x14ac:dyDescent="0.25">
      <c r="A1087" t="s">
        <v>97</v>
      </c>
      <c r="B1087" s="4">
        <f>VLOOKUP(A1087,'Datos generales'!A:L,5,0)</f>
        <v>4</v>
      </c>
      <c r="C1087" s="4" t="str">
        <f>VLOOKUP(A1087,'Datos generales'!A:L,4,0)</f>
        <v>Laptop</v>
      </c>
      <c r="D1087" s="4">
        <f>VLOOKUP(A1087,'Datos generales'!A:L,6,0)</f>
        <v>1908.41</v>
      </c>
      <c r="E1087" s="4">
        <f>VLOOKUP(A1087,'Datos generales'!A:L,12,0)</f>
        <v>1908.41</v>
      </c>
      <c r="F1087" s="4" t="str">
        <f>VLOOKUP(A1087,'Datos generales'!A:L,7,0)</f>
        <v>Electrónica</v>
      </c>
      <c r="G1087" s="4">
        <v>2024</v>
      </c>
    </row>
    <row r="1088" spans="1:7" x14ac:dyDescent="0.25">
      <c r="A1088" t="s">
        <v>98</v>
      </c>
      <c r="B1088" s="4">
        <f>VLOOKUP(A1088,'Datos generales'!A:L,5,0)</f>
        <v>2</v>
      </c>
      <c r="C1088" s="4" t="str">
        <f>VLOOKUP(A1088,'Datos generales'!A:L,4,0)</f>
        <v>Impresora</v>
      </c>
      <c r="D1088" s="4">
        <f>VLOOKUP(A1088,'Datos generales'!A:L,6,0)</f>
        <v>114.6</v>
      </c>
      <c r="E1088" s="4">
        <f>VLOOKUP(A1088,'Datos generales'!A:L,12,0)</f>
        <v>114.6</v>
      </c>
      <c r="F1088" s="4" t="str">
        <f>VLOOKUP(A1088,'Datos generales'!A:L,7,0)</f>
        <v>Electrónica</v>
      </c>
      <c r="G1088" s="4">
        <v>2024</v>
      </c>
    </row>
    <row r="1089" spans="1:7" x14ac:dyDescent="0.25">
      <c r="A1089" t="s">
        <v>99</v>
      </c>
      <c r="B1089" s="4">
        <f>VLOOKUP(A1089,'Datos generales'!A:L,5,0)</f>
        <v>2</v>
      </c>
      <c r="C1089" s="4" t="str">
        <f>VLOOKUP(A1089,'Datos generales'!A:L,4,0)</f>
        <v>Impresora</v>
      </c>
      <c r="D1089" s="4">
        <f>VLOOKUP(A1089,'Datos generales'!A:L,6,0)</f>
        <v>595.78</v>
      </c>
      <c r="E1089" s="4">
        <f>VLOOKUP(A1089,'Datos generales'!A:L,12,0)</f>
        <v>595.78</v>
      </c>
      <c r="F1089" s="4" t="str">
        <f>VLOOKUP(A1089,'Datos generales'!A:L,7,0)</f>
        <v>Electrónica</v>
      </c>
      <c r="G1089" s="4">
        <v>2023</v>
      </c>
    </row>
    <row r="1090" spans="1:7" x14ac:dyDescent="0.25">
      <c r="A1090" t="s">
        <v>100</v>
      </c>
      <c r="B1090" s="4">
        <f>VLOOKUP(A1090,'Datos generales'!A:L,5,0)</f>
        <v>2</v>
      </c>
      <c r="C1090" s="4" t="str">
        <f>VLOOKUP(A1090,'Datos generales'!A:L,4,0)</f>
        <v>Laptop</v>
      </c>
      <c r="D1090" s="4">
        <f>VLOOKUP(A1090,'Datos generales'!A:L,6,0)</f>
        <v>75.02</v>
      </c>
      <c r="E1090" s="4">
        <f>VLOOKUP(A1090,'Datos generales'!A:L,12,0)</f>
        <v>75.02</v>
      </c>
      <c r="F1090" s="4" t="str">
        <f>VLOOKUP(A1090,'Datos generales'!A:L,7,0)</f>
        <v>Electrónica</v>
      </c>
      <c r="G1090" s="4">
        <v>2024</v>
      </c>
    </row>
    <row r="1091" spans="1:7" x14ac:dyDescent="0.25">
      <c r="A1091" t="s">
        <v>101</v>
      </c>
      <c r="B1091" s="4">
        <f>VLOOKUP(A1091,'Datos generales'!A:L,5,0)</f>
        <v>5</v>
      </c>
      <c r="C1091" s="4" t="str">
        <f>VLOOKUP(A1091,'Datos generales'!A:L,4,0)</f>
        <v>Webcam</v>
      </c>
      <c r="D1091" s="4">
        <f>VLOOKUP(A1091,'Datos generales'!A:L,6,0)</f>
        <v>540.91999999999996</v>
      </c>
      <c r="E1091" s="4">
        <f>VLOOKUP(A1091,'Datos generales'!A:L,12,0)</f>
        <v>540.91999999999996</v>
      </c>
      <c r="F1091" s="4" t="str">
        <f>VLOOKUP(A1091,'Datos generales'!A:L,7,0)</f>
        <v>Accesorios</v>
      </c>
      <c r="G1091" s="4">
        <v>2024</v>
      </c>
    </row>
    <row r="1092" spans="1:7" x14ac:dyDescent="0.25">
      <c r="A1092" t="s">
        <v>102</v>
      </c>
      <c r="B1092" s="4">
        <f>VLOOKUP(A1092,'Datos generales'!A:L,5,0)</f>
        <v>2</v>
      </c>
      <c r="C1092" s="4" t="str">
        <f>VLOOKUP(A1092,'Datos generales'!A:L,4,0)</f>
        <v>Monitor</v>
      </c>
      <c r="D1092" s="4">
        <f>VLOOKUP(A1092,'Datos generales'!A:L,6,0)</f>
        <v>356.91</v>
      </c>
      <c r="E1092" s="4">
        <f>VLOOKUP(A1092,'Datos generales'!A:L,12,0)</f>
        <v>356.91</v>
      </c>
      <c r="F1092" s="4" t="str">
        <f>VLOOKUP(A1092,'Datos generales'!A:L,7,0)</f>
        <v>Electrónica</v>
      </c>
      <c r="G1092" s="4">
        <v>2025</v>
      </c>
    </row>
    <row r="1093" spans="1:7" x14ac:dyDescent="0.25">
      <c r="A1093" t="s">
        <v>103</v>
      </c>
      <c r="B1093" s="4">
        <f>VLOOKUP(A1093,'Datos generales'!A:L,5,0)</f>
        <v>3</v>
      </c>
      <c r="C1093" s="4" t="str">
        <f>VLOOKUP(A1093,'Datos generales'!A:L,4,0)</f>
        <v>Audífonos</v>
      </c>
      <c r="D1093" s="4">
        <f>VLOOKUP(A1093,'Datos generales'!A:L,6,0)</f>
        <v>1135.67</v>
      </c>
      <c r="E1093" s="4">
        <f>VLOOKUP(A1093,'Datos generales'!A:L,12,0)</f>
        <v>1135.67</v>
      </c>
      <c r="F1093" s="4" t="str">
        <f>VLOOKUP(A1093,'Datos generales'!A:L,7,0)</f>
        <v>Accesorios</v>
      </c>
      <c r="G1093" s="4">
        <v>2025</v>
      </c>
    </row>
    <row r="1094" spans="1:7" x14ac:dyDescent="0.25">
      <c r="A1094" t="s">
        <v>104</v>
      </c>
      <c r="B1094" s="4">
        <f>VLOOKUP(A1094,'Datos generales'!A:L,5,0)</f>
        <v>3</v>
      </c>
      <c r="C1094" s="4" t="str">
        <f>VLOOKUP(A1094,'Datos generales'!A:L,4,0)</f>
        <v>Impresora</v>
      </c>
      <c r="D1094" s="4">
        <f>VLOOKUP(A1094,'Datos generales'!A:L,6,0)</f>
        <v>805.69</v>
      </c>
      <c r="E1094" s="4">
        <f>VLOOKUP(A1094,'Datos generales'!A:L,12,0)</f>
        <v>805.69</v>
      </c>
      <c r="F1094" s="4" t="str">
        <f>VLOOKUP(A1094,'Datos generales'!A:L,7,0)</f>
        <v>Electrónica</v>
      </c>
      <c r="G1094" s="4">
        <v>2025</v>
      </c>
    </row>
    <row r="1095" spans="1:7" x14ac:dyDescent="0.25">
      <c r="A1095" t="s">
        <v>105</v>
      </c>
      <c r="B1095" s="4">
        <f>VLOOKUP(A1095,'Datos generales'!A:L,5,0)</f>
        <v>2</v>
      </c>
      <c r="C1095" s="4" t="str">
        <f>VLOOKUP(A1095,'Datos generales'!A:L,4,0)</f>
        <v>Laptop</v>
      </c>
      <c r="D1095" s="4">
        <f>VLOOKUP(A1095,'Datos generales'!A:L,6,0)</f>
        <v>1259.07</v>
      </c>
      <c r="E1095" s="4">
        <f>VLOOKUP(A1095,'Datos generales'!A:L,12,0)</f>
        <v>1259.07</v>
      </c>
      <c r="F1095" s="4" t="str">
        <f>VLOOKUP(A1095,'Datos generales'!A:L,7,0)</f>
        <v>Electrónica</v>
      </c>
      <c r="G1095" s="4">
        <v>2023</v>
      </c>
    </row>
    <row r="1096" spans="1:7" x14ac:dyDescent="0.25">
      <c r="A1096" t="s">
        <v>106</v>
      </c>
      <c r="B1096" s="4">
        <f>VLOOKUP(A1096,'Datos generales'!A:L,5,0)</f>
        <v>3</v>
      </c>
      <c r="C1096" s="4" t="str">
        <f>VLOOKUP(A1096,'Datos generales'!A:L,4,0)</f>
        <v>Mouse</v>
      </c>
      <c r="D1096" s="4">
        <f>VLOOKUP(A1096,'Datos generales'!A:L,6,0)</f>
        <v>600.4</v>
      </c>
      <c r="E1096" s="4">
        <f>VLOOKUP(A1096,'Datos generales'!A:L,12,0)</f>
        <v>600.4</v>
      </c>
      <c r="F1096" s="4" t="str">
        <f>VLOOKUP(A1096,'Datos generales'!A:L,7,0)</f>
        <v>Accesorios</v>
      </c>
      <c r="G1096" s="4">
        <v>2024</v>
      </c>
    </row>
    <row r="1097" spans="1:7" x14ac:dyDescent="0.25">
      <c r="A1097" t="s">
        <v>107</v>
      </c>
      <c r="B1097" s="4">
        <f>VLOOKUP(A1097,'Datos generales'!A:L,5,0)</f>
        <v>2</v>
      </c>
      <c r="C1097" s="4" t="str">
        <f>VLOOKUP(A1097,'Datos generales'!A:L,4,0)</f>
        <v>Silla Gamer</v>
      </c>
      <c r="D1097" s="4">
        <f>VLOOKUP(A1097,'Datos generales'!A:L,6,0)</f>
        <v>479.81</v>
      </c>
      <c r="E1097" s="4">
        <f>VLOOKUP(A1097,'Datos generales'!A:L,12,0)</f>
        <v>479.81</v>
      </c>
      <c r="F1097" s="4" t="str">
        <f>VLOOKUP(A1097,'Datos generales'!A:L,7,0)</f>
        <v>Muebles</v>
      </c>
      <c r="G1097" s="4">
        <v>2024</v>
      </c>
    </row>
    <row r="1098" spans="1:7" x14ac:dyDescent="0.25">
      <c r="A1098" t="s">
        <v>108</v>
      </c>
      <c r="B1098" s="4">
        <f>VLOOKUP(A1098,'Datos generales'!A:L,5,0)</f>
        <v>1</v>
      </c>
      <c r="C1098" s="4" t="str">
        <f>VLOOKUP(A1098,'Datos generales'!A:L,4,0)</f>
        <v>Webcam</v>
      </c>
      <c r="D1098" s="4">
        <f>VLOOKUP(A1098,'Datos generales'!A:L,6,0)</f>
        <v>1888.86</v>
      </c>
      <c r="E1098" s="4">
        <f>VLOOKUP(A1098,'Datos generales'!A:L,12,0)</f>
        <v>1888.86</v>
      </c>
      <c r="F1098" s="4" t="str">
        <f>VLOOKUP(A1098,'Datos generales'!A:L,7,0)</f>
        <v>Accesorios</v>
      </c>
      <c r="G1098" s="4">
        <v>2024</v>
      </c>
    </row>
    <row r="1099" spans="1:7" x14ac:dyDescent="0.25">
      <c r="A1099" t="s">
        <v>109</v>
      </c>
      <c r="B1099" s="4">
        <f>VLOOKUP(A1099,'Datos generales'!A:L,5,0)</f>
        <v>4</v>
      </c>
      <c r="C1099" s="4" t="str">
        <f>VLOOKUP(A1099,'Datos generales'!A:L,4,0)</f>
        <v>Laptop</v>
      </c>
      <c r="D1099" s="4">
        <f>VLOOKUP(A1099,'Datos generales'!A:L,6,0)</f>
        <v>1821.05</v>
      </c>
      <c r="E1099" s="4">
        <f>VLOOKUP(A1099,'Datos generales'!A:L,12,0)</f>
        <v>1821.05</v>
      </c>
      <c r="F1099" s="4" t="str">
        <f>VLOOKUP(A1099,'Datos generales'!A:L,7,0)</f>
        <v>Electrónica</v>
      </c>
      <c r="G1099" s="4">
        <v>2024</v>
      </c>
    </row>
    <row r="1100" spans="1:7" x14ac:dyDescent="0.25">
      <c r="A1100" t="s">
        <v>110</v>
      </c>
      <c r="B1100" s="4">
        <f>VLOOKUP(A1100,'Datos generales'!A:L,5,0)</f>
        <v>3</v>
      </c>
      <c r="C1100" s="4" t="str">
        <f>VLOOKUP(A1100,'Datos generales'!A:L,4,0)</f>
        <v>Mouse</v>
      </c>
      <c r="D1100" s="4">
        <f>VLOOKUP(A1100,'Datos generales'!A:L,6,0)</f>
        <v>1537.23</v>
      </c>
      <c r="E1100" s="4">
        <f>VLOOKUP(A1100,'Datos generales'!A:L,12,0)</f>
        <v>1537.23</v>
      </c>
      <c r="F1100" s="4" t="str">
        <f>VLOOKUP(A1100,'Datos generales'!A:L,7,0)</f>
        <v>Accesorios</v>
      </c>
      <c r="G1100" s="4">
        <v>2025</v>
      </c>
    </row>
    <row r="1101" spans="1:7" x14ac:dyDescent="0.25">
      <c r="A1101" t="s">
        <v>111</v>
      </c>
      <c r="B1101" s="4">
        <f>VLOOKUP(A1101,'Datos generales'!A:L,5,0)</f>
        <v>3</v>
      </c>
      <c r="C1101" s="4" t="str">
        <f>VLOOKUP(A1101,'Datos generales'!A:L,4,0)</f>
        <v>Silla Gamer</v>
      </c>
      <c r="D1101" s="4">
        <f>VLOOKUP(A1101,'Datos generales'!A:L,6,0)</f>
        <v>311.66000000000003</v>
      </c>
      <c r="E1101" s="4">
        <f>VLOOKUP(A1101,'Datos generales'!A:L,12,0)</f>
        <v>311.66000000000003</v>
      </c>
      <c r="F1101" s="4" t="str">
        <f>VLOOKUP(A1101,'Datos generales'!A:L,7,0)</f>
        <v>Muebles</v>
      </c>
      <c r="G1101" s="4">
        <v>2024</v>
      </c>
    </row>
    <row r="1102" spans="1:7" x14ac:dyDescent="0.25">
      <c r="A1102" t="s">
        <v>112</v>
      </c>
      <c r="B1102" s="4">
        <f>VLOOKUP(A1102,'Datos generales'!A:L,5,0)</f>
        <v>5</v>
      </c>
      <c r="C1102" s="4" t="str">
        <f>VLOOKUP(A1102,'Datos generales'!A:L,4,0)</f>
        <v>Teclado</v>
      </c>
      <c r="D1102" s="4">
        <f>VLOOKUP(A1102,'Datos generales'!A:L,6,0)</f>
        <v>149.09</v>
      </c>
      <c r="E1102" s="4">
        <f>VLOOKUP(A1102,'Datos generales'!A:L,12,0)</f>
        <v>149.09</v>
      </c>
      <c r="F1102" s="4" t="str">
        <f>VLOOKUP(A1102,'Datos generales'!A:L,7,0)</f>
        <v>Accesorios</v>
      </c>
      <c r="G1102" s="4">
        <v>2024</v>
      </c>
    </row>
    <row r="1103" spans="1:7" x14ac:dyDescent="0.25">
      <c r="A1103" t="s">
        <v>113</v>
      </c>
      <c r="B1103" s="4">
        <f>VLOOKUP(A1103,'Datos generales'!A:L,5,0)</f>
        <v>5</v>
      </c>
      <c r="C1103" s="4" t="str">
        <f>VLOOKUP(A1103,'Datos generales'!A:L,4,0)</f>
        <v>Laptop</v>
      </c>
      <c r="D1103" s="4">
        <f>VLOOKUP(A1103,'Datos generales'!A:L,6,0)</f>
        <v>1885.48</v>
      </c>
      <c r="E1103" s="4">
        <f>VLOOKUP(A1103,'Datos generales'!A:L,12,0)</f>
        <v>1885.48</v>
      </c>
      <c r="F1103" s="4" t="str">
        <f>VLOOKUP(A1103,'Datos generales'!A:L,7,0)</f>
        <v>Electrónica</v>
      </c>
      <c r="G1103" s="4">
        <v>2023</v>
      </c>
    </row>
    <row r="1104" spans="1:7" x14ac:dyDescent="0.25">
      <c r="A1104" t="s">
        <v>114</v>
      </c>
      <c r="B1104" s="4">
        <f>VLOOKUP(A1104,'Datos generales'!A:L,5,0)</f>
        <v>3</v>
      </c>
      <c r="C1104" s="4" t="str">
        <f>VLOOKUP(A1104,'Datos generales'!A:L,4,0)</f>
        <v>Webcam</v>
      </c>
      <c r="D1104" s="4">
        <f>VLOOKUP(A1104,'Datos generales'!A:L,6,0)</f>
        <v>1591.92</v>
      </c>
      <c r="E1104" s="4">
        <f>VLOOKUP(A1104,'Datos generales'!A:L,12,0)</f>
        <v>1591.92</v>
      </c>
      <c r="F1104" s="4" t="str">
        <f>VLOOKUP(A1104,'Datos generales'!A:L,7,0)</f>
        <v>Accesorios</v>
      </c>
      <c r="G1104" s="4">
        <v>2023</v>
      </c>
    </row>
    <row r="1105" spans="1:7" x14ac:dyDescent="0.25">
      <c r="A1105" t="s">
        <v>115</v>
      </c>
      <c r="B1105" s="4">
        <f>VLOOKUP(A1105,'Datos generales'!A:L,5,0)</f>
        <v>5</v>
      </c>
      <c r="C1105" s="4" t="str">
        <f>VLOOKUP(A1105,'Datos generales'!A:L,4,0)</f>
        <v>Webcam</v>
      </c>
      <c r="D1105" s="4">
        <f>VLOOKUP(A1105,'Datos generales'!A:L,6,0)</f>
        <v>1383.33</v>
      </c>
      <c r="E1105" s="4">
        <f>VLOOKUP(A1105,'Datos generales'!A:L,12,0)</f>
        <v>1383.33</v>
      </c>
      <c r="F1105" s="4" t="str">
        <f>VLOOKUP(A1105,'Datos generales'!A:L,7,0)</f>
        <v>Accesorios</v>
      </c>
      <c r="G1105" s="4">
        <v>2025</v>
      </c>
    </row>
    <row r="1106" spans="1:7" x14ac:dyDescent="0.25">
      <c r="A1106" t="s">
        <v>116</v>
      </c>
      <c r="B1106" s="4">
        <f>VLOOKUP(A1106,'Datos generales'!A:L,5,0)</f>
        <v>2</v>
      </c>
      <c r="C1106" s="4" t="str">
        <f>VLOOKUP(A1106,'Datos generales'!A:L,4,0)</f>
        <v>Silla Gamer</v>
      </c>
      <c r="D1106" s="4">
        <f>VLOOKUP(A1106,'Datos generales'!A:L,6,0)</f>
        <v>1051.23</v>
      </c>
      <c r="E1106" s="4">
        <f>VLOOKUP(A1106,'Datos generales'!A:L,12,0)</f>
        <v>1051.23</v>
      </c>
      <c r="F1106" s="4" t="str">
        <f>VLOOKUP(A1106,'Datos generales'!A:L,7,0)</f>
        <v>Muebles</v>
      </c>
      <c r="G1106" s="4">
        <v>2025</v>
      </c>
    </row>
    <row r="1107" spans="1:7" x14ac:dyDescent="0.25">
      <c r="A1107" t="s">
        <v>117</v>
      </c>
      <c r="B1107" s="4">
        <f>VLOOKUP(A1107,'Datos generales'!A:L,5,0)</f>
        <v>4</v>
      </c>
      <c r="C1107" s="4" t="str">
        <f>VLOOKUP(A1107,'Datos generales'!A:L,4,0)</f>
        <v>Audífonos</v>
      </c>
      <c r="D1107" s="4">
        <f>VLOOKUP(A1107,'Datos generales'!A:L,6,0)</f>
        <v>1274.46</v>
      </c>
      <c r="E1107" s="4">
        <f>VLOOKUP(A1107,'Datos generales'!A:L,12,0)</f>
        <v>1274.46</v>
      </c>
      <c r="F1107" s="4" t="str">
        <f>VLOOKUP(A1107,'Datos generales'!A:L,7,0)</f>
        <v>Accesorios</v>
      </c>
      <c r="G1107" s="4">
        <v>2023</v>
      </c>
    </row>
    <row r="1108" spans="1:7" x14ac:dyDescent="0.25">
      <c r="A1108" t="s">
        <v>118</v>
      </c>
      <c r="B1108" s="4">
        <f>VLOOKUP(A1108,'Datos generales'!A:L,5,0)</f>
        <v>1</v>
      </c>
      <c r="C1108" s="4" t="str">
        <f>VLOOKUP(A1108,'Datos generales'!A:L,4,0)</f>
        <v>Monitor</v>
      </c>
      <c r="D1108" s="4">
        <f>VLOOKUP(A1108,'Datos generales'!A:L,6,0)</f>
        <v>1251.08</v>
      </c>
      <c r="E1108" s="4">
        <f>VLOOKUP(A1108,'Datos generales'!A:L,12,0)</f>
        <v>1251.08</v>
      </c>
      <c r="F1108" s="4" t="str">
        <f>VLOOKUP(A1108,'Datos generales'!A:L,7,0)</f>
        <v>Electrónica</v>
      </c>
      <c r="G1108" s="4">
        <v>2025</v>
      </c>
    </row>
    <row r="1109" spans="1:7" x14ac:dyDescent="0.25">
      <c r="A1109" t="s">
        <v>119</v>
      </c>
      <c r="B1109" s="4">
        <f>VLOOKUP(A1109,'Datos generales'!A:L,5,0)</f>
        <v>5</v>
      </c>
      <c r="C1109" s="4" t="str">
        <f>VLOOKUP(A1109,'Datos generales'!A:L,4,0)</f>
        <v>Audífonos</v>
      </c>
      <c r="D1109" s="4">
        <f>VLOOKUP(A1109,'Datos generales'!A:L,6,0)</f>
        <v>1582.2</v>
      </c>
      <c r="E1109" s="4">
        <f>VLOOKUP(A1109,'Datos generales'!A:L,12,0)</f>
        <v>1582.2</v>
      </c>
      <c r="F1109" s="4" t="str">
        <f>VLOOKUP(A1109,'Datos generales'!A:L,7,0)</f>
        <v>Accesorios</v>
      </c>
      <c r="G1109" s="4">
        <v>2025</v>
      </c>
    </row>
    <row r="1110" spans="1:7" x14ac:dyDescent="0.25">
      <c r="A1110" t="s">
        <v>120</v>
      </c>
      <c r="B1110" s="4">
        <f>VLOOKUP(A1110,'Datos generales'!A:L,5,0)</f>
        <v>1</v>
      </c>
      <c r="C1110" s="4" t="str">
        <f>VLOOKUP(A1110,'Datos generales'!A:L,4,0)</f>
        <v>Silla Gamer</v>
      </c>
      <c r="D1110" s="4">
        <f>VLOOKUP(A1110,'Datos generales'!A:L,6,0)</f>
        <v>81.92</v>
      </c>
      <c r="E1110" s="4">
        <f>VLOOKUP(A1110,'Datos generales'!A:L,12,0)</f>
        <v>81.92</v>
      </c>
      <c r="F1110" s="4" t="str">
        <f>VLOOKUP(A1110,'Datos generales'!A:L,7,0)</f>
        <v>Muebles</v>
      </c>
      <c r="G1110" s="4">
        <v>2023</v>
      </c>
    </row>
    <row r="1111" spans="1:7" x14ac:dyDescent="0.25">
      <c r="A1111" t="s">
        <v>121</v>
      </c>
      <c r="B1111" s="4">
        <f>VLOOKUP(A1111,'Datos generales'!A:L,5,0)</f>
        <v>1</v>
      </c>
      <c r="C1111" s="4" t="str">
        <f>VLOOKUP(A1111,'Datos generales'!A:L,4,0)</f>
        <v>Mouse</v>
      </c>
      <c r="D1111" s="4">
        <f>VLOOKUP(A1111,'Datos generales'!A:L,6,0)</f>
        <v>1153.31</v>
      </c>
      <c r="E1111" s="4">
        <f>VLOOKUP(A1111,'Datos generales'!A:L,12,0)</f>
        <v>1153.31</v>
      </c>
      <c r="F1111" s="4" t="str">
        <f>VLOOKUP(A1111,'Datos generales'!A:L,7,0)</f>
        <v>Accesorios</v>
      </c>
      <c r="G1111" s="4">
        <v>2024</v>
      </c>
    </row>
    <row r="1112" spans="1:7" x14ac:dyDescent="0.25">
      <c r="A1112" t="s">
        <v>122</v>
      </c>
      <c r="B1112" s="4">
        <f>VLOOKUP(A1112,'Datos generales'!A:L,5,0)</f>
        <v>3</v>
      </c>
      <c r="C1112" s="4" t="str">
        <f>VLOOKUP(A1112,'Datos generales'!A:L,4,0)</f>
        <v>Mouse</v>
      </c>
      <c r="D1112" s="4">
        <f>VLOOKUP(A1112,'Datos generales'!A:L,6,0)</f>
        <v>1078.08</v>
      </c>
      <c r="E1112" s="4">
        <f>VLOOKUP(A1112,'Datos generales'!A:L,12,0)</f>
        <v>1078.08</v>
      </c>
      <c r="F1112" s="4" t="str">
        <f>VLOOKUP(A1112,'Datos generales'!A:L,7,0)</f>
        <v>Accesorios</v>
      </c>
      <c r="G1112" s="4">
        <v>2025</v>
      </c>
    </row>
    <row r="1113" spans="1:7" x14ac:dyDescent="0.25">
      <c r="A1113" t="s">
        <v>123</v>
      </c>
      <c r="B1113" s="4">
        <f>VLOOKUP(A1113,'Datos generales'!A:L,5,0)</f>
        <v>1</v>
      </c>
      <c r="C1113" s="4" t="str">
        <f>VLOOKUP(A1113,'Datos generales'!A:L,4,0)</f>
        <v>Impresora</v>
      </c>
      <c r="D1113" s="4">
        <f>VLOOKUP(A1113,'Datos generales'!A:L,6,0)</f>
        <v>201.91</v>
      </c>
      <c r="E1113" s="4">
        <f>VLOOKUP(A1113,'Datos generales'!A:L,12,0)</f>
        <v>201.91</v>
      </c>
      <c r="F1113" s="4" t="str">
        <f>VLOOKUP(A1113,'Datos generales'!A:L,7,0)</f>
        <v>Electrónica</v>
      </c>
      <c r="G1113" s="4">
        <v>2024</v>
      </c>
    </row>
    <row r="1114" spans="1:7" x14ac:dyDescent="0.25">
      <c r="A1114" t="s">
        <v>124</v>
      </c>
      <c r="B1114" s="4">
        <f>VLOOKUP(A1114,'Datos generales'!A:L,5,0)</f>
        <v>3</v>
      </c>
      <c r="C1114" s="4" t="str">
        <f>VLOOKUP(A1114,'Datos generales'!A:L,4,0)</f>
        <v>Webcam</v>
      </c>
      <c r="D1114" s="4">
        <f>VLOOKUP(A1114,'Datos generales'!A:L,6,0)</f>
        <v>727.36</v>
      </c>
      <c r="E1114" s="4">
        <f>VLOOKUP(A1114,'Datos generales'!A:L,12,0)</f>
        <v>727.36</v>
      </c>
      <c r="F1114" s="4" t="str">
        <f>VLOOKUP(A1114,'Datos generales'!A:L,7,0)</f>
        <v>Accesorios</v>
      </c>
      <c r="G1114" s="4">
        <v>2024</v>
      </c>
    </row>
    <row r="1115" spans="1:7" x14ac:dyDescent="0.25">
      <c r="A1115" t="s">
        <v>125</v>
      </c>
      <c r="B1115" s="4">
        <f>VLOOKUP(A1115,'Datos generales'!A:L,5,0)</f>
        <v>3</v>
      </c>
      <c r="C1115" s="4" t="str">
        <f>VLOOKUP(A1115,'Datos generales'!A:L,4,0)</f>
        <v>Audífonos</v>
      </c>
      <c r="D1115" s="4">
        <f>VLOOKUP(A1115,'Datos generales'!A:L,6,0)</f>
        <v>1645.43</v>
      </c>
      <c r="E1115" s="4">
        <f>VLOOKUP(A1115,'Datos generales'!A:L,12,0)</f>
        <v>1645.43</v>
      </c>
      <c r="F1115" s="4" t="str">
        <f>VLOOKUP(A1115,'Datos generales'!A:L,7,0)</f>
        <v>Accesorios</v>
      </c>
      <c r="G1115" s="4">
        <v>2023</v>
      </c>
    </row>
    <row r="1116" spans="1:7" x14ac:dyDescent="0.25">
      <c r="A1116" t="s">
        <v>126</v>
      </c>
      <c r="B1116" s="4">
        <f>VLOOKUP(A1116,'Datos generales'!A:L,5,0)</f>
        <v>3</v>
      </c>
      <c r="C1116" s="4" t="str">
        <f>VLOOKUP(A1116,'Datos generales'!A:L,4,0)</f>
        <v>Laptop</v>
      </c>
      <c r="D1116" s="4">
        <f>VLOOKUP(A1116,'Datos generales'!A:L,6,0)</f>
        <v>420.05</v>
      </c>
      <c r="E1116" s="4">
        <f>VLOOKUP(A1116,'Datos generales'!A:L,12,0)</f>
        <v>420.05</v>
      </c>
      <c r="F1116" s="4" t="str">
        <f>VLOOKUP(A1116,'Datos generales'!A:L,7,0)</f>
        <v>Electrónica</v>
      </c>
      <c r="G1116" s="4">
        <v>2024</v>
      </c>
    </row>
    <row r="1117" spans="1:7" x14ac:dyDescent="0.25">
      <c r="A1117" t="s">
        <v>127</v>
      </c>
      <c r="B1117" s="4">
        <f>VLOOKUP(A1117,'Datos generales'!A:L,5,0)</f>
        <v>4</v>
      </c>
      <c r="C1117" s="4" t="str">
        <f>VLOOKUP(A1117,'Datos generales'!A:L,4,0)</f>
        <v>Silla Gamer</v>
      </c>
      <c r="D1117" s="4">
        <f>VLOOKUP(A1117,'Datos generales'!A:L,6,0)</f>
        <v>496.9</v>
      </c>
      <c r="E1117" s="4">
        <f>VLOOKUP(A1117,'Datos generales'!A:L,12,0)</f>
        <v>496.9</v>
      </c>
      <c r="F1117" s="4" t="str">
        <f>VLOOKUP(A1117,'Datos generales'!A:L,7,0)</f>
        <v>Muebles</v>
      </c>
      <c r="G1117" s="4">
        <v>2024</v>
      </c>
    </row>
    <row r="1118" spans="1:7" x14ac:dyDescent="0.25">
      <c r="A1118" t="s">
        <v>128</v>
      </c>
      <c r="B1118" s="4">
        <f>VLOOKUP(A1118,'Datos generales'!A:L,5,0)</f>
        <v>2</v>
      </c>
      <c r="C1118" s="4" t="str">
        <f>VLOOKUP(A1118,'Datos generales'!A:L,4,0)</f>
        <v>Teclado</v>
      </c>
      <c r="D1118" s="4">
        <f>VLOOKUP(A1118,'Datos generales'!A:L,6,0)</f>
        <v>721.56</v>
      </c>
      <c r="E1118" s="4">
        <f>VLOOKUP(A1118,'Datos generales'!A:L,12,0)</f>
        <v>721.56</v>
      </c>
      <c r="F1118" s="4" t="str">
        <f>VLOOKUP(A1118,'Datos generales'!A:L,7,0)</f>
        <v>Accesorios</v>
      </c>
      <c r="G1118" s="4">
        <v>2023</v>
      </c>
    </row>
    <row r="1119" spans="1:7" x14ac:dyDescent="0.25">
      <c r="A1119" t="s">
        <v>129</v>
      </c>
      <c r="B1119" s="4">
        <f>VLOOKUP(A1119,'Datos generales'!A:L,5,0)</f>
        <v>4</v>
      </c>
      <c r="C1119" s="4" t="str">
        <f>VLOOKUP(A1119,'Datos generales'!A:L,4,0)</f>
        <v>Audífonos</v>
      </c>
      <c r="D1119" s="4">
        <f>VLOOKUP(A1119,'Datos generales'!A:L,6,0)</f>
        <v>1353.9</v>
      </c>
      <c r="E1119" s="4">
        <f>VLOOKUP(A1119,'Datos generales'!A:L,12,0)</f>
        <v>1353.9</v>
      </c>
      <c r="F1119" s="4" t="str">
        <f>VLOOKUP(A1119,'Datos generales'!A:L,7,0)</f>
        <v>Accesorios</v>
      </c>
      <c r="G1119" s="4">
        <v>2023</v>
      </c>
    </row>
    <row r="1120" spans="1:7" x14ac:dyDescent="0.25">
      <c r="A1120" t="s">
        <v>130</v>
      </c>
      <c r="B1120" s="4">
        <f>VLOOKUP(A1120,'Datos generales'!A:L,5,0)</f>
        <v>2</v>
      </c>
      <c r="C1120" s="4" t="str">
        <f>VLOOKUP(A1120,'Datos generales'!A:L,4,0)</f>
        <v>Impresora</v>
      </c>
      <c r="D1120" s="4">
        <f>VLOOKUP(A1120,'Datos generales'!A:L,6,0)</f>
        <v>429.52</v>
      </c>
      <c r="E1120" s="4">
        <f>VLOOKUP(A1120,'Datos generales'!A:L,12,0)</f>
        <v>429.52</v>
      </c>
      <c r="F1120" s="4" t="str">
        <f>VLOOKUP(A1120,'Datos generales'!A:L,7,0)</f>
        <v>Electrónica</v>
      </c>
      <c r="G1120" s="4">
        <v>2024</v>
      </c>
    </row>
    <row r="1121" spans="1:7" x14ac:dyDescent="0.25">
      <c r="A1121" t="s">
        <v>131</v>
      </c>
      <c r="B1121" s="4">
        <f>VLOOKUP(A1121,'Datos generales'!A:L,5,0)</f>
        <v>2</v>
      </c>
      <c r="C1121" s="4" t="str">
        <f>VLOOKUP(A1121,'Datos generales'!A:L,4,0)</f>
        <v>Silla Gamer</v>
      </c>
      <c r="D1121" s="4">
        <f>VLOOKUP(A1121,'Datos generales'!A:L,6,0)</f>
        <v>1824.96</v>
      </c>
      <c r="E1121" s="4">
        <f>VLOOKUP(A1121,'Datos generales'!A:L,12,0)</f>
        <v>1824.96</v>
      </c>
      <c r="F1121" s="4" t="str">
        <f>VLOOKUP(A1121,'Datos generales'!A:L,7,0)</f>
        <v>Muebles</v>
      </c>
      <c r="G1121" s="4">
        <v>2024</v>
      </c>
    </row>
    <row r="1122" spans="1:7" x14ac:dyDescent="0.25">
      <c r="A1122" t="s">
        <v>132</v>
      </c>
      <c r="B1122" s="4">
        <f>VLOOKUP(A1122,'Datos generales'!A:L,5,0)</f>
        <v>5</v>
      </c>
      <c r="C1122" s="4" t="str">
        <f>VLOOKUP(A1122,'Datos generales'!A:L,4,0)</f>
        <v>Mouse</v>
      </c>
      <c r="D1122" s="4">
        <f>VLOOKUP(A1122,'Datos generales'!A:L,6,0)</f>
        <v>1059.81</v>
      </c>
      <c r="E1122" s="4">
        <f>VLOOKUP(A1122,'Datos generales'!A:L,12,0)</f>
        <v>1059.81</v>
      </c>
      <c r="F1122" s="4" t="str">
        <f>VLOOKUP(A1122,'Datos generales'!A:L,7,0)</f>
        <v>Accesorios</v>
      </c>
      <c r="G1122" s="4">
        <v>2024</v>
      </c>
    </row>
    <row r="1123" spans="1:7" x14ac:dyDescent="0.25">
      <c r="A1123" t="s">
        <v>133</v>
      </c>
      <c r="B1123" s="4">
        <f>VLOOKUP(A1123,'Datos generales'!A:L,5,0)</f>
        <v>4</v>
      </c>
      <c r="C1123" s="4" t="str">
        <f>VLOOKUP(A1123,'Datos generales'!A:L,4,0)</f>
        <v>Silla Gamer</v>
      </c>
      <c r="D1123" s="4">
        <f>VLOOKUP(A1123,'Datos generales'!A:L,6,0)</f>
        <v>46.39</v>
      </c>
      <c r="E1123" s="4">
        <f>VLOOKUP(A1123,'Datos generales'!A:L,12,0)</f>
        <v>46.39</v>
      </c>
      <c r="F1123" s="4" t="str">
        <f>VLOOKUP(A1123,'Datos generales'!A:L,7,0)</f>
        <v>Muebles</v>
      </c>
      <c r="G1123" s="4">
        <v>2023</v>
      </c>
    </row>
    <row r="1124" spans="1:7" x14ac:dyDescent="0.25">
      <c r="A1124" t="s">
        <v>134</v>
      </c>
      <c r="B1124" s="4">
        <f>VLOOKUP(A1124,'Datos generales'!A:L,5,0)</f>
        <v>1</v>
      </c>
      <c r="C1124" s="4" t="str">
        <f>VLOOKUP(A1124,'Datos generales'!A:L,4,0)</f>
        <v>Laptop</v>
      </c>
      <c r="D1124" s="4">
        <f>VLOOKUP(A1124,'Datos generales'!A:L,6,0)</f>
        <v>754.07</v>
      </c>
      <c r="E1124" s="4">
        <f>VLOOKUP(A1124,'Datos generales'!A:L,12,0)</f>
        <v>754.07</v>
      </c>
      <c r="F1124" s="4" t="str">
        <f>VLOOKUP(A1124,'Datos generales'!A:L,7,0)</f>
        <v>Electrónica</v>
      </c>
      <c r="G1124" s="4">
        <v>2023</v>
      </c>
    </row>
    <row r="1125" spans="1:7" x14ac:dyDescent="0.25">
      <c r="A1125" t="s">
        <v>135</v>
      </c>
      <c r="B1125" s="4">
        <f>VLOOKUP(A1125,'Datos generales'!A:L,5,0)</f>
        <v>1</v>
      </c>
      <c r="C1125" s="4" t="str">
        <f>VLOOKUP(A1125,'Datos generales'!A:L,4,0)</f>
        <v>Audífonos</v>
      </c>
      <c r="D1125" s="4">
        <f>VLOOKUP(A1125,'Datos generales'!A:L,6,0)</f>
        <v>1681.02</v>
      </c>
      <c r="E1125" s="4">
        <f>VLOOKUP(A1125,'Datos generales'!A:L,12,0)</f>
        <v>1681.02</v>
      </c>
      <c r="F1125" s="4" t="str">
        <f>VLOOKUP(A1125,'Datos generales'!A:L,7,0)</f>
        <v>Accesorios</v>
      </c>
      <c r="G1125" s="4">
        <v>2025</v>
      </c>
    </row>
    <row r="1126" spans="1:7" x14ac:dyDescent="0.25">
      <c r="A1126" t="s">
        <v>136</v>
      </c>
      <c r="B1126" s="4">
        <f>VLOOKUP(A1126,'Datos generales'!A:L,5,0)</f>
        <v>2</v>
      </c>
      <c r="C1126" s="4" t="str">
        <f>VLOOKUP(A1126,'Datos generales'!A:L,4,0)</f>
        <v>Monitor</v>
      </c>
      <c r="D1126" s="4">
        <f>VLOOKUP(A1126,'Datos generales'!A:L,6,0)</f>
        <v>1198.72</v>
      </c>
      <c r="E1126" s="4">
        <f>VLOOKUP(A1126,'Datos generales'!A:L,12,0)</f>
        <v>1198.72</v>
      </c>
      <c r="F1126" s="4" t="str">
        <f>VLOOKUP(A1126,'Datos generales'!A:L,7,0)</f>
        <v>Electrónica</v>
      </c>
      <c r="G1126" s="4">
        <v>2025</v>
      </c>
    </row>
    <row r="1127" spans="1:7" x14ac:dyDescent="0.25">
      <c r="A1127" t="s">
        <v>137</v>
      </c>
      <c r="B1127" s="4">
        <f>VLOOKUP(A1127,'Datos generales'!A:L,5,0)</f>
        <v>2</v>
      </c>
      <c r="C1127" s="4" t="str">
        <f>VLOOKUP(A1127,'Datos generales'!A:L,4,0)</f>
        <v>Audífonos</v>
      </c>
      <c r="D1127" s="4">
        <f>VLOOKUP(A1127,'Datos generales'!A:L,6,0)</f>
        <v>1040.2</v>
      </c>
      <c r="E1127" s="4">
        <f>VLOOKUP(A1127,'Datos generales'!A:L,12,0)</f>
        <v>1040.2</v>
      </c>
      <c r="F1127" s="4" t="str">
        <f>VLOOKUP(A1127,'Datos generales'!A:L,7,0)</f>
        <v>Accesorios</v>
      </c>
      <c r="G1127" s="4">
        <v>2023</v>
      </c>
    </row>
    <row r="1128" spans="1:7" x14ac:dyDescent="0.25">
      <c r="A1128" t="s">
        <v>138</v>
      </c>
      <c r="B1128" s="4">
        <f>VLOOKUP(A1128,'Datos generales'!A:L,5,0)</f>
        <v>3</v>
      </c>
      <c r="C1128" s="4" t="str">
        <f>VLOOKUP(A1128,'Datos generales'!A:L,4,0)</f>
        <v>Teclado</v>
      </c>
      <c r="D1128" s="4">
        <f>VLOOKUP(A1128,'Datos generales'!A:L,6,0)</f>
        <v>107.53</v>
      </c>
      <c r="E1128" s="4">
        <f>VLOOKUP(A1128,'Datos generales'!A:L,12,0)</f>
        <v>107.53</v>
      </c>
      <c r="F1128" s="4" t="str">
        <f>VLOOKUP(A1128,'Datos generales'!A:L,7,0)</f>
        <v>Accesorios</v>
      </c>
      <c r="G1128" s="4">
        <v>2025</v>
      </c>
    </row>
    <row r="1129" spans="1:7" x14ac:dyDescent="0.25">
      <c r="A1129" t="s">
        <v>139</v>
      </c>
      <c r="B1129" s="4">
        <f>VLOOKUP(A1129,'Datos generales'!A:L,5,0)</f>
        <v>4</v>
      </c>
      <c r="C1129" s="4" t="str">
        <f>VLOOKUP(A1129,'Datos generales'!A:L,4,0)</f>
        <v>Impresora</v>
      </c>
      <c r="D1129" s="4">
        <f>VLOOKUP(A1129,'Datos generales'!A:L,6,0)</f>
        <v>380.66</v>
      </c>
      <c r="E1129" s="4">
        <f>VLOOKUP(A1129,'Datos generales'!A:L,12,0)</f>
        <v>380.66</v>
      </c>
      <c r="F1129" s="4" t="str">
        <f>VLOOKUP(A1129,'Datos generales'!A:L,7,0)</f>
        <v>Electrónica</v>
      </c>
      <c r="G1129" s="4">
        <v>2025</v>
      </c>
    </row>
    <row r="1130" spans="1:7" x14ac:dyDescent="0.25">
      <c r="A1130" t="s">
        <v>140</v>
      </c>
      <c r="B1130" s="4">
        <f>VLOOKUP(A1130,'Datos generales'!A:L,5,0)</f>
        <v>2</v>
      </c>
      <c r="C1130" s="4" t="str">
        <f>VLOOKUP(A1130,'Datos generales'!A:L,4,0)</f>
        <v>Monitor</v>
      </c>
      <c r="D1130" s="4">
        <f>VLOOKUP(A1130,'Datos generales'!A:L,6,0)</f>
        <v>700.11</v>
      </c>
      <c r="E1130" s="4">
        <f>VLOOKUP(A1130,'Datos generales'!A:L,12,0)</f>
        <v>700.11</v>
      </c>
      <c r="F1130" s="4" t="str">
        <f>VLOOKUP(A1130,'Datos generales'!A:L,7,0)</f>
        <v>Electrónica</v>
      </c>
      <c r="G1130" s="4">
        <v>2025</v>
      </c>
    </row>
    <row r="1131" spans="1:7" x14ac:dyDescent="0.25">
      <c r="A1131" t="s">
        <v>141</v>
      </c>
      <c r="B1131" s="4">
        <f>VLOOKUP(A1131,'Datos generales'!A:L,5,0)</f>
        <v>5</v>
      </c>
      <c r="C1131" s="4" t="str">
        <f>VLOOKUP(A1131,'Datos generales'!A:L,4,0)</f>
        <v>Impresora</v>
      </c>
      <c r="D1131" s="4">
        <f>VLOOKUP(A1131,'Datos generales'!A:L,6,0)</f>
        <v>358.48</v>
      </c>
      <c r="E1131" s="4">
        <f>VLOOKUP(A1131,'Datos generales'!A:L,12,0)</f>
        <v>358.48</v>
      </c>
      <c r="F1131" s="4" t="str">
        <f>VLOOKUP(A1131,'Datos generales'!A:L,7,0)</f>
        <v>Electrónica</v>
      </c>
      <c r="G1131" s="4">
        <v>2023</v>
      </c>
    </row>
    <row r="1132" spans="1:7" x14ac:dyDescent="0.25">
      <c r="A1132" t="s">
        <v>142</v>
      </c>
      <c r="B1132" s="4">
        <f>VLOOKUP(A1132,'Datos generales'!A:L,5,0)</f>
        <v>4</v>
      </c>
      <c r="C1132" s="4" t="str">
        <f>VLOOKUP(A1132,'Datos generales'!A:L,4,0)</f>
        <v>Silla Gamer</v>
      </c>
      <c r="D1132" s="4">
        <f>VLOOKUP(A1132,'Datos generales'!A:L,6,0)</f>
        <v>746.6</v>
      </c>
      <c r="E1132" s="4">
        <f>VLOOKUP(A1132,'Datos generales'!A:L,12,0)</f>
        <v>746.6</v>
      </c>
      <c r="F1132" s="4" t="str">
        <f>VLOOKUP(A1132,'Datos generales'!A:L,7,0)</f>
        <v>Muebles</v>
      </c>
      <c r="G1132" s="4">
        <v>2024</v>
      </c>
    </row>
    <row r="1133" spans="1:7" x14ac:dyDescent="0.25">
      <c r="A1133" t="s">
        <v>143</v>
      </c>
      <c r="B1133" s="4">
        <f>VLOOKUP(A1133,'Datos generales'!A:L,5,0)</f>
        <v>1</v>
      </c>
      <c r="C1133" s="4" t="str">
        <f>VLOOKUP(A1133,'Datos generales'!A:L,4,0)</f>
        <v>Laptop</v>
      </c>
      <c r="D1133" s="4">
        <f>VLOOKUP(A1133,'Datos generales'!A:L,6,0)</f>
        <v>751.43</v>
      </c>
      <c r="E1133" s="4">
        <f>VLOOKUP(A1133,'Datos generales'!A:L,12,0)</f>
        <v>751.43</v>
      </c>
      <c r="F1133" s="4" t="str">
        <f>VLOOKUP(A1133,'Datos generales'!A:L,7,0)</f>
        <v>Electrónica</v>
      </c>
      <c r="G1133" s="4">
        <v>2024</v>
      </c>
    </row>
    <row r="1134" spans="1:7" x14ac:dyDescent="0.25">
      <c r="A1134" t="s">
        <v>144</v>
      </c>
      <c r="B1134" s="4">
        <f>VLOOKUP(A1134,'Datos generales'!A:L,5,0)</f>
        <v>5</v>
      </c>
      <c r="C1134" s="4" t="str">
        <f>VLOOKUP(A1134,'Datos generales'!A:L,4,0)</f>
        <v>Mouse</v>
      </c>
      <c r="D1134" s="4">
        <f>VLOOKUP(A1134,'Datos generales'!A:L,6,0)</f>
        <v>1109.08</v>
      </c>
      <c r="E1134" s="4">
        <f>VLOOKUP(A1134,'Datos generales'!A:L,12,0)</f>
        <v>1109.08</v>
      </c>
      <c r="F1134" s="4" t="str">
        <f>VLOOKUP(A1134,'Datos generales'!A:L,7,0)</f>
        <v>Accesorios</v>
      </c>
      <c r="G1134" s="4">
        <v>2023</v>
      </c>
    </row>
    <row r="1135" spans="1:7" x14ac:dyDescent="0.25">
      <c r="A1135" t="s">
        <v>145</v>
      </c>
      <c r="B1135" s="4">
        <f>VLOOKUP(A1135,'Datos generales'!A:L,5,0)</f>
        <v>5</v>
      </c>
      <c r="C1135" s="4" t="str">
        <f>VLOOKUP(A1135,'Datos generales'!A:L,4,0)</f>
        <v>Monitor</v>
      </c>
      <c r="D1135" s="4">
        <f>VLOOKUP(A1135,'Datos generales'!A:L,6,0)</f>
        <v>642.74</v>
      </c>
      <c r="E1135" s="4">
        <f>VLOOKUP(A1135,'Datos generales'!A:L,12,0)</f>
        <v>642.74</v>
      </c>
      <c r="F1135" s="4" t="str">
        <f>VLOOKUP(A1135,'Datos generales'!A:L,7,0)</f>
        <v>Electrónica</v>
      </c>
      <c r="G1135" s="4">
        <v>2024</v>
      </c>
    </row>
    <row r="1136" spans="1:7" x14ac:dyDescent="0.25">
      <c r="A1136" t="s">
        <v>146</v>
      </c>
      <c r="B1136" s="4">
        <f>VLOOKUP(A1136,'Datos generales'!A:L,5,0)</f>
        <v>5</v>
      </c>
      <c r="C1136" s="4" t="str">
        <f>VLOOKUP(A1136,'Datos generales'!A:L,4,0)</f>
        <v>Audífonos</v>
      </c>
      <c r="D1136" s="4">
        <f>VLOOKUP(A1136,'Datos generales'!A:L,6,0)</f>
        <v>245.73</v>
      </c>
      <c r="E1136" s="4">
        <f>VLOOKUP(A1136,'Datos generales'!A:L,12,0)</f>
        <v>245.73</v>
      </c>
      <c r="F1136" s="4" t="str">
        <f>VLOOKUP(A1136,'Datos generales'!A:L,7,0)</f>
        <v>Accesorios</v>
      </c>
      <c r="G1136" s="4">
        <v>2024</v>
      </c>
    </row>
    <row r="1137" spans="1:7" x14ac:dyDescent="0.25">
      <c r="A1137" t="s">
        <v>147</v>
      </c>
      <c r="B1137" s="4">
        <f>VLOOKUP(A1137,'Datos generales'!A:L,5,0)</f>
        <v>3</v>
      </c>
      <c r="C1137" s="4" t="str">
        <f>VLOOKUP(A1137,'Datos generales'!A:L,4,0)</f>
        <v>Webcam</v>
      </c>
      <c r="D1137" s="4">
        <f>VLOOKUP(A1137,'Datos generales'!A:L,6,0)</f>
        <v>1782.13</v>
      </c>
      <c r="E1137" s="4">
        <f>VLOOKUP(A1137,'Datos generales'!A:L,12,0)</f>
        <v>1782.13</v>
      </c>
      <c r="F1137" s="4" t="str">
        <f>VLOOKUP(A1137,'Datos generales'!A:L,7,0)</f>
        <v>Accesorios</v>
      </c>
      <c r="G1137" s="4">
        <v>2023</v>
      </c>
    </row>
    <row r="1138" spans="1:7" x14ac:dyDescent="0.25">
      <c r="A1138" t="s">
        <v>148</v>
      </c>
      <c r="B1138" s="4">
        <f>VLOOKUP(A1138,'Datos generales'!A:L,5,0)</f>
        <v>5</v>
      </c>
      <c r="C1138" s="4" t="str">
        <f>VLOOKUP(A1138,'Datos generales'!A:L,4,0)</f>
        <v>Impresora</v>
      </c>
      <c r="D1138" s="4">
        <f>VLOOKUP(A1138,'Datos generales'!A:L,6,0)</f>
        <v>1137.1400000000001</v>
      </c>
      <c r="E1138" s="4">
        <f>VLOOKUP(A1138,'Datos generales'!A:L,12,0)</f>
        <v>1137.1400000000001</v>
      </c>
      <c r="F1138" s="4" t="str">
        <f>VLOOKUP(A1138,'Datos generales'!A:L,7,0)</f>
        <v>Electrónica</v>
      </c>
      <c r="G1138" s="4">
        <v>2024</v>
      </c>
    </row>
    <row r="1139" spans="1:7" x14ac:dyDescent="0.25">
      <c r="A1139" t="s">
        <v>149</v>
      </c>
      <c r="B1139" s="4">
        <f>VLOOKUP(A1139,'Datos generales'!A:L,5,0)</f>
        <v>4</v>
      </c>
      <c r="C1139" s="4" t="str">
        <f>VLOOKUP(A1139,'Datos generales'!A:L,4,0)</f>
        <v>Teclado</v>
      </c>
      <c r="D1139" s="4">
        <f>VLOOKUP(A1139,'Datos generales'!A:L,6,0)</f>
        <v>966.72</v>
      </c>
      <c r="E1139" s="4">
        <f>VLOOKUP(A1139,'Datos generales'!A:L,12,0)</f>
        <v>966.72</v>
      </c>
      <c r="F1139" s="4" t="str">
        <f>VLOOKUP(A1139,'Datos generales'!A:L,7,0)</f>
        <v>Accesorios</v>
      </c>
      <c r="G1139" s="4">
        <v>2024</v>
      </c>
    </row>
    <row r="1140" spans="1:7" x14ac:dyDescent="0.25">
      <c r="A1140" t="s">
        <v>150</v>
      </c>
      <c r="B1140" s="4">
        <f>VLOOKUP(A1140,'Datos generales'!A:L,5,0)</f>
        <v>5</v>
      </c>
      <c r="C1140" s="4" t="str">
        <f>VLOOKUP(A1140,'Datos generales'!A:L,4,0)</f>
        <v>Impresora</v>
      </c>
      <c r="D1140" s="4">
        <f>VLOOKUP(A1140,'Datos generales'!A:L,6,0)</f>
        <v>754.88</v>
      </c>
      <c r="E1140" s="4">
        <f>VLOOKUP(A1140,'Datos generales'!A:L,12,0)</f>
        <v>754.88</v>
      </c>
      <c r="F1140" s="4" t="str">
        <f>VLOOKUP(A1140,'Datos generales'!A:L,7,0)</f>
        <v>Electrónica</v>
      </c>
      <c r="G1140" s="4">
        <v>2024</v>
      </c>
    </row>
    <row r="1141" spans="1:7" x14ac:dyDescent="0.25">
      <c r="A1141" t="s">
        <v>151</v>
      </c>
      <c r="B1141" s="4">
        <f>VLOOKUP(A1141,'Datos generales'!A:L,5,0)</f>
        <v>4</v>
      </c>
      <c r="C1141" s="4" t="str">
        <f>VLOOKUP(A1141,'Datos generales'!A:L,4,0)</f>
        <v>Webcam</v>
      </c>
      <c r="D1141" s="4">
        <f>VLOOKUP(A1141,'Datos generales'!A:L,6,0)</f>
        <v>902.5</v>
      </c>
      <c r="E1141" s="4">
        <f>VLOOKUP(A1141,'Datos generales'!A:L,12,0)</f>
        <v>902.5</v>
      </c>
      <c r="F1141" s="4" t="str">
        <f>VLOOKUP(A1141,'Datos generales'!A:L,7,0)</f>
        <v>Accesorios</v>
      </c>
      <c r="G1141" s="4">
        <v>2025</v>
      </c>
    </row>
    <row r="1142" spans="1:7" x14ac:dyDescent="0.25">
      <c r="A1142" t="s">
        <v>152</v>
      </c>
      <c r="B1142" s="4">
        <f>VLOOKUP(A1142,'Datos generales'!A:L,5,0)</f>
        <v>2</v>
      </c>
      <c r="C1142" s="4" t="str">
        <f>VLOOKUP(A1142,'Datos generales'!A:L,4,0)</f>
        <v>Mouse</v>
      </c>
      <c r="D1142" s="4">
        <f>VLOOKUP(A1142,'Datos generales'!A:L,6,0)</f>
        <v>78.180000000000007</v>
      </c>
      <c r="E1142" s="4">
        <f>VLOOKUP(A1142,'Datos generales'!A:L,12,0)</f>
        <v>78.180000000000007</v>
      </c>
      <c r="F1142" s="4" t="str">
        <f>VLOOKUP(A1142,'Datos generales'!A:L,7,0)</f>
        <v>Accesorios</v>
      </c>
      <c r="G1142" s="4">
        <v>2025</v>
      </c>
    </row>
    <row r="1143" spans="1:7" x14ac:dyDescent="0.25">
      <c r="A1143" t="s">
        <v>153</v>
      </c>
      <c r="B1143" s="4">
        <f>VLOOKUP(A1143,'Datos generales'!A:L,5,0)</f>
        <v>2</v>
      </c>
      <c r="C1143" s="4" t="str">
        <f>VLOOKUP(A1143,'Datos generales'!A:L,4,0)</f>
        <v>Monitor</v>
      </c>
      <c r="D1143" s="4">
        <f>VLOOKUP(A1143,'Datos generales'!A:L,6,0)</f>
        <v>1615.41</v>
      </c>
      <c r="E1143" s="4">
        <f>VLOOKUP(A1143,'Datos generales'!A:L,12,0)</f>
        <v>1615.41</v>
      </c>
      <c r="F1143" s="4" t="str">
        <f>VLOOKUP(A1143,'Datos generales'!A:L,7,0)</f>
        <v>Electrónica</v>
      </c>
      <c r="G1143" s="4">
        <v>2025</v>
      </c>
    </row>
    <row r="1144" spans="1:7" x14ac:dyDescent="0.25">
      <c r="A1144" t="s">
        <v>154</v>
      </c>
      <c r="B1144" s="4">
        <f>VLOOKUP(A1144,'Datos generales'!A:L,5,0)</f>
        <v>5</v>
      </c>
      <c r="C1144" s="4" t="str">
        <f>VLOOKUP(A1144,'Datos generales'!A:L,4,0)</f>
        <v>Monitor</v>
      </c>
      <c r="D1144" s="4">
        <f>VLOOKUP(A1144,'Datos generales'!A:L,6,0)</f>
        <v>149.54</v>
      </c>
      <c r="E1144" s="4">
        <f>VLOOKUP(A1144,'Datos generales'!A:L,12,0)</f>
        <v>149.54</v>
      </c>
      <c r="F1144" s="4" t="str">
        <f>VLOOKUP(A1144,'Datos generales'!A:L,7,0)</f>
        <v>Electrónica</v>
      </c>
      <c r="G1144" s="4">
        <v>2024</v>
      </c>
    </row>
    <row r="1145" spans="1:7" x14ac:dyDescent="0.25">
      <c r="A1145" t="s">
        <v>155</v>
      </c>
      <c r="B1145" s="4">
        <f>VLOOKUP(A1145,'Datos generales'!A:L,5,0)</f>
        <v>5</v>
      </c>
      <c r="C1145" s="4" t="str">
        <f>VLOOKUP(A1145,'Datos generales'!A:L,4,0)</f>
        <v>Teclado</v>
      </c>
      <c r="D1145" s="4">
        <f>VLOOKUP(A1145,'Datos generales'!A:L,6,0)</f>
        <v>955.39</v>
      </c>
      <c r="E1145" s="4">
        <f>VLOOKUP(A1145,'Datos generales'!A:L,12,0)</f>
        <v>955.39</v>
      </c>
      <c r="F1145" s="4" t="str">
        <f>VLOOKUP(A1145,'Datos generales'!A:L,7,0)</f>
        <v>Accesorios</v>
      </c>
      <c r="G1145" s="4">
        <v>2025</v>
      </c>
    </row>
    <row r="1146" spans="1:7" x14ac:dyDescent="0.25">
      <c r="A1146" t="s">
        <v>156</v>
      </c>
      <c r="B1146" s="4">
        <f>VLOOKUP(A1146,'Datos generales'!A:L,5,0)</f>
        <v>2</v>
      </c>
      <c r="C1146" s="4" t="str">
        <f>VLOOKUP(A1146,'Datos generales'!A:L,4,0)</f>
        <v>Silla Gamer</v>
      </c>
      <c r="D1146" s="4">
        <f>VLOOKUP(A1146,'Datos generales'!A:L,6,0)</f>
        <v>1963.63</v>
      </c>
      <c r="E1146" s="4">
        <f>VLOOKUP(A1146,'Datos generales'!A:L,12,0)</f>
        <v>1963.63</v>
      </c>
      <c r="F1146" s="4" t="str">
        <f>VLOOKUP(A1146,'Datos generales'!A:L,7,0)</f>
        <v>Muebles</v>
      </c>
      <c r="G1146" s="4">
        <v>2024</v>
      </c>
    </row>
    <row r="1147" spans="1:7" x14ac:dyDescent="0.25">
      <c r="A1147" t="s">
        <v>157</v>
      </c>
      <c r="B1147" s="4">
        <f>VLOOKUP(A1147,'Datos generales'!A:L,5,0)</f>
        <v>5</v>
      </c>
      <c r="C1147" s="4" t="str">
        <f>VLOOKUP(A1147,'Datos generales'!A:L,4,0)</f>
        <v>Webcam</v>
      </c>
      <c r="D1147" s="4">
        <f>VLOOKUP(A1147,'Datos generales'!A:L,6,0)</f>
        <v>1440.14</v>
      </c>
      <c r="E1147" s="4">
        <f>VLOOKUP(A1147,'Datos generales'!A:L,12,0)</f>
        <v>1440.14</v>
      </c>
      <c r="F1147" s="4" t="str">
        <f>VLOOKUP(A1147,'Datos generales'!A:L,7,0)</f>
        <v>Accesorios</v>
      </c>
      <c r="G1147" s="4">
        <v>2024</v>
      </c>
    </row>
    <row r="1148" spans="1:7" x14ac:dyDescent="0.25">
      <c r="A1148" t="s">
        <v>158</v>
      </c>
      <c r="B1148" s="4">
        <f>VLOOKUP(A1148,'Datos generales'!A:L,5,0)</f>
        <v>4</v>
      </c>
      <c r="C1148" s="4" t="str">
        <f>VLOOKUP(A1148,'Datos generales'!A:L,4,0)</f>
        <v>Monitor</v>
      </c>
      <c r="D1148" s="4">
        <f>VLOOKUP(A1148,'Datos generales'!A:L,6,0)</f>
        <v>283.7</v>
      </c>
      <c r="E1148" s="4">
        <f>VLOOKUP(A1148,'Datos generales'!A:L,12,0)</f>
        <v>283.7</v>
      </c>
      <c r="F1148" s="4" t="str">
        <f>VLOOKUP(A1148,'Datos generales'!A:L,7,0)</f>
        <v>Electrónica</v>
      </c>
      <c r="G1148" s="4">
        <v>2023</v>
      </c>
    </row>
    <row r="1149" spans="1:7" x14ac:dyDescent="0.25">
      <c r="A1149" t="s">
        <v>159</v>
      </c>
      <c r="B1149" s="4">
        <f>VLOOKUP(A1149,'Datos generales'!A:L,5,0)</f>
        <v>3</v>
      </c>
      <c r="C1149" s="4" t="str">
        <f>VLOOKUP(A1149,'Datos generales'!A:L,4,0)</f>
        <v>Impresora</v>
      </c>
      <c r="D1149" s="4">
        <f>VLOOKUP(A1149,'Datos generales'!A:L,6,0)</f>
        <v>687.51</v>
      </c>
      <c r="E1149" s="4">
        <f>VLOOKUP(A1149,'Datos generales'!A:L,12,0)</f>
        <v>687.50999999999988</v>
      </c>
      <c r="F1149" s="4" t="str">
        <f>VLOOKUP(A1149,'Datos generales'!A:L,7,0)</f>
        <v>Electrónica</v>
      </c>
      <c r="G1149" s="4">
        <v>2024</v>
      </c>
    </row>
    <row r="1150" spans="1:7" x14ac:dyDescent="0.25">
      <c r="A1150" t="s">
        <v>160</v>
      </c>
      <c r="B1150" s="4">
        <f>VLOOKUP(A1150,'Datos generales'!A:L,5,0)</f>
        <v>2</v>
      </c>
      <c r="C1150" s="4" t="str">
        <f>VLOOKUP(A1150,'Datos generales'!A:L,4,0)</f>
        <v>Webcam</v>
      </c>
      <c r="D1150" s="4">
        <f>VLOOKUP(A1150,'Datos generales'!A:L,6,0)</f>
        <v>282</v>
      </c>
      <c r="E1150" s="4">
        <f>VLOOKUP(A1150,'Datos generales'!A:L,12,0)</f>
        <v>282</v>
      </c>
      <c r="F1150" s="4" t="str">
        <f>VLOOKUP(A1150,'Datos generales'!A:L,7,0)</f>
        <v>Accesorios</v>
      </c>
      <c r="G1150" s="4">
        <v>2023</v>
      </c>
    </row>
    <row r="1151" spans="1:7" x14ac:dyDescent="0.25">
      <c r="A1151" t="s">
        <v>161</v>
      </c>
      <c r="B1151" s="4">
        <f>VLOOKUP(A1151,'Datos generales'!A:L,5,0)</f>
        <v>4</v>
      </c>
      <c r="C1151" s="4" t="str">
        <f>VLOOKUP(A1151,'Datos generales'!A:L,4,0)</f>
        <v>Impresora</v>
      </c>
      <c r="D1151" s="4">
        <f>VLOOKUP(A1151,'Datos generales'!A:L,6,0)</f>
        <v>1471.38</v>
      </c>
      <c r="E1151" s="4">
        <f>VLOOKUP(A1151,'Datos generales'!A:L,12,0)</f>
        <v>1471.38</v>
      </c>
      <c r="F1151" s="4" t="str">
        <f>VLOOKUP(A1151,'Datos generales'!A:L,7,0)</f>
        <v>Electrónica</v>
      </c>
      <c r="G1151" s="4">
        <v>2025</v>
      </c>
    </row>
    <row r="1152" spans="1:7" x14ac:dyDescent="0.25">
      <c r="A1152" t="s">
        <v>162</v>
      </c>
      <c r="B1152" s="4">
        <f>VLOOKUP(A1152,'Datos generales'!A:L,5,0)</f>
        <v>1</v>
      </c>
      <c r="C1152" s="4" t="str">
        <f>VLOOKUP(A1152,'Datos generales'!A:L,4,0)</f>
        <v>Webcam</v>
      </c>
      <c r="D1152" s="4">
        <f>VLOOKUP(A1152,'Datos generales'!A:L,6,0)</f>
        <v>1463.91</v>
      </c>
      <c r="E1152" s="4">
        <f>VLOOKUP(A1152,'Datos generales'!A:L,12,0)</f>
        <v>1463.91</v>
      </c>
      <c r="F1152" s="4" t="str">
        <f>VLOOKUP(A1152,'Datos generales'!A:L,7,0)</f>
        <v>Accesorios</v>
      </c>
      <c r="G1152" s="4">
        <v>2025</v>
      </c>
    </row>
    <row r="1153" spans="1:7" x14ac:dyDescent="0.25">
      <c r="A1153" t="s">
        <v>163</v>
      </c>
      <c r="B1153" s="4">
        <f>VLOOKUP(A1153,'Datos generales'!A:L,5,0)</f>
        <v>4</v>
      </c>
      <c r="C1153" s="4" t="str">
        <f>VLOOKUP(A1153,'Datos generales'!A:L,4,0)</f>
        <v>Teclado</v>
      </c>
      <c r="D1153" s="4">
        <f>VLOOKUP(A1153,'Datos generales'!A:L,6,0)</f>
        <v>1585.49</v>
      </c>
      <c r="E1153" s="4">
        <f>VLOOKUP(A1153,'Datos generales'!A:L,12,0)</f>
        <v>1585.49</v>
      </c>
      <c r="F1153" s="4" t="str">
        <f>VLOOKUP(A1153,'Datos generales'!A:L,7,0)</f>
        <v>Accesorios</v>
      </c>
      <c r="G1153" s="4">
        <v>2024</v>
      </c>
    </row>
    <row r="1154" spans="1:7" x14ac:dyDescent="0.25">
      <c r="A1154" t="s">
        <v>164</v>
      </c>
      <c r="B1154" s="4">
        <f>VLOOKUP(A1154,'Datos generales'!A:L,5,0)</f>
        <v>1</v>
      </c>
      <c r="C1154" s="4" t="str">
        <f>VLOOKUP(A1154,'Datos generales'!A:L,4,0)</f>
        <v>Teclado</v>
      </c>
      <c r="D1154" s="4">
        <f>VLOOKUP(A1154,'Datos generales'!A:L,6,0)</f>
        <v>662.17</v>
      </c>
      <c r="E1154" s="4">
        <f>VLOOKUP(A1154,'Datos generales'!A:L,12,0)</f>
        <v>662.17</v>
      </c>
      <c r="F1154" s="4" t="str">
        <f>VLOOKUP(A1154,'Datos generales'!A:L,7,0)</f>
        <v>Accesorios</v>
      </c>
      <c r="G1154" s="4">
        <v>2024</v>
      </c>
    </row>
    <row r="1155" spans="1:7" x14ac:dyDescent="0.25">
      <c r="A1155" t="s">
        <v>165</v>
      </c>
      <c r="B1155" s="4">
        <f>VLOOKUP(A1155,'Datos generales'!A:L,5,0)</f>
        <v>2</v>
      </c>
      <c r="C1155" s="4" t="str">
        <f>VLOOKUP(A1155,'Datos generales'!A:L,4,0)</f>
        <v>Webcam</v>
      </c>
      <c r="D1155" s="4">
        <f>VLOOKUP(A1155,'Datos generales'!A:L,6,0)</f>
        <v>136.68</v>
      </c>
      <c r="E1155" s="4">
        <f>VLOOKUP(A1155,'Datos generales'!A:L,12,0)</f>
        <v>136.68</v>
      </c>
      <c r="F1155" s="4" t="str">
        <f>VLOOKUP(A1155,'Datos generales'!A:L,7,0)</f>
        <v>Accesorios</v>
      </c>
      <c r="G1155" s="4">
        <v>2024</v>
      </c>
    </row>
    <row r="1156" spans="1:7" x14ac:dyDescent="0.25">
      <c r="A1156" t="s">
        <v>166</v>
      </c>
      <c r="B1156" s="4">
        <f>VLOOKUP(A1156,'Datos generales'!A:L,5,0)</f>
        <v>4</v>
      </c>
      <c r="C1156" s="4" t="str">
        <f>VLOOKUP(A1156,'Datos generales'!A:L,4,0)</f>
        <v>Impresora</v>
      </c>
      <c r="D1156" s="4">
        <f>VLOOKUP(A1156,'Datos generales'!A:L,6,0)</f>
        <v>118.64</v>
      </c>
      <c r="E1156" s="4">
        <f>VLOOKUP(A1156,'Datos generales'!A:L,12,0)</f>
        <v>118.64</v>
      </c>
      <c r="F1156" s="4" t="str">
        <f>VLOOKUP(A1156,'Datos generales'!A:L,7,0)</f>
        <v>Electrónica</v>
      </c>
      <c r="G1156" s="4">
        <v>2025</v>
      </c>
    </row>
    <row r="1157" spans="1:7" x14ac:dyDescent="0.25">
      <c r="A1157" t="s">
        <v>167</v>
      </c>
      <c r="B1157" s="4">
        <f>VLOOKUP(A1157,'Datos generales'!A:L,5,0)</f>
        <v>3</v>
      </c>
      <c r="C1157" s="4" t="str">
        <f>VLOOKUP(A1157,'Datos generales'!A:L,4,0)</f>
        <v>Laptop</v>
      </c>
      <c r="D1157" s="4">
        <f>VLOOKUP(A1157,'Datos generales'!A:L,6,0)</f>
        <v>933.49</v>
      </c>
      <c r="E1157" s="4">
        <f>VLOOKUP(A1157,'Datos generales'!A:L,12,0)</f>
        <v>933.49000000000012</v>
      </c>
      <c r="F1157" s="4" t="str">
        <f>VLOOKUP(A1157,'Datos generales'!A:L,7,0)</f>
        <v>Electrónica</v>
      </c>
      <c r="G1157" s="4">
        <v>2024</v>
      </c>
    </row>
    <row r="1158" spans="1:7" x14ac:dyDescent="0.25">
      <c r="A1158" t="s">
        <v>168</v>
      </c>
      <c r="B1158" s="4">
        <f>VLOOKUP(A1158,'Datos generales'!A:L,5,0)</f>
        <v>2</v>
      </c>
      <c r="C1158" s="4" t="str">
        <f>VLOOKUP(A1158,'Datos generales'!A:L,4,0)</f>
        <v>Audífonos</v>
      </c>
      <c r="D1158" s="4">
        <f>VLOOKUP(A1158,'Datos generales'!A:L,6,0)</f>
        <v>1035.0899999999999</v>
      </c>
      <c r="E1158" s="4">
        <f>VLOOKUP(A1158,'Datos generales'!A:L,12,0)</f>
        <v>1035.0899999999999</v>
      </c>
      <c r="F1158" s="4" t="str">
        <f>VLOOKUP(A1158,'Datos generales'!A:L,7,0)</f>
        <v>Accesorios</v>
      </c>
      <c r="G1158" s="4">
        <v>2023</v>
      </c>
    </row>
    <row r="1159" spans="1:7" x14ac:dyDescent="0.25">
      <c r="A1159" t="s">
        <v>169</v>
      </c>
      <c r="B1159" s="4">
        <f>VLOOKUP(A1159,'Datos generales'!A:L,5,0)</f>
        <v>2</v>
      </c>
      <c r="C1159" s="4" t="str">
        <f>VLOOKUP(A1159,'Datos generales'!A:L,4,0)</f>
        <v>Impresora</v>
      </c>
      <c r="D1159" s="4">
        <f>VLOOKUP(A1159,'Datos generales'!A:L,6,0)</f>
        <v>1325.01</v>
      </c>
      <c r="E1159" s="4">
        <f>VLOOKUP(A1159,'Datos generales'!A:L,12,0)</f>
        <v>1325.01</v>
      </c>
      <c r="F1159" s="4" t="str">
        <f>VLOOKUP(A1159,'Datos generales'!A:L,7,0)</f>
        <v>Electrónica</v>
      </c>
      <c r="G1159" s="4">
        <v>2024</v>
      </c>
    </row>
    <row r="1160" spans="1:7" x14ac:dyDescent="0.25">
      <c r="A1160" t="s">
        <v>170</v>
      </c>
      <c r="B1160" s="4">
        <f>VLOOKUP(A1160,'Datos generales'!A:L,5,0)</f>
        <v>4</v>
      </c>
      <c r="C1160" s="4" t="str">
        <f>VLOOKUP(A1160,'Datos generales'!A:L,4,0)</f>
        <v>Teclado</v>
      </c>
      <c r="D1160" s="4">
        <f>VLOOKUP(A1160,'Datos generales'!A:L,6,0)</f>
        <v>710.84</v>
      </c>
      <c r="E1160" s="4">
        <f>VLOOKUP(A1160,'Datos generales'!A:L,12,0)</f>
        <v>710.84</v>
      </c>
      <c r="F1160" s="4" t="str">
        <f>VLOOKUP(A1160,'Datos generales'!A:L,7,0)</f>
        <v>Accesorios</v>
      </c>
      <c r="G1160" s="4">
        <v>2023</v>
      </c>
    </row>
    <row r="1161" spans="1:7" x14ac:dyDescent="0.25">
      <c r="A1161" t="s">
        <v>171</v>
      </c>
      <c r="B1161" s="4">
        <f>VLOOKUP(A1161,'Datos generales'!A:L,5,0)</f>
        <v>3</v>
      </c>
      <c r="C1161" s="4" t="str">
        <f>VLOOKUP(A1161,'Datos generales'!A:L,4,0)</f>
        <v>Silla Gamer</v>
      </c>
      <c r="D1161" s="4">
        <f>VLOOKUP(A1161,'Datos generales'!A:L,6,0)</f>
        <v>97.27</v>
      </c>
      <c r="E1161" s="4">
        <f>VLOOKUP(A1161,'Datos generales'!A:L,12,0)</f>
        <v>97.27</v>
      </c>
      <c r="F1161" s="4" t="str">
        <f>VLOOKUP(A1161,'Datos generales'!A:L,7,0)</f>
        <v>Muebles</v>
      </c>
      <c r="G1161" s="4">
        <v>2025</v>
      </c>
    </row>
    <row r="1162" spans="1:7" x14ac:dyDescent="0.25">
      <c r="A1162" t="s">
        <v>172</v>
      </c>
      <c r="B1162" s="4">
        <f>VLOOKUP(A1162,'Datos generales'!A:L,5,0)</f>
        <v>5</v>
      </c>
      <c r="C1162" s="4" t="str">
        <f>VLOOKUP(A1162,'Datos generales'!A:L,4,0)</f>
        <v>Impresora</v>
      </c>
      <c r="D1162" s="4">
        <f>VLOOKUP(A1162,'Datos generales'!A:L,6,0)</f>
        <v>498.36</v>
      </c>
      <c r="E1162" s="4">
        <f>VLOOKUP(A1162,'Datos generales'!A:L,12,0)</f>
        <v>498.36</v>
      </c>
      <c r="F1162" s="4" t="str">
        <f>VLOOKUP(A1162,'Datos generales'!A:L,7,0)</f>
        <v>Electrónica</v>
      </c>
      <c r="G1162" s="4">
        <v>2024</v>
      </c>
    </row>
    <row r="1163" spans="1:7" x14ac:dyDescent="0.25">
      <c r="A1163" t="s">
        <v>173</v>
      </c>
      <c r="B1163" s="4">
        <f>VLOOKUP(A1163,'Datos generales'!A:L,5,0)</f>
        <v>5</v>
      </c>
      <c r="C1163" s="4" t="str">
        <f>VLOOKUP(A1163,'Datos generales'!A:L,4,0)</f>
        <v>Silla Gamer</v>
      </c>
      <c r="D1163" s="4">
        <f>VLOOKUP(A1163,'Datos generales'!A:L,6,0)</f>
        <v>980.89</v>
      </c>
      <c r="E1163" s="4">
        <f>VLOOKUP(A1163,'Datos generales'!A:L,12,0)</f>
        <v>980.89</v>
      </c>
      <c r="F1163" s="4" t="str">
        <f>VLOOKUP(A1163,'Datos generales'!A:L,7,0)</f>
        <v>Muebles</v>
      </c>
      <c r="G1163" s="4">
        <v>2024</v>
      </c>
    </row>
    <row r="1164" spans="1:7" x14ac:dyDescent="0.25">
      <c r="A1164" t="s">
        <v>174</v>
      </c>
      <c r="B1164" s="4">
        <f>VLOOKUP(A1164,'Datos generales'!A:L,5,0)</f>
        <v>1</v>
      </c>
      <c r="C1164" s="4" t="str">
        <f>VLOOKUP(A1164,'Datos generales'!A:L,4,0)</f>
        <v>Teclado</v>
      </c>
      <c r="D1164" s="4">
        <f>VLOOKUP(A1164,'Datos generales'!A:L,6,0)</f>
        <v>1390.33</v>
      </c>
      <c r="E1164" s="4">
        <f>VLOOKUP(A1164,'Datos generales'!A:L,12,0)</f>
        <v>1390.33</v>
      </c>
      <c r="F1164" s="4" t="str">
        <f>VLOOKUP(A1164,'Datos generales'!A:L,7,0)</f>
        <v>Accesorios</v>
      </c>
      <c r="G1164" s="4">
        <v>2024</v>
      </c>
    </row>
    <row r="1165" spans="1:7" x14ac:dyDescent="0.25">
      <c r="A1165" t="s">
        <v>175</v>
      </c>
      <c r="B1165" s="4">
        <f>VLOOKUP(A1165,'Datos generales'!A:L,5,0)</f>
        <v>5</v>
      </c>
      <c r="C1165" s="4" t="str">
        <f>VLOOKUP(A1165,'Datos generales'!A:L,4,0)</f>
        <v>Laptop</v>
      </c>
      <c r="D1165" s="4">
        <f>VLOOKUP(A1165,'Datos generales'!A:L,6,0)</f>
        <v>1708.09</v>
      </c>
      <c r="E1165" s="4">
        <f>VLOOKUP(A1165,'Datos generales'!A:L,12,0)</f>
        <v>1708.09</v>
      </c>
      <c r="F1165" s="4" t="str">
        <f>VLOOKUP(A1165,'Datos generales'!A:L,7,0)</f>
        <v>Electrónica</v>
      </c>
      <c r="G1165" s="4">
        <v>2023</v>
      </c>
    </row>
    <row r="1166" spans="1:7" x14ac:dyDescent="0.25">
      <c r="A1166" t="s">
        <v>176</v>
      </c>
      <c r="B1166" s="4">
        <f>VLOOKUP(A1166,'Datos generales'!A:L,5,0)</f>
        <v>3</v>
      </c>
      <c r="C1166" s="4" t="str">
        <f>VLOOKUP(A1166,'Datos generales'!A:L,4,0)</f>
        <v>Audífonos</v>
      </c>
      <c r="D1166" s="4">
        <f>VLOOKUP(A1166,'Datos generales'!A:L,6,0)</f>
        <v>459.4</v>
      </c>
      <c r="E1166" s="4">
        <f>VLOOKUP(A1166,'Datos generales'!A:L,12,0)</f>
        <v>459.39999999999992</v>
      </c>
      <c r="F1166" s="4" t="str">
        <f>VLOOKUP(A1166,'Datos generales'!A:L,7,0)</f>
        <v>Accesorios</v>
      </c>
      <c r="G1166" s="4">
        <v>2023</v>
      </c>
    </row>
    <row r="1167" spans="1:7" x14ac:dyDescent="0.25">
      <c r="A1167" t="s">
        <v>177</v>
      </c>
      <c r="B1167" s="4">
        <f>VLOOKUP(A1167,'Datos generales'!A:L,5,0)</f>
        <v>1</v>
      </c>
      <c r="C1167" s="4" t="str">
        <f>VLOOKUP(A1167,'Datos generales'!A:L,4,0)</f>
        <v>Impresora</v>
      </c>
      <c r="D1167" s="4">
        <f>VLOOKUP(A1167,'Datos generales'!A:L,6,0)</f>
        <v>1578.33</v>
      </c>
      <c r="E1167" s="4">
        <f>VLOOKUP(A1167,'Datos generales'!A:L,12,0)</f>
        <v>1578.33</v>
      </c>
      <c r="F1167" s="4" t="str">
        <f>VLOOKUP(A1167,'Datos generales'!A:L,7,0)</f>
        <v>Electrónica</v>
      </c>
      <c r="G1167" s="4">
        <v>2023</v>
      </c>
    </row>
    <row r="1168" spans="1:7" x14ac:dyDescent="0.25">
      <c r="A1168" t="s">
        <v>178</v>
      </c>
      <c r="B1168" s="4">
        <f>VLOOKUP(A1168,'Datos generales'!A:L,5,0)</f>
        <v>5</v>
      </c>
      <c r="C1168" s="4" t="str">
        <f>VLOOKUP(A1168,'Datos generales'!A:L,4,0)</f>
        <v>Teclado</v>
      </c>
      <c r="D1168" s="4">
        <f>VLOOKUP(A1168,'Datos generales'!A:L,6,0)</f>
        <v>1602.39</v>
      </c>
      <c r="E1168" s="4">
        <f>VLOOKUP(A1168,'Datos generales'!A:L,12,0)</f>
        <v>1602.39</v>
      </c>
      <c r="F1168" s="4" t="str">
        <f>VLOOKUP(A1168,'Datos generales'!A:L,7,0)</f>
        <v>Accesorios</v>
      </c>
      <c r="G1168" s="4">
        <v>2024</v>
      </c>
    </row>
    <row r="1169" spans="1:7" x14ac:dyDescent="0.25">
      <c r="A1169" t="s">
        <v>179</v>
      </c>
      <c r="B1169" s="4">
        <f>VLOOKUP(A1169,'Datos generales'!A:L,5,0)</f>
        <v>2</v>
      </c>
      <c r="C1169" s="4" t="str">
        <f>VLOOKUP(A1169,'Datos generales'!A:L,4,0)</f>
        <v>Teclado</v>
      </c>
      <c r="D1169" s="4">
        <f>VLOOKUP(A1169,'Datos generales'!A:L,6,0)</f>
        <v>714.55</v>
      </c>
      <c r="E1169" s="4">
        <f>VLOOKUP(A1169,'Datos generales'!A:L,12,0)</f>
        <v>714.55</v>
      </c>
      <c r="F1169" s="4" t="str">
        <f>VLOOKUP(A1169,'Datos generales'!A:L,7,0)</f>
        <v>Accesorios</v>
      </c>
      <c r="G1169" s="4">
        <v>2023</v>
      </c>
    </row>
    <row r="1170" spans="1:7" x14ac:dyDescent="0.25">
      <c r="A1170" t="s">
        <v>180</v>
      </c>
      <c r="B1170" s="4">
        <f>VLOOKUP(A1170,'Datos generales'!A:L,5,0)</f>
        <v>2</v>
      </c>
      <c r="C1170" s="4" t="str">
        <f>VLOOKUP(A1170,'Datos generales'!A:L,4,0)</f>
        <v>Silla Gamer</v>
      </c>
      <c r="D1170" s="4">
        <f>VLOOKUP(A1170,'Datos generales'!A:L,6,0)</f>
        <v>140.54</v>
      </c>
      <c r="E1170" s="4">
        <f>VLOOKUP(A1170,'Datos generales'!A:L,12,0)</f>
        <v>140.54</v>
      </c>
      <c r="F1170" s="4" t="str">
        <f>VLOOKUP(A1170,'Datos generales'!A:L,7,0)</f>
        <v>Muebles</v>
      </c>
      <c r="G1170" s="4">
        <v>2025</v>
      </c>
    </row>
    <row r="1171" spans="1:7" x14ac:dyDescent="0.25">
      <c r="A1171" t="s">
        <v>181</v>
      </c>
      <c r="B1171" s="4">
        <f>VLOOKUP(A1171,'Datos generales'!A:L,5,0)</f>
        <v>5</v>
      </c>
      <c r="C1171" s="4" t="str">
        <f>VLOOKUP(A1171,'Datos generales'!A:L,4,0)</f>
        <v>Mouse</v>
      </c>
      <c r="D1171" s="4">
        <f>VLOOKUP(A1171,'Datos generales'!A:L,6,0)</f>
        <v>286.87</v>
      </c>
      <c r="E1171" s="4">
        <f>VLOOKUP(A1171,'Datos generales'!A:L,12,0)</f>
        <v>286.87</v>
      </c>
      <c r="F1171" s="4" t="str">
        <f>VLOOKUP(A1171,'Datos generales'!A:L,7,0)</f>
        <v>Accesorios</v>
      </c>
      <c r="G1171" s="4">
        <v>2024</v>
      </c>
    </row>
    <row r="1172" spans="1:7" x14ac:dyDescent="0.25">
      <c r="A1172" t="s">
        <v>182</v>
      </c>
      <c r="B1172" s="4">
        <f>VLOOKUP(A1172,'Datos generales'!A:L,5,0)</f>
        <v>5</v>
      </c>
      <c r="C1172" s="4" t="str">
        <f>VLOOKUP(A1172,'Datos generales'!A:L,4,0)</f>
        <v>Webcam</v>
      </c>
      <c r="D1172" s="4">
        <f>VLOOKUP(A1172,'Datos generales'!A:L,6,0)</f>
        <v>1897.97</v>
      </c>
      <c r="E1172" s="4">
        <f>VLOOKUP(A1172,'Datos generales'!A:L,12,0)</f>
        <v>1897.97</v>
      </c>
      <c r="F1172" s="4" t="str">
        <f>VLOOKUP(A1172,'Datos generales'!A:L,7,0)</f>
        <v>Accesorios</v>
      </c>
      <c r="G1172" s="4">
        <v>2024</v>
      </c>
    </row>
    <row r="1173" spans="1:7" x14ac:dyDescent="0.25">
      <c r="A1173" t="s">
        <v>183</v>
      </c>
      <c r="B1173" s="4">
        <f>VLOOKUP(A1173,'Datos generales'!A:L,5,0)</f>
        <v>2</v>
      </c>
      <c r="C1173" s="4" t="str">
        <f>VLOOKUP(A1173,'Datos generales'!A:L,4,0)</f>
        <v>Teclado</v>
      </c>
      <c r="D1173" s="4">
        <f>VLOOKUP(A1173,'Datos generales'!A:L,6,0)</f>
        <v>587.71</v>
      </c>
      <c r="E1173" s="4">
        <f>VLOOKUP(A1173,'Datos generales'!A:L,12,0)</f>
        <v>587.71</v>
      </c>
      <c r="F1173" s="4" t="str">
        <f>VLOOKUP(A1173,'Datos generales'!A:L,7,0)</f>
        <v>Accesorios</v>
      </c>
      <c r="G1173" s="4">
        <v>2024</v>
      </c>
    </row>
    <row r="1174" spans="1:7" x14ac:dyDescent="0.25">
      <c r="A1174" t="s">
        <v>184</v>
      </c>
      <c r="B1174" s="4">
        <f>VLOOKUP(A1174,'Datos generales'!A:L,5,0)</f>
        <v>4</v>
      </c>
      <c r="C1174" s="4" t="str">
        <f>VLOOKUP(A1174,'Datos generales'!A:L,4,0)</f>
        <v>Webcam</v>
      </c>
      <c r="D1174" s="4">
        <f>VLOOKUP(A1174,'Datos generales'!A:L,6,0)</f>
        <v>895.13</v>
      </c>
      <c r="E1174" s="4">
        <f>VLOOKUP(A1174,'Datos generales'!A:L,12,0)</f>
        <v>895.13</v>
      </c>
      <c r="F1174" s="4" t="str">
        <f>VLOOKUP(A1174,'Datos generales'!A:L,7,0)</f>
        <v>Accesorios</v>
      </c>
      <c r="G1174" s="4">
        <v>2023</v>
      </c>
    </row>
    <row r="1175" spans="1:7" x14ac:dyDescent="0.25">
      <c r="A1175" t="s">
        <v>185</v>
      </c>
      <c r="B1175" s="4">
        <f>VLOOKUP(A1175,'Datos generales'!A:L,5,0)</f>
        <v>3</v>
      </c>
      <c r="C1175" s="4" t="str">
        <f>VLOOKUP(A1175,'Datos generales'!A:L,4,0)</f>
        <v>Impresora</v>
      </c>
      <c r="D1175" s="4">
        <f>VLOOKUP(A1175,'Datos generales'!A:L,6,0)</f>
        <v>1457.35</v>
      </c>
      <c r="E1175" s="4">
        <f>VLOOKUP(A1175,'Datos generales'!A:L,12,0)</f>
        <v>1457.35</v>
      </c>
      <c r="F1175" s="4" t="str">
        <f>VLOOKUP(A1175,'Datos generales'!A:L,7,0)</f>
        <v>Electrónica</v>
      </c>
      <c r="G1175" s="4">
        <v>2024</v>
      </c>
    </row>
    <row r="1176" spans="1:7" x14ac:dyDescent="0.25">
      <c r="A1176" t="s">
        <v>186</v>
      </c>
      <c r="B1176" s="4">
        <f>VLOOKUP(A1176,'Datos generales'!A:L,5,0)</f>
        <v>3</v>
      </c>
      <c r="C1176" s="4" t="str">
        <f>VLOOKUP(A1176,'Datos generales'!A:L,4,0)</f>
        <v>Silla Gamer</v>
      </c>
      <c r="D1176" s="4">
        <f>VLOOKUP(A1176,'Datos generales'!A:L,6,0)</f>
        <v>1083.32</v>
      </c>
      <c r="E1176" s="4">
        <f>VLOOKUP(A1176,'Datos generales'!A:L,12,0)</f>
        <v>1083.32</v>
      </c>
      <c r="F1176" s="4" t="str">
        <f>VLOOKUP(A1176,'Datos generales'!A:L,7,0)</f>
        <v>Muebles</v>
      </c>
      <c r="G1176" s="4">
        <v>2024</v>
      </c>
    </row>
    <row r="1177" spans="1:7" x14ac:dyDescent="0.25">
      <c r="A1177" t="s">
        <v>187</v>
      </c>
      <c r="B1177" s="4">
        <f>VLOOKUP(A1177,'Datos generales'!A:L,5,0)</f>
        <v>3</v>
      </c>
      <c r="C1177" s="4" t="str">
        <f>VLOOKUP(A1177,'Datos generales'!A:L,4,0)</f>
        <v>Laptop</v>
      </c>
      <c r="D1177" s="4">
        <f>VLOOKUP(A1177,'Datos generales'!A:L,6,0)</f>
        <v>1542.71</v>
      </c>
      <c r="E1177" s="4">
        <f>VLOOKUP(A1177,'Datos generales'!A:L,12,0)</f>
        <v>1542.71</v>
      </c>
      <c r="F1177" s="4" t="str">
        <f>VLOOKUP(A1177,'Datos generales'!A:L,7,0)</f>
        <v>Electrónica</v>
      </c>
      <c r="G1177" s="4">
        <v>2025</v>
      </c>
    </row>
    <row r="1178" spans="1:7" x14ac:dyDescent="0.25">
      <c r="A1178" t="s">
        <v>188</v>
      </c>
      <c r="B1178" s="4">
        <f>VLOOKUP(A1178,'Datos generales'!A:L,5,0)</f>
        <v>5</v>
      </c>
      <c r="C1178" s="4" t="str">
        <f>VLOOKUP(A1178,'Datos generales'!A:L,4,0)</f>
        <v>Impresora</v>
      </c>
      <c r="D1178" s="4">
        <f>VLOOKUP(A1178,'Datos generales'!A:L,6,0)</f>
        <v>723.8</v>
      </c>
      <c r="E1178" s="4">
        <f>VLOOKUP(A1178,'Datos generales'!A:L,12,0)</f>
        <v>723.8</v>
      </c>
      <c r="F1178" s="4" t="str">
        <f>VLOOKUP(A1178,'Datos generales'!A:L,7,0)</f>
        <v>Electrónica</v>
      </c>
      <c r="G1178" s="4">
        <v>2025</v>
      </c>
    </row>
    <row r="1179" spans="1:7" x14ac:dyDescent="0.25">
      <c r="A1179" t="s">
        <v>189</v>
      </c>
      <c r="B1179" s="4">
        <f>VLOOKUP(A1179,'Datos generales'!A:L,5,0)</f>
        <v>5</v>
      </c>
      <c r="C1179" s="4" t="str">
        <f>VLOOKUP(A1179,'Datos generales'!A:L,4,0)</f>
        <v>Teclado</v>
      </c>
      <c r="D1179" s="4">
        <f>VLOOKUP(A1179,'Datos generales'!A:L,6,0)</f>
        <v>179.97</v>
      </c>
      <c r="E1179" s="4">
        <f>VLOOKUP(A1179,'Datos generales'!A:L,12,0)</f>
        <v>179.97</v>
      </c>
      <c r="F1179" s="4" t="str">
        <f>VLOOKUP(A1179,'Datos generales'!A:L,7,0)</f>
        <v>Accesorios</v>
      </c>
      <c r="G1179" s="4">
        <v>2023</v>
      </c>
    </row>
    <row r="1180" spans="1:7" x14ac:dyDescent="0.25">
      <c r="A1180" t="s">
        <v>190</v>
      </c>
      <c r="B1180" s="4">
        <f>VLOOKUP(A1180,'Datos generales'!A:L,5,0)</f>
        <v>1</v>
      </c>
      <c r="C1180" s="4" t="str">
        <f>VLOOKUP(A1180,'Datos generales'!A:L,4,0)</f>
        <v>Laptop</v>
      </c>
      <c r="D1180" s="4">
        <f>VLOOKUP(A1180,'Datos generales'!A:L,6,0)</f>
        <v>1318.43</v>
      </c>
      <c r="E1180" s="4">
        <f>VLOOKUP(A1180,'Datos generales'!A:L,12,0)</f>
        <v>1318.43</v>
      </c>
      <c r="F1180" s="4" t="str">
        <f>VLOOKUP(A1180,'Datos generales'!A:L,7,0)</f>
        <v>Electrónica</v>
      </c>
      <c r="G1180" s="4">
        <v>2024</v>
      </c>
    </row>
    <row r="1181" spans="1:7" x14ac:dyDescent="0.25">
      <c r="A1181" t="s">
        <v>191</v>
      </c>
      <c r="B1181" s="4">
        <f>VLOOKUP(A1181,'Datos generales'!A:L,5,0)</f>
        <v>2</v>
      </c>
      <c r="C1181" s="4" t="str">
        <f>VLOOKUP(A1181,'Datos generales'!A:L,4,0)</f>
        <v>Impresora</v>
      </c>
      <c r="D1181" s="4">
        <f>VLOOKUP(A1181,'Datos generales'!A:L,6,0)</f>
        <v>307.37</v>
      </c>
      <c r="E1181" s="4">
        <f>VLOOKUP(A1181,'Datos generales'!A:L,12,0)</f>
        <v>307.37</v>
      </c>
      <c r="F1181" s="4" t="str">
        <f>VLOOKUP(A1181,'Datos generales'!A:L,7,0)</f>
        <v>Electrónica</v>
      </c>
      <c r="G1181" s="4">
        <v>2023</v>
      </c>
    </row>
    <row r="1182" spans="1:7" x14ac:dyDescent="0.25">
      <c r="A1182" t="s">
        <v>192</v>
      </c>
      <c r="B1182" s="4">
        <f>VLOOKUP(A1182,'Datos generales'!A:L,5,0)</f>
        <v>1</v>
      </c>
      <c r="C1182" s="4" t="str">
        <f>VLOOKUP(A1182,'Datos generales'!A:L,4,0)</f>
        <v>Silla Gamer</v>
      </c>
      <c r="D1182" s="4">
        <f>VLOOKUP(A1182,'Datos generales'!A:L,6,0)</f>
        <v>1364.97</v>
      </c>
      <c r="E1182" s="4">
        <f>VLOOKUP(A1182,'Datos generales'!A:L,12,0)</f>
        <v>1364.97</v>
      </c>
      <c r="F1182" s="4" t="str">
        <f>VLOOKUP(A1182,'Datos generales'!A:L,7,0)</f>
        <v>Muebles</v>
      </c>
      <c r="G1182" s="4">
        <v>2023</v>
      </c>
    </row>
    <row r="1183" spans="1:7" x14ac:dyDescent="0.25">
      <c r="A1183" t="s">
        <v>193</v>
      </c>
      <c r="B1183" s="4">
        <f>VLOOKUP(A1183,'Datos generales'!A:L,5,0)</f>
        <v>3</v>
      </c>
      <c r="C1183" s="4" t="str">
        <f>VLOOKUP(A1183,'Datos generales'!A:L,4,0)</f>
        <v>Audífonos</v>
      </c>
      <c r="D1183" s="4">
        <f>VLOOKUP(A1183,'Datos generales'!A:L,6,0)</f>
        <v>244.23</v>
      </c>
      <c r="E1183" s="4">
        <f>VLOOKUP(A1183,'Datos generales'!A:L,12,0)</f>
        <v>244.23</v>
      </c>
      <c r="F1183" s="4" t="str">
        <f>VLOOKUP(A1183,'Datos generales'!A:L,7,0)</f>
        <v>Accesorios</v>
      </c>
      <c r="G1183" s="4">
        <v>2024</v>
      </c>
    </row>
    <row r="1184" spans="1:7" x14ac:dyDescent="0.25">
      <c r="A1184" t="s">
        <v>194</v>
      </c>
      <c r="B1184" s="4">
        <f>VLOOKUP(A1184,'Datos generales'!A:L,5,0)</f>
        <v>3</v>
      </c>
      <c r="C1184" s="4" t="str">
        <f>VLOOKUP(A1184,'Datos generales'!A:L,4,0)</f>
        <v>Webcam</v>
      </c>
      <c r="D1184" s="4">
        <f>VLOOKUP(A1184,'Datos generales'!A:L,6,0)</f>
        <v>245.64</v>
      </c>
      <c r="E1184" s="4">
        <f>VLOOKUP(A1184,'Datos generales'!A:L,12,0)</f>
        <v>245.64</v>
      </c>
      <c r="F1184" s="4" t="str">
        <f>VLOOKUP(A1184,'Datos generales'!A:L,7,0)</f>
        <v>Accesorios</v>
      </c>
      <c r="G1184" s="4">
        <v>2023</v>
      </c>
    </row>
    <row r="1185" spans="1:7" x14ac:dyDescent="0.25">
      <c r="A1185" t="s">
        <v>195</v>
      </c>
      <c r="B1185" s="4">
        <f>VLOOKUP(A1185,'Datos generales'!A:L,5,0)</f>
        <v>1</v>
      </c>
      <c r="C1185" s="4" t="str">
        <f>VLOOKUP(A1185,'Datos generales'!A:L,4,0)</f>
        <v>Webcam</v>
      </c>
      <c r="D1185" s="4">
        <f>VLOOKUP(A1185,'Datos generales'!A:L,6,0)</f>
        <v>1501.34</v>
      </c>
      <c r="E1185" s="4">
        <f>VLOOKUP(A1185,'Datos generales'!A:L,12,0)</f>
        <v>1501.34</v>
      </c>
      <c r="F1185" s="4" t="str">
        <f>VLOOKUP(A1185,'Datos generales'!A:L,7,0)</f>
        <v>Accesorios</v>
      </c>
      <c r="G1185" s="4">
        <v>2024</v>
      </c>
    </row>
    <row r="1186" spans="1:7" x14ac:dyDescent="0.25">
      <c r="A1186" t="s">
        <v>196</v>
      </c>
      <c r="B1186" s="4">
        <f>VLOOKUP(A1186,'Datos generales'!A:L,5,0)</f>
        <v>4</v>
      </c>
      <c r="C1186" s="4" t="str">
        <f>VLOOKUP(A1186,'Datos generales'!A:L,4,0)</f>
        <v>Teclado</v>
      </c>
      <c r="D1186" s="4">
        <f>VLOOKUP(A1186,'Datos generales'!A:L,6,0)</f>
        <v>995.18</v>
      </c>
      <c r="E1186" s="4">
        <f>VLOOKUP(A1186,'Datos generales'!A:L,12,0)</f>
        <v>995.18</v>
      </c>
      <c r="F1186" s="4" t="str">
        <f>VLOOKUP(A1186,'Datos generales'!A:L,7,0)</f>
        <v>Accesorios</v>
      </c>
      <c r="G1186" s="4">
        <v>2024</v>
      </c>
    </row>
    <row r="1187" spans="1:7" x14ac:dyDescent="0.25">
      <c r="A1187" t="s">
        <v>197</v>
      </c>
      <c r="B1187" s="4">
        <f>VLOOKUP(A1187,'Datos generales'!A:L,5,0)</f>
        <v>2</v>
      </c>
      <c r="C1187" s="4" t="str">
        <f>VLOOKUP(A1187,'Datos generales'!A:L,4,0)</f>
        <v>Teclado</v>
      </c>
      <c r="D1187" s="4">
        <f>VLOOKUP(A1187,'Datos generales'!A:L,6,0)</f>
        <v>1834.72</v>
      </c>
      <c r="E1187" s="4">
        <f>VLOOKUP(A1187,'Datos generales'!A:L,12,0)</f>
        <v>1834.72</v>
      </c>
      <c r="F1187" s="4" t="str">
        <f>VLOOKUP(A1187,'Datos generales'!A:L,7,0)</f>
        <v>Accesorios</v>
      </c>
      <c r="G1187" s="4">
        <v>2023</v>
      </c>
    </row>
    <row r="1188" spans="1:7" x14ac:dyDescent="0.25">
      <c r="A1188" t="s">
        <v>198</v>
      </c>
      <c r="B1188" s="4">
        <f>VLOOKUP(A1188,'Datos generales'!A:L,5,0)</f>
        <v>2</v>
      </c>
      <c r="C1188" s="4" t="str">
        <f>VLOOKUP(A1188,'Datos generales'!A:L,4,0)</f>
        <v>Audífonos</v>
      </c>
      <c r="D1188" s="4">
        <f>VLOOKUP(A1188,'Datos generales'!A:L,6,0)</f>
        <v>1942.31</v>
      </c>
      <c r="E1188" s="4">
        <f>VLOOKUP(A1188,'Datos generales'!A:L,12,0)</f>
        <v>1942.31</v>
      </c>
      <c r="F1188" s="4" t="str">
        <f>VLOOKUP(A1188,'Datos generales'!A:L,7,0)</f>
        <v>Accesorios</v>
      </c>
      <c r="G1188" s="4">
        <v>2024</v>
      </c>
    </row>
    <row r="1189" spans="1:7" x14ac:dyDescent="0.25">
      <c r="A1189" t="s">
        <v>199</v>
      </c>
      <c r="B1189" s="4">
        <f>VLOOKUP(A1189,'Datos generales'!A:L,5,0)</f>
        <v>3</v>
      </c>
      <c r="C1189" s="4" t="str">
        <f>VLOOKUP(A1189,'Datos generales'!A:L,4,0)</f>
        <v>Audífonos</v>
      </c>
      <c r="D1189" s="4">
        <f>VLOOKUP(A1189,'Datos generales'!A:L,6,0)</f>
        <v>1025.57</v>
      </c>
      <c r="E1189" s="4">
        <f>VLOOKUP(A1189,'Datos generales'!A:L,12,0)</f>
        <v>1025.57</v>
      </c>
      <c r="F1189" s="4" t="str">
        <f>VLOOKUP(A1189,'Datos generales'!A:L,7,0)</f>
        <v>Accesorios</v>
      </c>
      <c r="G1189" s="4">
        <v>2025</v>
      </c>
    </row>
    <row r="1190" spans="1:7" x14ac:dyDescent="0.25">
      <c r="A1190" t="s">
        <v>200</v>
      </c>
      <c r="B1190" s="4">
        <f>VLOOKUP(A1190,'Datos generales'!A:L,5,0)</f>
        <v>4</v>
      </c>
      <c r="C1190" s="4" t="str">
        <f>VLOOKUP(A1190,'Datos generales'!A:L,4,0)</f>
        <v>Impresora</v>
      </c>
      <c r="D1190" s="4">
        <f>VLOOKUP(A1190,'Datos generales'!A:L,6,0)</f>
        <v>555.19000000000005</v>
      </c>
      <c r="E1190" s="4">
        <f>VLOOKUP(A1190,'Datos generales'!A:L,12,0)</f>
        <v>555.19000000000005</v>
      </c>
      <c r="F1190" s="4" t="str">
        <f>VLOOKUP(A1190,'Datos generales'!A:L,7,0)</f>
        <v>Electrónica</v>
      </c>
      <c r="G1190" s="4">
        <v>2023</v>
      </c>
    </row>
    <row r="1191" spans="1:7" x14ac:dyDescent="0.25">
      <c r="A1191" t="s">
        <v>201</v>
      </c>
      <c r="B1191" s="4">
        <f>VLOOKUP(A1191,'Datos generales'!A:L,5,0)</f>
        <v>5</v>
      </c>
      <c r="C1191" s="4" t="str">
        <f>VLOOKUP(A1191,'Datos generales'!A:L,4,0)</f>
        <v>Silla Gamer</v>
      </c>
      <c r="D1191" s="4">
        <f>VLOOKUP(A1191,'Datos generales'!A:L,6,0)</f>
        <v>750.82</v>
      </c>
      <c r="E1191" s="4">
        <f>VLOOKUP(A1191,'Datos generales'!A:L,12,0)</f>
        <v>750.82</v>
      </c>
      <c r="F1191" s="4" t="str">
        <f>VLOOKUP(A1191,'Datos generales'!A:L,7,0)</f>
        <v>Muebles</v>
      </c>
      <c r="G1191" s="4">
        <v>2023</v>
      </c>
    </row>
    <row r="1192" spans="1:7" x14ac:dyDescent="0.25">
      <c r="A1192" t="s">
        <v>202</v>
      </c>
      <c r="B1192" s="4">
        <f>VLOOKUP(A1192,'Datos generales'!A:L,5,0)</f>
        <v>2</v>
      </c>
      <c r="C1192" s="4" t="str">
        <f>VLOOKUP(A1192,'Datos generales'!A:L,4,0)</f>
        <v>Impresora</v>
      </c>
      <c r="D1192" s="4">
        <f>VLOOKUP(A1192,'Datos generales'!A:L,6,0)</f>
        <v>1609.9</v>
      </c>
      <c r="E1192" s="4">
        <f>VLOOKUP(A1192,'Datos generales'!A:L,12,0)</f>
        <v>1609.9</v>
      </c>
      <c r="F1192" s="4" t="str">
        <f>VLOOKUP(A1192,'Datos generales'!A:L,7,0)</f>
        <v>Electrónica</v>
      </c>
      <c r="G1192" s="4">
        <v>2025</v>
      </c>
    </row>
    <row r="1193" spans="1:7" x14ac:dyDescent="0.25">
      <c r="A1193" t="s">
        <v>203</v>
      </c>
      <c r="B1193" s="4">
        <f>VLOOKUP(A1193,'Datos generales'!A:L,5,0)</f>
        <v>3</v>
      </c>
      <c r="C1193" s="4" t="str">
        <f>VLOOKUP(A1193,'Datos generales'!A:L,4,0)</f>
        <v>Silla Gamer</v>
      </c>
      <c r="D1193" s="4">
        <f>VLOOKUP(A1193,'Datos generales'!A:L,6,0)</f>
        <v>27.89</v>
      </c>
      <c r="E1193" s="4">
        <f>VLOOKUP(A1193,'Datos generales'!A:L,12,0)</f>
        <v>27.89</v>
      </c>
      <c r="F1193" s="4" t="str">
        <f>VLOOKUP(A1193,'Datos generales'!A:L,7,0)</f>
        <v>Muebles</v>
      </c>
      <c r="G1193" s="4">
        <v>2025</v>
      </c>
    </row>
    <row r="1194" spans="1:7" x14ac:dyDescent="0.25">
      <c r="A1194" t="s">
        <v>204</v>
      </c>
      <c r="B1194" s="4">
        <f>VLOOKUP(A1194,'Datos generales'!A:L,5,0)</f>
        <v>1</v>
      </c>
      <c r="C1194" s="4" t="str">
        <f>VLOOKUP(A1194,'Datos generales'!A:L,4,0)</f>
        <v>Audífonos</v>
      </c>
      <c r="D1194" s="4">
        <f>VLOOKUP(A1194,'Datos generales'!A:L,6,0)</f>
        <v>1700.54</v>
      </c>
      <c r="E1194" s="4">
        <f>VLOOKUP(A1194,'Datos generales'!A:L,12,0)</f>
        <v>1700.54</v>
      </c>
      <c r="F1194" s="4" t="str">
        <f>VLOOKUP(A1194,'Datos generales'!A:L,7,0)</f>
        <v>Accesorios</v>
      </c>
      <c r="G1194" s="4">
        <v>2025</v>
      </c>
    </row>
    <row r="1195" spans="1:7" x14ac:dyDescent="0.25">
      <c r="A1195" t="s">
        <v>205</v>
      </c>
      <c r="B1195" s="4">
        <f>VLOOKUP(A1195,'Datos generales'!A:L,5,0)</f>
        <v>3</v>
      </c>
      <c r="C1195" s="4" t="str">
        <f>VLOOKUP(A1195,'Datos generales'!A:L,4,0)</f>
        <v>Audífonos</v>
      </c>
      <c r="D1195" s="4">
        <f>VLOOKUP(A1195,'Datos generales'!A:L,6,0)</f>
        <v>473.4</v>
      </c>
      <c r="E1195" s="4">
        <f>VLOOKUP(A1195,'Datos generales'!A:L,12,0)</f>
        <v>473.39999999999992</v>
      </c>
      <c r="F1195" s="4" t="str">
        <f>VLOOKUP(A1195,'Datos generales'!A:L,7,0)</f>
        <v>Accesorios</v>
      </c>
      <c r="G1195" s="4">
        <v>2025</v>
      </c>
    </row>
    <row r="1196" spans="1:7" x14ac:dyDescent="0.25">
      <c r="A1196" t="s">
        <v>206</v>
      </c>
      <c r="B1196" s="4">
        <f>VLOOKUP(A1196,'Datos generales'!A:L,5,0)</f>
        <v>1</v>
      </c>
      <c r="C1196" s="4" t="str">
        <f>VLOOKUP(A1196,'Datos generales'!A:L,4,0)</f>
        <v>Impresora</v>
      </c>
      <c r="D1196" s="4">
        <f>VLOOKUP(A1196,'Datos generales'!A:L,6,0)</f>
        <v>521.32000000000005</v>
      </c>
      <c r="E1196" s="4">
        <f>VLOOKUP(A1196,'Datos generales'!A:L,12,0)</f>
        <v>521.32000000000005</v>
      </c>
      <c r="F1196" s="4" t="str">
        <f>VLOOKUP(A1196,'Datos generales'!A:L,7,0)</f>
        <v>Electrónica</v>
      </c>
      <c r="G1196" s="4">
        <v>2023</v>
      </c>
    </row>
    <row r="1197" spans="1:7" x14ac:dyDescent="0.25">
      <c r="A1197" t="s">
        <v>207</v>
      </c>
      <c r="B1197" s="4">
        <f>VLOOKUP(A1197,'Datos generales'!A:L,5,0)</f>
        <v>1</v>
      </c>
      <c r="C1197" s="4" t="str">
        <f>VLOOKUP(A1197,'Datos generales'!A:L,4,0)</f>
        <v>Teclado</v>
      </c>
      <c r="D1197" s="4">
        <f>VLOOKUP(A1197,'Datos generales'!A:L,6,0)</f>
        <v>1067.6400000000001</v>
      </c>
      <c r="E1197" s="4">
        <f>VLOOKUP(A1197,'Datos generales'!A:L,12,0)</f>
        <v>1067.6400000000001</v>
      </c>
      <c r="F1197" s="4" t="str">
        <f>VLOOKUP(A1197,'Datos generales'!A:L,7,0)</f>
        <v>Accesorios</v>
      </c>
      <c r="G1197" s="4">
        <v>2025</v>
      </c>
    </row>
    <row r="1198" spans="1:7" x14ac:dyDescent="0.25">
      <c r="A1198" t="s">
        <v>208</v>
      </c>
      <c r="B1198" s="4">
        <f>VLOOKUP(A1198,'Datos generales'!A:L,5,0)</f>
        <v>1</v>
      </c>
      <c r="C1198" s="4" t="str">
        <f>VLOOKUP(A1198,'Datos generales'!A:L,4,0)</f>
        <v>Mouse</v>
      </c>
      <c r="D1198" s="4">
        <f>VLOOKUP(A1198,'Datos generales'!A:L,6,0)</f>
        <v>1903.64</v>
      </c>
      <c r="E1198" s="4">
        <f>VLOOKUP(A1198,'Datos generales'!A:L,12,0)</f>
        <v>1903.64</v>
      </c>
      <c r="F1198" s="4" t="str">
        <f>VLOOKUP(A1198,'Datos generales'!A:L,7,0)</f>
        <v>Accesorios</v>
      </c>
      <c r="G1198" s="4">
        <v>2023</v>
      </c>
    </row>
    <row r="1199" spans="1:7" x14ac:dyDescent="0.25">
      <c r="A1199" t="s">
        <v>209</v>
      </c>
      <c r="B1199" s="4">
        <f>VLOOKUP(A1199,'Datos generales'!A:L,5,0)</f>
        <v>2</v>
      </c>
      <c r="C1199" s="4" t="str">
        <f>VLOOKUP(A1199,'Datos generales'!A:L,4,0)</f>
        <v>Silla Gamer</v>
      </c>
      <c r="D1199" s="4">
        <f>VLOOKUP(A1199,'Datos generales'!A:L,6,0)</f>
        <v>1460.16</v>
      </c>
      <c r="E1199" s="4">
        <f>VLOOKUP(A1199,'Datos generales'!A:L,12,0)</f>
        <v>1460.16</v>
      </c>
      <c r="F1199" s="4" t="str">
        <f>VLOOKUP(A1199,'Datos generales'!A:L,7,0)</f>
        <v>Muebles</v>
      </c>
      <c r="G1199" s="4">
        <v>2023</v>
      </c>
    </row>
    <row r="1200" spans="1:7" x14ac:dyDescent="0.25">
      <c r="A1200" t="s">
        <v>210</v>
      </c>
      <c r="B1200" s="4">
        <f>VLOOKUP(A1200,'Datos generales'!A:L,5,0)</f>
        <v>4</v>
      </c>
      <c r="C1200" s="4" t="str">
        <f>VLOOKUP(A1200,'Datos generales'!A:L,4,0)</f>
        <v>Monitor</v>
      </c>
      <c r="D1200" s="4">
        <f>VLOOKUP(A1200,'Datos generales'!A:L,6,0)</f>
        <v>847</v>
      </c>
      <c r="E1200" s="4">
        <f>VLOOKUP(A1200,'Datos generales'!A:L,12,0)</f>
        <v>847</v>
      </c>
      <c r="F1200" s="4" t="str">
        <f>VLOOKUP(A1200,'Datos generales'!A:L,7,0)</f>
        <v>Electrónica</v>
      </c>
      <c r="G1200" s="4">
        <v>2025</v>
      </c>
    </row>
    <row r="1201" spans="1:7" x14ac:dyDescent="0.25">
      <c r="A1201" t="s">
        <v>211</v>
      </c>
      <c r="B1201" s="4">
        <f>VLOOKUP(A1201,'Datos generales'!A:L,5,0)</f>
        <v>2</v>
      </c>
      <c r="C1201" s="4" t="str">
        <f>VLOOKUP(A1201,'Datos generales'!A:L,4,0)</f>
        <v>Mouse</v>
      </c>
      <c r="D1201" s="4">
        <f>VLOOKUP(A1201,'Datos generales'!A:L,6,0)</f>
        <v>1243.3399999999999</v>
      </c>
      <c r="E1201" s="4">
        <f>VLOOKUP(A1201,'Datos generales'!A:L,12,0)</f>
        <v>1243.3399999999999</v>
      </c>
      <c r="F1201" s="4" t="str">
        <f>VLOOKUP(A1201,'Datos generales'!A:L,7,0)</f>
        <v>Accesorios</v>
      </c>
      <c r="G1201" s="4">
        <v>2023</v>
      </c>
    </row>
    <row r="1202" spans="1:7" x14ac:dyDescent="0.25">
      <c r="A1202" t="s">
        <v>12</v>
      </c>
      <c r="B1202" s="4">
        <f>VLOOKUP(A1202,'Datos generales'!A:L,5,0)</f>
        <v>5</v>
      </c>
      <c r="C1202" s="4" t="str">
        <f>VLOOKUP(A1202,'Datos generales'!A:L,4,0)</f>
        <v>Monitor</v>
      </c>
      <c r="D1202" s="4">
        <f>VLOOKUP(A1202,'Datos generales'!A:L,6,0)</f>
        <v>1497.24</v>
      </c>
      <c r="E1202" s="4">
        <f>VLOOKUP(A1202,'Datos generales'!A:L,12,0)</f>
        <v>1497.24</v>
      </c>
      <c r="F1202" s="4" t="str">
        <f>VLOOKUP(A1202,'Datos generales'!A:L,7,0)</f>
        <v>Electrónica</v>
      </c>
      <c r="G1202" s="4">
        <v>2023</v>
      </c>
    </row>
    <row r="1203" spans="1:7" x14ac:dyDescent="0.25">
      <c r="A1203" t="s">
        <v>13</v>
      </c>
      <c r="B1203" s="4">
        <f>VLOOKUP(A1203,'Datos generales'!A:L,5,0)</f>
        <v>1</v>
      </c>
      <c r="C1203" s="4" t="str">
        <f>VLOOKUP(A1203,'Datos generales'!A:L,4,0)</f>
        <v>Monitor</v>
      </c>
      <c r="D1203" s="4">
        <f>VLOOKUP(A1203,'Datos generales'!A:L,6,0)</f>
        <v>1687.54</v>
      </c>
      <c r="E1203" s="4">
        <f>VLOOKUP(A1203,'Datos generales'!A:L,12,0)</f>
        <v>1687.54</v>
      </c>
      <c r="F1203" s="4" t="str">
        <f>VLOOKUP(A1203,'Datos generales'!A:L,7,0)</f>
        <v>Electrónica</v>
      </c>
      <c r="G1203" s="4">
        <v>2023</v>
      </c>
    </row>
    <row r="1204" spans="1:7" x14ac:dyDescent="0.25">
      <c r="A1204" t="s">
        <v>14</v>
      </c>
      <c r="B1204" s="4">
        <f>VLOOKUP(A1204,'Datos generales'!A:L,5,0)</f>
        <v>3</v>
      </c>
      <c r="C1204" s="4" t="str">
        <f>VLOOKUP(A1204,'Datos generales'!A:L,4,0)</f>
        <v>Teclado</v>
      </c>
      <c r="D1204" s="4">
        <f>VLOOKUP(A1204,'Datos generales'!A:L,6,0)</f>
        <v>768.8</v>
      </c>
      <c r="E1204" s="4">
        <f>VLOOKUP(A1204,'Datos generales'!A:L,12,0)</f>
        <v>768.79999999999984</v>
      </c>
      <c r="F1204" s="4" t="str">
        <f>VLOOKUP(A1204,'Datos generales'!A:L,7,0)</f>
        <v>Accesorios</v>
      </c>
      <c r="G1204" s="4">
        <v>2024</v>
      </c>
    </row>
    <row r="1205" spans="1:7" x14ac:dyDescent="0.25">
      <c r="A1205" t="s">
        <v>15</v>
      </c>
      <c r="B1205" s="4">
        <f>VLOOKUP(A1205,'Datos generales'!A:L,5,0)</f>
        <v>1</v>
      </c>
      <c r="C1205" s="4" t="str">
        <f>VLOOKUP(A1205,'Datos generales'!A:L,4,0)</f>
        <v>Silla Gamer</v>
      </c>
      <c r="D1205" s="4">
        <f>VLOOKUP(A1205,'Datos generales'!A:L,6,0)</f>
        <v>1532.67</v>
      </c>
      <c r="E1205" s="4">
        <f>VLOOKUP(A1205,'Datos generales'!A:L,12,0)</f>
        <v>1532.67</v>
      </c>
      <c r="F1205" s="4" t="str">
        <f>VLOOKUP(A1205,'Datos generales'!A:L,7,0)</f>
        <v>Muebles</v>
      </c>
      <c r="G1205" s="4">
        <v>2025</v>
      </c>
    </row>
    <row r="1206" spans="1:7" x14ac:dyDescent="0.25">
      <c r="A1206" t="s">
        <v>16</v>
      </c>
      <c r="B1206" s="4">
        <f>VLOOKUP(A1206,'Datos generales'!A:L,5,0)</f>
        <v>3</v>
      </c>
      <c r="C1206" s="4" t="str">
        <f>VLOOKUP(A1206,'Datos generales'!A:L,4,0)</f>
        <v>Silla Gamer</v>
      </c>
      <c r="D1206" s="4">
        <f>VLOOKUP(A1206,'Datos generales'!A:L,6,0)</f>
        <v>1709.47</v>
      </c>
      <c r="E1206" s="4">
        <f>VLOOKUP(A1206,'Datos generales'!A:L,12,0)</f>
        <v>1709.47</v>
      </c>
      <c r="F1206" s="4" t="str">
        <f>VLOOKUP(A1206,'Datos generales'!A:L,7,0)</f>
        <v>Muebles</v>
      </c>
      <c r="G1206" s="4">
        <v>2025</v>
      </c>
    </row>
    <row r="1207" spans="1:7" x14ac:dyDescent="0.25">
      <c r="A1207" t="s">
        <v>17</v>
      </c>
      <c r="B1207" s="4">
        <f>VLOOKUP(A1207,'Datos generales'!A:L,5,0)</f>
        <v>3</v>
      </c>
      <c r="C1207" s="4" t="str">
        <f>VLOOKUP(A1207,'Datos generales'!A:L,4,0)</f>
        <v>Impresora</v>
      </c>
      <c r="D1207" s="4">
        <f>VLOOKUP(A1207,'Datos generales'!A:L,6,0)</f>
        <v>297.54000000000002</v>
      </c>
      <c r="E1207" s="4">
        <f>VLOOKUP(A1207,'Datos generales'!A:L,12,0)</f>
        <v>297.54000000000002</v>
      </c>
      <c r="F1207" s="4" t="str">
        <f>VLOOKUP(A1207,'Datos generales'!A:L,7,0)</f>
        <v>Electrónica</v>
      </c>
      <c r="G1207" s="4">
        <v>2023</v>
      </c>
    </row>
    <row r="1208" spans="1:7" x14ac:dyDescent="0.25">
      <c r="A1208" t="s">
        <v>18</v>
      </c>
      <c r="B1208" s="4">
        <f>VLOOKUP(A1208,'Datos generales'!A:L,5,0)</f>
        <v>4</v>
      </c>
      <c r="C1208" s="4" t="str">
        <f>VLOOKUP(A1208,'Datos generales'!A:L,4,0)</f>
        <v>Webcam</v>
      </c>
      <c r="D1208" s="4">
        <f>VLOOKUP(A1208,'Datos generales'!A:L,6,0)</f>
        <v>1546.65</v>
      </c>
      <c r="E1208" s="4">
        <f>VLOOKUP(A1208,'Datos generales'!A:L,12,0)</f>
        <v>1546.65</v>
      </c>
      <c r="F1208" s="4" t="str">
        <f>VLOOKUP(A1208,'Datos generales'!A:L,7,0)</f>
        <v>Accesorios</v>
      </c>
      <c r="G1208" s="4">
        <v>2025</v>
      </c>
    </row>
    <row r="1209" spans="1:7" x14ac:dyDescent="0.25">
      <c r="A1209" t="s">
        <v>19</v>
      </c>
      <c r="B1209" s="4">
        <f>VLOOKUP(A1209,'Datos generales'!A:L,5,0)</f>
        <v>1</v>
      </c>
      <c r="C1209" s="4" t="str">
        <f>VLOOKUP(A1209,'Datos generales'!A:L,4,0)</f>
        <v>Monitor</v>
      </c>
      <c r="D1209" s="4">
        <f>VLOOKUP(A1209,'Datos generales'!A:L,6,0)</f>
        <v>1575.18</v>
      </c>
      <c r="E1209" s="4">
        <f>VLOOKUP(A1209,'Datos generales'!A:L,12,0)</f>
        <v>1575.18</v>
      </c>
      <c r="F1209" s="4" t="str">
        <f>VLOOKUP(A1209,'Datos generales'!A:L,7,0)</f>
        <v>Electrónica</v>
      </c>
      <c r="G1209" s="4">
        <v>2025</v>
      </c>
    </row>
    <row r="1210" spans="1:7" x14ac:dyDescent="0.25">
      <c r="A1210" t="s">
        <v>20</v>
      </c>
      <c r="B1210" s="4">
        <f>VLOOKUP(A1210,'Datos generales'!A:L,5,0)</f>
        <v>5</v>
      </c>
      <c r="C1210" s="4" t="str">
        <f>VLOOKUP(A1210,'Datos generales'!A:L,4,0)</f>
        <v>Laptop</v>
      </c>
      <c r="D1210" s="4">
        <f>VLOOKUP(A1210,'Datos generales'!A:L,6,0)</f>
        <v>1815.86</v>
      </c>
      <c r="E1210" s="4">
        <f>VLOOKUP(A1210,'Datos generales'!A:L,12,0)</f>
        <v>1815.86</v>
      </c>
      <c r="F1210" s="4" t="str">
        <f>VLOOKUP(A1210,'Datos generales'!A:L,7,0)</f>
        <v>Electrónica</v>
      </c>
      <c r="G1210" s="4">
        <v>2024</v>
      </c>
    </row>
    <row r="1211" spans="1:7" x14ac:dyDescent="0.25">
      <c r="A1211" t="s">
        <v>21</v>
      </c>
      <c r="B1211" s="4">
        <f>VLOOKUP(A1211,'Datos generales'!A:L,5,0)</f>
        <v>1</v>
      </c>
      <c r="C1211" s="4" t="str">
        <f>VLOOKUP(A1211,'Datos generales'!A:L,4,0)</f>
        <v>Monitor</v>
      </c>
      <c r="D1211" s="4">
        <f>VLOOKUP(A1211,'Datos generales'!A:L,6,0)</f>
        <v>564.11</v>
      </c>
      <c r="E1211" s="4">
        <f>VLOOKUP(A1211,'Datos generales'!A:L,12,0)</f>
        <v>564.11</v>
      </c>
      <c r="F1211" s="4" t="str">
        <f>VLOOKUP(A1211,'Datos generales'!A:L,7,0)</f>
        <v>Electrónica</v>
      </c>
      <c r="G1211" s="4">
        <v>2024</v>
      </c>
    </row>
    <row r="1212" spans="1:7" x14ac:dyDescent="0.25">
      <c r="A1212" t="s">
        <v>22</v>
      </c>
      <c r="B1212" s="4">
        <f>VLOOKUP(A1212,'Datos generales'!A:L,5,0)</f>
        <v>1</v>
      </c>
      <c r="C1212" s="4" t="str">
        <f>VLOOKUP(A1212,'Datos generales'!A:L,4,0)</f>
        <v>Laptop</v>
      </c>
      <c r="D1212" s="4">
        <f>VLOOKUP(A1212,'Datos generales'!A:L,6,0)</f>
        <v>454.9</v>
      </c>
      <c r="E1212" s="4">
        <f>VLOOKUP(A1212,'Datos generales'!A:L,12,0)</f>
        <v>454.9</v>
      </c>
      <c r="F1212" s="4" t="str">
        <f>VLOOKUP(A1212,'Datos generales'!A:L,7,0)</f>
        <v>Electrónica</v>
      </c>
      <c r="G1212" s="4">
        <v>2024</v>
      </c>
    </row>
    <row r="1213" spans="1:7" x14ac:dyDescent="0.25">
      <c r="A1213" t="s">
        <v>23</v>
      </c>
      <c r="B1213" s="4">
        <f>VLOOKUP(A1213,'Datos generales'!A:L,5,0)</f>
        <v>3</v>
      </c>
      <c r="C1213" s="4" t="str">
        <f>VLOOKUP(A1213,'Datos generales'!A:L,4,0)</f>
        <v>Mouse</v>
      </c>
      <c r="D1213" s="4">
        <f>VLOOKUP(A1213,'Datos generales'!A:L,6,0)</f>
        <v>1277.51</v>
      </c>
      <c r="E1213" s="4">
        <f>VLOOKUP(A1213,'Datos generales'!A:L,12,0)</f>
        <v>1277.51</v>
      </c>
      <c r="F1213" s="4" t="str">
        <f>VLOOKUP(A1213,'Datos generales'!A:L,7,0)</f>
        <v>Accesorios</v>
      </c>
      <c r="G1213" s="4">
        <v>2024</v>
      </c>
    </row>
    <row r="1214" spans="1:7" x14ac:dyDescent="0.25">
      <c r="A1214" t="s">
        <v>24</v>
      </c>
      <c r="B1214" s="4">
        <f>VLOOKUP(A1214,'Datos generales'!A:L,5,0)</f>
        <v>2</v>
      </c>
      <c r="C1214" s="4" t="str">
        <f>VLOOKUP(A1214,'Datos generales'!A:L,4,0)</f>
        <v>Silla Gamer</v>
      </c>
      <c r="D1214" s="4">
        <f>VLOOKUP(A1214,'Datos generales'!A:L,6,0)</f>
        <v>1870.95</v>
      </c>
      <c r="E1214" s="4">
        <f>VLOOKUP(A1214,'Datos generales'!A:L,12,0)</f>
        <v>1870.95</v>
      </c>
      <c r="F1214" s="4" t="str">
        <f>VLOOKUP(A1214,'Datos generales'!A:L,7,0)</f>
        <v>Muebles</v>
      </c>
      <c r="G1214" s="4">
        <v>2023</v>
      </c>
    </row>
    <row r="1215" spans="1:7" x14ac:dyDescent="0.25">
      <c r="A1215" t="s">
        <v>25</v>
      </c>
      <c r="B1215" s="4">
        <f>VLOOKUP(A1215,'Datos generales'!A:L,5,0)</f>
        <v>4</v>
      </c>
      <c r="C1215" s="4" t="str">
        <f>VLOOKUP(A1215,'Datos generales'!A:L,4,0)</f>
        <v>Monitor</v>
      </c>
      <c r="D1215" s="4">
        <f>VLOOKUP(A1215,'Datos generales'!A:L,6,0)</f>
        <v>1227.23</v>
      </c>
      <c r="E1215" s="4">
        <f>VLOOKUP(A1215,'Datos generales'!A:L,12,0)</f>
        <v>1227.23</v>
      </c>
      <c r="F1215" s="4" t="str">
        <f>VLOOKUP(A1215,'Datos generales'!A:L,7,0)</f>
        <v>Electrónica</v>
      </c>
      <c r="G1215" s="4">
        <v>2023</v>
      </c>
    </row>
    <row r="1216" spans="1:7" x14ac:dyDescent="0.25">
      <c r="A1216" t="s">
        <v>26</v>
      </c>
      <c r="B1216" s="4">
        <f>VLOOKUP(A1216,'Datos generales'!A:L,5,0)</f>
        <v>1</v>
      </c>
      <c r="C1216" s="4" t="str">
        <f>VLOOKUP(A1216,'Datos generales'!A:L,4,0)</f>
        <v>Impresora</v>
      </c>
      <c r="D1216" s="4">
        <f>VLOOKUP(A1216,'Datos generales'!A:L,6,0)</f>
        <v>1329.6</v>
      </c>
      <c r="E1216" s="4">
        <f>VLOOKUP(A1216,'Datos generales'!A:L,12,0)</f>
        <v>1329.6</v>
      </c>
      <c r="F1216" s="4" t="str">
        <f>VLOOKUP(A1216,'Datos generales'!A:L,7,0)</f>
        <v>Electrónica</v>
      </c>
      <c r="G1216" s="4">
        <v>2024</v>
      </c>
    </row>
    <row r="1217" spans="1:7" x14ac:dyDescent="0.25">
      <c r="A1217" t="s">
        <v>27</v>
      </c>
      <c r="B1217" s="4">
        <f>VLOOKUP(A1217,'Datos generales'!A:L,5,0)</f>
        <v>3</v>
      </c>
      <c r="C1217" s="4" t="str">
        <f>VLOOKUP(A1217,'Datos generales'!A:L,4,0)</f>
        <v>Monitor</v>
      </c>
      <c r="D1217" s="4">
        <f>VLOOKUP(A1217,'Datos generales'!A:L,6,0)</f>
        <v>1734.12</v>
      </c>
      <c r="E1217" s="4">
        <f>VLOOKUP(A1217,'Datos generales'!A:L,12,0)</f>
        <v>1734.12</v>
      </c>
      <c r="F1217" s="4" t="str">
        <f>VLOOKUP(A1217,'Datos generales'!A:L,7,0)</f>
        <v>Electrónica</v>
      </c>
      <c r="G1217" s="4">
        <v>2023</v>
      </c>
    </row>
    <row r="1218" spans="1:7" x14ac:dyDescent="0.25">
      <c r="A1218" t="s">
        <v>28</v>
      </c>
      <c r="B1218" s="4">
        <f>VLOOKUP(A1218,'Datos generales'!A:L,5,0)</f>
        <v>1</v>
      </c>
      <c r="C1218" s="4" t="str">
        <f>VLOOKUP(A1218,'Datos generales'!A:L,4,0)</f>
        <v>Monitor</v>
      </c>
      <c r="D1218" s="4">
        <f>VLOOKUP(A1218,'Datos generales'!A:L,6,0)</f>
        <v>1209.6199999999999</v>
      </c>
      <c r="E1218" s="4">
        <f>VLOOKUP(A1218,'Datos generales'!A:L,12,0)</f>
        <v>1209.6199999999999</v>
      </c>
      <c r="F1218" s="4" t="str">
        <f>VLOOKUP(A1218,'Datos generales'!A:L,7,0)</f>
        <v>Electrónica</v>
      </c>
      <c r="G1218" s="4">
        <v>2024</v>
      </c>
    </row>
    <row r="1219" spans="1:7" x14ac:dyDescent="0.25">
      <c r="A1219" t="s">
        <v>29</v>
      </c>
      <c r="B1219" s="4">
        <f>VLOOKUP(A1219,'Datos generales'!A:L,5,0)</f>
        <v>3</v>
      </c>
      <c r="C1219" s="4" t="str">
        <f>VLOOKUP(A1219,'Datos generales'!A:L,4,0)</f>
        <v>Mouse</v>
      </c>
      <c r="D1219" s="4">
        <f>VLOOKUP(A1219,'Datos generales'!A:L,6,0)</f>
        <v>922.33</v>
      </c>
      <c r="E1219" s="4">
        <f>VLOOKUP(A1219,'Datos generales'!A:L,12,0)</f>
        <v>922.33</v>
      </c>
      <c r="F1219" s="4" t="str">
        <f>VLOOKUP(A1219,'Datos generales'!A:L,7,0)</f>
        <v>Accesorios</v>
      </c>
      <c r="G1219" s="4">
        <v>2024</v>
      </c>
    </row>
    <row r="1220" spans="1:7" x14ac:dyDescent="0.25">
      <c r="A1220" t="s">
        <v>30</v>
      </c>
      <c r="B1220" s="4">
        <f>VLOOKUP(A1220,'Datos generales'!A:L,5,0)</f>
        <v>4</v>
      </c>
      <c r="C1220" s="4" t="str">
        <f>VLOOKUP(A1220,'Datos generales'!A:L,4,0)</f>
        <v>Webcam</v>
      </c>
      <c r="D1220" s="4">
        <f>VLOOKUP(A1220,'Datos generales'!A:L,6,0)</f>
        <v>54.42</v>
      </c>
      <c r="E1220" s="4">
        <f>VLOOKUP(A1220,'Datos generales'!A:L,12,0)</f>
        <v>54.42</v>
      </c>
      <c r="F1220" s="4" t="str">
        <f>VLOOKUP(A1220,'Datos generales'!A:L,7,0)</f>
        <v>Accesorios</v>
      </c>
      <c r="G1220" s="4">
        <v>2025</v>
      </c>
    </row>
    <row r="1221" spans="1:7" x14ac:dyDescent="0.25">
      <c r="A1221" t="s">
        <v>31</v>
      </c>
      <c r="B1221" s="4">
        <f>VLOOKUP(A1221,'Datos generales'!A:L,5,0)</f>
        <v>2</v>
      </c>
      <c r="C1221" s="4" t="str">
        <f>VLOOKUP(A1221,'Datos generales'!A:L,4,0)</f>
        <v>Mouse</v>
      </c>
      <c r="D1221" s="4">
        <f>VLOOKUP(A1221,'Datos generales'!A:L,6,0)</f>
        <v>1567.18</v>
      </c>
      <c r="E1221" s="4">
        <f>VLOOKUP(A1221,'Datos generales'!A:L,12,0)</f>
        <v>1567.18</v>
      </c>
      <c r="F1221" s="4" t="str">
        <f>VLOOKUP(A1221,'Datos generales'!A:L,7,0)</f>
        <v>Accesorios</v>
      </c>
      <c r="G1221" s="4">
        <v>2023</v>
      </c>
    </row>
    <row r="1222" spans="1:7" x14ac:dyDescent="0.25">
      <c r="A1222" t="s">
        <v>32</v>
      </c>
      <c r="B1222" s="4">
        <f>VLOOKUP(A1222,'Datos generales'!A:L,5,0)</f>
        <v>2</v>
      </c>
      <c r="C1222" s="4" t="str">
        <f>VLOOKUP(A1222,'Datos generales'!A:L,4,0)</f>
        <v>Teclado</v>
      </c>
      <c r="D1222" s="4">
        <f>VLOOKUP(A1222,'Datos generales'!A:L,6,0)</f>
        <v>519.79999999999995</v>
      </c>
      <c r="E1222" s="4">
        <f>VLOOKUP(A1222,'Datos generales'!A:L,12,0)</f>
        <v>519.79999999999995</v>
      </c>
      <c r="F1222" s="4" t="str">
        <f>VLOOKUP(A1222,'Datos generales'!A:L,7,0)</f>
        <v>Accesorios</v>
      </c>
      <c r="G1222" s="4">
        <v>2023</v>
      </c>
    </row>
    <row r="1223" spans="1:7" x14ac:dyDescent="0.25">
      <c r="A1223" t="s">
        <v>33</v>
      </c>
      <c r="B1223" s="4">
        <f>VLOOKUP(A1223,'Datos generales'!A:L,5,0)</f>
        <v>1</v>
      </c>
      <c r="C1223" s="4" t="str">
        <f>VLOOKUP(A1223,'Datos generales'!A:L,4,0)</f>
        <v>Silla Gamer</v>
      </c>
      <c r="D1223" s="4">
        <f>VLOOKUP(A1223,'Datos generales'!A:L,6,0)</f>
        <v>1267.01</v>
      </c>
      <c r="E1223" s="4">
        <f>VLOOKUP(A1223,'Datos generales'!A:L,12,0)</f>
        <v>1267.01</v>
      </c>
      <c r="F1223" s="4" t="str">
        <f>VLOOKUP(A1223,'Datos generales'!A:L,7,0)</f>
        <v>Muebles</v>
      </c>
      <c r="G1223" s="4">
        <v>2024</v>
      </c>
    </row>
    <row r="1224" spans="1:7" x14ac:dyDescent="0.25">
      <c r="A1224" t="s">
        <v>34</v>
      </c>
      <c r="B1224" s="4">
        <f>VLOOKUP(A1224,'Datos generales'!A:L,5,0)</f>
        <v>4</v>
      </c>
      <c r="C1224" s="4" t="str">
        <f>VLOOKUP(A1224,'Datos generales'!A:L,4,0)</f>
        <v>Monitor</v>
      </c>
      <c r="D1224" s="4">
        <f>VLOOKUP(A1224,'Datos generales'!A:L,6,0)</f>
        <v>1027.81</v>
      </c>
      <c r="E1224" s="4">
        <f>VLOOKUP(A1224,'Datos generales'!A:L,12,0)</f>
        <v>1027.81</v>
      </c>
      <c r="F1224" s="4" t="str">
        <f>VLOOKUP(A1224,'Datos generales'!A:L,7,0)</f>
        <v>Electrónica</v>
      </c>
      <c r="G1224" s="4">
        <v>2024</v>
      </c>
    </row>
    <row r="1225" spans="1:7" x14ac:dyDescent="0.25">
      <c r="A1225" t="s">
        <v>35</v>
      </c>
      <c r="B1225" s="4">
        <f>VLOOKUP(A1225,'Datos generales'!A:L,5,0)</f>
        <v>3</v>
      </c>
      <c r="C1225" s="4" t="str">
        <f>VLOOKUP(A1225,'Datos generales'!A:L,4,0)</f>
        <v>Webcam</v>
      </c>
      <c r="D1225" s="4">
        <f>VLOOKUP(A1225,'Datos generales'!A:L,6,0)</f>
        <v>925.62</v>
      </c>
      <c r="E1225" s="4">
        <f>VLOOKUP(A1225,'Datos generales'!A:L,12,0)</f>
        <v>925.62</v>
      </c>
      <c r="F1225" s="4" t="str">
        <f>VLOOKUP(A1225,'Datos generales'!A:L,7,0)</f>
        <v>Accesorios</v>
      </c>
      <c r="G1225" s="4">
        <v>2024</v>
      </c>
    </row>
    <row r="1226" spans="1:7" x14ac:dyDescent="0.25">
      <c r="A1226" t="s">
        <v>36</v>
      </c>
      <c r="B1226" s="4">
        <f>VLOOKUP(A1226,'Datos generales'!A:L,5,0)</f>
        <v>3</v>
      </c>
      <c r="C1226" s="4" t="str">
        <f>VLOOKUP(A1226,'Datos generales'!A:L,4,0)</f>
        <v>Monitor</v>
      </c>
      <c r="D1226" s="4">
        <f>VLOOKUP(A1226,'Datos generales'!A:L,6,0)</f>
        <v>213.71</v>
      </c>
      <c r="E1226" s="4">
        <f>VLOOKUP(A1226,'Datos generales'!A:L,12,0)</f>
        <v>213.71</v>
      </c>
      <c r="F1226" s="4" t="str">
        <f>VLOOKUP(A1226,'Datos generales'!A:L,7,0)</f>
        <v>Electrónica</v>
      </c>
      <c r="G1226" s="4">
        <v>2025</v>
      </c>
    </row>
    <row r="1227" spans="1:7" x14ac:dyDescent="0.25">
      <c r="A1227" t="s">
        <v>37</v>
      </c>
      <c r="B1227" s="4">
        <f>VLOOKUP(A1227,'Datos generales'!A:L,5,0)</f>
        <v>2</v>
      </c>
      <c r="C1227" s="4" t="str">
        <f>VLOOKUP(A1227,'Datos generales'!A:L,4,0)</f>
        <v>Laptop</v>
      </c>
      <c r="D1227" s="4">
        <f>VLOOKUP(A1227,'Datos generales'!A:L,6,0)</f>
        <v>1146.75</v>
      </c>
      <c r="E1227" s="4">
        <f>VLOOKUP(A1227,'Datos generales'!A:L,12,0)</f>
        <v>1146.75</v>
      </c>
      <c r="F1227" s="4" t="str">
        <f>VLOOKUP(A1227,'Datos generales'!A:L,7,0)</f>
        <v>Electrónica</v>
      </c>
      <c r="G1227" s="4">
        <v>2024</v>
      </c>
    </row>
    <row r="1228" spans="1:7" x14ac:dyDescent="0.25">
      <c r="A1228" t="s">
        <v>38</v>
      </c>
      <c r="B1228" s="4">
        <f>VLOOKUP(A1228,'Datos generales'!A:L,5,0)</f>
        <v>5</v>
      </c>
      <c r="C1228" s="4" t="str">
        <f>VLOOKUP(A1228,'Datos generales'!A:L,4,0)</f>
        <v>Laptop</v>
      </c>
      <c r="D1228" s="4">
        <f>VLOOKUP(A1228,'Datos generales'!A:L,6,0)</f>
        <v>907.28</v>
      </c>
      <c r="E1228" s="4">
        <f>VLOOKUP(A1228,'Datos generales'!A:L,12,0)</f>
        <v>907.28</v>
      </c>
      <c r="F1228" s="4" t="str">
        <f>VLOOKUP(A1228,'Datos generales'!A:L,7,0)</f>
        <v>Electrónica</v>
      </c>
      <c r="G1228" s="4">
        <v>2023</v>
      </c>
    </row>
    <row r="1229" spans="1:7" x14ac:dyDescent="0.25">
      <c r="A1229" t="s">
        <v>39</v>
      </c>
      <c r="B1229" s="4">
        <f>VLOOKUP(A1229,'Datos generales'!A:L,5,0)</f>
        <v>2</v>
      </c>
      <c r="C1229" s="4" t="str">
        <f>VLOOKUP(A1229,'Datos generales'!A:L,4,0)</f>
        <v>Webcam</v>
      </c>
      <c r="D1229" s="4">
        <f>VLOOKUP(A1229,'Datos generales'!A:L,6,0)</f>
        <v>1734.44</v>
      </c>
      <c r="E1229" s="4">
        <f>VLOOKUP(A1229,'Datos generales'!A:L,12,0)</f>
        <v>1734.44</v>
      </c>
      <c r="F1229" s="4" t="str">
        <f>VLOOKUP(A1229,'Datos generales'!A:L,7,0)</f>
        <v>Accesorios</v>
      </c>
      <c r="G1229" s="4">
        <v>2023</v>
      </c>
    </row>
    <row r="1230" spans="1:7" x14ac:dyDescent="0.25">
      <c r="A1230" t="s">
        <v>40</v>
      </c>
      <c r="B1230" s="4">
        <f>VLOOKUP(A1230,'Datos generales'!A:L,5,0)</f>
        <v>1</v>
      </c>
      <c r="C1230" s="4" t="str">
        <f>VLOOKUP(A1230,'Datos generales'!A:L,4,0)</f>
        <v>Teclado</v>
      </c>
      <c r="D1230" s="4">
        <f>VLOOKUP(A1230,'Datos generales'!A:L,6,0)</f>
        <v>424.35</v>
      </c>
      <c r="E1230" s="4">
        <f>VLOOKUP(A1230,'Datos generales'!A:L,12,0)</f>
        <v>424.35</v>
      </c>
      <c r="F1230" s="4" t="str">
        <f>VLOOKUP(A1230,'Datos generales'!A:L,7,0)</f>
        <v>Accesorios</v>
      </c>
      <c r="G1230" s="4">
        <v>2024</v>
      </c>
    </row>
    <row r="1231" spans="1:7" x14ac:dyDescent="0.25">
      <c r="A1231" t="s">
        <v>41</v>
      </c>
      <c r="B1231" s="4">
        <f>VLOOKUP(A1231,'Datos generales'!A:L,5,0)</f>
        <v>1</v>
      </c>
      <c r="C1231" s="4" t="str">
        <f>VLOOKUP(A1231,'Datos generales'!A:L,4,0)</f>
        <v>Monitor</v>
      </c>
      <c r="D1231" s="4">
        <f>VLOOKUP(A1231,'Datos generales'!A:L,6,0)</f>
        <v>252.57</v>
      </c>
      <c r="E1231" s="4">
        <f>VLOOKUP(A1231,'Datos generales'!A:L,12,0)</f>
        <v>252.57</v>
      </c>
      <c r="F1231" s="4" t="str">
        <f>VLOOKUP(A1231,'Datos generales'!A:L,7,0)</f>
        <v>Electrónica</v>
      </c>
      <c r="G1231" s="4">
        <v>2025</v>
      </c>
    </row>
    <row r="1232" spans="1:7" x14ac:dyDescent="0.25">
      <c r="A1232" t="s">
        <v>42</v>
      </c>
      <c r="B1232" s="4">
        <f>VLOOKUP(A1232,'Datos generales'!A:L,5,0)</f>
        <v>3</v>
      </c>
      <c r="C1232" s="4" t="str">
        <f>VLOOKUP(A1232,'Datos generales'!A:L,4,0)</f>
        <v>Mouse</v>
      </c>
      <c r="D1232" s="4">
        <f>VLOOKUP(A1232,'Datos generales'!A:L,6,0)</f>
        <v>21.56</v>
      </c>
      <c r="E1232" s="4">
        <f>VLOOKUP(A1232,'Datos generales'!A:L,12,0)</f>
        <v>21.56</v>
      </c>
      <c r="F1232" s="4" t="str">
        <f>VLOOKUP(A1232,'Datos generales'!A:L,7,0)</f>
        <v>Accesorios</v>
      </c>
      <c r="G1232" s="4">
        <v>2024</v>
      </c>
    </row>
    <row r="1233" spans="1:7" x14ac:dyDescent="0.25">
      <c r="A1233" t="s">
        <v>43</v>
      </c>
      <c r="B1233" s="4">
        <f>VLOOKUP(A1233,'Datos generales'!A:L,5,0)</f>
        <v>1</v>
      </c>
      <c r="C1233" s="4" t="str">
        <f>VLOOKUP(A1233,'Datos generales'!A:L,4,0)</f>
        <v>Silla Gamer</v>
      </c>
      <c r="D1233" s="4">
        <f>VLOOKUP(A1233,'Datos generales'!A:L,6,0)</f>
        <v>446.81</v>
      </c>
      <c r="E1233" s="4">
        <f>VLOOKUP(A1233,'Datos generales'!A:L,12,0)</f>
        <v>446.81</v>
      </c>
      <c r="F1233" s="4" t="str">
        <f>VLOOKUP(A1233,'Datos generales'!A:L,7,0)</f>
        <v>Muebles</v>
      </c>
      <c r="G1233" s="4">
        <v>2024</v>
      </c>
    </row>
    <row r="1234" spans="1:7" x14ac:dyDescent="0.25">
      <c r="A1234" t="s">
        <v>44</v>
      </c>
      <c r="B1234" s="4">
        <f>VLOOKUP(A1234,'Datos generales'!A:L,5,0)</f>
        <v>2</v>
      </c>
      <c r="C1234" s="4" t="str">
        <f>VLOOKUP(A1234,'Datos generales'!A:L,4,0)</f>
        <v>Mouse</v>
      </c>
      <c r="D1234" s="4">
        <f>VLOOKUP(A1234,'Datos generales'!A:L,6,0)</f>
        <v>64.67</v>
      </c>
      <c r="E1234" s="4">
        <f>VLOOKUP(A1234,'Datos generales'!A:L,12,0)</f>
        <v>64.67</v>
      </c>
      <c r="F1234" s="4" t="str">
        <f>VLOOKUP(A1234,'Datos generales'!A:L,7,0)</f>
        <v>Accesorios</v>
      </c>
      <c r="G1234" s="4">
        <v>2023</v>
      </c>
    </row>
    <row r="1235" spans="1:7" x14ac:dyDescent="0.25">
      <c r="A1235" t="s">
        <v>45</v>
      </c>
      <c r="B1235" s="4">
        <f>VLOOKUP(A1235,'Datos generales'!A:L,5,0)</f>
        <v>5</v>
      </c>
      <c r="C1235" s="4" t="str">
        <f>VLOOKUP(A1235,'Datos generales'!A:L,4,0)</f>
        <v>Webcam</v>
      </c>
      <c r="D1235" s="4">
        <f>VLOOKUP(A1235,'Datos generales'!A:L,6,0)</f>
        <v>1168.3499999999999</v>
      </c>
      <c r="E1235" s="4">
        <f>VLOOKUP(A1235,'Datos generales'!A:L,12,0)</f>
        <v>1168.3499999999999</v>
      </c>
      <c r="F1235" s="4" t="str">
        <f>VLOOKUP(A1235,'Datos generales'!A:L,7,0)</f>
        <v>Accesorios</v>
      </c>
      <c r="G1235" s="4">
        <v>2024</v>
      </c>
    </row>
    <row r="1236" spans="1:7" x14ac:dyDescent="0.25">
      <c r="A1236" t="s">
        <v>46</v>
      </c>
      <c r="B1236" s="4">
        <f>VLOOKUP(A1236,'Datos generales'!A:L,5,0)</f>
        <v>2</v>
      </c>
      <c r="C1236" s="4" t="str">
        <f>VLOOKUP(A1236,'Datos generales'!A:L,4,0)</f>
        <v>Silla Gamer</v>
      </c>
      <c r="D1236" s="4">
        <f>VLOOKUP(A1236,'Datos generales'!A:L,6,0)</f>
        <v>349.3</v>
      </c>
      <c r="E1236" s="4">
        <f>VLOOKUP(A1236,'Datos generales'!A:L,12,0)</f>
        <v>349.3</v>
      </c>
      <c r="F1236" s="4" t="str">
        <f>VLOOKUP(A1236,'Datos generales'!A:L,7,0)</f>
        <v>Muebles</v>
      </c>
      <c r="G1236" s="4">
        <v>2025</v>
      </c>
    </row>
    <row r="1237" spans="1:7" x14ac:dyDescent="0.25">
      <c r="A1237" t="s">
        <v>47</v>
      </c>
      <c r="B1237" s="4">
        <f>VLOOKUP(A1237,'Datos generales'!A:L,5,0)</f>
        <v>3</v>
      </c>
      <c r="C1237" s="4" t="str">
        <f>VLOOKUP(A1237,'Datos generales'!A:L,4,0)</f>
        <v>Webcam</v>
      </c>
      <c r="D1237" s="4">
        <f>VLOOKUP(A1237,'Datos generales'!A:L,6,0)</f>
        <v>1154.06</v>
      </c>
      <c r="E1237" s="4">
        <f>VLOOKUP(A1237,'Datos generales'!A:L,12,0)</f>
        <v>1154.06</v>
      </c>
      <c r="F1237" s="4" t="str">
        <f>VLOOKUP(A1237,'Datos generales'!A:L,7,0)</f>
        <v>Accesorios</v>
      </c>
      <c r="G1237" s="4">
        <v>2024</v>
      </c>
    </row>
    <row r="1238" spans="1:7" x14ac:dyDescent="0.25">
      <c r="A1238" t="s">
        <v>48</v>
      </c>
      <c r="B1238" s="4">
        <f>VLOOKUP(A1238,'Datos generales'!A:L,5,0)</f>
        <v>4</v>
      </c>
      <c r="C1238" s="4" t="str">
        <f>VLOOKUP(A1238,'Datos generales'!A:L,4,0)</f>
        <v>Impresora</v>
      </c>
      <c r="D1238" s="4">
        <f>VLOOKUP(A1238,'Datos generales'!A:L,6,0)</f>
        <v>1566.37</v>
      </c>
      <c r="E1238" s="4">
        <f>VLOOKUP(A1238,'Datos generales'!A:L,12,0)</f>
        <v>1566.37</v>
      </c>
      <c r="F1238" s="4" t="str">
        <f>VLOOKUP(A1238,'Datos generales'!A:L,7,0)</f>
        <v>Electrónica</v>
      </c>
      <c r="G1238" s="4">
        <v>2025</v>
      </c>
    </row>
    <row r="1239" spans="1:7" x14ac:dyDescent="0.25">
      <c r="A1239" t="s">
        <v>49</v>
      </c>
      <c r="B1239" s="4">
        <f>VLOOKUP(A1239,'Datos generales'!A:L,5,0)</f>
        <v>2</v>
      </c>
      <c r="C1239" s="4" t="str">
        <f>VLOOKUP(A1239,'Datos generales'!A:L,4,0)</f>
        <v>Monitor</v>
      </c>
      <c r="D1239" s="4">
        <f>VLOOKUP(A1239,'Datos generales'!A:L,6,0)</f>
        <v>674.48</v>
      </c>
      <c r="E1239" s="4">
        <f>VLOOKUP(A1239,'Datos generales'!A:L,12,0)</f>
        <v>674.48</v>
      </c>
      <c r="F1239" s="4" t="str">
        <f>VLOOKUP(A1239,'Datos generales'!A:L,7,0)</f>
        <v>Electrónica</v>
      </c>
      <c r="G1239" s="4">
        <v>2024</v>
      </c>
    </row>
    <row r="1240" spans="1:7" x14ac:dyDescent="0.25">
      <c r="A1240" t="s">
        <v>50</v>
      </c>
      <c r="B1240" s="4">
        <f>VLOOKUP(A1240,'Datos generales'!A:L,5,0)</f>
        <v>2</v>
      </c>
      <c r="C1240" s="4" t="str">
        <f>VLOOKUP(A1240,'Datos generales'!A:L,4,0)</f>
        <v>Monitor</v>
      </c>
      <c r="D1240" s="4">
        <f>VLOOKUP(A1240,'Datos generales'!A:L,6,0)</f>
        <v>1543.98</v>
      </c>
      <c r="E1240" s="4">
        <f>VLOOKUP(A1240,'Datos generales'!A:L,12,0)</f>
        <v>1543.98</v>
      </c>
      <c r="F1240" s="4" t="str">
        <f>VLOOKUP(A1240,'Datos generales'!A:L,7,0)</f>
        <v>Electrónica</v>
      </c>
      <c r="G1240" s="4">
        <v>2024</v>
      </c>
    </row>
    <row r="1241" spans="1:7" x14ac:dyDescent="0.25">
      <c r="A1241" t="s">
        <v>51</v>
      </c>
      <c r="B1241" s="4">
        <f>VLOOKUP(A1241,'Datos generales'!A:L,5,0)</f>
        <v>5</v>
      </c>
      <c r="C1241" s="4" t="str">
        <f>VLOOKUP(A1241,'Datos generales'!A:L,4,0)</f>
        <v>Laptop</v>
      </c>
      <c r="D1241" s="4">
        <f>VLOOKUP(A1241,'Datos generales'!A:L,6,0)</f>
        <v>917.31</v>
      </c>
      <c r="E1241" s="4">
        <f>VLOOKUP(A1241,'Datos generales'!A:L,12,0)</f>
        <v>917.30999999999983</v>
      </c>
      <c r="F1241" s="4" t="str">
        <f>VLOOKUP(A1241,'Datos generales'!A:L,7,0)</f>
        <v>Electrónica</v>
      </c>
      <c r="G1241" s="4">
        <v>2023</v>
      </c>
    </row>
    <row r="1242" spans="1:7" x14ac:dyDescent="0.25">
      <c r="A1242" t="s">
        <v>52</v>
      </c>
      <c r="B1242" s="4">
        <f>VLOOKUP(A1242,'Datos generales'!A:L,5,0)</f>
        <v>4</v>
      </c>
      <c r="C1242" s="4" t="str">
        <f>VLOOKUP(A1242,'Datos generales'!A:L,4,0)</f>
        <v>Audífonos</v>
      </c>
      <c r="D1242" s="4">
        <f>VLOOKUP(A1242,'Datos generales'!A:L,6,0)</f>
        <v>450.36</v>
      </c>
      <c r="E1242" s="4">
        <f>VLOOKUP(A1242,'Datos generales'!A:L,12,0)</f>
        <v>450.36</v>
      </c>
      <c r="F1242" s="4" t="str">
        <f>VLOOKUP(A1242,'Datos generales'!A:L,7,0)</f>
        <v>Accesorios</v>
      </c>
      <c r="G1242" s="4">
        <v>2024</v>
      </c>
    </row>
    <row r="1243" spans="1:7" x14ac:dyDescent="0.25">
      <c r="A1243" t="s">
        <v>53</v>
      </c>
      <c r="B1243" s="4">
        <f>VLOOKUP(A1243,'Datos generales'!A:L,5,0)</f>
        <v>2</v>
      </c>
      <c r="C1243" s="4" t="str">
        <f>VLOOKUP(A1243,'Datos generales'!A:L,4,0)</f>
        <v>Impresora</v>
      </c>
      <c r="D1243" s="4">
        <f>VLOOKUP(A1243,'Datos generales'!A:L,6,0)</f>
        <v>755.48</v>
      </c>
      <c r="E1243" s="4">
        <f>VLOOKUP(A1243,'Datos generales'!A:L,12,0)</f>
        <v>755.48</v>
      </c>
      <c r="F1243" s="4" t="str">
        <f>VLOOKUP(A1243,'Datos generales'!A:L,7,0)</f>
        <v>Electrónica</v>
      </c>
      <c r="G1243" s="4">
        <v>2023</v>
      </c>
    </row>
    <row r="1244" spans="1:7" x14ac:dyDescent="0.25">
      <c r="A1244" t="s">
        <v>54</v>
      </c>
      <c r="B1244" s="4">
        <f>VLOOKUP(A1244,'Datos generales'!A:L,5,0)</f>
        <v>3</v>
      </c>
      <c r="C1244" s="4" t="str">
        <f>VLOOKUP(A1244,'Datos generales'!A:L,4,0)</f>
        <v>Teclado</v>
      </c>
      <c r="D1244" s="4">
        <f>VLOOKUP(A1244,'Datos generales'!A:L,6,0)</f>
        <v>1855.55</v>
      </c>
      <c r="E1244" s="4">
        <f>VLOOKUP(A1244,'Datos generales'!A:L,12,0)</f>
        <v>1855.55</v>
      </c>
      <c r="F1244" s="4" t="str">
        <f>VLOOKUP(A1244,'Datos generales'!A:L,7,0)</f>
        <v>Accesorios</v>
      </c>
      <c r="G1244" s="4">
        <v>2024</v>
      </c>
    </row>
    <row r="1245" spans="1:7" x14ac:dyDescent="0.25">
      <c r="A1245" t="s">
        <v>55</v>
      </c>
      <c r="B1245" s="4">
        <f>VLOOKUP(A1245,'Datos generales'!A:L,5,0)</f>
        <v>5</v>
      </c>
      <c r="C1245" s="4" t="str">
        <f>VLOOKUP(A1245,'Datos generales'!A:L,4,0)</f>
        <v>Webcam</v>
      </c>
      <c r="D1245" s="4">
        <f>VLOOKUP(A1245,'Datos generales'!A:L,6,0)</f>
        <v>1011.75</v>
      </c>
      <c r="E1245" s="4">
        <f>VLOOKUP(A1245,'Datos generales'!A:L,12,0)</f>
        <v>1011.75</v>
      </c>
      <c r="F1245" s="4" t="str">
        <f>VLOOKUP(A1245,'Datos generales'!A:L,7,0)</f>
        <v>Accesorios</v>
      </c>
      <c r="G1245" s="4">
        <v>2023</v>
      </c>
    </row>
    <row r="1246" spans="1:7" x14ac:dyDescent="0.25">
      <c r="A1246" t="s">
        <v>56</v>
      </c>
      <c r="B1246" s="4">
        <f>VLOOKUP(A1246,'Datos generales'!A:L,5,0)</f>
        <v>5</v>
      </c>
      <c r="C1246" s="4" t="str">
        <f>VLOOKUP(A1246,'Datos generales'!A:L,4,0)</f>
        <v>Teclado</v>
      </c>
      <c r="D1246" s="4">
        <f>VLOOKUP(A1246,'Datos generales'!A:L,6,0)</f>
        <v>1218.3399999999999</v>
      </c>
      <c r="E1246" s="4">
        <f>VLOOKUP(A1246,'Datos generales'!A:L,12,0)</f>
        <v>1218.3399999999999</v>
      </c>
      <c r="F1246" s="4" t="str">
        <f>VLOOKUP(A1246,'Datos generales'!A:L,7,0)</f>
        <v>Accesorios</v>
      </c>
      <c r="G1246" s="4">
        <v>2023</v>
      </c>
    </row>
    <row r="1247" spans="1:7" x14ac:dyDescent="0.25">
      <c r="A1247" t="s">
        <v>57</v>
      </c>
      <c r="B1247" s="4">
        <f>VLOOKUP(A1247,'Datos generales'!A:L,5,0)</f>
        <v>2</v>
      </c>
      <c r="C1247" s="4" t="str">
        <f>VLOOKUP(A1247,'Datos generales'!A:L,4,0)</f>
        <v>Webcam</v>
      </c>
      <c r="D1247" s="4">
        <f>VLOOKUP(A1247,'Datos generales'!A:L,6,0)</f>
        <v>361.59</v>
      </c>
      <c r="E1247" s="4">
        <f>VLOOKUP(A1247,'Datos generales'!A:L,12,0)</f>
        <v>361.59</v>
      </c>
      <c r="F1247" s="4" t="str">
        <f>VLOOKUP(A1247,'Datos generales'!A:L,7,0)</f>
        <v>Accesorios</v>
      </c>
      <c r="G1247" s="4">
        <v>2023</v>
      </c>
    </row>
    <row r="1248" spans="1:7" x14ac:dyDescent="0.25">
      <c r="A1248" t="s">
        <v>58</v>
      </c>
      <c r="B1248" s="4">
        <f>VLOOKUP(A1248,'Datos generales'!A:L,5,0)</f>
        <v>5</v>
      </c>
      <c r="C1248" s="4" t="str">
        <f>VLOOKUP(A1248,'Datos generales'!A:L,4,0)</f>
        <v>Teclado</v>
      </c>
      <c r="D1248" s="4">
        <f>VLOOKUP(A1248,'Datos generales'!A:L,6,0)</f>
        <v>958.8</v>
      </c>
      <c r="E1248" s="4">
        <f>VLOOKUP(A1248,'Datos generales'!A:L,12,0)</f>
        <v>958.8</v>
      </c>
      <c r="F1248" s="4" t="str">
        <f>VLOOKUP(A1248,'Datos generales'!A:L,7,0)</f>
        <v>Accesorios</v>
      </c>
      <c r="G1248" s="4">
        <v>2023</v>
      </c>
    </row>
    <row r="1249" spans="1:7" x14ac:dyDescent="0.25">
      <c r="A1249" t="s">
        <v>59</v>
      </c>
      <c r="B1249" s="4">
        <f>VLOOKUP(A1249,'Datos generales'!A:L,5,0)</f>
        <v>5</v>
      </c>
      <c r="C1249" s="4" t="str">
        <f>VLOOKUP(A1249,'Datos generales'!A:L,4,0)</f>
        <v>Silla Gamer</v>
      </c>
      <c r="D1249" s="4">
        <f>VLOOKUP(A1249,'Datos generales'!A:L,6,0)</f>
        <v>1776.87</v>
      </c>
      <c r="E1249" s="4">
        <f>VLOOKUP(A1249,'Datos generales'!A:L,12,0)</f>
        <v>1776.87</v>
      </c>
      <c r="F1249" s="4" t="str">
        <f>VLOOKUP(A1249,'Datos generales'!A:L,7,0)</f>
        <v>Muebles</v>
      </c>
      <c r="G1249" s="4">
        <v>2025</v>
      </c>
    </row>
    <row r="1250" spans="1:7" x14ac:dyDescent="0.25">
      <c r="A1250" t="s">
        <v>60</v>
      </c>
      <c r="B1250" s="4">
        <f>VLOOKUP(A1250,'Datos generales'!A:L,5,0)</f>
        <v>1</v>
      </c>
      <c r="C1250" s="4" t="str">
        <f>VLOOKUP(A1250,'Datos generales'!A:L,4,0)</f>
        <v>Audífonos</v>
      </c>
      <c r="D1250" s="4">
        <f>VLOOKUP(A1250,'Datos generales'!A:L,6,0)</f>
        <v>1467.34</v>
      </c>
      <c r="E1250" s="4">
        <f>VLOOKUP(A1250,'Datos generales'!A:L,12,0)</f>
        <v>1467.34</v>
      </c>
      <c r="F1250" s="4" t="str">
        <f>VLOOKUP(A1250,'Datos generales'!A:L,7,0)</f>
        <v>Accesorios</v>
      </c>
      <c r="G1250" s="4">
        <v>2025</v>
      </c>
    </row>
    <row r="1251" spans="1:7" x14ac:dyDescent="0.25">
      <c r="A1251" t="s">
        <v>61</v>
      </c>
      <c r="B1251" s="4">
        <f>VLOOKUP(A1251,'Datos generales'!A:L,5,0)</f>
        <v>3</v>
      </c>
      <c r="C1251" s="4" t="str">
        <f>VLOOKUP(A1251,'Datos generales'!A:L,4,0)</f>
        <v>Silla Gamer</v>
      </c>
      <c r="D1251" s="4">
        <f>VLOOKUP(A1251,'Datos generales'!A:L,6,0)</f>
        <v>683.91</v>
      </c>
      <c r="E1251" s="4">
        <f>VLOOKUP(A1251,'Datos generales'!A:L,12,0)</f>
        <v>683.91</v>
      </c>
      <c r="F1251" s="4" t="str">
        <f>VLOOKUP(A1251,'Datos generales'!A:L,7,0)</f>
        <v>Muebles</v>
      </c>
      <c r="G1251" s="4">
        <v>2025</v>
      </c>
    </row>
    <row r="1252" spans="1:7" x14ac:dyDescent="0.25">
      <c r="A1252" t="s">
        <v>62</v>
      </c>
      <c r="B1252" s="4">
        <f>VLOOKUP(A1252,'Datos generales'!A:L,5,0)</f>
        <v>1</v>
      </c>
      <c r="C1252" s="4" t="str">
        <f>VLOOKUP(A1252,'Datos generales'!A:L,4,0)</f>
        <v>Silla Gamer</v>
      </c>
      <c r="D1252" s="4">
        <f>VLOOKUP(A1252,'Datos generales'!A:L,6,0)</f>
        <v>1083.8599999999999</v>
      </c>
      <c r="E1252" s="4">
        <f>VLOOKUP(A1252,'Datos generales'!A:L,12,0)</f>
        <v>1083.8599999999999</v>
      </c>
      <c r="F1252" s="4" t="str">
        <f>VLOOKUP(A1252,'Datos generales'!A:L,7,0)</f>
        <v>Muebles</v>
      </c>
      <c r="G1252" s="4">
        <v>2024</v>
      </c>
    </row>
    <row r="1253" spans="1:7" x14ac:dyDescent="0.25">
      <c r="A1253" t="s">
        <v>63</v>
      </c>
      <c r="B1253" s="4">
        <f>VLOOKUP(A1253,'Datos generales'!A:L,5,0)</f>
        <v>2</v>
      </c>
      <c r="C1253" s="4" t="str">
        <f>VLOOKUP(A1253,'Datos generales'!A:L,4,0)</f>
        <v>Monitor</v>
      </c>
      <c r="D1253" s="4">
        <f>VLOOKUP(A1253,'Datos generales'!A:L,6,0)</f>
        <v>1551.85</v>
      </c>
      <c r="E1253" s="4">
        <f>VLOOKUP(A1253,'Datos generales'!A:L,12,0)</f>
        <v>1551.85</v>
      </c>
      <c r="F1253" s="4" t="str">
        <f>VLOOKUP(A1253,'Datos generales'!A:L,7,0)</f>
        <v>Electrónica</v>
      </c>
      <c r="G1253" s="4">
        <v>2023</v>
      </c>
    </row>
    <row r="1254" spans="1:7" x14ac:dyDescent="0.25">
      <c r="A1254" t="s">
        <v>64</v>
      </c>
      <c r="B1254" s="4">
        <f>VLOOKUP(A1254,'Datos generales'!A:L,5,0)</f>
        <v>5</v>
      </c>
      <c r="C1254" s="4" t="str">
        <f>VLOOKUP(A1254,'Datos generales'!A:L,4,0)</f>
        <v>Laptop</v>
      </c>
      <c r="D1254" s="4">
        <f>VLOOKUP(A1254,'Datos generales'!A:L,6,0)</f>
        <v>1368.27</v>
      </c>
      <c r="E1254" s="4">
        <f>VLOOKUP(A1254,'Datos generales'!A:L,12,0)</f>
        <v>1368.27</v>
      </c>
      <c r="F1254" s="4" t="str">
        <f>VLOOKUP(A1254,'Datos generales'!A:L,7,0)</f>
        <v>Electrónica</v>
      </c>
      <c r="G1254" s="4">
        <v>2024</v>
      </c>
    </row>
    <row r="1255" spans="1:7" x14ac:dyDescent="0.25">
      <c r="A1255" t="s">
        <v>65</v>
      </c>
      <c r="B1255" s="4">
        <f>VLOOKUP(A1255,'Datos generales'!A:L,5,0)</f>
        <v>4</v>
      </c>
      <c r="C1255" s="4" t="str">
        <f>VLOOKUP(A1255,'Datos generales'!A:L,4,0)</f>
        <v>Laptop</v>
      </c>
      <c r="D1255" s="4">
        <f>VLOOKUP(A1255,'Datos generales'!A:L,6,0)</f>
        <v>1818.88</v>
      </c>
      <c r="E1255" s="4">
        <f>VLOOKUP(A1255,'Datos generales'!A:L,12,0)</f>
        <v>1818.88</v>
      </c>
      <c r="F1255" s="4" t="str">
        <f>VLOOKUP(A1255,'Datos generales'!A:L,7,0)</f>
        <v>Electrónica</v>
      </c>
      <c r="G1255" s="4">
        <v>2024</v>
      </c>
    </row>
    <row r="1256" spans="1:7" x14ac:dyDescent="0.25">
      <c r="A1256" t="s">
        <v>66</v>
      </c>
      <c r="B1256" s="4">
        <f>VLOOKUP(A1256,'Datos generales'!A:L,5,0)</f>
        <v>4</v>
      </c>
      <c r="C1256" s="4" t="str">
        <f>VLOOKUP(A1256,'Datos generales'!A:L,4,0)</f>
        <v>Mouse</v>
      </c>
      <c r="D1256" s="4">
        <f>VLOOKUP(A1256,'Datos generales'!A:L,6,0)</f>
        <v>1601.32</v>
      </c>
      <c r="E1256" s="4">
        <f>VLOOKUP(A1256,'Datos generales'!A:L,12,0)</f>
        <v>1601.32</v>
      </c>
      <c r="F1256" s="4" t="str">
        <f>VLOOKUP(A1256,'Datos generales'!A:L,7,0)</f>
        <v>Accesorios</v>
      </c>
      <c r="G1256" s="4">
        <v>2023</v>
      </c>
    </row>
    <row r="1257" spans="1:7" x14ac:dyDescent="0.25">
      <c r="A1257" t="s">
        <v>67</v>
      </c>
      <c r="B1257" s="4">
        <f>VLOOKUP(A1257,'Datos generales'!A:L,5,0)</f>
        <v>4</v>
      </c>
      <c r="C1257" s="4" t="str">
        <f>VLOOKUP(A1257,'Datos generales'!A:L,4,0)</f>
        <v>Teclado</v>
      </c>
      <c r="D1257" s="4">
        <f>VLOOKUP(A1257,'Datos generales'!A:L,6,0)</f>
        <v>177.79</v>
      </c>
      <c r="E1257" s="4">
        <f>VLOOKUP(A1257,'Datos generales'!A:L,12,0)</f>
        <v>177.79</v>
      </c>
      <c r="F1257" s="4" t="str">
        <f>VLOOKUP(A1257,'Datos generales'!A:L,7,0)</f>
        <v>Accesorios</v>
      </c>
      <c r="G1257" s="4">
        <v>2023</v>
      </c>
    </row>
    <row r="1258" spans="1:7" x14ac:dyDescent="0.25">
      <c r="A1258" t="s">
        <v>68</v>
      </c>
      <c r="B1258" s="4">
        <f>VLOOKUP(A1258,'Datos generales'!A:L,5,0)</f>
        <v>1</v>
      </c>
      <c r="C1258" s="4" t="str">
        <f>VLOOKUP(A1258,'Datos generales'!A:L,4,0)</f>
        <v>Teclado</v>
      </c>
      <c r="D1258" s="4">
        <f>VLOOKUP(A1258,'Datos generales'!A:L,6,0)</f>
        <v>83.48</v>
      </c>
      <c r="E1258" s="4">
        <f>VLOOKUP(A1258,'Datos generales'!A:L,12,0)</f>
        <v>83.48</v>
      </c>
      <c r="F1258" s="4" t="str">
        <f>VLOOKUP(A1258,'Datos generales'!A:L,7,0)</f>
        <v>Accesorios</v>
      </c>
      <c r="G1258" s="4">
        <v>2023</v>
      </c>
    </row>
    <row r="1259" spans="1:7" x14ac:dyDescent="0.25">
      <c r="A1259" t="s">
        <v>69</v>
      </c>
      <c r="B1259" s="4">
        <f>VLOOKUP(A1259,'Datos generales'!A:L,5,0)</f>
        <v>1</v>
      </c>
      <c r="C1259" s="4" t="str">
        <f>VLOOKUP(A1259,'Datos generales'!A:L,4,0)</f>
        <v>Audífonos</v>
      </c>
      <c r="D1259" s="4">
        <f>VLOOKUP(A1259,'Datos generales'!A:L,6,0)</f>
        <v>1372.72</v>
      </c>
      <c r="E1259" s="4">
        <f>VLOOKUP(A1259,'Datos generales'!A:L,12,0)</f>
        <v>1372.72</v>
      </c>
      <c r="F1259" s="4" t="str">
        <f>VLOOKUP(A1259,'Datos generales'!A:L,7,0)</f>
        <v>Accesorios</v>
      </c>
      <c r="G1259" s="4">
        <v>2023</v>
      </c>
    </row>
    <row r="1260" spans="1:7" x14ac:dyDescent="0.25">
      <c r="A1260" t="s">
        <v>70</v>
      </c>
      <c r="B1260" s="4">
        <f>VLOOKUP(A1260,'Datos generales'!A:L,5,0)</f>
        <v>1</v>
      </c>
      <c r="C1260" s="4" t="str">
        <f>VLOOKUP(A1260,'Datos generales'!A:L,4,0)</f>
        <v>Monitor</v>
      </c>
      <c r="D1260" s="4">
        <f>VLOOKUP(A1260,'Datos generales'!A:L,6,0)</f>
        <v>1618.91</v>
      </c>
      <c r="E1260" s="4">
        <f>VLOOKUP(A1260,'Datos generales'!A:L,12,0)</f>
        <v>1618.91</v>
      </c>
      <c r="F1260" s="4" t="str">
        <f>VLOOKUP(A1260,'Datos generales'!A:L,7,0)</f>
        <v>Electrónica</v>
      </c>
      <c r="G1260" s="4">
        <v>2024</v>
      </c>
    </row>
    <row r="1261" spans="1:7" x14ac:dyDescent="0.25">
      <c r="A1261" t="s">
        <v>71</v>
      </c>
      <c r="B1261" s="4">
        <f>VLOOKUP(A1261,'Datos generales'!A:L,5,0)</f>
        <v>4</v>
      </c>
      <c r="C1261" s="4" t="str">
        <f>VLOOKUP(A1261,'Datos generales'!A:L,4,0)</f>
        <v>Impresora</v>
      </c>
      <c r="D1261" s="4">
        <f>VLOOKUP(A1261,'Datos generales'!A:L,6,0)</f>
        <v>530.65</v>
      </c>
      <c r="E1261" s="4">
        <f>VLOOKUP(A1261,'Datos generales'!A:L,12,0)</f>
        <v>530.65</v>
      </c>
      <c r="F1261" s="4" t="str">
        <f>VLOOKUP(A1261,'Datos generales'!A:L,7,0)</f>
        <v>Electrónica</v>
      </c>
      <c r="G1261" s="4">
        <v>2024</v>
      </c>
    </row>
    <row r="1262" spans="1:7" x14ac:dyDescent="0.25">
      <c r="A1262" t="s">
        <v>72</v>
      </c>
      <c r="B1262" s="4">
        <f>VLOOKUP(A1262,'Datos generales'!A:L,5,0)</f>
        <v>5</v>
      </c>
      <c r="C1262" s="4" t="str">
        <f>VLOOKUP(A1262,'Datos generales'!A:L,4,0)</f>
        <v>Webcam</v>
      </c>
      <c r="D1262" s="4">
        <f>VLOOKUP(A1262,'Datos generales'!A:L,6,0)</f>
        <v>418.83</v>
      </c>
      <c r="E1262" s="4">
        <f>VLOOKUP(A1262,'Datos generales'!A:L,12,0)</f>
        <v>418.83</v>
      </c>
      <c r="F1262" s="4" t="str">
        <f>VLOOKUP(A1262,'Datos generales'!A:L,7,0)</f>
        <v>Accesorios</v>
      </c>
      <c r="G1262" s="4">
        <v>2024</v>
      </c>
    </row>
    <row r="1263" spans="1:7" x14ac:dyDescent="0.25">
      <c r="A1263" t="s">
        <v>73</v>
      </c>
      <c r="B1263" s="4">
        <f>VLOOKUP(A1263,'Datos generales'!A:L,5,0)</f>
        <v>3</v>
      </c>
      <c r="C1263" s="4" t="str">
        <f>VLOOKUP(A1263,'Datos generales'!A:L,4,0)</f>
        <v>Silla Gamer</v>
      </c>
      <c r="D1263" s="4">
        <f>VLOOKUP(A1263,'Datos generales'!A:L,6,0)</f>
        <v>664.98</v>
      </c>
      <c r="E1263" s="4">
        <f>VLOOKUP(A1263,'Datos generales'!A:L,12,0)</f>
        <v>664.98</v>
      </c>
      <c r="F1263" s="4" t="str">
        <f>VLOOKUP(A1263,'Datos generales'!A:L,7,0)</f>
        <v>Muebles</v>
      </c>
      <c r="G1263" s="4">
        <v>2025</v>
      </c>
    </row>
    <row r="1264" spans="1:7" x14ac:dyDescent="0.25">
      <c r="A1264" t="s">
        <v>74</v>
      </c>
      <c r="B1264" s="4">
        <f>VLOOKUP(A1264,'Datos generales'!A:L,5,0)</f>
        <v>1</v>
      </c>
      <c r="C1264" s="4" t="str">
        <f>VLOOKUP(A1264,'Datos generales'!A:L,4,0)</f>
        <v>Laptop</v>
      </c>
      <c r="D1264" s="4">
        <f>VLOOKUP(A1264,'Datos generales'!A:L,6,0)</f>
        <v>1322.41</v>
      </c>
      <c r="E1264" s="4">
        <f>VLOOKUP(A1264,'Datos generales'!A:L,12,0)</f>
        <v>1322.41</v>
      </c>
      <c r="F1264" s="4" t="str">
        <f>VLOOKUP(A1264,'Datos generales'!A:L,7,0)</f>
        <v>Electrónica</v>
      </c>
      <c r="G1264" s="4">
        <v>2024</v>
      </c>
    </row>
    <row r="1265" spans="1:7" x14ac:dyDescent="0.25">
      <c r="A1265" t="s">
        <v>75</v>
      </c>
      <c r="B1265" s="4">
        <f>VLOOKUP(A1265,'Datos generales'!A:L,5,0)</f>
        <v>4</v>
      </c>
      <c r="C1265" s="4" t="str">
        <f>VLOOKUP(A1265,'Datos generales'!A:L,4,0)</f>
        <v>Monitor</v>
      </c>
      <c r="D1265" s="4">
        <f>VLOOKUP(A1265,'Datos generales'!A:L,6,0)</f>
        <v>1467.27</v>
      </c>
      <c r="E1265" s="4">
        <f>VLOOKUP(A1265,'Datos generales'!A:L,12,0)</f>
        <v>1467.27</v>
      </c>
      <c r="F1265" s="4" t="str">
        <f>VLOOKUP(A1265,'Datos generales'!A:L,7,0)</f>
        <v>Electrónica</v>
      </c>
      <c r="G1265" s="4">
        <v>2023</v>
      </c>
    </row>
    <row r="1266" spans="1:7" x14ac:dyDescent="0.25">
      <c r="A1266" t="s">
        <v>76</v>
      </c>
      <c r="B1266" s="4">
        <f>VLOOKUP(A1266,'Datos generales'!A:L,5,0)</f>
        <v>4</v>
      </c>
      <c r="C1266" s="4" t="str">
        <f>VLOOKUP(A1266,'Datos generales'!A:L,4,0)</f>
        <v>Impresora</v>
      </c>
      <c r="D1266" s="4">
        <f>VLOOKUP(A1266,'Datos generales'!A:L,6,0)</f>
        <v>1804.12</v>
      </c>
      <c r="E1266" s="4">
        <f>VLOOKUP(A1266,'Datos generales'!A:L,12,0)</f>
        <v>1804.12</v>
      </c>
      <c r="F1266" s="4" t="str">
        <f>VLOOKUP(A1266,'Datos generales'!A:L,7,0)</f>
        <v>Electrónica</v>
      </c>
      <c r="G1266" s="4">
        <v>2024</v>
      </c>
    </row>
    <row r="1267" spans="1:7" x14ac:dyDescent="0.25">
      <c r="A1267" t="s">
        <v>77</v>
      </c>
      <c r="B1267" s="4">
        <f>VLOOKUP(A1267,'Datos generales'!A:L,5,0)</f>
        <v>1</v>
      </c>
      <c r="C1267" s="4" t="str">
        <f>VLOOKUP(A1267,'Datos generales'!A:L,4,0)</f>
        <v>Audífonos</v>
      </c>
      <c r="D1267" s="4">
        <f>VLOOKUP(A1267,'Datos generales'!A:L,6,0)</f>
        <v>1172.72</v>
      </c>
      <c r="E1267" s="4">
        <f>VLOOKUP(A1267,'Datos generales'!A:L,12,0)</f>
        <v>1172.72</v>
      </c>
      <c r="F1267" s="4" t="str">
        <f>VLOOKUP(A1267,'Datos generales'!A:L,7,0)</f>
        <v>Accesorios</v>
      </c>
      <c r="G1267" s="4">
        <v>2024</v>
      </c>
    </row>
    <row r="1268" spans="1:7" x14ac:dyDescent="0.25">
      <c r="A1268" t="s">
        <v>78</v>
      </c>
      <c r="B1268" s="4">
        <f>VLOOKUP(A1268,'Datos generales'!A:L,5,0)</f>
        <v>1</v>
      </c>
      <c r="C1268" s="4" t="str">
        <f>VLOOKUP(A1268,'Datos generales'!A:L,4,0)</f>
        <v>Mouse</v>
      </c>
      <c r="D1268" s="4">
        <f>VLOOKUP(A1268,'Datos generales'!A:L,6,0)</f>
        <v>725.07</v>
      </c>
      <c r="E1268" s="4">
        <f>VLOOKUP(A1268,'Datos generales'!A:L,12,0)</f>
        <v>725.07</v>
      </c>
      <c r="F1268" s="4" t="str">
        <f>VLOOKUP(A1268,'Datos generales'!A:L,7,0)</f>
        <v>Accesorios</v>
      </c>
      <c r="G1268" s="4">
        <v>2023</v>
      </c>
    </row>
    <row r="1269" spans="1:7" x14ac:dyDescent="0.25">
      <c r="A1269" t="s">
        <v>79</v>
      </c>
      <c r="B1269" s="4">
        <f>VLOOKUP(A1269,'Datos generales'!A:L,5,0)</f>
        <v>5</v>
      </c>
      <c r="C1269" s="4" t="str">
        <f>VLOOKUP(A1269,'Datos generales'!A:L,4,0)</f>
        <v>Monitor</v>
      </c>
      <c r="D1269" s="4">
        <f>VLOOKUP(A1269,'Datos generales'!A:L,6,0)</f>
        <v>563.69000000000005</v>
      </c>
      <c r="E1269" s="4">
        <f>VLOOKUP(A1269,'Datos generales'!A:L,12,0)</f>
        <v>563.69000000000005</v>
      </c>
      <c r="F1269" s="4" t="str">
        <f>VLOOKUP(A1269,'Datos generales'!A:L,7,0)</f>
        <v>Electrónica</v>
      </c>
      <c r="G1269" s="4">
        <v>2025</v>
      </c>
    </row>
    <row r="1270" spans="1:7" x14ac:dyDescent="0.25">
      <c r="A1270" t="s">
        <v>80</v>
      </c>
      <c r="B1270" s="4">
        <f>VLOOKUP(A1270,'Datos generales'!A:L,5,0)</f>
        <v>5</v>
      </c>
      <c r="C1270" s="4" t="str">
        <f>VLOOKUP(A1270,'Datos generales'!A:L,4,0)</f>
        <v>Audífonos</v>
      </c>
      <c r="D1270" s="4">
        <f>VLOOKUP(A1270,'Datos generales'!A:L,6,0)</f>
        <v>1547.41</v>
      </c>
      <c r="E1270" s="4">
        <f>VLOOKUP(A1270,'Datos generales'!A:L,12,0)</f>
        <v>1547.41</v>
      </c>
      <c r="F1270" s="4" t="str">
        <f>VLOOKUP(A1270,'Datos generales'!A:L,7,0)</f>
        <v>Accesorios</v>
      </c>
      <c r="G1270" s="4">
        <v>2023</v>
      </c>
    </row>
    <row r="1271" spans="1:7" x14ac:dyDescent="0.25">
      <c r="A1271" t="s">
        <v>81</v>
      </c>
      <c r="B1271" s="4">
        <f>VLOOKUP(A1271,'Datos generales'!A:L,5,0)</f>
        <v>2</v>
      </c>
      <c r="C1271" s="4" t="str">
        <f>VLOOKUP(A1271,'Datos generales'!A:L,4,0)</f>
        <v>Webcam</v>
      </c>
      <c r="D1271" s="4">
        <f>VLOOKUP(A1271,'Datos generales'!A:L,6,0)</f>
        <v>1903.65</v>
      </c>
      <c r="E1271" s="4">
        <f>VLOOKUP(A1271,'Datos generales'!A:L,12,0)</f>
        <v>1903.65</v>
      </c>
      <c r="F1271" s="4" t="str">
        <f>VLOOKUP(A1271,'Datos generales'!A:L,7,0)</f>
        <v>Accesorios</v>
      </c>
      <c r="G1271" s="4">
        <v>2023</v>
      </c>
    </row>
    <row r="1272" spans="1:7" x14ac:dyDescent="0.25">
      <c r="A1272" t="s">
        <v>82</v>
      </c>
      <c r="B1272" s="4">
        <f>VLOOKUP(A1272,'Datos generales'!A:L,5,0)</f>
        <v>2</v>
      </c>
      <c r="C1272" s="4" t="str">
        <f>VLOOKUP(A1272,'Datos generales'!A:L,4,0)</f>
        <v>Impresora</v>
      </c>
      <c r="D1272" s="4">
        <f>VLOOKUP(A1272,'Datos generales'!A:L,6,0)</f>
        <v>1198.2</v>
      </c>
      <c r="E1272" s="4">
        <f>VLOOKUP(A1272,'Datos generales'!A:L,12,0)</f>
        <v>1198.2</v>
      </c>
      <c r="F1272" s="4" t="str">
        <f>VLOOKUP(A1272,'Datos generales'!A:L,7,0)</f>
        <v>Electrónica</v>
      </c>
      <c r="G1272" s="4">
        <v>2024</v>
      </c>
    </row>
    <row r="1273" spans="1:7" x14ac:dyDescent="0.25">
      <c r="A1273" t="s">
        <v>83</v>
      </c>
      <c r="B1273" s="4">
        <f>VLOOKUP(A1273,'Datos generales'!A:L,5,0)</f>
        <v>3</v>
      </c>
      <c r="C1273" s="4" t="str">
        <f>VLOOKUP(A1273,'Datos generales'!A:L,4,0)</f>
        <v>Teclado</v>
      </c>
      <c r="D1273" s="4">
        <f>VLOOKUP(A1273,'Datos generales'!A:L,6,0)</f>
        <v>543.72</v>
      </c>
      <c r="E1273" s="4">
        <f>VLOOKUP(A1273,'Datos generales'!A:L,12,0)</f>
        <v>543.72</v>
      </c>
      <c r="F1273" s="4" t="str">
        <f>VLOOKUP(A1273,'Datos generales'!A:L,7,0)</f>
        <v>Accesorios</v>
      </c>
      <c r="G1273" s="4">
        <v>2025</v>
      </c>
    </row>
    <row r="1274" spans="1:7" x14ac:dyDescent="0.25">
      <c r="A1274" t="s">
        <v>84</v>
      </c>
      <c r="B1274" s="4">
        <f>VLOOKUP(A1274,'Datos generales'!A:L,5,0)</f>
        <v>2</v>
      </c>
      <c r="C1274" s="4" t="str">
        <f>VLOOKUP(A1274,'Datos generales'!A:L,4,0)</f>
        <v>Webcam</v>
      </c>
      <c r="D1274" s="4">
        <f>VLOOKUP(A1274,'Datos generales'!A:L,6,0)</f>
        <v>1449.53</v>
      </c>
      <c r="E1274" s="4">
        <f>VLOOKUP(A1274,'Datos generales'!A:L,12,0)</f>
        <v>1449.53</v>
      </c>
      <c r="F1274" s="4" t="str">
        <f>VLOOKUP(A1274,'Datos generales'!A:L,7,0)</f>
        <v>Accesorios</v>
      </c>
      <c r="G1274" s="4">
        <v>2023</v>
      </c>
    </row>
    <row r="1275" spans="1:7" x14ac:dyDescent="0.25">
      <c r="A1275" t="s">
        <v>85</v>
      </c>
      <c r="B1275" s="4">
        <f>VLOOKUP(A1275,'Datos generales'!A:L,5,0)</f>
        <v>5</v>
      </c>
      <c r="C1275" s="4" t="str">
        <f>VLOOKUP(A1275,'Datos generales'!A:L,4,0)</f>
        <v>Silla Gamer</v>
      </c>
      <c r="D1275" s="4">
        <f>VLOOKUP(A1275,'Datos generales'!A:L,6,0)</f>
        <v>472.42</v>
      </c>
      <c r="E1275" s="4">
        <f>VLOOKUP(A1275,'Datos generales'!A:L,12,0)</f>
        <v>472.42</v>
      </c>
      <c r="F1275" s="4" t="str">
        <f>VLOOKUP(A1275,'Datos generales'!A:L,7,0)</f>
        <v>Muebles</v>
      </c>
      <c r="G1275" s="4">
        <v>2024</v>
      </c>
    </row>
    <row r="1276" spans="1:7" x14ac:dyDescent="0.25">
      <c r="A1276" t="s">
        <v>86</v>
      </c>
      <c r="B1276" s="4">
        <f>VLOOKUP(A1276,'Datos generales'!A:L,5,0)</f>
        <v>3</v>
      </c>
      <c r="C1276" s="4" t="str">
        <f>VLOOKUP(A1276,'Datos generales'!A:L,4,0)</f>
        <v>Audífonos</v>
      </c>
      <c r="D1276" s="4">
        <f>VLOOKUP(A1276,'Datos generales'!A:L,6,0)</f>
        <v>367.9</v>
      </c>
      <c r="E1276" s="4">
        <f>VLOOKUP(A1276,'Datos generales'!A:L,12,0)</f>
        <v>367.89999999999992</v>
      </c>
      <c r="F1276" s="4" t="str">
        <f>VLOOKUP(A1276,'Datos generales'!A:L,7,0)</f>
        <v>Accesorios</v>
      </c>
      <c r="G1276" s="4">
        <v>2023</v>
      </c>
    </row>
    <row r="1277" spans="1:7" x14ac:dyDescent="0.25">
      <c r="A1277" t="s">
        <v>87</v>
      </c>
      <c r="B1277" s="4">
        <f>VLOOKUP(A1277,'Datos generales'!A:L,5,0)</f>
        <v>5</v>
      </c>
      <c r="C1277" s="4" t="str">
        <f>VLOOKUP(A1277,'Datos generales'!A:L,4,0)</f>
        <v>Audífonos</v>
      </c>
      <c r="D1277" s="4">
        <f>VLOOKUP(A1277,'Datos generales'!A:L,6,0)</f>
        <v>739.51</v>
      </c>
      <c r="E1277" s="4">
        <f>VLOOKUP(A1277,'Datos generales'!A:L,12,0)</f>
        <v>739.51</v>
      </c>
      <c r="F1277" s="4" t="str">
        <f>VLOOKUP(A1277,'Datos generales'!A:L,7,0)</f>
        <v>Accesorios</v>
      </c>
      <c r="G1277" s="4">
        <v>2025</v>
      </c>
    </row>
    <row r="1278" spans="1:7" x14ac:dyDescent="0.25">
      <c r="A1278" t="s">
        <v>88</v>
      </c>
      <c r="B1278" s="4">
        <f>VLOOKUP(A1278,'Datos generales'!A:L,5,0)</f>
        <v>2</v>
      </c>
      <c r="C1278" s="4" t="str">
        <f>VLOOKUP(A1278,'Datos generales'!A:L,4,0)</f>
        <v>Laptop</v>
      </c>
      <c r="D1278" s="4">
        <f>VLOOKUP(A1278,'Datos generales'!A:L,6,0)</f>
        <v>1089.1300000000001</v>
      </c>
      <c r="E1278" s="4">
        <f>VLOOKUP(A1278,'Datos generales'!A:L,12,0)</f>
        <v>1089.1300000000001</v>
      </c>
      <c r="F1278" s="4" t="str">
        <f>VLOOKUP(A1278,'Datos generales'!A:L,7,0)</f>
        <v>Electrónica</v>
      </c>
      <c r="G1278" s="4">
        <v>2023</v>
      </c>
    </row>
    <row r="1279" spans="1:7" x14ac:dyDescent="0.25">
      <c r="A1279" t="s">
        <v>89</v>
      </c>
      <c r="B1279" s="4">
        <f>VLOOKUP(A1279,'Datos generales'!A:L,5,0)</f>
        <v>5</v>
      </c>
      <c r="C1279" s="4" t="str">
        <f>VLOOKUP(A1279,'Datos generales'!A:L,4,0)</f>
        <v>Webcam</v>
      </c>
      <c r="D1279" s="4">
        <f>VLOOKUP(A1279,'Datos generales'!A:L,6,0)</f>
        <v>1632.75</v>
      </c>
      <c r="E1279" s="4">
        <f>VLOOKUP(A1279,'Datos generales'!A:L,12,0)</f>
        <v>1632.75</v>
      </c>
      <c r="F1279" s="4" t="str">
        <f>VLOOKUP(A1279,'Datos generales'!A:L,7,0)</f>
        <v>Accesorios</v>
      </c>
      <c r="G1279" s="4">
        <v>2024</v>
      </c>
    </row>
    <row r="1280" spans="1:7" x14ac:dyDescent="0.25">
      <c r="A1280" t="s">
        <v>90</v>
      </c>
      <c r="B1280" s="4">
        <f>VLOOKUP(A1280,'Datos generales'!A:L,5,0)</f>
        <v>3</v>
      </c>
      <c r="C1280" s="4" t="str">
        <f>VLOOKUP(A1280,'Datos generales'!A:L,4,0)</f>
        <v>Monitor</v>
      </c>
      <c r="D1280" s="4">
        <f>VLOOKUP(A1280,'Datos generales'!A:L,6,0)</f>
        <v>817.35</v>
      </c>
      <c r="E1280" s="4">
        <f>VLOOKUP(A1280,'Datos generales'!A:L,12,0)</f>
        <v>817.35</v>
      </c>
      <c r="F1280" s="4" t="str">
        <f>VLOOKUP(A1280,'Datos generales'!A:L,7,0)</f>
        <v>Electrónica</v>
      </c>
      <c r="G1280" s="4">
        <v>2023</v>
      </c>
    </row>
    <row r="1281" spans="1:7" x14ac:dyDescent="0.25">
      <c r="A1281" t="s">
        <v>91</v>
      </c>
      <c r="B1281" s="4">
        <f>VLOOKUP(A1281,'Datos generales'!A:L,5,0)</f>
        <v>2</v>
      </c>
      <c r="C1281" s="4" t="str">
        <f>VLOOKUP(A1281,'Datos generales'!A:L,4,0)</f>
        <v>Teclado</v>
      </c>
      <c r="D1281" s="4">
        <f>VLOOKUP(A1281,'Datos generales'!A:L,6,0)</f>
        <v>1186.58</v>
      </c>
      <c r="E1281" s="4">
        <f>VLOOKUP(A1281,'Datos generales'!A:L,12,0)</f>
        <v>1186.58</v>
      </c>
      <c r="F1281" s="4" t="str">
        <f>VLOOKUP(A1281,'Datos generales'!A:L,7,0)</f>
        <v>Accesorios</v>
      </c>
      <c r="G1281" s="4">
        <v>2024</v>
      </c>
    </row>
    <row r="1282" spans="1:7" x14ac:dyDescent="0.25">
      <c r="A1282" t="s">
        <v>92</v>
      </c>
      <c r="B1282" s="4">
        <f>VLOOKUP(A1282,'Datos generales'!A:L,5,0)</f>
        <v>2</v>
      </c>
      <c r="C1282" s="4" t="str">
        <f>VLOOKUP(A1282,'Datos generales'!A:L,4,0)</f>
        <v>Impresora</v>
      </c>
      <c r="D1282" s="4">
        <f>VLOOKUP(A1282,'Datos generales'!A:L,6,0)</f>
        <v>1872.8</v>
      </c>
      <c r="E1282" s="4">
        <f>VLOOKUP(A1282,'Datos generales'!A:L,12,0)</f>
        <v>1872.8</v>
      </c>
      <c r="F1282" s="4" t="str">
        <f>VLOOKUP(A1282,'Datos generales'!A:L,7,0)</f>
        <v>Electrónica</v>
      </c>
      <c r="G1282" s="4">
        <v>2023</v>
      </c>
    </row>
    <row r="1283" spans="1:7" x14ac:dyDescent="0.25">
      <c r="A1283" t="s">
        <v>93</v>
      </c>
      <c r="B1283" s="4">
        <f>VLOOKUP(A1283,'Datos generales'!A:L,5,0)</f>
        <v>3</v>
      </c>
      <c r="C1283" s="4" t="str">
        <f>VLOOKUP(A1283,'Datos generales'!A:L,4,0)</f>
        <v>Silla Gamer</v>
      </c>
      <c r="D1283" s="4">
        <f>VLOOKUP(A1283,'Datos generales'!A:L,6,0)</f>
        <v>680.19</v>
      </c>
      <c r="E1283" s="4">
        <f>VLOOKUP(A1283,'Datos generales'!A:L,12,0)</f>
        <v>680.19</v>
      </c>
      <c r="F1283" s="4" t="str">
        <f>VLOOKUP(A1283,'Datos generales'!A:L,7,0)</f>
        <v>Muebles</v>
      </c>
      <c r="G1283" s="4">
        <v>2023</v>
      </c>
    </row>
    <row r="1284" spans="1:7" x14ac:dyDescent="0.25">
      <c r="A1284" t="s">
        <v>94</v>
      </c>
      <c r="B1284" s="4">
        <f>VLOOKUP(A1284,'Datos generales'!A:L,5,0)</f>
        <v>4</v>
      </c>
      <c r="C1284" s="4" t="str">
        <f>VLOOKUP(A1284,'Datos generales'!A:L,4,0)</f>
        <v>Webcam</v>
      </c>
      <c r="D1284" s="4">
        <f>VLOOKUP(A1284,'Datos generales'!A:L,6,0)</f>
        <v>262.82</v>
      </c>
      <c r="E1284" s="4">
        <f>VLOOKUP(A1284,'Datos generales'!A:L,12,0)</f>
        <v>262.82</v>
      </c>
      <c r="F1284" s="4" t="str">
        <f>VLOOKUP(A1284,'Datos generales'!A:L,7,0)</f>
        <v>Accesorios</v>
      </c>
      <c r="G1284" s="4">
        <v>2023</v>
      </c>
    </row>
    <row r="1285" spans="1:7" x14ac:dyDescent="0.25">
      <c r="A1285" t="s">
        <v>95</v>
      </c>
      <c r="B1285" s="4">
        <f>VLOOKUP(A1285,'Datos generales'!A:L,5,0)</f>
        <v>4</v>
      </c>
      <c r="C1285" s="4" t="str">
        <f>VLOOKUP(A1285,'Datos generales'!A:L,4,0)</f>
        <v>Impresora</v>
      </c>
      <c r="D1285" s="4">
        <f>VLOOKUP(A1285,'Datos generales'!A:L,6,0)</f>
        <v>1531.75</v>
      </c>
      <c r="E1285" s="4">
        <f>VLOOKUP(A1285,'Datos generales'!A:L,12,0)</f>
        <v>1531.75</v>
      </c>
      <c r="F1285" s="4" t="str">
        <f>VLOOKUP(A1285,'Datos generales'!A:L,7,0)</f>
        <v>Electrónica</v>
      </c>
      <c r="G1285" s="4">
        <v>2025</v>
      </c>
    </row>
    <row r="1286" spans="1:7" x14ac:dyDescent="0.25">
      <c r="A1286" t="s">
        <v>96</v>
      </c>
      <c r="B1286" s="4">
        <f>VLOOKUP(A1286,'Datos generales'!A:L,5,0)</f>
        <v>1</v>
      </c>
      <c r="C1286" s="4" t="str">
        <f>VLOOKUP(A1286,'Datos generales'!A:L,4,0)</f>
        <v>Impresora</v>
      </c>
      <c r="D1286" s="4">
        <f>VLOOKUP(A1286,'Datos generales'!A:L,6,0)</f>
        <v>503.84</v>
      </c>
      <c r="E1286" s="4">
        <f>VLOOKUP(A1286,'Datos generales'!A:L,12,0)</f>
        <v>503.84</v>
      </c>
      <c r="F1286" s="4" t="str">
        <f>VLOOKUP(A1286,'Datos generales'!A:L,7,0)</f>
        <v>Electrónica</v>
      </c>
      <c r="G1286" s="4">
        <v>2023</v>
      </c>
    </row>
    <row r="1287" spans="1:7" x14ac:dyDescent="0.25">
      <c r="A1287" t="s">
        <v>97</v>
      </c>
      <c r="B1287" s="4">
        <f>VLOOKUP(A1287,'Datos generales'!A:L,5,0)</f>
        <v>4</v>
      </c>
      <c r="C1287" s="4" t="str">
        <f>VLOOKUP(A1287,'Datos generales'!A:L,4,0)</f>
        <v>Laptop</v>
      </c>
      <c r="D1287" s="4">
        <f>VLOOKUP(A1287,'Datos generales'!A:L,6,0)</f>
        <v>1908.41</v>
      </c>
      <c r="E1287" s="4">
        <f>VLOOKUP(A1287,'Datos generales'!A:L,12,0)</f>
        <v>1908.41</v>
      </c>
      <c r="F1287" s="4" t="str">
        <f>VLOOKUP(A1287,'Datos generales'!A:L,7,0)</f>
        <v>Electrónica</v>
      </c>
      <c r="G1287" s="4">
        <v>2024</v>
      </c>
    </row>
    <row r="1288" spans="1:7" x14ac:dyDescent="0.25">
      <c r="A1288" t="s">
        <v>98</v>
      </c>
      <c r="B1288" s="4">
        <f>VLOOKUP(A1288,'Datos generales'!A:L,5,0)</f>
        <v>2</v>
      </c>
      <c r="C1288" s="4" t="str">
        <f>VLOOKUP(A1288,'Datos generales'!A:L,4,0)</f>
        <v>Impresora</v>
      </c>
      <c r="D1288" s="4">
        <f>VLOOKUP(A1288,'Datos generales'!A:L,6,0)</f>
        <v>114.6</v>
      </c>
      <c r="E1288" s="4">
        <f>VLOOKUP(A1288,'Datos generales'!A:L,12,0)</f>
        <v>114.6</v>
      </c>
      <c r="F1288" s="4" t="str">
        <f>VLOOKUP(A1288,'Datos generales'!A:L,7,0)</f>
        <v>Electrónica</v>
      </c>
      <c r="G1288" s="4">
        <v>2024</v>
      </c>
    </row>
    <row r="1289" spans="1:7" x14ac:dyDescent="0.25">
      <c r="A1289" t="s">
        <v>99</v>
      </c>
      <c r="B1289" s="4">
        <f>VLOOKUP(A1289,'Datos generales'!A:L,5,0)</f>
        <v>2</v>
      </c>
      <c r="C1289" s="4" t="str">
        <f>VLOOKUP(A1289,'Datos generales'!A:L,4,0)</f>
        <v>Impresora</v>
      </c>
      <c r="D1289" s="4">
        <f>VLOOKUP(A1289,'Datos generales'!A:L,6,0)</f>
        <v>595.78</v>
      </c>
      <c r="E1289" s="4">
        <f>VLOOKUP(A1289,'Datos generales'!A:L,12,0)</f>
        <v>595.78</v>
      </c>
      <c r="F1289" s="4" t="str">
        <f>VLOOKUP(A1289,'Datos generales'!A:L,7,0)</f>
        <v>Electrónica</v>
      </c>
      <c r="G1289" s="4">
        <v>2023</v>
      </c>
    </row>
    <row r="1290" spans="1:7" x14ac:dyDescent="0.25">
      <c r="A1290" t="s">
        <v>100</v>
      </c>
      <c r="B1290" s="4">
        <f>VLOOKUP(A1290,'Datos generales'!A:L,5,0)</f>
        <v>2</v>
      </c>
      <c r="C1290" s="4" t="str">
        <f>VLOOKUP(A1290,'Datos generales'!A:L,4,0)</f>
        <v>Laptop</v>
      </c>
      <c r="D1290" s="4">
        <f>VLOOKUP(A1290,'Datos generales'!A:L,6,0)</f>
        <v>75.02</v>
      </c>
      <c r="E1290" s="4">
        <f>VLOOKUP(A1290,'Datos generales'!A:L,12,0)</f>
        <v>75.02</v>
      </c>
      <c r="F1290" s="4" t="str">
        <f>VLOOKUP(A1290,'Datos generales'!A:L,7,0)</f>
        <v>Electrónica</v>
      </c>
      <c r="G1290" s="4">
        <v>2024</v>
      </c>
    </row>
    <row r="1291" spans="1:7" x14ac:dyDescent="0.25">
      <c r="A1291" t="s">
        <v>101</v>
      </c>
      <c r="B1291" s="4">
        <f>VLOOKUP(A1291,'Datos generales'!A:L,5,0)</f>
        <v>5</v>
      </c>
      <c r="C1291" s="4" t="str">
        <f>VLOOKUP(A1291,'Datos generales'!A:L,4,0)</f>
        <v>Webcam</v>
      </c>
      <c r="D1291" s="4">
        <f>VLOOKUP(A1291,'Datos generales'!A:L,6,0)</f>
        <v>540.91999999999996</v>
      </c>
      <c r="E1291" s="4">
        <f>VLOOKUP(A1291,'Datos generales'!A:L,12,0)</f>
        <v>540.91999999999996</v>
      </c>
      <c r="F1291" s="4" t="str">
        <f>VLOOKUP(A1291,'Datos generales'!A:L,7,0)</f>
        <v>Accesorios</v>
      </c>
      <c r="G1291" s="4">
        <v>2024</v>
      </c>
    </row>
    <row r="1292" spans="1:7" x14ac:dyDescent="0.25">
      <c r="A1292" t="s">
        <v>102</v>
      </c>
      <c r="B1292" s="4">
        <f>VLOOKUP(A1292,'Datos generales'!A:L,5,0)</f>
        <v>2</v>
      </c>
      <c r="C1292" s="4" t="str">
        <f>VLOOKUP(A1292,'Datos generales'!A:L,4,0)</f>
        <v>Monitor</v>
      </c>
      <c r="D1292" s="4">
        <f>VLOOKUP(A1292,'Datos generales'!A:L,6,0)</f>
        <v>356.91</v>
      </c>
      <c r="E1292" s="4">
        <f>VLOOKUP(A1292,'Datos generales'!A:L,12,0)</f>
        <v>356.91</v>
      </c>
      <c r="F1292" s="4" t="str">
        <f>VLOOKUP(A1292,'Datos generales'!A:L,7,0)</f>
        <v>Electrónica</v>
      </c>
      <c r="G1292" s="4">
        <v>2025</v>
      </c>
    </row>
    <row r="1293" spans="1:7" x14ac:dyDescent="0.25">
      <c r="A1293" t="s">
        <v>103</v>
      </c>
      <c r="B1293" s="4">
        <f>VLOOKUP(A1293,'Datos generales'!A:L,5,0)</f>
        <v>3</v>
      </c>
      <c r="C1293" s="4" t="str">
        <f>VLOOKUP(A1293,'Datos generales'!A:L,4,0)</f>
        <v>Audífonos</v>
      </c>
      <c r="D1293" s="4">
        <f>VLOOKUP(A1293,'Datos generales'!A:L,6,0)</f>
        <v>1135.67</v>
      </c>
      <c r="E1293" s="4">
        <f>VLOOKUP(A1293,'Datos generales'!A:L,12,0)</f>
        <v>1135.67</v>
      </c>
      <c r="F1293" s="4" t="str">
        <f>VLOOKUP(A1293,'Datos generales'!A:L,7,0)</f>
        <v>Accesorios</v>
      </c>
      <c r="G1293" s="4">
        <v>2025</v>
      </c>
    </row>
    <row r="1294" spans="1:7" x14ac:dyDescent="0.25">
      <c r="A1294" t="s">
        <v>104</v>
      </c>
      <c r="B1294" s="4">
        <f>VLOOKUP(A1294,'Datos generales'!A:L,5,0)</f>
        <v>3</v>
      </c>
      <c r="C1294" s="4" t="str">
        <f>VLOOKUP(A1294,'Datos generales'!A:L,4,0)</f>
        <v>Impresora</v>
      </c>
      <c r="D1294" s="4">
        <f>VLOOKUP(A1294,'Datos generales'!A:L,6,0)</f>
        <v>805.69</v>
      </c>
      <c r="E1294" s="4">
        <f>VLOOKUP(A1294,'Datos generales'!A:L,12,0)</f>
        <v>805.69</v>
      </c>
      <c r="F1294" s="4" t="str">
        <f>VLOOKUP(A1294,'Datos generales'!A:L,7,0)</f>
        <v>Electrónica</v>
      </c>
      <c r="G1294" s="4">
        <v>2025</v>
      </c>
    </row>
    <row r="1295" spans="1:7" x14ac:dyDescent="0.25">
      <c r="A1295" t="s">
        <v>105</v>
      </c>
      <c r="B1295" s="4">
        <f>VLOOKUP(A1295,'Datos generales'!A:L,5,0)</f>
        <v>2</v>
      </c>
      <c r="C1295" s="4" t="str">
        <f>VLOOKUP(A1295,'Datos generales'!A:L,4,0)</f>
        <v>Laptop</v>
      </c>
      <c r="D1295" s="4">
        <f>VLOOKUP(A1295,'Datos generales'!A:L,6,0)</f>
        <v>1259.07</v>
      </c>
      <c r="E1295" s="4">
        <f>VLOOKUP(A1295,'Datos generales'!A:L,12,0)</f>
        <v>1259.07</v>
      </c>
      <c r="F1295" s="4" t="str">
        <f>VLOOKUP(A1295,'Datos generales'!A:L,7,0)</f>
        <v>Electrónica</v>
      </c>
      <c r="G1295" s="4">
        <v>2023</v>
      </c>
    </row>
    <row r="1296" spans="1:7" x14ac:dyDescent="0.25">
      <c r="A1296" t="s">
        <v>106</v>
      </c>
      <c r="B1296" s="4">
        <f>VLOOKUP(A1296,'Datos generales'!A:L,5,0)</f>
        <v>3</v>
      </c>
      <c r="C1296" s="4" t="str">
        <f>VLOOKUP(A1296,'Datos generales'!A:L,4,0)</f>
        <v>Mouse</v>
      </c>
      <c r="D1296" s="4">
        <f>VLOOKUP(A1296,'Datos generales'!A:L,6,0)</f>
        <v>600.4</v>
      </c>
      <c r="E1296" s="4">
        <f>VLOOKUP(A1296,'Datos generales'!A:L,12,0)</f>
        <v>600.4</v>
      </c>
      <c r="F1296" s="4" t="str">
        <f>VLOOKUP(A1296,'Datos generales'!A:L,7,0)</f>
        <v>Accesorios</v>
      </c>
      <c r="G1296" s="4">
        <v>2024</v>
      </c>
    </row>
    <row r="1297" spans="1:7" x14ac:dyDescent="0.25">
      <c r="A1297" t="s">
        <v>107</v>
      </c>
      <c r="B1297" s="4">
        <f>VLOOKUP(A1297,'Datos generales'!A:L,5,0)</f>
        <v>2</v>
      </c>
      <c r="C1297" s="4" t="str">
        <f>VLOOKUP(A1297,'Datos generales'!A:L,4,0)</f>
        <v>Silla Gamer</v>
      </c>
      <c r="D1297" s="4">
        <f>VLOOKUP(A1297,'Datos generales'!A:L,6,0)</f>
        <v>479.81</v>
      </c>
      <c r="E1297" s="4">
        <f>VLOOKUP(A1297,'Datos generales'!A:L,12,0)</f>
        <v>479.81</v>
      </c>
      <c r="F1297" s="4" t="str">
        <f>VLOOKUP(A1297,'Datos generales'!A:L,7,0)</f>
        <v>Muebles</v>
      </c>
      <c r="G1297" s="4">
        <v>2024</v>
      </c>
    </row>
    <row r="1298" spans="1:7" x14ac:dyDescent="0.25">
      <c r="A1298" t="s">
        <v>108</v>
      </c>
      <c r="B1298" s="4">
        <f>VLOOKUP(A1298,'Datos generales'!A:L,5,0)</f>
        <v>1</v>
      </c>
      <c r="C1298" s="4" t="str">
        <f>VLOOKUP(A1298,'Datos generales'!A:L,4,0)</f>
        <v>Webcam</v>
      </c>
      <c r="D1298" s="4">
        <f>VLOOKUP(A1298,'Datos generales'!A:L,6,0)</f>
        <v>1888.86</v>
      </c>
      <c r="E1298" s="4">
        <f>VLOOKUP(A1298,'Datos generales'!A:L,12,0)</f>
        <v>1888.86</v>
      </c>
      <c r="F1298" s="4" t="str">
        <f>VLOOKUP(A1298,'Datos generales'!A:L,7,0)</f>
        <v>Accesorios</v>
      </c>
      <c r="G1298" s="4">
        <v>2024</v>
      </c>
    </row>
    <row r="1299" spans="1:7" x14ac:dyDescent="0.25">
      <c r="A1299" t="s">
        <v>109</v>
      </c>
      <c r="B1299" s="4">
        <f>VLOOKUP(A1299,'Datos generales'!A:L,5,0)</f>
        <v>4</v>
      </c>
      <c r="C1299" s="4" t="str">
        <f>VLOOKUP(A1299,'Datos generales'!A:L,4,0)</f>
        <v>Laptop</v>
      </c>
      <c r="D1299" s="4">
        <f>VLOOKUP(A1299,'Datos generales'!A:L,6,0)</f>
        <v>1821.05</v>
      </c>
      <c r="E1299" s="4">
        <f>VLOOKUP(A1299,'Datos generales'!A:L,12,0)</f>
        <v>1821.05</v>
      </c>
      <c r="F1299" s="4" t="str">
        <f>VLOOKUP(A1299,'Datos generales'!A:L,7,0)</f>
        <v>Electrónica</v>
      </c>
      <c r="G1299" s="4">
        <v>2024</v>
      </c>
    </row>
    <row r="1300" spans="1:7" x14ac:dyDescent="0.25">
      <c r="A1300" t="s">
        <v>110</v>
      </c>
      <c r="B1300" s="4">
        <f>VLOOKUP(A1300,'Datos generales'!A:L,5,0)</f>
        <v>3</v>
      </c>
      <c r="C1300" s="4" t="str">
        <f>VLOOKUP(A1300,'Datos generales'!A:L,4,0)</f>
        <v>Mouse</v>
      </c>
      <c r="D1300" s="4">
        <f>VLOOKUP(A1300,'Datos generales'!A:L,6,0)</f>
        <v>1537.23</v>
      </c>
      <c r="E1300" s="4">
        <f>VLOOKUP(A1300,'Datos generales'!A:L,12,0)</f>
        <v>1537.23</v>
      </c>
      <c r="F1300" s="4" t="str">
        <f>VLOOKUP(A1300,'Datos generales'!A:L,7,0)</f>
        <v>Accesorios</v>
      </c>
      <c r="G1300" s="4">
        <v>2025</v>
      </c>
    </row>
    <row r="1301" spans="1:7" x14ac:dyDescent="0.25">
      <c r="A1301" t="s">
        <v>111</v>
      </c>
      <c r="B1301" s="4">
        <f>VLOOKUP(A1301,'Datos generales'!A:L,5,0)</f>
        <v>3</v>
      </c>
      <c r="C1301" s="4" t="str">
        <f>VLOOKUP(A1301,'Datos generales'!A:L,4,0)</f>
        <v>Silla Gamer</v>
      </c>
      <c r="D1301" s="4">
        <f>VLOOKUP(A1301,'Datos generales'!A:L,6,0)</f>
        <v>311.66000000000003</v>
      </c>
      <c r="E1301" s="4">
        <f>VLOOKUP(A1301,'Datos generales'!A:L,12,0)</f>
        <v>311.66000000000003</v>
      </c>
      <c r="F1301" s="4" t="str">
        <f>VLOOKUP(A1301,'Datos generales'!A:L,7,0)</f>
        <v>Muebles</v>
      </c>
      <c r="G1301" s="4">
        <v>2024</v>
      </c>
    </row>
    <row r="1302" spans="1:7" x14ac:dyDescent="0.25">
      <c r="A1302" t="s">
        <v>112</v>
      </c>
      <c r="B1302" s="4">
        <f>VLOOKUP(A1302,'Datos generales'!A:L,5,0)</f>
        <v>5</v>
      </c>
      <c r="C1302" s="4" t="str">
        <f>VLOOKUP(A1302,'Datos generales'!A:L,4,0)</f>
        <v>Teclado</v>
      </c>
      <c r="D1302" s="4">
        <f>VLOOKUP(A1302,'Datos generales'!A:L,6,0)</f>
        <v>149.09</v>
      </c>
      <c r="E1302" s="4">
        <f>VLOOKUP(A1302,'Datos generales'!A:L,12,0)</f>
        <v>149.09</v>
      </c>
      <c r="F1302" s="4" t="str">
        <f>VLOOKUP(A1302,'Datos generales'!A:L,7,0)</f>
        <v>Accesorios</v>
      </c>
      <c r="G1302" s="4">
        <v>2024</v>
      </c>
    </row>
    <row r="1303" spans="1:7" x14ac:dyDescent="0.25">
      <c r="A1303" t="s">
        <v>113</v>
      </c>
      <c r="B1303" s="4">
        <f>VLOOKUP(A1303,'Datos generales'!A:L,5,0)</f>
        <v>5</v>
      </c>
      <c r="C1303" s="4" t="str">
        <f>VLOOKUP(A1303,'Datos generales'!A:L,4,0)</f>
        <v>Laptop</v>
      </c>
      <c r="D1303" s="4">
        <f>VLOOKUP(A1303,'Datos generales'!A:L,6,0)</f>
        <v>1885.48</v>
      </c>
      <c r="E1303" s="4">
        <f>VLOOKUP(A1303,'Datos generales'!A:L,12,0)</f>
        <v>1885.48</v>
      </c>
      <c r="F1303" s="4" t="str">
        <f>VLOOKUP(A1303,'Datos generales'!A:L,7,0)</f>
        <v>Electrónica</v>
      </c>
      <c r="G1303" s="4">
        <v>2023</v>
      </c>
    </row>
    <row r="1304" spans="1:7" x14ac:dyDescent="0.25">
      <c r="A1304" t="s">
        <v>114</v>
      </c>
      <c r="B1304" s="4">
        <f>VLOOKUP(A1304,'Datos generales'!A:L,5,0)</f>
        <v>3</v>
      </c>
      <c r="C1304" s="4" t="str">
        <f>VLOOKUP(A1304,'Datos generales'!A:L,4,0)</f>
        <v>Webcam</v>
      </c>
      <c r="D1304" s="4">
        <f>VLOOKUP(A1304,'Datos generales'!A:L,6,0)</f>
        <v>1591.92</v>
      </c>
      <c r="E1304" s="4">
        <f>VLOOKUP(A1304,'Datos generales'!A:L,12,0)</f>
        <v>1591.92</v>
      </c>
      <c r="F1304" s="4" t="str">
        <f>VLOOKUP(A1304,'Datos generales'!A:L,7,0)</f>
        <v>Accesorios</v>
      </c>
      <c r="G1304" s="4">
        <v>2023</v>
      </c>
    </row>
    <row r="1305" spans="1:7" x14ac:dyDescent="0.25">
      <c r="A1305" t="s">
        <v>115</v>
      </c>
      <c r="B1305" s="4">
        <f>VLOOKUP(A1305,'Datos generales'!A:L,5,0)</f>
        <v>5</v>
      </c>
      <c r="C1305" s="4" t="str">
        <f>VLOOKUP(A1305,'Datos generales'!A:L,4,0)</f>
        <v>Webcam</v>
      </c>
      <c r="D1305" s="4">
        <f>VLOOKUP(A1305,'Datos generales'!A:L,6,0)</f>
        <v>1383.33</v>
      </c>
      <c r="E1305" s="4">
        <f>VLOOKUP(A1305,'Datos generales'!A:L,12,0)</f>
        <v>1383.33</v>
      </c>
      <c r="F1305" s="4" t="str">
        <f>VLOOKUP(A1305,'Datos generales'!A:L,7,0)</f>
        <v>Accesorios</v>
      </c>
      <c r="G1305" s="4">
        <v>2025</v>
      </c>
    </row>
    <row r="1306" spans="1:7" x14ac:dyDescent="0.25">
      <c r="A1306" t="s">
        <v>116</v>
      </c>
      <c r="B1306" s="4">
        <f>VLOOKUP(A1306,'Datos generales'!A:L,5,0)</f>
        <v>2</v>
      </c>
      <c r="C1306" s="4" t="str">
        <f>VLOOKUP(A1306,'Datos generales'!A:L,4,0)</f>
        <v>Silla Gamer</v>
      </c>
      <c r="D1306" s="4">
        <f>VLOOKUP(A1306,'Datos generales'!A:L,6,0)</f>
        <v>1051.23</v>
      </c>
      <c r="E1306" s="4">
        <f>VLOOKUP(A1306,'Datos generales'!A:L,12,0)</f>
        <v>1051.23</v>
      </c>
      <c r="F1306" s="4" t="str">
        <f>VLOOKUP(A1306,'Datos generales'!A:L,7,0)</f>
        <v>Muebles</v>
      </c>
      <c r="G1306" s="4">
        <v>2025</v>
      </c>
    </row>
    <row r="1307" spans="1:7" x14ac:dyDescent="0.25">
      <c r="A1307" t="s">
        <v>117</v>
      </c>
      <c r="B1307" s="4">
        <f>VLOOKUP(A1307,'Datos generales'!A:L,5,0)</f>
        <v>4</v>
      </c>
      <c r="C1307" s="4" t="str">
        <f>VLOOKUP(A1307,'Datos generales'!A:L,4,0)</f>
        <v>Audífonos</v>
      </c>
      <c r="D1307" s="4">
        <f>VLOOKUP(A1307,'Datos generales'!A:L,6,0)</f>
        <v>1274.46</v>
      </c>
      <c r="E1307" s="4">
        <f>VLOOKUP(A1307,'Datos generales'!A:L,12,0)</f>
        <v>1274.46</v>
      </c>
      <c r="F1307" s="4" t="str">
        <f>VLOOKUP(A1307,'Datos generales'!A:L,7,0)</f>
        <v>Accesorios</v>
      </c>
      <c r="G1307" s="4">
        <v>2023</v>
      </c>
    </row>
    <row r="1308" spans="1:7" x14ac:dyDescent="0.25">
      <c r="A1308" t="s">
        <v>118</v>
      </c>
      <c r="B1308" s="4">
        <f>VLOOKUP(A1308,'Datos generales'!A:L,5,0)</f>
        <v>1</v>
      </c>
      <c r="C1308" s="4" t="str">
        <f>VLOOKUP(A1308,'Datos generales'!A:L,4,0)</f>
        <v>Monitor</v>
      </c>
      <c r="D1308" s="4">
        <f>VLOOKUP(A1308,'Datos generales'!A:L,6,0)</f>
        <v>1251.08</v>
      </c>
      <c r="E1308" s="4">
        <f>VLOOKUP(A1308,'Datos generales'!A:L,12,0)</f>
        <v>1251.08</v>
      </c>
      <c r="F1308" s="4" t="str">
        <f>VLOOKUP(A1308,'Datos generales'!A:L,7,0)</f>
        <v>Electrónica</v>
      </c>
      <c r="G1308" s="4">
        <v>2025</v>
      </c>
    </row>
    <row r="1309" spans="1:7" x14ac:dyDescent="0.25">
      <c r="A1309" t="s">
        <v>119</v>
      </c>
      <c r="B1309" s="4">
        <f>VLOOKUP(A1309,'Datos generales'!A:L,5,0)</f>
        <v>5</v>
      </c>
      <c r="C1309" s="4" t="str">
        <f>VLOOKUP(A1309,'Datos generales'!A:L,4,0)</f>
        <v>Audífonos</v>
      </c>
      <c r="D1309" s="4">
        <f>VLOOKUP(A1309,'Datos generales'!A:L,6,0)</f>
        <v>1582.2</v>
      </c>
      <c r="E1309" s="4">
        <f>VLOOKUP(A1309,'Datos generales'!A:L,12,0)</f>
        <v>1582.2</v>
      </c>
      <c r="F1309" s="4" t="str">
        <f>VLOOKUP(A1309,'Datos generales'!A:L,7,0)</f>
        <v>Accesorios</v>
      </c>
      <c r="G1309" s="4">
        <v>2025</v>
      </c>
    </row>
    <row r="1310" spans="1:7" x14ac:dyDescent="0.25">
      <c r="A1310" t="s">
        <v>120</v>
      </c>
      <c r="B1310" s="4">
        <f>VLOOKUP(A1310,'Datos generales'!A:L,5,0)</f>
        <v>1</v>
      </c>
      <c r="C1310" s="4" t="str">
        <f>VLOOKUP(A1310,'Datos generales'!A:L,4,0)</f>
        <v>Silla Gamer</v>
      </c>
      <c r="D1310" s="4">
        <f>VLOOKUP(A1310,'Datos generales'!A:L,6,0)</f>
        <v>81.92</v>
      </c>
      <c r="E1310" s="4">
        <f>VLOOKUP(A1310,'Datos generales'!A:L,12,0)</f>
        <v>81.92</v>
      </c>
      <c r="F1310" s="4" t="str">
        <f>VLOOKUP(A1310,'Datos generales'!A:L,7,0)</f>
        <v>Muebles</v>
      </c>
      <c r="G1310" s="4">
        <v>2023</v>
      </c>
    </row>
    <row r="1311" spans="1:7" x14ac:dyDescent="0.25">
      <c r="A1311" t="s">
        <v>121</v>
      </c>
      <c r="B1311" s="4">
        <f>VLOOKUP(A1311,'Datos generales'!A:L,5,0)</f>
        <v>1</v>
      </c>
      <c r="C1311" s="4" t="str">
        <f>VLOOKUP(A1311,'Datos generales'!A:L,4,0)</f>
        <v>Mouse</v>
      </c>
      <c r="D1311" s="4">
        <f>VLOOKUP(A1311,'Datos generales'!A:L,6,0)</f>
        <v>1153.31</v>
      </c>
      <c r="E1311" s="4">
        <f>VLOOKUP(A1311,'Datos generales'!A:L,12,0)</f>
        <v>1153.31</v>
      </c>
      <c r="F1311" s="4" t="str">
        <f>VLOOKUP(A1311,'Datos generales'!A:L,7,0)</f>
        <v>Accesorios</v>
      </c>
      <c r="G1311" s="4">
        <v>2024</v>
      </c>
    </row>
    <row r="1312" spans="1:7" x14ac:dyDescent="0.25">
      <c r="A1312" t="s">
        <v>122</v>
      </c>
      <c r="B1312" s="4">
        <f>VLOOKUP(A1312,'Datos generales'!A:L,5,0)</f>
        <v>3</v>
      </c>
      <c r="C1312" s="4" t="str">
        <f>VLOOKUP(A1312,'Datos generales'!A:L,4,0)</f>
        <v>Mouse</v>
      </c>
      <c r="D1312" s="4">
        <f>VLOOKUP(A1312,'Datos generales'!A:L,6,0)</f>
        <v>1078.08</v>
      </c>
      <c r="E1312" s="4">
        <f>VLOOKUP(A1312,'Datos generales'!A:L,12,0)</f>
        <v>1078.08</v>
      </c>
      <c r="F1312" s="4" t="str">
        <f>VLOOKUP(A1312,'Datos generales'!A:L,7,0)</f>
        <v>Accesorios</v>
      </c>
      <c r="G1312" s="4">
        <v>2025</v>
      </c>
    </row>
    <row r="1313" spans="1:7" x14ac:dyDescent="0.25">
      <c r="A1313" t="s">
        <v>123</v>
      </c>
      <c r="B1313" s="4">
        <f>VLOOKUP(A1313,'Datos generales'!A:L,5,0)</f>
        <v>1</v>
      </c>
      <c r="C1313" s="4" t="str">
        <f>VLOOKUP(A1313,'Datos generales'!A:L,4,0)</f>
        <v>Impresora</v>
      </c>
      <c r="D1313" s="4">
        <f>VLOOKUP(A1313,'Datos generales'!A:L,6,0)</f>
        <v>201.91</v>
      </c>
      <c r="E1313" s="4">
        <f>VLOOKUP(A1313,'Datos generales'!A:L,12,0)</f>
        <v>201.91</v>
      </c>
      <c r="F1313" s="4" t="str">
        <f>VLOOKUP(A1313,'Datos generales'!A:L,7,0)</f>
        <v>Electrónica</v>
      </c>
      <c r="G1313" s="4">
        <v>2024</v>
      </c>
    </row>
    <row r="1314" spans="1:7" x14ac:dyDescent="0.25">
      <c r="A1314" t="s">
        <v>124</v>
      </c>
      <c r="B1314" s="4">
        <f>VLOOKUP(A1314,'Datos generales'!A:L,5,0)</f>
        <v>3</v>
      </c>
      <c r="C1314" s="4" t="str">
        <f>VLOOKUP(A1314,'Datos generales'!A:L,4,0)</f>
        <v>Webcam</v>
      </c>
      <c r="D1314" s="4">
        <f>VLOOKUP(A1314,'Datos generales'!A:L,6,0)</f>
        <v>727.36</v>
      </c>
      <c r="E1314" s="4">
        <f>VLOOKUP(A1314,'Datos generales'!A:L,12,0)</f>
        <v>727.36</v>
      </c>
      <c r="F1314" s="4" t="str">
        <f>VLOOKUP(A1314,'Datos generales'!A:L,7,0)</f>
        <v>Accesorios</v>
      </c>
      <c r="G1314" s="4">
        <v>2024</v>
      </c>
    </row>
    <row r="1315" spans="1:7" x14ac:dyDescent="0.25">
      <c r="A1315" t="s">
        <v>125</v>
      </c>
      <c r="B1315" s="4">
        <f>VLOOKUP(A1315,'Datos generales'!A:L,5,0)</f>
        <v>3</v>
      </c>
      <c r="C1315" s="4" t="str">
        <f>VLOOKUP(A1315,'Datos generales'!A:L,4,0)</f>
        <v>Audífonos</v>
      </c>
      <c r="D1315" s="4">
        <f>VLOOKUP(A1315,'Datos generales'!A:L,6,0)</f>
        <v>1645.43</v>
      </c>
      <c r="E1315" s="4">
        <f>VLOOKUP(A1315,'Datos generales'!A:L,12,0)</f>
        <v>1645.43</v>
      </c>
      <c r="F1315" s="4" t="str">
        <f>VLOOKUP(A1315,'Datos generales'!A:L,7,0)</f>
        <v>Accesorios</v>
      </c>
      <c r="G1315" s="4">
        <v>2023</v>
      </c>
    </row>
    <row r="1316" spans="1:7" x14ac:dyDescent="0.25">
      <c r="A1316" t="s">
        <v>126</v>
      </c>
      <c r="B1316" s="4">
        <f>VLOOKUP(A1316,'Datos generales'!A:L,5,0)</f>
        <v>3</v>
      </c>
      <c r="C1316" s="4" t="str">
        <f>VLOOKUP(A1316,'Datos generales'!A:L,4,0)</f>
        <v>Laptop</v>
      </c>
      <c r="D1316" s="4">
        <f>VLOOKUP(A1316,'Datos generales'!A:L,6,0)</f>
        <v>420.05</v>
      </c>
      <c r="E1316" s="4">
        <f>VLOOKUP(A1316,'Datos generales'!A:L,12,0)</f>
        <v>420.05</v>
      </c>
      <c r="F1316" s="4" t="str">
        <f>VLOOKUP(A1316,'Datos generales'!A:L,7,0)</f>
        <v>Electrónica</v>
      </c>
      <c r="G1316" s="4">
        <v>2024</v>
      </c>
    </row>
    <row r="1317" spans="1:7" x14ac:dyDescent="0.25">
      <c r="A1317" t="s">
        <v>127</v>
      </c>
      <c r="B1317" s="4">
        <f>VLOOKUP(A1317,'Datos generales'!A:L,5,0)</f>
        <v>4</v>
      </c>
      <c r="C1317" s="4" t="str">
        <f>VLOOKUP(A1317,'Datos generales'!A:L,4,0)</f>
        <v>Silla Gamer</v>
      </c>
      <c r="D1317" s="4">
        <f>VLOOKUP(A1317,'Datos generales'!A:L,6,0)</f>
        <v>496.9</v>
      </c>
      <c r="E1317" s="4">
        <f>VLOOKUP(A1317,'Datos generales'!A:L,12,0)</f>
        <v>496.9</v>
      </c>
      <c r="F1317" s="4" t="str">
        <f>VLOOKUP(A1317,'Datos generales'!A:L,7,0)</f>
        <v>Muebles</v>
      </c>
      <c r="G1317" s="4">
        <v>2024</v>
      </c>
    </row>
    <row r="1318" spans="1:7" x14ac:dyDescent="0.25">
      <c r="A1318" t="s">
        <v>128</v>
      </c>
      <c r="B1318" s="4">
        <f>VLOOKUP(A1318,'Datos generales'!A:L,5,0)</f>
        <v>2</v>
      </c>
      <c r="C1318" s="4" t="str">
        <f>VLOOKUP(A1318,'Datos generales'!A:L,4,0)</f>
        <v>Teclado</v>
      </c>
      <c r="D1318" s="4">
        <f>VLOOKUP(A1318,'Datos generales'!A:L,6,0)</f>
        <v>721.56</v>
      </c>
      <c r="E1318" s="4">
        <f>VLOOKUP(A1318,'Datos generales'!A:L,12,0)</f>
        <v>721.56</v>
      </c>
      <c r="F1318" s="4" t="str">
        <f>VLOOKUP(A1318,'Datos generales'!A:L,7,0)</f>
        <v>Accesorios</v>
      </c>
      <c r="G1318" s="4">
        <v>2023</v>
      </c>
    </row>
    <row r="1319" spans="1:7" x14ac:dyDescent="0.25">
      <c r="A1319" t="s">
        <v>129</v>
      </c>
      <c r="B1319" s="4">
        <f>VLOOKUP(A1319,'Datos generales'!A:L,5,0)</f>
        <v>4</v>
      </c>
      <c r="C1319" s="4" t="str">
        <f>VLOOKUP(A1319,'Datos generales'!A:L,4,0)</f>
        <v>Audífonos</v>
      </c>
      <c r="D1319" s="4">
        <f>VLOOKUP(A1319,'Datos generales'!A:L,6,0)</f>
        <v>1353.9</v>
      </c>
      <c r="E1319" s="4">
        <f>VLOOKUP(A1319,'Datos generales'!A:L,12,0)</f>
        <v>1353.9</v>
      </c>
      <c r="F1319" s="4" t="str">
        <f>VLOOKUP(A1319,'Datos generales'!A:L,7,0)</f>
        <v>Accesorios</v>
      </c>
      <c r="G1319" s="4">
        <v>2023</v>
      </c>
    </row>
    <row r="1320" spans="1:7" x14ac:dyDescent="0.25">
      <c r="A1320" t="s">
        <v>130</v>
      </c>
      <c r="B1320" s="4">
        <f>VLOOKUP(A1320,'Datos generales'!A:L,5,0)</f>
        <v>2</v>
      </c>
      <c r="C1320" s="4" t="str">
        <f>VLOOKUP(A1320,'Datos generales'!A:L,4,0)</f>
        <v>Impresora</v>
      </c>
      <c r="D1320" s="4">
        <f>VLOOKUP(A1320,'Datos generales'!A:L,6,0)</f>
        <v>429.52</v>
      </c>
      <c r="E1320" s="4">
        <f>VLOOKUP(A1320,'Datos generales'!A:L,12,0)</f>
        <v>429.52</v>
      </c>
      <c r="F1320" s="4" t="str">
        <f>VLOOKUP(A1320,'Datos generales'!A:L,7,0)</f>
        <v>Electrónica</v>
      </c>
      <c r="G1320" s="4">
        <v>2024</v>
      </c>
    </row>
    <row r="1321" spans="1:7" x14ac:dyDescent="0.25">
      <c r="A1321" t="s">
        <v>131</v>
      </c>
      <c r="B1321" s="4">
        <f>VLOOKUP(A1321,'Datos generales'!A:L,5,0)</f>
        <v>2</v>
      </c>
      <c r="C1321" s="4" t="str">
        <f>VLOOKUP(A1321,'Datos generales'!A:L,4,0)</f>
        <v>Silla Gamer</v>
      </c>
      <c r="D1321" s="4">
        <f>VLOOKUP(A1321,'Datos generales'!A:L,6,0)</f>
        <v>1824.96</v>
      </c>
      <c r="E1321" s="4">
        <f>VLOOKUP(A1321,'Datos generales'!A:L,12,0)</f>
        <v>1824.96</v>
      </c>
      <c r="F1321" s="4" t="str">
        <f>VLOOKUP(A1321,'Datos generales'!A:L,7,0)</f>
        <v>Muebles</v>
      </c>
      <c r="G1321" s="4">
        <v>2024</v>
      </c>
    </row>
    <row r="1322" spans="1:7" x14ac:dyDescent="0.25">
      <c r="A1322" t="s">
        <v>132</v>
      </c>
      <c r="B1322" s="4">
        <f>VLOOKUP(A1322,'Datos generales'!A:L,5,0)</f>
        <v>5</v>
      </c>
      <c r="C1322" s="4" t="str">
        <f>VLOOKUP(A1322,'Datos generales'!A:L,4,0)</f>
        <v>Mouse</v>
      </c>
      <c r="D1322" s="4">
        <f>VLOOKUP(A1322,'Datos generales'!A:L,6,0)</f>
        <v>1059.81</v>
      </c>
      <c r="E1322" s="4">
        <f>VLOOKUP(A1322,'Datos generales'!A:L,12,0)</f>
        <v>1059.81</v>
      </c>
      <c r="F1322" s="4" t="str">
        <f>VLOOKUP(A1322,'Datos generales'!A:L,7,0)</f>
        <v>Accesorios</v>
      </c>
      <c r="G1322" s="4">
        <v>2024</v>
      </c>
    </row>
    <row r="1323" spans="1:7" x14ac:dyDescent="0.25">
      <c r="A1323" t="s">
        <v>133</v>
      </c>
      <c r="B1323" s="4">
        <f>VLOOKUP(A1323,'Datos generales'!A:L,5,0)</f>
        <v>4</v>
      </c>
      <c r="C1323" s="4" t="str">
        <f>VLOOKUP(A1323,'Datos generales'!A:L,4,0)</f>
        <v>Silla Gamer</v>
      </c>
      <c r="D1323" s="4">
        <f>VLOOKUP(A1323,'Datos generales'!A:L,6,0)</f>
        <v>46.39</v>
      </c>
      <c r="E1323" s="4">
        <f>VLOOKUP(A1323,'Datos generales'!A:L,12,0)</f>
        <v>46.39</v>
      </c>
      <c r="F1323" s="4" t="str">
        <f>VLOOKUP(A1323,'Datos generales'!A:L,7,0)</f>
        <v>Muebles</v>
      </c>
      <c r="G1323" s="4">
        <v>2023</v>
      </c>
    </row>
    <row r="1324" spans="1:7" x14ac:dyDescent="0.25">
      <c r="A1324" t="s">
        <v>134</v>
      </c>
      <c r="B1324" s="4">
        <f>VLOOKUP(A1324,'Datos generales'!A:L,5,0)</f>
        <v>1</v>
      </c>
      <c r="C1324" s="4" t="str">
        <f>VLOOKUP(A1324,'Datos generales'!A:L,4,0)</f>
        <v>Laptop</v>
      </c>
      <c r="D1324" s="4">
        <f>VLOOKUP(A1324,'Datos generales'!A:L,6,0)</f>
        <v>754.07</v>
      </c>
      <c r="E1324" s="4">
        <f>VLOOKUP(A1324,'Datos generales'!A:L,12,0)</f>
        <v>754.07</v>
      </c>
      <c r="F1324" s="4" t="str">
        <f>VLOOKUP(A1324,'Datos generales'!A:L,7,0)</f>
        <v>Electrónica</v>
      </c>
      <c r="G1324" s="4">
        <v>2023</v>
      </c>
    </row>
    <row r="1325" spans="1:7" x14ac:dyDescent="0.25">
      <c r="A1325" t="s">
        <v>135</v>
      </c>
      <c r="B1325" s="4">
        <f>VLOOKUP(A1325,'Datos generales'!A:L,5,0)</f>
        <v>1</v>
      </c>
      <c r="C1325" s="4" t="str">
        <f>VLOOKUP(A1325,'Datos generales'!A:L,4,0)</f>
        <v>Audífonos</v>
      </c>
      <c r="D1325" s="4">
        <f>VLOOKUP(A1325,'Datos generales'!A:L,6,0)</f>
        <v>1681.02</v>
      </c>
      <c r="E1325" s="4">
        <f>VLOOKUP(A1325,'Datos generales'!A:L,12,0)</f>
        <v>1681.02</v>
      </c>
      <c r="F1325" s="4" t="str">
        <f>VLOOKUP(A1325,'Datos generales'!A:L,7,0)</f>
        <v>Accesorios</v>
      </c>
      <c r="G1325" s="4">
        <v>2025</v>
      </c>
    </row>
    <row r="1326" spans="1:7" x14ac:dyDescent="0.25">
      <c r="A1326" t="s">
        <v>136</v>
      </c>
      <c r="B1326" s="4">
        <f>VLOOKUP(A1326,'Datos generales'!A:L,5,0)</f>
        <v>2</v>
      </c>
      <c r="C1326" s="4" t="str">
        <f>VLOOKUP(A1326,'Datos generales'!A:L,4,0)</f>
        <v>Monitor</v>
      </c>
      <c r="D1326" s="4">
        <f>VLOOKUP(A1326,'Datos generales'!A:L,6,0)</f>
        <v>1198.72</v>
      </c>
      <c r="E1326" s="4">
        <f>VLOOKUP(A1326,'Datos generales'!A:L,12,0)</f>
        <v>1198.72</v>
      </c>
      <c r="F1326" s="4" t="str">
        <f>VLOOKUP(A1326,'Datos generales'!A:L,7,0)</f>
        <v>Electrónica</v>
      </c>
      <c r="G1326" s="4">
        <v>2025</v>
      </c>
    </row>
    <row r="1327" spans="1:7" x14ac:dyDescent="0.25">
      <c r="A1327" t="s">
        <v>137</v>
      </c>
      <c r="B1327" s="4">
        <f>VLOOKUP(A1327,'Datos generales'!A:L,5,0)</f>
        <v>2</v>
      </c>
      <c r="C1327" s="4" t="str">
        <f>VLOOKUP(A1327,'Datos generales'!A:L,4,0)</f>
        <v>Audífonos</v>
      </c>
      <c r="D1327" s="4">
        <f>VLOOKUP(A1327,'Datos generales'!A:L,6,0)</f>
        <v>1040.2</v>
      </c>
      <c r="E1327" s="4">
        <f>VLOOKUP(A1327,'Datos generales'!A:L,12,0)</f>
        <v>1040.2</v>
      </c>
      <c r="F1327" s="4" t="str">
        <f>VLOOKUP(A1327,'Datos generales'!A:L,7,0)</f>
        <v>Accesorios</v>
      </c>
      <c r="G1327" s="4">
        <v>2023</v>
      </c>
    </row>
    <row r="1328" spans="1:7" x14ac:dyDescent="0.25">
      <c r="A1328" t="s">
        <v>138</v>
      </c>
      <c r="B1328" s="4">
        <f>VLOOKUP(A1328,'Datos generales'!A:L,5,0)</f>
        <v>3</v>
      </c>
      <c r="C1328" s="4" t="str">
        <f>VLOOKUP(A1328,'Datos generales'!A:L,4,0)</f>
        <v>Teclado</v>
      </c>
      <c r="D1328" s="4">
        <f>VLOOKUP(A1328,'Datos generales'!A:L,6,0)</f>
        <v>107.53</v>
      </c>
      <c r="E1328" s="4">
        <f>VLOOKUP(A1328,'Datos generales'!A:L,12,0)</f>
        <v>107.53</v>
      </c>
      <c r="F1328" s="4" t="str">
        <f>VLOOKUP(A1328,'Datos generales'!A:L,7,0)</f>
        <v>Accesorios</v>
      </c>
      <c r="G1328" s="4">
        <v>2025</v>
      </c>
    </row>
    <row r="1329" spans="1:7" x14ac:dyDescent="0.25">
      <c r="A1329" t="s">
        <v>139</v>
      </c>
      <c r="B1329" s="4">
        <f>VLOOKUP(A1329,'Datos generales'!A:L,5,0)</f>
        <v>4</v>
      </c>
      <c r="C1329" s="4" t="str">
        <f>VLOOKUP(A1329,'Datos generales'!A:L,4,0)</f>
        <v>Impresora</v>
      </c>
      <c r="D1329" s="4">
        <f>VLOOKUP(A1329,'Datos generales'!A:L,6,0)</f>
        <v>380.66</v>
      </c>
      <c r="E1329" s="4">
        <f>VLOOKUP(A1329,'Datos generales'!A:L,12,0)</f>
        <v>380.66</v>
      </c>
      <c r="F1329" s="4" t="str">
        <f>VLOOKUP(A1329,'Datos generales'!A:L,7,0)</f>
        <v>Electrónica</v>
      </c>
      <c r="G1329" s="4">
        <v>2025</v>
      </c>
    </row>
    <row r="1330" spans="1:7" x14ac:dyDescent="0.25">
      <c r="A1330" t="s">
        <v>140</v>
      </c>
      <c r="B1330" s="4">
        <f>VLOOKUP(A1330,'Datos generales'!A:L,5,0)</f>
        <v>2</v>
      </c>
      <c r="C1330" s="4" t="str">
        <f>VLOOKUP(A1330,'Datos generales'!A:L,4,0)</f>
        <v>Monitor</v>
      </c>
      <c r="D1330" s="4">
        <f>VLOOKUP(A1330,'Datos generales'!A:L,6,0)</f>
        <v>700.11</v>
      </c>
      <c r="E1330" s="4">
        <f>VLOOKUP(A1330,'Datos generales'!A:L,12,0)</f>
        <v>700.11</v>
      </c>
      <c r="F1330" s="4" t="str">
        <f>VLOOKUP(A1330,'Datos generales'!A:L,7,0)</f>
        <v>Electrónica</v>
      </c>
      <c r="G1330" s="4">
        <v>2025</v>
      </c>
    </row>
    <row r="1331" spans="1:7" x14ac:dyDescent="0.25">
      <c r="A1331" t="s">
        <v>141</v>
      </c>
      <c r="B1331" s="4">
        <f>VLOOKUP(A1331,'Datos generales'!A:L,5,0)</f>
        <v>5</v>
      </c>
      <c r="C1331" s="4" t="str">
        <f>VLOOKUP(A1331,'Datos generales'!A:L,4,0)</f>
        <v>Impresora</v>
      </c>
      <c r="D1331" s="4">
        <f>VLOOKUP(A1331,'Datos generales'!A:L,6,0)</f>
        <v>358.48</v>
      </c>
      <c r="E1331" s="4">
        <f>VLOOKUP(A1331,'Datos generales'!A:L,12,0)</f>
        <v>358.48</v>
      </c>
      <c r="F1331" s="4" t="str">
        <f>VLOOKUP(A1331,'Datos generales'!A:L,7,0)</f>
        <v>Electrónica</v>
      </c>
      <c r="G1331" s="4">
        <v>2023</v>
      </c>
    </row>
    <row r="1332" spans="1:7" x14ac:dyDescent="0.25">
      <c r="A1332" t="s">
        <v>142</v>
      </c>
      <c r="B1332" s="4">
        <f>VLOOKUP(A1332,'Datos generales'!A:L,5,0)</f>
        <v>4</v>
      </c>
      <c r="C1332" s="4" t="str">
        <f>VLOOKUP(A1332,'Datos generales'!A:L,4,0)</f>
        <v>Silla Gamer</v>
      </c>
      <c r="D1332" s="4">
        <f>VLOOKUP(A1332,'Datos generales'!A:L,6,0)</f>
        <v>746.6</v>
      </c>
      <c r="E1332" s="4">
        <f>VLOOKUP(A1332,'Datos generales'!A:L,12,0)</f>
        <v>746.6</v>
      </c>
      <c r="F1332" s="4" t="str">
        <f>VLOOKUP(A1332,'Datos generales'!A:L,7,0)</f>
        <v>Muebles</v>
      </c>
      <c r="G1332" s="4">
        <v>2024</v>
      </c>
    </row>
    <row r="1333" spans="1:7" x14ac:dyDescent="0.25">
      <c r="A1333" t="s">
        <v>143</v>
      </c>
      <c r="B1333" s="4">
        <f>VLOOKUP(A1333,'Datos generales'!A:L,5,0)</f>
        <v>1</v>
      </c>
      <c r="C1333" s="4" t="str">
        <f>VLOOKUP(A1333,'Datos generales'!A:L,4,0)</f>
        <v>Laptop</v>
      </c>
      <c r="D1333" s="4">
        <f>VLOOKUP(A1333,'Datos generales'!A:L,6,0)</f>
        <v>751.43</v>
      </c>
      <c r="E1333" s="4">
        <f>VLOOKUP(A1333,'Datos generales'!A:L,12,0)</f>
        <v>751.43</v>
      </c>
      <c r="F1333" s="4" t="str">
        <f>VLOOKUP(A1333,'Datos generales'!A:L,7,0)</f>
        <v>Electrónica</v>
      </c>
      <c r="G1333" s="4">
        <v>2024</v>
      </c>
    </row>
    <row r="1334" spans="1:7" x14ac:dyDescent="0.25">
      <c r="A1334" t="s">
        <v>144</v>
      </c>
      <c r="B1334" s="4">
        <f>VLOOKUP(A1334,'Datos generales'!A:L,5,0)</f>
        <v>5</v>
      </c>
      <c r="C1334" s="4" t="str">
        <f>VLOOKUP(A1334,'Datos generales'!A:L,4,0)</f>
        <v>Mouse</v>
      </c>
      <c r="D1334" s="4">
        <f>VLOOKUP(A1334,'Datos generales'!A:L,6,0)</f>
        <v>1109.08</v>
      </c>
      <c r="E1334" s="4">
        <f>VLOOKUP(A1334,'Datos generales'!A:L,12,0)</f>
        <v>1109.08</v>
      </c>
      <c r="F1334" s="4" t="str">
        <f>VLOOKUP(A1334,'Datos generales'!A:L,7,0)</f>
        <v>Accesorios</v>
      </c>
      <c r="G1334" s="4">
        <v>2023</v>
      </c>
    </row>
    <row r="1335" spans="1:7" x14ac:dyDescent="0.25">
      <c r="A1335" t="s">
        <v>145</v>
      </c>
      <c r="B1335" s="4">
        <f>VLOOKUP(A1335,'Datos generales'!A:L,5,0)</f>
        <v>5</v>
      </c>
      <c r="C1335" s="4" t="str">
        <f>VLOOKUP(A1335,'Datos generales'!A:L,4,0)</f>
        <v>Monitor</v>
      </c>
      <c r="D1335" s="4">
        <f>VLOOKUP(A1335,'Datos generales'!A:L,6,0)</f>
        <v>642.74</v>
      </c>
      <c r="E1335" s="4">
        <f>VLOOKUP(A1335,'Datos generales'!A:L,12,0)</f>
        <v>642.74</v>
      </c>
      <c r="F1335" s="4" t="str">
        <f>VLOOKUP(A1335,'Datos generales'!A:L,7,0)</f>
        <v>Electrónica</v>
      </c>
      <c r="G1335" s="4">
        <v>2024</v>
      </c>
    </row>
    <row r="1336" spans="1:7" x14ac:dyDescent="0.25">
      <c r="A1336" t="s">
        <v>146</v>
      </c>
      <c r="B1336" s="4">
        <f>VLOOKUP(A1336,'Datos generales'!A:L,5,0)</f>
        <v>5</v>
      </c>
      <c r="C1336" s="4" t="str">
        <f>VLOOKUP(A1336,'Datos generales'!A:L,4,0)</f>
        <v>Audífonos</v>
      </c>
      <c r="D1336" s="4">
        <f>VLOOKUP(A1336,'Datos generales'!A:L,6,0)</f>
        <v>245.73</v>
      </c>
      <c r="E1336" s="4">
        <f>VLOOKUP(A1336,'Datos generales'!A:L,12,0)</f>
        <v>245.73</v>
      </c>
      <c r="F1336" s="4" t="str">
        <f>VLOOKUP(A1336,'Datos generales'!A:L,7,0)</f>
        <v>Accesorios</v>
      </c>
      <c r="G1336" s="4">
        <v>2024</v>
      </c>
    </row>
    <row r="1337" spans="1:7" x14ac:dyDescent="0.25">
      <c r="A1337" t="s">
        <v>147</v>
      </c>
      <c r="B1337" s="4">
        <f>VLOOKUP(A1337,'Datos generales'!A:L,5,0)</f>
        <v>3</v>
      </c>
      <c r="C1337" s="4" t="str">
        <f>VLOOKUP(A1337,'Datos generales'!A:L,4,0)</f>
        <v>Webcam</v>
      </c>
      <c r="D1337" s="4">
        <f>VLOOKUP(A1337,'Datos generales'!A:L,6,0)</f>
        <v>1782.13</v>
      </c>
      <c r="E1337" s="4">
        <f>VLOOKUP(A1337,'Datos generales'!A:L,12,0)</f>
        <v>1782.13</v>
      </c>
      <c r="F1337" s="4" t="str">
        <f>VLOOKUP(A1337,'Datos generales'!A:L,7,0)</f>
        <v>Accesorios</v>
      </c>
      <c r="G1337" s="4">
        <v>2023</v>
      </c>
    </row>
    <row r="1338" spans="1:7" x14ac:dyDescent="0.25">
      <c r="A1338" t="s">
        <v>148</v>
      </c>
      <c r="B1338" s="4">
        <f>VLOOKUP(A1338,'Datos generales'!A:L,5,0)</f>
        <v>5</v>
      </c>
      <c r="C1338" s="4" t="str">
        <f>VLOOKUP(A1338,'Datos generales'!A:L,4,0)</f>
        <v>Impresora</v>
      </c>
      <c r="D1338" s="4">
        <f>VLOOKUP(A1338,'Datos generales'!A:L,6,0)</f>
        <v>1137.1400000000001</v>
      </c>
      <c r="E1338" s="4">
        <f>VLOOKUP(A1338,'Datos generales'!A:L,12,0)</f>
        <v>1137.1400000000001</v>
      </c>
      <c r="F1338" s="4" t="str">
        <f>VLOOKUP(A1338,'Datos generales'!A:L,7,0)</f>
        <v>Electrónica</v>
      </c>
      <c r="G1338" s="4">
        <v>2024</v>
      </c>
    </row>
    <row r="1339" spans="1:7" x14ac:dyDescent="0.25">
      <c r="A1339" t="s">
        <v>149</v>
      </c>
      <c r="B1339" s="4">
        <f>VLOOKUP(A1339,'Datos generales'!A:L,5,0)</f>
        <v>4</v>
      </c>
      <c r="C1339" s="4" t="str">
        <f>VLOOKUP(A1339,'Datos generales'!A:L,4,0)</f>
        <v>Teclado</v>
      </c>
      <c r="D1339" s="4">
        <f>VLOOKUP(A1339,'Datos generales'!A:L,6,0)</f>
        <v>966.72</v>
      </c>
      <c r="E1339" s="4">
        <f>VLOOKUP(A1339,'Datos generales'!A:L,12,0)</f>
        <v>966.72</v>
      </c>
      <c r="F1339" s="4" t="str">
        <f>VLOOKUP(A1339,'Datos generales'!A:L,7,0)</f>
        <v>Accesorios</v>
      </c>
      <c r="G1339" s="4">
        <v>2024</v>
      </c>
    </row>
    <row r="1340" spans="1:7" x14ac:dyDescent="0.25">
      <c r="A1340" t="s">
        <v>150</v>
      </c>
      <c r="B1340" s="4">
        <f>VLOOKUP(A1340,'Datos generales'!A:L,5,0)</f>
        <v>5</v>
      </c>
      <c r="C1340" s="4" t="str">
        <f>VLOOKUP(A1340,'Datos generales'!A:L,4,0)</f>
        <v>Impresora</v>
      </c>
      <c r="D1340" s="4">
        <f>VLOOKUP(A1340,'Datos generales'!A:L,6,0)</f>
        <v>754.88</v>
      </c>
      <c r="E1340" s="4">
        <f>VLOOKUP(A1340,'Datos generales'!A:L,12,0)</f>
        <v>754.88</v>
      </c>
      <c r="F1340" s="4" t="str">
        <f>VLOOKUP(A1340,'Datos generales'!A:L,7,0)</f>
        <v>Electrónica</v>
      </c>
      <c r="G1340" s="4">
        <v>2024</v>
      </c>
    </row>
    <row r="1341" spans="1:7" x14ac:dyDescent="0.25">
      <c r="A1341" t="s">
        <v>151</v>
      </c>
      <c r="B1341" s="4">
        <f>VLOOKUP(A1341,'Datos generales'!A:L,5,0)</f>
        <v>4</v>
      </c>
      <c r="C1341" s="4" t="str">
        <f>VLOOKUP(A1341,'Datos generales'!A:L,4,0)</f>
        <v>Webcam</v>
      </c>
      <c r="D1341" s="4">
        <f>VLOOKUP(A1341,'Datos generales'!A:L,6,0)</f>
        <v>902.5</v>
      </c>
      <c r="E1341" s="4">
        <f>VLOOKUP(A1341,'Datos generales'!A:L,12,0)</f>
        <v>902.5</v>
      </c>
      <c r="F1341" s="4" t="str">
        <f>VLOOKUP(A1341,'Datos generales'!A:L,7,0)</f>
        <v>Accesorios</v>
      </c>
      <c r="G1341" s="4">
        <v>2025</v>
      </c>
    </row>
    <row r="1342" spans="1:7" x14ac:dyDescent="0.25">
      <c r="A1342" t="s">
        <v>152</v>
      </c>
      <c r="B1342" s="4">
        <f>VLOOKUP(A1342,'Datos generales'!A:L,5,0)</f>
        <v>2</v>
      </c>
      <c r="C1342" s="4" t="str">
        <f>VLOOKUP(A1342,'Datos generales'!A:L,4,0)</f>
        <v>Mouse</v>
      </c>
      <c r="D1342" s="4">
        <f>VLOOKUP(A1342,'Datos generales'!A:L,6,0)</f>
        <v>78.180000000000007</v>
      </c>
      <c r="E1342" s="4">
        <f>VLOOKUP(A1342,'Datos generales'!A:L,12,0)</f>
        <v>78.180000000000007</v>
      </c>
      <c r="F1342" s="4" t="str">
        <f>VLOOKUP(A1342,'Datos generales'!A:L,7,0)</f>
        <v>Accesorios</v>
      </c>
      <c r="G1342" s="4">
        <v>2025</v>
      </c>
    </row>
    <row r="1343" spans="1:7" x14ac:dyDescent="0.25">
      <c r="A1343" t="s">
        <v>153</v>
      </c>
      <c r="B1343" s="4">
        <f>VLOOKUP(A1343,'Datos generales'!A:L,5,0)</f>
        <v>2</v>
      </c>
      <c r="C1343" s="4" t="str">
        <f>VLOOKUP(A1343,'Datos generales'!A:L,4,0)</f>
        <v>Monitor</v>
      </c>
      <c r="D1343" s="4">
        <f>VLOOKUP(A1343,'Datos generales'!A:L,6,0)</f>
        <v>1615.41</v>
      </c>
      <c r="E1343" s="4">
        <f>VLOOKUP(A1343,'Datos generales'!A:L,12,0)</f>
        <v>1615.41</v>
      </c>
      <c r="F1343" s="4" t="str">
        <f>VLOOKUP(A1343,'Datos generales'!A:L,7,0)</f>
        <v>Electrónica</v>
      </c>
      <c r="G1343" s="4">
        <v>2025</v>
      </c>
    </row>
    <row r="1344" spans="1:7" x14ac:dyDescent="0.25">
      <c r="A1344" t="s">
        <v>154</v>
      </c>
      <c r="B1344" s="4">
        <f>VLOOKUP(A1344,'Datos generales'!A:L,5,0)</f>
        <v>5</v>
      </c>
      <c r="C1344" s="4" t="str">
        <f>VLOOKUP(A1344,'Datos generales'!A:L,4,0)</f>
        <v>Monitor</v>
      </c>
      <c r="D1344" s="4">
        <f>VLOOKUP(A1344,'Datos generales'!A:L,6,0)</f>
        <v>149.54</v>
      </c>
      <c r="E1344" s="4">
        <f>VLOOKUP(A1344,'Datos generales'!A:L,12,0)</f>
        <v>149.54</v>
      </c>
      <c r="F1344" s="4" t="str">
        <f>VLOOKUP(A1344,'Datos generales'!A:L,7,0)</f>
        <v>Electrónica</v>
      </c>
      <c r="G1344" s="4">
        <v>2024</v>
      </c>
    </row>
    <row r="1345" spans="1:7" x14ac:dyDescent="0.25">
      <c r="A1345" t="s">
        <v>155</v>
      </c>
      <c r="B1345" s="4">
        <f>VLOOKUP(A1345,'Datos generales'!A:L,5,0)</f>
        <v>5</v>
      </c>
      <c r="C1345" s="4" t="str">
        <f>VLOOKUP(A1345,'Datos generales'!A:L,4,0)</f>
        <v>Teclado</v>
      </c>
      <c r="D1345" s="4">
        <f>VLOOKUP(A1345,'Datos generales'!A:L,6,0)</f>
        <v>955.39</v>
      </c>
      <c r="E1345" s="4">
        <f>VLOOKUP(A1345,'Datos generales'!A:L,12,0)</f>
        <v>955.39</v>
      </c>
      <c r="F1345" s="4" t="str">
        <f>VLOOKUP(A1345,'Datos generales'!A:L,7,0)</f>
        <v>Accesorios</v>
      </c>
      <c r="G1345" s="4">
        <v>2025</v>
      </c>
    </row>
    <row r="1346" spans="1:7" x14ac:dyDescent="0.25">
      <c r="A1346" t="s">
        <v>156</v>
      </c>
      <c r="B1346" s="4">
        <f>VLOOKUP(A1346,'Datos generales'!A:L,5,0)</f>
        <v>2</v>
      </c>
      <c r="C1346" s="4" t="str">
        <f>VLOOKUP(A1346,'Datos generales'!A:L,4,0)</f>
        <v>Silla Gamer</v>
      </c>
      <c r="D1346" s="4">
        <f>VLOOKUP(A1346,'Datos generales'!A:L,6,0)</f>
        <v>1963.63</v>
      </c>
      <c r="E1346" s="4">
        <f>VLOOKUP(A1346,'Datos generales'!A:L,12,0)</f>
        <v>1963.63</v>
      </c>
      <c r="F1346" s="4" t="str">
        <f>VLOOKUP(A1346,'Datos generales'!A:L,7,0)</f>
        <v>Muebles</v>
      </c>
      <c r="G1346" s="4">
        <v>2024</v>
      </c>
    </row>
    <row r="1347" spans="1:7" x14ac:dyDescent="0.25">
      <c r="A1347" t="s">
        <v>157</v>
      </c>
      <c r="B1347" s="4">
        <f>VLOOKUP(A1347,'Datos generales'!A:L,5,0)</f>
        <v>5</v>
      </c>
      <c r="C1347" s="4" t="str">
        <f>VLOOKUP(A1347,'Datos generales'!A:L,4,0)</f>
        <v>Webcam</v>
      </c>
      <c r="D1347" s="4">
        <f>VLOOKUP(A1347,'Datos generales'!A:L,6,0)</f>
        <v>1440.14</v>
      </c>
      <c r="E1347" s="4">
        <f>VLOOKUP(A1347,'Datos generales'!A:L,12,0)</f>
        <v>1440.14</v>
      </c>
      <c r="F1347" s="4" t="str">
        <f>VLOOKUP(A1347,'Datos generales'!A:L,7,0)</f>
        <v>Accesorios</v>
      </c>
      <c r="G1347" s="4">
        <v>2024</v>
      </c>
    </row>
    <row r="1348" spans="1:7" x14ac:dyDescent="0.25">
      <c r="A1348" t="s">
        <v>158</v>
      </c>
      <c r="B1348" s="4">
        <f>VLOOKUP(A1348,'Datos generales'!A:L,5,0)</f>
        <v>4</v>
      </c>
      <c r="C1348" s="4" t="str">
        <f>VLOOKUP(A1348,'Datos generales'!A:L,4,0)</f>
        <v>Monitor</v>
      </c>
      <c r="D1348" s="4">
        <f>VLOOKUP(A1348,'Datos generales'!A:L,6,0)</f>
        <v>283.7</v>
      </c>
      <c r="E1348" s="4">
        <f>VLOOKUP(A1348,'Datos generales'!A:L,12,0)</f>
        <v>283.7</v>
      </c>
      <c r="F1348" s="4" t="str">
        <f>VLOOKUP(A1348,'Datos generales'!A:L,7,0)</f>
        <v>Electrónica</v>
      </c>
      <c r="G1348" s="4">
        <v>2023</v>
      </c>
    </row>
    <row r="1349" spans="1:7" x14ac:dyDescent="0.25">
      <c r="A1349" t="s">
        <v>159</v>
      </c>
      <c r="B1349" s="4">
        <f>VLOOKUP(A1349,'Datos generales'!A:L,5,0)</f>
        <v>3</v>
      </c>
      <c r="C1349" s="4" t="str">
        <f>VLOOKUP(A1349,'Datos generales'!A:L,4,0)</f>
        <v>Impresora</v>
      </c>
      <c r="D1349" s="4">
        <f>VLOOKUP(A1349,'Datos generales'!A:L,6,0)</f>
        <v>687.51</v>
      </c>
      <c r="E1349" s="4">
        <f>VLOOKUP(A1349,'Datos generales'!A:L,12,0)</f>
        <v>687.50999999999988</v>
      </c>
      <c r="F1349" s="4" t="str">
        <f>VLOOKUP(A1349,'Datos generales'!A:L,7,0)</f>
        <v>Electrónica</v>
      </c>
      <c r="G1349" s="4">
        <v>2024</v>
      </c>
    </row>
    <row r="1350" spans="1:7" x14ac:dyDescent="0.25">
      <c r="A1350" t="s">
        <v>160</v>
      </c>
      <c r="B1350" s="4">
        <f>VLOOKUP(A1350,'Datos generales'!A:L,5,0)</f>
        <v>2</v>
      </c>
      <c r="C1350" s="4" t="str">
        <f>VLOOKUP(A1350,'Datos generales'!A:L,4,0)</f>
        <v>Webcam</v>
      </c>
      <c r="D1350" s="4">
        <f>VLOOKUP(A1350,'Datos generales'!A:L,6,0)</f>
        <v>282</v>
      </c>
      <c r="E1350" s="4">
        <f>VLOOKUP(A1350,'Datos generales'!A:L,12,0)</f>
        <v>282</v>
      </c>
      <c r="F1350" s="4" t="str">
        <f>VLOOKUP(A1350,'Datos generales'!A:L,7,0)</f>
        <v>Accesorios</v>
      </c>
      <c r="G1350" s="4">
        <v>2023</v>
      </c>
    </row>
    <row r="1351" spans="1:7" x14ac:dyDescent="0.25">
      <c r="A1351" t="s">
        <v>161</v>
      </c>
      <c r="B1351" s="4">
        <f>VLOOKUP(A1351,'Datos generales'!A:L,5,0)</f>
        <v>4</v>
      </c>
      <c r="C1351" s="4" t="str">
        <f>VLOOKUP(A1351,'Datos generales'!A:L,4,0)</f>
        <v>Impresora</v>
      </c>
      <c r="D1351" s="4">
        <f>VLOOKUP(A1351,'Datos generales'!A:L,6,0)</f>
        <v>1471.38</v>
      </c>
      <c r="E1351" s="4">
        <f>VLOOKUP(A1351,'Datos generales'!A:L,12,0)</f>
        <v>1471.38</v>
      </c>
      <c r="F1351" s="4" t="str">
        <f>VLOOKUP(A1351,'Datos generales'!A:L,7,0)</f>
        <v>Electrónica</v>
      </c>
      <c r="G1351" s="4">
        <v>2025</v>
      </c>
    </row>
    <row r="1352" spans="1:7" x14ac:dyDescent="0.25">
      <c r="A1352" t="s">
        <v>162</v>
      </c>
      <c r="B1352" s="4">
        <f>VLOOKUP(A1352,'Datos generales'!A:L,5,0)</f>
        <v>1</v>
      </c>
      <c r="C1352" s="4" t="str">
        <f>VLOOKUP(A1352,'Datos generales'!A:L,4,0)</f>
        <v>Webcam</v>
      </c>
      <c r="D1352" s="4">
        <f>VLOOKUP(A1352,'Datos generales'!A:L,6,0)</f>
        <v>1463.91</v>
      </c>
      <c r="E1352" s="4">
        <f>VLOOKUP(A1352,'Datos generales'!A:L,12,0)</f>
        <v>1463.91</v>
      </c>
      <c r="F1352" s="4" t="str">
        <f>VLOOKUP(A1352,'Datos generales'!A:L,7,0)</f>
        <v>Accesorios</v>
      </c>
      <c r="G1352" s="4">
        <v>2025</v>
      </c>
    </row>
    <row r="1353" spans="1:7" x14ac:dyDescent="0.25">
      <c r="A1353" t="s">
        <v>163</v>
      </c>
      <c r="B1353" s="4">
        <f>VLOOKUP(A1353,'Datos generales'!A:L,5,0)</f>
        <v>4</v>
      </c>
      <c r="C1353" s="4" t="str">
        <f>VLOOKUP(A1353,'Datos generales'!A:L,4,0)</f>
        <v>Teclado</v>
      </c>
      <c r="D1353" s="4">
        <f>VLOOKUP(A1353,'Datos generales'!A:L,6,0)</f>
        <v>1585.49</v>
      </c>
      <c r="E1353" s="4">
        <f>VLOOKUP(A1353,'Datos generales'!A:L,12,0)</f>
        <v>1585.49</v>
      </c>
      <c r="F1353" s="4" t="str">
        <f>VLOOKUP(A1353,'Datos generales'!A:L,7,0)</f>
        <v>Accesorios</v>
      </c>
      <c r="G1353" s="4">
        <v>2024</v>
      </c>
    </row>
    <row r="1354" spans="1:7" x14ac:dyDescent="0.25">
      <c r="A1354" t="s">
        <v>164</v>
      </c>
      <c r="B1354" s="4">
        <f>VLOOKUP(A1354,'Datos generales'!A:L,5,0)</f>
        <v>1</v>
      </c>
      <c r="C1354" s="4" t="str">
        <f>VLOOKUP(A1354,'Datos generales'!A:L,4,0)</f>
        <v>Teclado</v>
      </c>
      <c r="D1354" s="4">
        <f>VLOOKUP(A1354,'Datos generales'!A:L,6,0)</f>
        <v>662.17</v>
      </c>
      <c r="E1354" s="4">
        <f>VLOOKUP(A1354,'Datos generales'!A:L,12,0)</f>
        <v>662.17</v>
      </c>
      <c r="F1354" s="4" t="str">
        <f>VLOOKUP(A1354,'Datos generales'!A:L,7,0)</f>
        <v>Accesorios</v>
      </c>
      <c r="G1354" s="4">
        <v>2024</v>
      </c>
    </row>
    <row r="1355" spans="1:7" x14ac:dyDescent="0.25">
      <c r="A1355" t="s">
        <v>165</v>
      </c>
      <c r="B1355" s="4">
        <f>VLOOKUP(A1355,'Datos generales'!A:L,5,0)</f>
        <v>2</v>
      </c>
      <c r="C1355" s="4" t="str">
        <f>VLOOKUP(A1355,'Datos generales'!A:L,4,0)</f>
        <v>Webcam</v>
      </c>
      <c r="D1355" s="4">
        <f>VLOOKUP(A1355,'Datos generales'!A:L,6,0)</f>
        <v>136.68</v>
      </c>
      <c r="E1355" s="4">
        <f>VLOOKUP(A1355,'Datos generales'!A:L,12,0)</f>
        <v>136.68</v>
      </c>
      <c r="F1355" s="4" t="str">
        <f>VLOOKUP(A1355,'Datos generales'!A:L,7,0)</f>
        <v>Accesorios</v>
      </c>
      <c r="G1355" s="4">
        <v>2024</v>
      </c>
    </row>
    <row r="1356" spans="1:7" x14ac:dyDescent="0.25">
      <c r="A1356" t="s">
        <v>166</v>
      </c>
      <c r="B1356" s="4">
        <f>VLOOKUP(A1356,'Datos generales'!A:L,5,0)</f>
        <v>4</v>
      </c>
      <c r="C1356" s="4" t="str">
        <f>VLOOKUP(A1356,'Datos generales'!A:L,4,0)</f>
        <v>Impresora</v>
      </c>
      <c r="D1356" s="4">
        <f>VLOOKUP(A1356,'Datos generales'!A:L,6,0)</f>
        <v>118.64</v>
      </c>
      <c r="E1356" s="4">
        <f>VLOOKUP(A1356,'Datos generales'!A:L,12,0)</f>
        <v>118.64</v>
      </c>
      <c r="F1356" s="4" t="str">
        <f>VLOOKUP(A1356,'Datos generales'!A:L,7,0)</f>
        <v>Electrónica</v>
      </c>
      <c r="G1356" s="4">
        <v>2025</v>
      </c>
    </row>
    <row r="1357" spans="1:7" x14ac:dyDescent="0.25">
      <c r="A1357" t="s">
        <v>167</v>
      </c>
      <c r="B1357" s="4">
        <f>VLOOKUP(A1357,'Datos generales'!A:L,5,0)</f>
        <v>3</v>
      </c>
      <c r="C1357" s="4" t="str">
        <f>VLOOKUP(A1357,'Datos generales'!A:L,4,0)</f>
        <v>Laptop</v>
      </c>
      <c r="D1357" s="4">
        <f>VLOOKUP(A1357,'Datos generales'!A:L,6,0)</f>
        <v>933.49</v>
      </c>
      <c r="E1357" s="4">
        <f>VLOOKUP(A1357,'Datos generales'!A:L,12,0)</f>
        <v>933.49000000000012</v>
      </c>
      <c r="F1357" s="4" t="str">
        <f>VLOOKUP(A1357,'Datos generales'!A:L,7,0)</f>
        <v>Electrónica</v>
      </c>
      <c r="G1357" s="4">
        <v>2024</v>
      </c>
    </row>
    <row r="1358" spans="1:7" x14ac:dyDescent="0.25">
      <c r="A1358" t="s">
        <v>168</v>
      </c>
      <c r="B1358" s="4">
        <f>VLOOKUP(A1358,'Datos generales'!A:L,5,0)</f>
        <v>2</v>
      </c>
      <c r="C1358" s="4" t="str">
        <f>VLOOKUP(A1358,'Datos generales'!A:L,4,0)</f>
        <v>Audífonos</v>
      </c>
      <c r="D1358" s="4">
        <f>VLOOKUP(A1358,'Datos generales'!A:L,6,0)</f>
        <v>1035.0899999999999</v>
      </c>
      <c r="E1358" s="4">
        <f>VLOOKUP(A1358,'Datos generales'!A:L,12,0)</f>
        <v>1035.0899999999999</v>
      </c>
      <c r="F1358" s="4" t="str">
        <f>VLOOKUP(A1358,'Datos generales'!A:L,7,0)</f>
        <v>Accesorios</v>
      </c>
      <c r="G1358" s="4">
        <v>2023</v>
      </c>
    </row>
    <row r="1359" spans="1:7" x14ac:dyDescent="0.25">
      <c r="A1359" t="s">
        <v>169</v>
      </c>
      <c r="B1359" s="4">
        <f>VLOOKUP(A1359,'Datos generales'!A:L,5,0)</f>
        <v>2</v>
      </c>
      <c r="C1359" s="4" t="str">
        <f>VLOOKUP(A1359,'Datos generales'!A:L,4,0)</f>
        <v>Impresora</v>
      </c>
      <c r="D1359" s="4">
        <f>VLOOKUP(A1359,'Datos generales'!A:L,6,0)</f>
        <v>1325.01</v>
      </c>
      <c r="E1359" s="4">
        <f>VLOOKUP(A1359,'Datos generales'!A:L,12,0)</f>
        <v>1325.01</v>
      </c>
      <c r="F1359" s="4" t="str">
        <f>VLOOKUP(A1359,'Datos generales'!A:L,7,0)</f>
        <v>Electrónica</v>
      </c>
      <c r="G1359" s="4">
        <v>2024</v>
      </c>
    </row>
    <row r="1360" spans="1:7" x14ac:dyDescent="0.25">
      <c r="A1360" t="s">
        <v>170</v>
      </c>
      <c r="B1360" s="4">
        <f>VLOOKUP(A1360,'Datos generales'!A:L,5,0)</f>
        <v>4</v>
      </c>
      <c r="C1360" s="4" t="str">
        <f>VLOOKUP(A1360,'Datos generales'!A:L,4,0)</f>
        <v>Teclado</v>
      </c>
      <c r="D1360" s="4">
        <f>VLOOKUP(A1360,'Datos generales'!A:L,6,0)</f>
        <v>710.84</v>
      </c>
      <c r="E1360" s="4">
        <f>VLOOKUP(A1360,'Datos generales'!A:L,12,0)</f>
        <v>710.84</v>
      </c>
      <c r="F1360" s="4" t="str">
        <f>VLOOKUP(A1360,'Datos generales'!A:L,7,0)</f>
        <v>Accesorios</v>
      </c>
      <c r="G1360" s="4">
        <v>2023</v>
      </c>
    </row>
    <row r="1361" spans="1:7" x14ac:dyDescent="0.25">
      <c r="A1361" t="s">
        <v>171</v>
      </c>
      <c r="B1361" s="4">
        <f>VLOOKUP(A1361,'Datos generales'!A:L,5,0)</f>
        <v>3</v>
      </c>
      <c r="C1361" s="4" t="str">
        <f>VLOOKUP(A1361,'Datos generales'!A:L,4,0)</f>
        <v>Silla Gamer</v>
      </c>
      <c r="D1361" s="4">
        <f>VLOOKUP(A1361,'Datos generales'!A:L,6,0)</f>
        <v>97.27</v>
      </c>
      <c r="E1361" s="4">
        <f>VLOOKUP(A1361,'Datos generales'!A:L,12,0)</f>
        <v>97.27</v>
      </c>
      <c r="F1361" s="4" t="str">
        <f>VLOOKUP(A1361,'Datos generales'!A:L,7,0)</f>
        <v>Muebles</v>
      </c>
      <c r="G1361" s="4">
        <v>2025</v>
      </c>
    </row>
    <row r="1362" spans="1:7" x14ac:dyDescent="0.25">
      <c r="A1362" t="s">
        <v>172</v>
      </c>
      <c r="B1362" s="4">
        <f>VLOOKUP(A1362,'Datos generales'!A:L,5,0)</f>
        <v>5</v>
      </c>
      <c r="C1362" s="4" t="str">
        <f>VLOOKUP(A1362,'Datos generales'!A:L,4,0)</f>
        <v>Impresora</v>
      </c>
      <c r="D1362" s="4">
        <f>VLOOKUP(A1362,'Datos generales'!A:L,6,0)</f>
        <v>498.36</v>
      </c>
      <c r="E1362" s="4">
        <f>VLOOKUP(A1362,'Datos generales'!A:L,12,0)</f>
        <v>498.36</v>
      </c>
      <c r="F1362" s="4" t="str">
        <f>VLOOKUP(A1362,'Datos generales'!A:L,7,0)</f>
        <v>Electrónica</v>
      </c>
      <c r="G1362" s="4">
        <v>2024</v>
      </c>
    </row>
    <row r="1363" spans="1:7" x14ac:dyDescent="0.25">
      <c r="A1363" t="s">
        <v>173</v>
      </c>
      <c r="B1363" s="4">
        <f>VLOOKUP(A1363,'Datos generales'!A:L,5,0)</f>
        <v>5</v>
      </c>
      <c r="C1363" s="4" t="str">
        <f>VLOOKUP(A1363,'Datos generales'!A:L,4,0)</f>
        <v>Silla Gamer</v>
      </c>
      <c r="D1363" s="4">
        <f>VLOOKUP(A1363,'Datos generales'!A:L,6,0)</f>
        <v>980.89</v>
      </c>
      <c r="E1363" s="4">
        <f>VLOOKUP(A1363,'Datos generales'!A:L,12,0)</f>
        <v>980.89</v>
      </c>
      <c r="F1363" s="4" t="str">
        <f>VLOOKUP(A1363,'Datos generales'!A:L,7,0)</f>
        <v>Muebles</v>
      </c>
      <c r="G1363" s="4">
        <v>2024</v>
      </c>
    </row>
    <row r="1364" spans="1:7" x14ac:dyDescent="0.25">
      <c r="A1364" t="s">
        <v>174</v>
      </c>
      <c r="B1364" s="4">
        <f>VLOOKUP(A1364,'Datos generales'!A:L,5,0)</f>
        <v>1</v>
      </c>
      <c r="C1364" s="4" t="str">
        <f>VLOOKUP(A1364,'Datos generales'!A:L,4,0)</f>
        <v>Teclado</v>
      </c>
      <c r="D1364" s="4">
        <f>VLOOKUP(A1364,'Datos generales'!A:L,6,0)</f>
        <v>1390.33</v>
      </c>
      <c r="E1364" s="4">
        <f>VLOOKUP(A1364,'Datos generales'!A:L,12,0)</f>
        <v>1390.33</v>
      </c>
      <c r="F1364" s="4" t="str">
        <f>VLOOKUP(A1364,'Datos generales'!A:L,7,0)</f>
        <v>Accesorios</v>
      </c>
      <c r="G1364" s="4">
        <v>2024</v>
      </c>
    </row>
    <row r="1365" spans="1:7" x14ac:dyDescent="0.25">
      <c r="A1365" t="s">
        <v>175</v>
      </c>
      <c r="B1365" s="4">
        <f>VLOOKUP(A1365,'Datos generales'!A:L,5,0)</f>
        <v>5</v>
      </c>
      <c r="C1365" s="4" t="str">
        <f>VLOOKUP(A1365,'Datos generales'!A:L,4,0)</f>
        <v>Laptop</v>
      </c>
      <c r="D1365" s="4">
        <f>VLOOKUP(A1365,'Datos generales'!A:L,6,0)</f>
        <v>1708.09</v>
      </c>
      <c r="E1365" s="4">
        <f>VLOOKUP(A1365,'Datos generales'!A:L,12,0)</f>
        <v>1708.09</v>
      </c>
      <c r="F1365" s="4" t="str">
        <f>VLOOKUP(A1365,'Datos generales'!A:L,7,0)</f>
        <v>Electrónica</v>
      </c>
      <c r="G1365" s="4">
        <v>2023</v>
      </c>
    </row>
    <row r="1366" spans="1:7" x14ac:dyDescent="0.25">
      <c r="A1366" t="s">
        <v>176</v>
      </c>
      <c r="B1366" s="4">
        <f>VLOOKUP(A1366,'Datos generales'!A:L,5,0)</f>
        <v>3</v>
      </c>
      <c r="C1366" s="4" t="str">
        <f>VLOOKUP(A1366,'Datos generales'!A:L,4,0)</f>
        <v>Audífonos</v>
      </c>
      <c r="D1366" s="4">
        <f>VLOOKUP(A1366,'Datos generales'!A:L,6,0)</f>
        <v>459.4</v>
      </c>
      <c r="E1366" s="4">
        <f>VLOOKUP(A1366,'Datos generales'!A:L,12,0)</f>
        <v>459.39999999999992</v>
      </c>
      <c r="F1366" s="4" t="str">
        <f>VLOOKUP(A1366,'Datos generales'!A:L,7,0)</f>
        <v>Accesorios</v>
      </c>
      <c r="G1366" s="4">
        <v>2023</v>
      </c>
    </row>
    <row r="1367" spans="1:7" x14ac:dyDescent="0.25">
      <c r="A1367" t="s">
        <v>177</v>
      </c>
      <c r="B1367" s="4">
        <f>VLOOKUP(A1367,'Datos generales'!A:L,5,0)</f>
        <v>1</v>
      </c>
      <c r="C1367" s="4" t="str">
        <f>VLOOKUP(A1367,'Datos generales'!A:L,4,0)</f>
        <v>Impresora</v>
      </c>
      <c r="D1367" s="4">
        <f>VLOOKUP(A1367,'Datos generales'!A:L,6,0)</f>
        <v>1578.33</v>
      </c>
      <c r="E1367" s="4">
        <f>VLOOKUP(A1367,'Datos generales'!A:L,12,0)</f>
        <v>1578.33</v>
      </c>
      <c r="F1367" s="4" t="str">
        <f>VLOOKUP(A1367,'Datos generales'!A:L,7,0)</f>
        <v>Electrónica</v>
      </c>
      <c r="G1367" s="4">
        <v>2023</v>
      </c>
    </row>
    <row r="1368" spans="1:7" x14ac:dyDescent="0.25">
      <c r="A1368" t="s">
        <v>178</v>
      </c>
      <c r="B1368" s="4">
        <f>VLOOKUP(A1368,'Datos generales'!A:L,5,0)</f>
        <v>5</v>
      </c>
      <c r="C1368" s="4" t="str">
        <f>VLOOKUP(A1368,'Datos generales'!A:L,4,0)</f>
        <v>Teclado</v>
      </c>
      <c r="D1368" s="4">
        <f>VLOOKUP(A1368,'Datos generales'!A:L,6,0)</f>
        <v>1602.39</v>
      </c>
      <c r="E1368" s="4">
        <f>VLOOKUP(A1368,'Datos generales'!A:L,12,0)</f>
        <v>1602.39</v>
      </c>
      <c r="F1368" s="4" t="str">
        <f>VLOOKUP(A1368,'Datos generales'!A:L,7,0)</f>
        <v>Accesorios</v>
      </c>
      <c r="G1368" s="4">
        <v>2024</v>
      </c>
    </row>
    <row r="1369" spans="1:7" x14ac:dyDescent="0.25">
      <c r="A1369" t="s">
        <v>179</v>
      </c>
      <c r="B1369" s="4">
        <f>VLOOKUP(A1369,'Datos generales'!A:L,5,0)</f>
        <v>2</v>
      </c>
      <c r="C1369" s="4" t="str">
        <f>VLOOKUP(A1369,'Datos generales'!A:L,4,0)</f>
        <v>Teclado</v>
      </c>
      <c r="D1369" s="4">
        <f>VLOOKUP(A1369,'Datos generales'!A:L,6,0)</f>
        <v>714.55</v>
      </c>
      <c r="E1369" s="4">
        <f>VLOOKUP(A1369,'Datos generales'!A:L,12,0)</f>
        <v>714.55</v>
      </c>
      <c r="F1369" s="4" t="str">
        <f>VLOOKUP(A1369,'Datos generales'!A:L,7,0)</f>
        <v>Accesorios</v>
      </c>
      <c r="G1369" s="4">
        <v>2023</v>
      </c>
    </row>
    <row r="1370" spans="1:7" x14ac:dyDescent="0.25">
      <c r="A1370" t="s">
        <v>180</v>
      </c>
      <c r="B1370" s="4">
        <f>VLOOKUP(A1370,'Datos generales'!A:L,5,0)</f>
        <v>2</v>
      </c>
      <c r="C1370" s="4" t="str">
        <f>VLOOKUP(A1370,'Datos generales'!A:L,4,0)</f>
        <v>Silla Gamer</v>
      </c>
      <c r="D1370" s="4">
        <f>VLOOKUP(A1370,'Datos generales'!A:L,6,0)</f>
        <v>140.54</v>
      </c>
      <c r="E1370" s="4">
        <f>VLOOKUP(A1370,'Datos generales'!A:L,12,0)</f>
        <v>140.54</v>
      </c>
      <c r="F1370" s="4" t="str">
        <f>VLOOKUP(A1370,'Datos generales'!A:L,7,0)</f>
        <v>Muebles</v>
      </c>
      <c r="G1370" s="4">
        <v>2025</v>
      </c>
    </row>
    <row r="1371" spans="1:7" x14ac:dyDescent="0.25">
      <c r="A1371" t="s">
        <v>181</v>
      </c>
      <c r="B1371" s="4">
        <f>VLOOKUP(A1371,'Datos generales'!A:L,5,0)</f>
        <v>5</v>
      </c>
      <c r="C1371" s="4" t="str">
        <f>VLOOKUP(A1371,'Datos generales'!A:L,4,0)</f>
        <v>Mouse</v>
      </c>
      <c r="D1371" s="4">
        <f>VLOOKUP(A1371,'Datos generales'!A:L,6,0)</f>
        <v>286.87</v>
      </c>
      <c r="E1371" s="4">
        <f>VLOOKUP(A1371,'Datos generales'!A:L,12,0)</f>
        <v>286.87</v>
      </c>
      <c r="F1371" s="4" t="str">
        <f>VLOOKUP(A1371,'Datos generales'!A:L,7,0)</f>
        <v>Accesorios</v>
      </c>
      <c r="G1371" s="4">
        <v>2024</v>
      </c>
    </row>
    <row r="1372" spans="1:7" x14ac:dyDescent="0.25">
      <c r="A1372" t="s">
        <v>182</v>
      </c>
      <c r="B1372" s="4">
        <f>VLOOKUP(A1372,'Datos generales'!A:L,5,0)</f>
        <v>5</v>
      </c>
      <c r="C1372" s="4" t="str">
        <f>VLOOKUP(A1372,'Datos generales'!A:L,4,0)</f>
        <v>Webcam</v>
      </c>
      <c r="D1372" s="4">
        <f>VLOOKUP(A1372,'Datos generales'!A:L,6,0)</f>
        <v>1897.97</v>
      </c>
      <c r="E1372" s="4">
        <f>VLOOKUP(A1372,'Datos generales'!A:L,12,0)</f>
        <v>1897.97</v>
      </c>
      <c r="F1372" s="4" t="str">
        <f>VLOOKUP(A1372,'Datos generales'!A:L,7,0)</f>
        <v>Accesorios</v>
      </c>
      <c r="G1372" s="4">
        <v>2024</v>
      </c>
    </row>
    <row r="1373" spans="1:7" x14ac:dyDescent="0.25">
      <c r="A1373" t="s">
        <v>183</v>
      </c>
      <c r="B1373" s="4">
        <f>VLOOKUP(A1373,'Datos generales'!A:L,5,0)</f>
        <v>2</v>
      </c>
      <c r="C1373" s="4" t="str">
        <f>VLOOKUP(A1373,'Datos generales'!A:L,4,0)</f>
        <v>Teclado</v>
      </c>
      <c r="D1373" s="4">
        <f>VLOOKUP(A1373,'Datos generales'!A:L,6,0)</f>
        <v>587.71</v>
      </c>
      <c r="E1373" s="4">
        <f>VLOOKUP(A1373,'Datos generales'!A:L,12,0)</f>
        <v>587.71</v>
      </c>
      <c r="F1373" s="4" t="str">
        <f>VLOOKUP(A1373,'Datos generales'!A:L,7,0)</f>
        <v>Accesorios</v>
      </c>
      <c r="G1373" s="4">
        <v>2024</v>
      </c>
    </row>
    <row r="1374" spans="1:7" x14ac:dyDescent="0.25">
      <c r="A1374" t="s">
        <v>184</v>
      </c>
      <c r="B1374" s="4">
        <f>VLOOKUP(A1374,'Datos generales'!A:L,5,0)</f>
        <v>4</v>
      </c>
      <c r="C1374" s="4" t="str">
        <f>VLOOKUP(A1374,'Datos generales'!A:L,4,0)</f>
        <v>Webcam</v>
      </c>
      <c r="D1374" s="4">
        <f>VLOOKUP(A1374,'Datos generales'!A:L,6,0)</f>
        <v>895.13</v>
      </c>
      <c r="E1374" s="4">
        <f>VLOOKUP(A1374,'Datos generales'!A:L,12,0)</f>
        <v>895.13</v>
      </c>
      <c r="F1374" s="4" t="str">
        <f>VLOOKUP(A1374,'Datos generales'!A:L,7,0)</f>
        <v>Accesorios</v>
      </c>
      <c r="G1374" s="4">
        <v>2023</v>
      </c>
    </row>
    <row r="1375" spans="1:7" x14ac:dyDescent="0.25">
      <c r="A1375" t="s">
        <v>185</v>
      </c>
      <c r="B1375" s="4">
        <f>VLOOKUP(A1375,'Datos generales'!A:L,5,0)</f>
        <v>3</v>
      </c>
      <c r="C1375" s="4" t="str">
        <f>VLOOKUP(A1375,'Datos generales'!A:L,4,0)</f>
        <v>Impresora</v>
      </c>
      <c r="D1375" s="4">
        <f>VLOOKUP(A1375,'Datos generales'!A:L,6,0)</f>
        <v>1457.35</v>
      </c>
      <c r="E1375" s="4">
        <f>VLOOKUP(A1375,'Datos generales'!A:L,12,0)</f>
        <v>1457.35</v>
      </c>
      <c r="F1375" s="4" t="str">
        <f>VLOOKUP(A1375,'Datos generales'!A:L,7,0)</f>
        <v>Electrónica</v>
      </c>
      <c r="G1375" s="4">
        <v>2024</v>
      </c>
    </row>
    <row r="1376" spans="1:7" x14ac:dyDescent="0.25">
      <c r="A1376" t="s">
        <v>186</v>
      </c>
      <c r="B1376" s="4">
        <f>VLOOKUP(A1376,'Datos generales'!A:L,5,0)</f>
        <v>3</v>
      </c>
      <c r="C1376" s="4" t="str">
        <f>VLOOKUP(A1376,'Datos generales'!A:L,4,0)</f>
        <v>Silla Gamer</v>
      </c>
      <c r="D1376" s="4">
        <f>VLOOKUP(A1376,'Datos generales'!A:L,6,0)</f>
        <v>1083.32</v>
      </c>
      <c r="E1376" s="4">
        <f>VLOOKUP(A1376,'Datos generales'!A:L,12,0)</f>
        <v>1083.32</v>
      </c>
      <c r="F1376" s="4" t="str">
        <f>VLOOKUP(A1376,'Datos generales'!A:L,7,0)</f>
        <v>Muebles</v>
      </c>
      <c r="G1376" s="4">
        <v>2024</v>
      </c>
    </row>
    <row r="1377" spans="1:7" x14ac:dyDescent="0.25">
      <c r="A1377" t="s">
        <v>187</v>
      </c>
      <c r="B1377" s="4">
        <f>VLOOKUP(A1377,'Datos generales'!A:L,5,0)</f>
        <v>3</v>
      </c>
      <c r="C1377" s="4" t="str">
        <f>VLOOKUP(A1377,'Datos generales'!A:L,4,0)</f>
        <v>Laptop</v>
      </c>
      <c r="D1377" s="4">
        <f>VLOOKUP(A1377,'Datos generales'!A:L,6,0)</f>
        <v>1542.71</v>
      </c>
      <c r="E1377" s="4">
        <f>VLOOKUP(A1377,'Datos generales'!A:L,12,0)</f>
        <v>1542.71</v>
      </c>
      <c r="F1377" s="4" t="str">
        <f>VLOOKUP(A1377,'Datos generales'!A:L,7,0)</f>
        <v>Electrónica</v>
      </c>
      <c r="G1377" s="4">
        <v>2025</v>
      </c>
    </row>
    <row r="1378" spans="1:7" x14ac:dyDescent="0.25">
      <c r="A1378" t="s">
        <v>188</v>
      </c>
      <c r="B1378" s="4">
        <f>VLOOKUP(A1378,'Datos generales'!A:L,5,0)</f>
        <v>5</v>
      </c>
      <c r="C1378" s="4" t="str">
        <f>VLOOKUP(A1378,'Datos generales'!A:L,4,0)</f>
        <v>Impresora</v>
      </c>
      <c r="D1378" s="4">
        <f>VLOOKUP(A1378,'Datos generales'!A:L,6,0)</f>
        <v>723.8</v>
      </c>
      <c r="E1378" s="4">
        <f>VLOOKUP(A1378,'Datos generales'!A:L,12,0)</f>
        <v>723.8</v>
      </c>
      <c r="F1378" s="4" t="str">
        <f>VLOOKUP(A1378,'Datos generales'!A:L,7,0)</f>
        <v>Electrónica</v>
      </c>
      <c r="G1378" s="4">
        <v>2025</v>
      </c>
    </row>
    <row r="1379" spans="1:7" x14ac:dyDescent="0.25">
      <c r="A1379" t="s">
        <v>189</v>
      </c>
      <c r="B1379" s="4">
        <f>VLOOKUP(A1379,'Datos generales'!A:L,5,0)</f>
        <v>5</v>
      </c>
      <c r="C1379" s="4" t="str">
        <f>VLOOKUP(A1379,'Datos generales'!A:L,4,0)</f>
        <v>Teclado</v>
      </c>
      <c r="D1379" s="4">
        <f>VLOOKUP(A1379,'Datos generales'!A:L,6,0)</f>
        <v>179.97</v>
      </c>
      <c r="E1379" s="4">
        <f>VLOOKUP(A1379,'Datos generales'!A:L,12,0)</f>
        <v>179.97</v>
      </c>
      <c r="F1379" s="4" t="str">
        <f>VLOOKUP(A1379,'Datos generales'!A:L,7,0)</f>
        <v>Accesorios</v>
      </c>
      <c r="G1379" s="4">
        <v>2023</v>
      </c>
    </row>
    <row r="1380" spans="1:7" x14ac:dyDescent="0.25">
      <c r="A1380" t="s">
        <v>190</v>
      </c>
      <c r="B1380" s="4">
        <f>VLOOKUP(A1380,'Datos generales'!A:L,5,0)</f>
        <v>1</v>
      </c>
      <c r="C1380" s="4" t="str">
        <f>VLOOKUP(A1380,'Datos generales'!A:L,4,0)</f>
        <v>Laptop</v>
      </c>
      <c r="D1380" s="4">
        <f>VLOOKUP(A1380,'Datos generales'!A:L,6,0)</f>
        <v>1318.43</v>
      </c>
      <c r="E1380" s="4">
        <f>VLOOKUP(A1380,'Datos generales'!A:L,12,0)</f>
        <v>1318.43</v>
      </c>
      <c r="F1380" s="4" t="str">
        <f>VLOOKUP(A1380,'Datos generales'!A:L,7,0)</f>
        <v>Electrónica</v>
      </c>
      <c r="G1380" s="4">
        <v>2024</v>
      </c>
    </row>
    <row r="1381" spans="1:7" x14ac:dyDescent="0.25">
      <c r="A1381" t="s">
        <v>191</v>
      </c>
      <c r="B1381" s="4">
        <f>VLOOKUP(A1381,'Datos generales'!A:L,5,0)</f>
        <v>2</v>
      </c>
      <c r="C1381" s="4" t="str">
        <f>VLOOKUP(A1381,'Datos generales'!A:L,4,0)</f>
        <v>Impresora</v>
      </c>
      <c r="D1381" s="4">
        <f>VLOOKUP(A1381,'Datos generales'!A:L,6,0)</f>
        <v>307.37</v>
      </c>
      <c r="E1381" s="4">
        <f>VLOOKUP(A1381,'Datos generales'!A:L,12,0)</f>
        <v>307.37</v>
      </c>
      <c r="F1381" s="4" t="str">
        <f>VLOOKUP(A1381,'Datos generales'!A:L,7,0)</f>
        <v>Electrónica</v>
      </c>
      <c r="G1381" s="4">
        <v>2023</v>
      </c>
    </row>
    <row r="1382" spans="1:7" x14ac:dyDescent="0.25">
      <c r="A1382" t="s">
        <v>192</v>
      </c>
      <c r="B1382" s="4">
        <f>VLOOKUP(A1382,'Datos generales'!A:L,5,0)</f>
        <v>1</v>
      </c>
      <c r="C1382" s="4" t="str">
        <f>VLOOKUP(A1382,'Datos generales'!A:L,4,0)</f>
        <v>Silla Gamer</v>
      </c>
      <c r="D1382" s="4">
        <f>VLOOKUP(A1382,'Datos generales'!A:L,6,0)</f>
        <v>1364.97</v>
      </c>
      <c r="E1382" s="4">
        <f>VLOOKUP(A1382,'Datos generales'!A:L,12,0)</f>
        <v>1364.97</v>
      </c>
      <c r="F1382" s="4" t="str">
        <f>VLOOKUP(A1382,'Datos generales'!A:L,7,0)</f>
        <v>Muebles</v>
      </c>
      <c r="G1382" s="4">
        <v>2023</v>
      </c>
    </row>
    <row r="1383" spans="1:7" x14ac:dyDescent="0.25">
      <c r="A1383" t="s">
        <v>193</v>
      </c>
      <c r="B1383" s="4">
        <f>VLOOKUP(A1383,'Datos generales'!A:L,5,0)</f>
        <v>3</v>
      </c>
      <c r="C1383" s="4" t="str">
        <f>VLOOKUP(A1383,'Datos generales'!A:L,4,0)</f>
        <v>Audífonos</v>
      </c>
      <c r="D1383" s="4">
        <f>VLOOKUP(A1383,'Datos generales'!A:L,6,0)</f>
        <v>244.23</v>
      </c>
      <c r="E1383" s="4">
        <f>VLOOKUP(A1383,'Datos generales'!A:L,12,0)</f>
        <v>244.23</v>
      </c>
      <c r="F1383" s="4" t="str">
        <f>VLOOKUP(A1383,'Datos generales'!A:L,7,0)</f>
        <v>Accesorios</v>
      </c>
      <c r="G1383" s="4">
        <v>2024</v>
      </c>
    </row>
    <row r="1384" spans="1:7" x14ac:dyDescent="0.25">
      <c r="A1384" t="s">
        <v>194</v>
      </c>
      <c r="B1384" s="4">
        <f>VLOOKUP(A1384,'Datos generales'!A:L,5,0)</f>
        <v>3</v>
      </c>
      <c r="C1384" s="4" t="str">
        <f>VLOOKUP(A1384,'Datos generales'!A:L,4,0)</f>
        <v>Webcam</v>
      </c>
      <c r="D1384" s="4">
        <f>VLOOKUP(A1384,'Datos generales'!A:L,6,0)</f>
        <v>245.64</v>
      </c>
      <c r="E1384" s="4">
        <f>VLOOKUP(A1384,'Datos generales'!A:L,12,0)</f>
        <v>245.64</v>
      </c>
      <c r="F1384" s="4" t="str">
        <f>VLOOKUP(A1384,'Datos generales'!A:L,7,0)</f>
        <v>Accesorios</v>
      </c>
      <c r="G1384" s="4">
        <v>2023</v>
      </c>
    </row>
    <row r="1385" spans="1:7" x14ac:dyDescent="0.25">
      <c r="A1385" t="s">
        <v>195</v>
      </c>
      <c r="B1385" s="4">
        <f>VLOOKUP(A1385,'Datos generales'!A:L,5,0)</f>
        <v>1</v>
      </c>
      <c r="C1385" s="4" t="str">
        <f>VLOOKUP(A1385,'Datos generales'!A:L,4,0)</f>
        <v>Webcam</v>
      </c>
      <c r="D1385" s="4">
        <f>VLOOKUP(A1385,'Datos generales'!A:L,6,0)</f>
        <v>1501.34</v>
      </c>
      <c r="E1385" s="4">
        <f>VLOOKUP(A1385,'Datos generales'!A:L,12,0)</f>
        <v>1501.34</v>
      </c>
      <c r="F1385" s="4" t="str">
        <f>VLOOKUP(A1385,'Datos generales'!A:L,7,0)</f>
        <v>Accesorios</v>
      </c>
      <c r="G1385" s="4">
        <v>2024</v>
      </c>
    </row>
    <row r="1386" spans="1:7" x14ac:dyDescent="0.25">
      <c r="A1386" t="s">
        <v>196</v>
      </c>
      <c r="B1386" s="4">
        <f>VLOOKUP(A1386,'Datos generales'!A:L,5,0)</f>
        <v>4</v>
      </c>
      <c r="C1386" s="4" t="str">
        <f>VLOOKUP(A1386,'Datos generales'!A:L,4,0)</f>
        <v>Teclado</v>
      </c>
      <c r="D1386" s="4">
        <f>VLOOKUP(A1386,'Datos generales'!A:L,6,0)</f>
        <v>995.18</v>
      </c>
      <c r="E1386" s="4">
        <f>VLOOKUP(A1386,'Datos generales'!A:L,12,0)</f>
        <v>995.18</v>
      </c>
      <c r="F1386" s="4" t="str">
        <f>VLOOKUP(A1386,'Datos generales'!A:L,7,0)</f>
        <v>Accesorios</v>
      </c>
      <c r="G1386" s="4">
        <v>2024</v>
      </c>
    </row>
    <row r="1387" spans="1:7" x14ac:dyDescent="0.25">
      <c r="A1387" t="s">
        <v>197</v>
      </c>
      <c r="B1387" s="4">
        <f>VLOOKUP(A1387,'Datos generales'!A:L,5,0)</f>
        <v>2</v>
      </c>
      <c r="C1387" s="4" t="str">
        <f>VLOOKUP(A1387,'Datos generales'!A:L,4,0)</f>
        <v>Teclado</v>
      </c>
      <c r="D1387" s="4">
        <f>VLOOKUP(A1387,'Datos generales'!A:L,6,0)</f>
        <v>1834.72</v>
      </c>
      <c r="E1387" s="4">
        <f>VLOOKUP(A1387,'Datos generales'!A:L,12,0)</f>
        <v>1834.72</v>
      </c>
      <c r="F1387" s="4" t="str">
        <f>VLOOKUP(A1387,'Datos generales'!A:L,7,0)</f>
        <v>Accesorios</v>
      </c>
      <c r="G1387" s="4">
        <v>2023</v>
      </c>
    </row>
    <row r="1388" spans="1:7" x14ac:dyDescent="0.25">
      <c r="A1388" t="s">
        <v>198</v>
      </c>
      <c r="B1388" s="4">
        <f>VLOOKUP(A1388,'Datos generales'!A:L,5,0)</f>
        <v>2</v>
      </c>
      <c r="C1388" s="4" t="str">
        <f>VLOOKUP(A1388,'Datos generales'!A:L,4,0)</f>
        <v>Audífonos</v>
      </c>
      <c r="D1388" s="4">
        <f>VLOOKUP(A1388,'Datos generales'!A:L,6,0)</f>
        <v>1942.31</v>
      </c>
      <c r="E1388" s="4">
        <f>VLOOKUP(A1388,'Datos generales'!A:L,12,0)</f>
        <v>1942.31</v>
      </c>
      <c r="F1388" s="4" t="str">
        <f>VLOOKUP(A1388,'Datos generales'!A:L,7,0)</f>
        <v>Accesorios</v>
      </c>
      <c r="G1388" s="4">
        <v>2024</v>
      </c>
    </row>
    <row r="1389" spans="1:7" x14ac:dyDescent="0.25">
      <c r="A1389" t="s">
        <v>199</v>
      </c>
      <c r="B1389" s="4">
        <f>VLOOKUP(A1389,'Datos generales'!A:L,5,0)</f>
        <v>3</v>
      </c>
      <c r="C1389" s="4" t="str">
        <f>VLOOKUP(A1389,'Datos generales'!A:L,4,0)</f>
        <v>Audífonos</v>
      </c>
      <c r="D1389" s="4">
        <f>VLOOKUP(A1389,'Datos generales'!A:L,6,0)</f>
        <v>1025.57</v>
      </c>
      <c r="E1389" s="4">
        <f>VLOOKUP(A1389,'Datos generales'!A:L,12,0)</f>
        <v>1025.57</v>
      </c>
      <c r="F1389" s="4" t="str">
        <f>VLOOKUP(A1389,'Datos generales'!A:L,7,0)</f>
        <v>Accesorios</v>
      </c>
      <c r="G1389" s="4">
        <v>2025</v>
      </c>
    </row>
    <row r="1390" spans="1:7" x14ac:dyDescent="0.25">
      <c r="A1390" t="s">
        <v>200</v>
      </c>
      <c r="B1390" s="4">
        <f>VLOOKUP(A1390,'Datos generales'!A:L,5,0)</f>
        <v>4</v>
      </c>
      <c r="C1390" s="4" t="str">
        <f>VLOOKUP(A1390,'Datos generales'!A:L,4,0)</f>
        <v>Impresora</v>
      </c>
      <c r="D1390" s="4">
        <f>VLOOKUP(A1390,'Datos generales'!A:L,6,0)</f>
        <v>555.19000000000005</v>
      </c>
      <c r="E1390" s="4">
        <f>VLOOKUP(A1390,'Datos generales'!A:L,12,0)</f>
        <v>555.19000000000005</v>
      </c>
      <c r="F1390" s="4" t="str">
        <f>VLOOKUP(A1390,'Datos generales'!A:L,7,0)</f>
        <v>Electrónica</v>
      </c>
      <c r="G1390" s="4">
        <v>2023</v>
      </c>
    </row>
    <row r="1391" spans="1:7" x14ac:dyDescent="0.25">
      <c r="A1391" t="s">
        <v>201</v>
      </c>
      <c r="B1391" s="4">
        <f>VLOOKUP(A1391,'Datos generales'!A:L,5,0)</f>
        <v>5</v>
      </c>
      <c r="C1391" s="4" t="str">
        <f>VLOOKUP(A1391,'Datos generales'!A:L,4,0)</f>
        <v>Silla Gamer</v>
      </c>
      <c r="D1391" s="4">
        <f>VLOOKUP(A1391,'Datos generales'!A:L,6,0)</f>
        <v>750.82</v>
      </c>
      <c r="E1391" s="4">
        <f>VLOOKUP(A1391,'Datos generales'!A:L,12,0)</f>
        <v>750.82</v>
      </c>
      <c r="F1391" s="4" t="str">
        <f>VLOOKUP(A1391,'Datos generales'!A:L,7,0)</f>
        <v>Muebles</v>
      </c>
      <c r="G1391" s="4">
        <v>2023</v>
      </c>
    </row>
    <row r="1392" spans="1:7" x14ac:dyDescent="0.25">
      <c r="A1392" t="s">
        <v>202</v>
      </c>
      <c r="B1392" s="4">
        <f>VLOOKUP(A1392,'Datos generales'!A:L,5,0)</f>
        <v>2</v>
      </c>
      <c r="C1392" s="4" t="str">
        <f>VLOOKUP(A1392,'Datos generales'!A:L,4,0)</f>
        <v>Impresora</v>
      </c>
      <c r="D1392" s="4">
        <f>VLOOKUP(A1392,'Datos generales'!A:L,6,0)</f>
        <v>1609.9</v>
      </c>
      <c r="E1392" s="4">
        <f>VLOOKUP(A1392,'Datos generales'!A:L,12,0)</f>
        <v>1609.9</v>
      </c>
      <c r="F1392" s="4" t="str">
        <f>VLOOKUP(A1392,'Datos generales'!A:L,7,0)</f>
        <v>Electrónica</v>
      </c>
      <c r="G1392" s="4">
        <v>2025</v>
      </c>
    </row>
    <row r="1393" spans="1:7" x14ac:dyDescent="0.25">
      <c r="A1393" t="s">
        <v>203</v>
      </c>
      <c r="B1393" s="4">
        <f>VLOOKUP(A1393,'Datos generales'!A:L,5,0)</f>
        <v>3</v>
      </c>
      <c r="C1393" s="4" t="str">
        <f>VLOOKUP(A1393,'Datos generales'!A:L,4,0)</f>
        <v>Silla Gamer</v>
      </c>
      <c r="D1393" s="4">
        <f>VLOOKUP(A1393,'Datos generales'!A:L,6,0)</f>
        <v>27.89</v>
      </c>
      <c r="E1393" s="4">
        <f>VLOOKUP(A1393,'Datos generales'!A:L,12,0)</f>
        <v>27.89</v>
      </c>
      <c r="F1393" s="4" t="str">
        <f>VLOOKUP(A1393,'Datos generales'!A:L,7,0)</f>
        <v>Muebles</v>
      </c>
      <c r="G1393" s="4">
        <v>2025</v>
      </c>
    </row>
    <row r="1394" spans="1:7" x14ac:dyDescent="0.25">
      <c r="A1394" t="s">
        <v>204</v>
      </c>
      <c r="B1394" s="4">
        <f>VLOOKUP(A1394,'Datos generales'!A:L,5,0)</f>
        <v>1</v>
      </c>
      <c r="C1394" s="4" t="str">
        <f>VLOOKUP(A1394,'Datos generales'!A:L,4,0)</f>
        <v>Audífonos</v>
      </c>
      <c r="D1394" s="4">
        <f>VLOOKUP(A1394,'Datos generales'!A:L,6,0)</f>
        <v>1700.54</v>
      </c>
      <c r="E1394" s="4">
        <f>VLOOKUP(A1394,'Datos generales'!A:L,12,0)</f>
        <v>1700.54</v>
      </c>
      <c r="F1394" s="4" t="str">
        <f>VLOOKUP(A1394,'Datos generales'!A:L,7,0)</f>
        <v>Accesorios</v>
      </c>
      <c r="G1394" s="4">
        <v>2025</v>
      </c>
    </row>
    <row r="1395" spans="1:7" x14ac:dyDescent="0.25">
      <c r="A1395" t="s">
        <v>205</v>
      </c>
      <c r="B1395" s="4">
        <f>VLOOKUP(A1395,'Datos generales'!A:L,5,0)</f>
        <v>3</v>
      </c>
      <c r="C1395" s="4" t="str">
        <f>VLOOKUP(A1395,'Datos generales'!A:L,4,0)</f>
        <v>Audífonos</v>
      </c>
      <c r="D1395" s="4">
        <f>VLOOKUP(A1395,'Datos generales'!A:L,6,0)</f>
        <v>473.4</v>
      </c>
      <c r="E1395" s="4">
        <f>VLOOKUP(A1395,'Datos generales'!A:L,12,0)</f>
        <v>473.39999999999992</v>
      </c>
      <c r="F1395" s="4" t="str">
        <f>VLOOKUP(A1395,'Datos generales'!A:L,7,0)</f>
        <v>Accesorios</v>
      </c>
      <c r="G1395" s="4">
        <v>2025</v>
      </c>
    </row>
    <row r="1396" spans="1:7" x14ac:dyDescent="0.25">
      <c r="A1396" t="s">
        <v>206</v>
      </c>
      <c r="B1396" s="4">
        <f>VLOOKUP(A1396,'Datos generales'!A:L,5,0)</f>
        <v>1</v>
      </c>
      <c r="C1396" s="4" t="str">
        <f>VLOOKUP(A1396,'Datos generales'!A:L,4,0)</f>
        <v>Impresora</v>
      </c>
      <c r="D1396" s="4">
        <f>VLOOKUP(A1396,'Datos generales'!A:L,6,0)</f>
        <v>521.32000000000005</v>
      </c>
      <c r="E1396" s="4">
        <f>VLOOKUP(A1396,'Datos generales'!A:L,12,0)</f>
        <v>521.32000000000005</v>
      </c>
      <c r="F1396" s="4" t="str">
        <f>VLOOKUP(A1396,'Datos generales'!A:L,7,0)</f>
        <v>Electrónica</v>
      </c>
      <c r="G1396" s="4">
        <v>2023</v>
      </c>
    </row>
    <row r="1397" spans="1:7" x14ac:dyDescent="0.25">
      <c r="A1397" t="s">
        <v>207</v>
      </c>
      <c r="B1397" s="4">
        <f>VLOOKUP(A1397,'Datos generales'!A:L,5,0)</f>
        <v>1</v>
      </c>
      <c r="C1397" s="4" t="str">
        <f>VLOOKUP(A1397,'Datos generales'!A:L,4,0)</f>
        <v>Teclado</v>
      </c>
      <c r="D1397" s="4">
        <f>VLOOKUP(A1397,'Datos generales'!A:L,6,0)</f>
        <v>1067.6400000000001</v>
      </c>
      <c r="E1397" s="4">
        <f>VLOOKUP(A1397,'Datos generales'!A:L,12,0)</f>
        <v>1067.6400000000001</v>
      </c>
      <c r="F1397" s="4" t="str">
        <f>VLOOKUP(A1397,'Datos generales'!A:L,7,0)</f>
        <v>Accesorios</v>
      </c>
      <c r="G1397" s="4">
        <v>2025</v>
      </c>
    </row>
    <row r="1398" spans="1:7" x14ac:dyDescent="0.25">
      <c r="A1398" t="s">
        <v>208</v>
      </c>
      <c r="B1398" s="4">
        <f>VLOOKUP(A1398,'Datos generales'!A:L,5,0)</f>
        <v>1</v>
      </c>
      <c r="C1398" s="4" t="str">
        <f>VLOOKUP(A1398,'Datos generales'!A:L,4,0)</f>
        <v>Mouse</v>
      </c>
      <c r="D1398" s="4">
        <f>VLOOKUP(A1398,'Datos generales'!A:L,6,0)</f>
        <v>1903.64</v>
      </c>
      <c r="E1398" s="4">
        <f>VLOOKUP(A1398,'Datos generales'!A:L,12,0)</f>
        <v>1903.64</v>
      </c>
      <c r="F1398" s="4" t="str">
        <f>VLOOKUP(A1398,'Datos generales'!A:L,7,0)</f>
        <v>Accesorios</v>
      </c>
      <c r="G1398" s="4">
        <v>2023</v>
      </c>
    </row>
    <row r="1399" spans="1:7" x14ac:dyDescent="0.25">
      <c r="A1399" t="s">
        <v>209</v>
      </c>
      <c r="B1399" s="4">
        <f>VLOOKUP(A1399,'Datos generales'!A:L,5,0)</f>
        <v>2</v>
      </c>
      <c r="C1399" s="4" t="str">
        <f>VLOOKUP(A1399,'Datos generales'!A:L,4,0)</f>
        <v>Silla Gamer</v>
      </c>
      <c r="D1399" s="4">
        <f>VLOOKUP(A1399,'Datos generales'!A:L,6,0)</f>
        <v>1460.16</v>
      </c>
      <c r="E1399" s="4">
        <f>VLOOKUP(A1399,'Datos generales'!A:L,12,0)</f>
        <v>1460.16</v>
      </c>
      <c r="F1399" s="4" t="str">
        <f>VLOOKUP(A1399,'Datos generales'!A:L,7,0)</f>
        <v>Muebles</v>
      </c>
      <c r="G1399" s="4">
        <v>2023</v>
      </c>
    </row>
    <row r="1400" spans="1:7" x14ac:dyDescent="0.25">
      <c r="A1400" t="s">
        <v>210</v>
      </c>
      <c r="B1400" s="4">
        <f>VLOOKUP(A1400,'Datos generales'!A:L,5,0)</f>
        <v>4</v>
      </c>
      <c r="C1400" s="4" t="str">
        <f>VLOOKUP(A1400,'Datos generales'!A:L,4,0)</f>
        <v>Monitor</v>
      </c>
      <c r="D1400" s="4">
        <f>VLOOKUP(A1400,'Datos generales'!A:L,6,0)</f>
        <v>847</v>
      </c>
      <c r="E1400" s="4">
        <f>VLOOKUP(A1400,'Datos generales'!A:L,12,0)</f>
        <v>847</v>
      </c>
      <c r="F1400" s="4" t="str">
        <f>VLOOKUP(A1400,'Datos generales'!A:L,7,0)</f>
        <v>Electrónica</v>
      </c>
      <c r="G1400" s="4">
        <v>2025</v>
      </c>
    </row>
    <row r="1401" spans="1:7" x14ac:dyDescent="0.25">
      <c r="A1401" t="s">
        <v>211</v>
      </c>
      <c r="B1401" s="4">
        <f>VLOOKUP(A1401,'Datos generales'!A:L,5,0)</f>
        <v>2</v>
      </c>
      <c r="C1401" s="4" t="str">
        <f>VLOOKUP(A1401,'Datos generales'!A:L,4,0)</f>
        <v>Mouse</v>
      </c>
      <c r="D1401" s="4">
        <f>VLOOKUP(A1401,'Datos generales'!A:L,6,0)</f>
        <v>1243.3399999999999</v>
      </c>
      <c r="E1401" s="4">
        <f>VLOOKUP(A1401,'Datos generales'!A:L,12,0)</f>
        <v>1243.3399999999999</v>
      </c>
      <c r="F1401" s="4" t="str">
        <f>VLOOKUP(A1401,'Datos generales'!A:L,7,0)</f>
        <v>Accesorios</v>
      </c>
      <c r="G1401" s="4">
        <v>2023</v>
      </c>
    </row>
    <row r="1402" spans="1:7" x14ac:dyDescent="0.25">
      <c r="A1402" t="s">
        <v>12</v>
      </c>
      <c r="B1402" s="4">
        <f>VLOOKUP(A1402,'Datos generales'!A:L,5,0)</f>
        <v>5</v>
      </c>
      <c r="C1402" s="4" t="str">
        <f>VLOOKUP(A1402,'Datos generales'!A:L,4,0)</f>
        <v>Monitor</v>
      </c>
      <c r="D1402" s="4">
        <f>VLOOKUP(A1402,'Datos generales'!A:L,6,0)</f>
        <v>1497.24</v>
      </c>
      <c r="E1402" s="4">
        <f>VLOOKUP(A1402,'Datos generales'!A:L,12,0)</f>
        <v>1497.24</v>
      </c>
      <c r="F1402" s="4" t="str">
        <f>VLOOKUP(A1402,'Datos generales'!A:L,7,0)</f>
        <v>Electrónica</v>
      </c>
      <c r="G1402" s="4">
        <v>2023</v>
      </c>
    </row>
    <row r="1403" spans="1:7" x14ac:dyDescent="0.25">
      <c r="A1403" t="s">
        <v>13</v>
      </c>
      <c r="B1403" s="4">
        <f>VLOOKUP(A1403,'Datos generales'!A:L,5,0)</f>
        <v>1</v>
      </c>
      <c r="C1403" s="4" t="str">
        <f>VLOOKUP(A1403,'Datos generales'!A:L,4,0)</f>
        <v>Monitor</v>
      </c>
      <c r="D1403" s="4">
        <f>VLOOKUP(A1403,'Datos generales'!A:L,6,0)</f>
        <v>1687.54</v>
      </c>
      <c r="E1403" s="4">
        <f>VLOOKUP(A1403,'Datos generales'!A:L,12,0)</f>
        <v>1687.54</v>
      </c>
      <c r="F1403" s="4" t="str">
        <f>VLOOKUP(A1403,'Datos generales'!A:L,7,0)</f>
        <v>Electrónica</v>
      </c>
      <c r="G1403" s="4">
        <v>2023</v>
      </c>
    </row>
    <row r="1404" spans="1:7" x14ac:dyDescent="0.25">
      <c r="A1404" t="s">
        <v>14</v>
      </c>
      <c r="B1404" s="4">
        <f>VLOOKUP(A1404,'Datos generales'!A:L,5,0)</f>
        <v>3</v>
      </c>
      <c r="C1404" s="4" t="str">
        <f>VLOOKUP(A1404,'Datos generales'!A:L,4,0)</f>
        <v>Teclado</v>
      </c>
      <c r="D1404" s="4">
        <f>VLOOKUP(A1404,'Datos generales'!A:L,6,0)</f>
        <v>768.8</v>
      </c>
      <c r="E1404" s="4">
        <f>VLOOKUP(A1404,'Datos generales'!A:L,12,0)</f>
        <v>768.79999999999984</v>
      </c>
      <c r="F1404" s="4" t="str">
        <f>VLOOKUP(A1404,'Datos generales'!A:L,7,0)</f>
        <v>Accesorios</v>
      </c>
      <c r="G1404" s="4">
        <v>2024</v>
      </c>
    </row>
    <row r="1405" spans="1:7" x14ac:dyDescent="0.25">
      <c r="A1405" t="s">
        <v>15</v>
      </c>
      <c r="B1405" s="4">
        <f>VLOOKUP(A1405,'Datos generales'!A:L,5,0)</f>
        <v>1</v>
      </c>
      <c r="C1405" s="4" t="str">
        <f>VLOOKUP(A1405,'Datos generales'!A:L,4,0)</f>
        <v>Silla Gamer</v>
      </c>
      <c r="D1405" s="4">
        <f>VLOOKUP(A1405,'Datos generales'!A:L,6,0)</f>
        <v>1532.67</v>
      </c>
      <c r="E1405" s="4">
        <f>VLOOKUP(A1405,'Datos generales'!A:L,12,0)</f>
        <v>1532.67</v>
      </c>
      <c r="F1405" s="4" t="str">
        <f>VLOOKUP(A1405,'Datos generales'!A:L,7,0)</f>
        <v>Muebles</v>
      </c>
      <c r="G1405" s="4">
        <v>2025</v>
      </c>
    </row>
    <row r="1406" spans="1:7" x14ac:dyDescent="0.25">
      <c r="A1406" t="s">
        <v>16</v>
      </c>
      <c r="B1406" s="4">
        <f>VLOOKUP(A1406,'Datos generales'!A:L,5,0)</f>
        <v>3</v>
      </c>
      <c r="C1406" s="4" t="str">
        <f>VLOOKUP(A1406,'Datos generales'!A:L,4,0)</f>
        <v>Silla Gamer</v>
      </c>
      <c r="D1406" s="4">
        <f>VLOOKUP(A1406,'Datos generales'!A:L,6,0)</f>
        <v>1709.47</v>
      </c>
      <c r="E1406" s="4">
        <f>VLOOKUP(A1406,'Datos generales'!A:L,12,0)</f>
        <v>1709.47</v>
      </c>
      <c r="F1406" s="4" t="str">
        <f>VLOOKUP(A1406,'Datos generales'!A:L,7,0)</f>
        <v>Muebles</v>
      </c>
      <c r="G1406" s="4">
        <v>2025</v>
      </c>
    </row>
    <row r="1407" spans="1:7" x14ac:dyDescent="0.25">
      <c r="A1407" t="s">
        <v>17</v>
      </c>
      <c r="B1407" s="4">
        <f>VLOOKUP(A1407,'Datos generales'!A:L,5,0)</f>
        <v>3</v>
      </c>
      <c r="C1407" s="4" t="str">
        <f>VLOOKUP(A1407,'Datos generales'!A:L,4,0)</f>
        <v>Impresora</v>
      </c>
      <c r="D1407" s="4">
        <f>VLOOKUP(A1407,'Datos generales'!A:L,6,0)</f>
        <v>297.54000000000002</v>
      </c>
      <c r="E1407" s="4">
        <f>VLOOKUP(A1407,'Datos generales'!A:L,12,0)</f>
        <v>297.54000000000002</v>
      </c>
      <c r="F1407" s="4" t="str">
        <f>VLOOKUP(A1407,'Datos generales'!A:L,7,0)</f>
        <v>Electrónica</v>
      </c>
      <c r="G1407" s="4">
        <v>2023</v>
      </c>
    </row>
    <row r="1408" spans="1:7" x14ac:dyDescent="0.25">
      <c r="A1408" t="s">
        <v>18</v>
      </c>
      <c r="B1408" s="4">
        <f>VLOOKUP(A1408,'Datos generales'!A:L,5,0)</f>
        <v>4</v>
      </c>
      <c r="C1408" s="4" t="str">
        <f>VLOOKUP(A1408,'Datos generales'!A:L,4,0)</f>
        <v>Webcam</v>
      </c>
      <c r="D1408" s="4">
        <f>VLOOKUP(A1408,'Datos generales'!A:L,6,0)</f>
        <v>1546.65</v>
      </c>
      <c r="E1408" s="4">
        <f>VLOOKUP(A1408,'Datos generales'!A:L,12,0)</f>
        <v>1546.65</v>
      </c>
      <c r="F1408" s="4" t="str">
        <f>VLOOKUP(A1408,'Datos generales'!A:L,7,0)</f>
        <v>Accesorios</v>
      </c>
      <c r="G1408" s="4">
        <v>2025</v>
      </c>
    </row>
    <row r="1409" spans="1:7" x14ac:dyDescent="0.25">
      <c r="A1409" t="s">
        <v>19</v>
      </c>
      <c r="B1409" s="4">
        <f>VLOOKUP(A1409,'Datos generales'!A:L,5,0)</f>
        <v>1</v>
      </c>
      <c r="C1409" s="4" t="str">
        <f>VLOOKUP(A1409,'Datos generales'!A:L,4,0)</f>
        <v>Monitor</v>
      </c>
      <c r="D1409" s="4">
        <f>VLOOKUP(A1409,'Datos generales'!A:L,6,0)</f>
        <v>1575.18</v>
      </c>
      <c r="E1409" s="4">
        <f>VLOOKUP(A1409,'Datos generales'!A:L,12,0)</f>
        <v>1575.18</v>
      </c>
      <c r="F1409" s="4" t="str">
        <f>VLOOKUP(A1409,'Datos generales'!A:L,7,0)</f>
        <v>Electrónica</v>
      </c>
      <c r="G1409" s="4">
        <v>2025</v>
      </c>
    </row>
    <row r="1410" spans="1:7" x14ac:dyDescent="0.25">
      <c r="A1410" t="s">
        <v>20</v>
      </c>
      <c r="B1410" s="4">
        <f>VLOOKUP(A1410,'Datos generales'!A:L,5,0)</f>
        <v>5</v>
      </c>
      <c r="C1410" s="4" t="str">
        <f>VLOOKUP(A1410,'Datos generales'!A:L,4,0)</f>
        <v>Laptop</v>
      </c>
      <c r="D1410" s="4">
        <f>VLOOKUP(A1410,'Datos generales'!A:L,6,0)</f>
        <v>1815.86</v>
      </c>
      <c r="E1410" s="4">
        <f>VLOOKUP(A1410,'Datos generales'!A:L,12,0)</f>
        <v>1815.86</v>
      </c>
      <c r="F1410" s="4" t="str">
        <f>VLOOKUP(A1410,'Datos generales'!A:L,7,0)</f>
        <v>Electrónica</v>
      </c>
      <c r="G1410" s="4">
        <v>2024</v>
      </c>
    </row>
    <row r="1411" spans="1:7" x14ac:dyDescent="0.25">
      <c r="A1411" t="s">
        <v>21</v>
      </c>
      <c r="B1411" s="4">
        <f>VLOOKUP(A1411,'Datos generales'!A:L,5,0)</f>
        <v>1</v>
      </c>
      <c r="C1411" s="4" t="str">
        <f>VLOOKUP(A1411,'Datos generales'!A:L,4,0)</f>
        <v>Monitor</v>
      </c>
      <c r="D1411" s="4">
        <f>VLOOKUP(A1411,'Datos generales'!A:L,6,0)</f>
        <v>564.11</v>
      </c>
      <c r="E1411" s="4">
        <f>VLOOKUP(A1411,'Datos generales'!A:L,12,0)</f>
        <v>564.11</v>
      </c>
      <c r="F1411" s="4" t="str">
        <f>VLOOKUP(A1411,'Datos generales'!A:L,7,0)</f>
        <v>Electrónica</v>
      </c>
      <c r="G1411" s="4">
        <v>2024</v>
      </c>
    </row>
    <row r="1412" spans="1:7" x14ac:dyDescent="0.25">
      <c r="A1412" t="s">
        <v>22</v>
      </c>
      <c r="B1412" s="4">
        <f>VLOOKUP(A1412,'Datos generales'!A:L,5,0)</f>
        <v>1</v>
      </c>
      <c r="C1412" s="4" t="str">
        <f>VLOOKUP(A1412,'Datos generales'!A:L,4,0)</f>
        <v>Laptop</v>
      </c>
      <c r="D1412" s="4">
        <f>VLOOKUP(A1412,'Datos generales'!A:L,6,0)</f>
        <v>454.9</v>
      </c>
      <c r="E1412" s="4">
        <f>VLOOKUP(A1412,'Datos generales'!A:L,12,0)</f>
        <v>454.9</v>
      </c>
      <c r="F1412" s="4" t="str">
        <f>VLOOKUP(A1412,'Datos generales'!A:L,7,0)</f>
        <v>Electrónica</v>
      </c>
      <c r="G1412" s="4">
        <v>2024</v>
      </c>
    </row>
    <row r="1413" spans="1:7" x14ac:dyDescent="0.25">
      <c r="A1413" t="s">
        <v>23</v>
      </c>
      <c r="B1413" s="4">
        <f>VLOOKUP(A1413,'Datos generales'!A:L,5,0)</f>
        <v>3</v>
      </c>
      <c r="C1413" s="4" t="str">
        <f>VLOOKUP(A1413,'Datos generales'!A:L,4,0)</f>
        <v>Mouse</v>
      </c>
      <c r="D1413" s="4">
        <f>VLOOKUP(A1413,'Datos generales'!A:L,6,0)</f>
        <v>1277.51</v>
      </c>
      <c r="E1413" s="4">
        <f>VLOOKUP(A1413,'Datos generales'!A:L,12,0)</f>
        <v>1277.51</v>
      </c>
      <c r="F1413" s="4" t="str">
        <f>VLOOKUP(A1413,'Datos generales'!A:L,7,0)</f>
        <v>Accesorios</v>
      </c>
      <c r="G1413" s="4">
        <v>2024</v>
      </c>
    </row>
    <row r="1414" spans="1:7" x14ac:dyDescent="0.25">
      <c r="A1414" t="s">
        <v>24</v>
      </c>
      <c r="B1414" s="4">
        <f>VLOOKUP(A1414,'Datos generales'!A:L,5,0)</f>
        <v>2</v>
      </c>
      <c r="C1414" s="4" t="str">
        <f>VLOOKUP(A1414,'Datos generales'!A:L,4,0)</f>
        <v>Silla Gamer</v>
      </c>
      <c r="D1414" s="4">
        <f>VLOOKUP(A1414,'Datos generales'!A:L,6,0)</f>
        <v>1870.95</v>
      </c>
      <c r="E1414" s="4">
        <f>VLOOKUP(A1414,'Datos generales'!A:L,12,0)</f>
        <v>1870.95</v>
      </c>
      <c r="F1414" s="4" t="str">
        <f>VLOOKUP(A1414,'Datos generales'!A:L,7,0)</f>
        <v>Muebles</v>
      </c>
      <c r="G1414" s="4">
        <v>2023</v>
      </c>
    </row>
    <row r="1415" spans="1:7" x14ac:dyDescent="0.25">
      <c r="A1415" t="s">
        <v>25</v>
      </c>
      <c r="B1415" s="4">
        <f>VLOOKUP(A1415,'Datos generales'!A:L,5,0)</f>
        <v>4</v>
      </c>
      <c r="C1415" s="4" t="str">
        <f>VLOOKUP(A1415,'Datos generales'!A:L,4,0)</f>
        <v>Monitor</v>
      </c>
      <c r="D1415" s="4">
        <f>VLOOKUP(A1415,'Datos generales'!A:L,6,0)</f>
        <v>1227.23</v>
      </c>
      <c r="E1415" s="4">
        <f>VLOOKUP(A1415,'Datos generales'!A:L,12,0)</f>
        <v>1227.23</v>
      </c>
      <c r="F1415" s="4" t="str">
        <f>VLOOKUP(A1415,'Datos generales'!A:L,7,0)</f>
        <v>Electrónica</v>
      </c>
      <c r="G1415" s="4">
        <v>2023</v>
      </c>
    </row>
    <row r="1416" spans="1:7" x14ac:dyDescent="0.25">
      <c r="A1416" t="s">
        <v>26</v>
      </c>
      <c r="B1416" s="4">
        <f>VLOOKUP(A1416,'Datos generales'!A:L,5,0)</f>
        <v>1</v>
      </c>
      <c r="C1416" s="4" t="str">
        <f>VLOOKUP(A1416,'Datos generales'!A:L,4,0)</f>
        <v>Impresora</v>
      </c>
      <c r="D1416" s="4">
        <f>VLOOKUP(A1416,'Datos generales'!A:L,6,0)</f>
        <v>1329.6</v>
      </c>
      <c r="E1416" s="4">
        <f>VLOOKUP(A1416,'Datos generales'!A:L,12,0)</f>
        <v>1329.6</v>
      </c>
      <c r="F1416" s="4" t="str">
        <f>VLOOKUP(A1416,'Datos generales'!A:L,7,0)</f>
        <v>Electrónica</v>
      </c>
      <c r="G1416" s="4">
        <v>2024</v>
      </c>
    </row>
    <row r="1417" spans="1:7" x14ac:dyDescent="0.25">
      <c r="A1417" t="s">
        <v>27</v>
      </c>
      <c r="B1417" s="4">
        <f>VLOOKUP(A1417,'Datos generales'!A:L,5,0)</f>
        <v>3</v>
      </c>
      <c r="C1417" s="4" t="str">
        <f>VLOOKUP(A1417,'Datos generales'!A:L,4,0)</f>
        <v>Monitor</v>
      </c>
      <c r="D1417" s="4">
        <f>VLOOKUP(A1417,'Datos generales'!A:L,6,0)</f>
        <v>1734.12</v>
      </c>
      <c r="E1417" s="4">
        <f>VLOOKUP(A1417,'Datos generales'!A:L,12,0)</f>
        <v>1734.12</v>
      </c>
      <c r="F1417" s="4" t="str">
        <f>VLOOKUP(A1417,'Datos generales'!A:L,7,0)</f>
        <v>Electrónica</v>
      </c>
      <c r="G1417" s="4">
        <v>2023</v>
      </c>
    </row>
    <row r="1418" spans="1:7" x14ac:dyDescent="0.25">
      <c r="A1418" t="s">
        <v>28</v>
      </c>
      <c r="B1418" s="4">
        <f>VLOOKUP(A1418,'Datos generales'!A:L,5,0)</f>
        <v>1</v>
      </c>
      <c r="C1418" s="4" t="str">
        <f>VLOOKUP(A1418,'Datos generales'!A:L,4,0)</f>
        <v>Monitor</v>
      </c>
      <c r="D1418" s="4">
        <f>VLOOKUP(A1418,'Datos generales'!A:L,6,0)</f>
        <v>1209.6199999999999</v>
      </c>
      <c r="E1418" s="4">
        <f>VLOOKUP(A1418,'Datos generales'!A:L,12,0)</f>
        <v>1209.6199999999999</v>
      </c>
      <c r="F1418" s="4" t="str">
        <f>VLOOKUP(A1418,'Datos generales'!A:L,7,0)</f>
        <v>Electrónica</v>
      </c>
      <c r="G1418" s="4">
        <v>2024</v>
      </c>
    </row>
    <row r="1419" spans="1:7" x14ac:dyDescent="0.25">
      <c r="A1419" t="s">
        <v>29</v>
      </c>
      <c r="B1419" s="4">
        <f>VLOOKUP(A1419,'Datos generales'!A:L,5,0)</f>
        <v>3</v>
      </c>
      <c r="C1419" s="4" t="str">
        <f>VLOOKUP(A1419,'Datos generales'!A:L,4,0)</f>
        <v>Mouse</v>
      </c>
      <c r="D1419" s="4">
        <f>VLOOKUP(A1419,'Datos generales'!A:L,6,0)</f>
        <v>922.33</v>
      </c>
      <c r="E1419" s="4">
        <f>VLOOKUP(A1419,'Datos generales'!A:L,12,0)</f>
        <v>922.33</v>
      </c>
      <c r="F1419" s="4" t="str">
        <f>VLOOKUP(A1419,'Datos generales'!A:L,7,0)</f>
        <v>Accesorios</v>
      </c>
      <c r="G1419" s="4">
        <v>2024</v>
      </c>
    </row>
    <row r="1420" spans="1:7" x14ac:dyDescent="0.25">
      <c r="A1420" t="s">
        <v>30</v>
      </c>
      <c r="B1420" s="4">
        <f>VLOOKUP(A1420,'Datos generales'!A:L,5,0)</f>
        <v>4</v>
      </c>
      <c r="C1420" s="4" t="str">
        <f>VLOOKUP(A1420,'Datos generales'!A:L,4,0)</f>
        <v>Webcam</v>
      </c>
      <c r="D1420" s="4">
        <f>VLOOKUP(A1420,'Datos generales'!A:L,6,0)</f>
        <v>54.42</v>
      </c>
      <c r="E1420" s="4">
        <f>VLOOKUP(A1420,'Datos generales'!A:L,12,0)</f>
        <v>54.42</v>
      </c>
      <c r="F1420" s="4" t="str">
        <f>VLOOKUP(A1420,'Datos generales'!A:L,7,0)</f>
        <v>Accesorios</v>
      </c>
      <c r="G1420" s="4">
        <v>2025</v>
      </c>
    </row>
    <row r="1421" spans="1:7" x14ac:dyDescent="0.25">
      <c r="A1421" t="s">
        <v>31</v>
      </c>
      <c r="B1421" s="4">
        <f>VLOOKUP(A1421,'Datos generales'!A:L,5,0)</f>
        <v>2</v>
      </c>
      <c r="C1421" s="4" t="str">
        <f>VLOOKUP(A1421,'Datos generales'!A:L,4,0)</f>
        <v>Mouse</v>
      </c>
      <c r="D1421" s="4">
        <f>VLOOKUP(A1421,'Datos generales'!A:L,6,0)</f>
        <v>1567.18</v>
      </c>
      <c r="E1421" s="4">
        <f>VLOOKUP(A1421,'Datos generales'!A:L,12,0)</f>
        <v>1567.18</v>
      </c>
      <c r="F1421" s="4" t="str">
        <f>VLOOKUP(A1421,'Datos generales'!A:L,7,0)</f>
        <v>Accesorios</v>
      </c>
      <c r="G1421" s="4">
        <v>2023</v>
      </c>
    </row>
    <row r="1422" spans="1:7" x14ac:dyDescent="0.25">
      <c r="A1422" t="s">
        <v>32</v>
      </c>
      <c r="B1422" s="4">
        <f>VLOOKUP(A1422,'Datos generales'!A:L,5,0)</f>
        <v>2</v>
      </c>
      <c r="C1422" s="4" t="str">
        <f>VLOOKUP(A1422,'Datos generales'!A:L,4,0)</f>
        <v>Teclado</v>
      </c>
      <c r="D1422" s="4">
        <f>VLOOKUP(A1422,'Datos generales'!A:L,6,0)</f>
        <v>519.79999999999995</v>
      </c>
      <c r="E1422" s="4">
        <f>VLOOKUP(A1422,'Datos generales'!A:L,12,0)</f>
        <v>519.79999999999995</v>
      </c>
      <c r="F1422" s="4" t="str">
        <f>VLOOKUP(A1422,'Datos generales'!A:L,7,0)</f>
        <v>Accesorios</v>
      </c>
      <c r="G1422" s="4">
        <v>2023</v>
      </c>
    </row>
    <row r="1423" spans="1:7" x14ac:dyDescent="0.25">
      <c r="A1423" t="s">
        <v>33</v>
      </c>
      <c r="B1423" s="4">
        <f>VLOOKUP(A1423,'Datos generales'!A:L,5,0)</f>
        <v>1</v>
      </c>
      <c r="C1423" s="4" t="str">
        <f>VLOOKUP(A1423,'Datos generales'!A:L,4,0)</f>
        <v>Silla Gamer</v>
      </c>
      <c r="D1423" s="4">
        <f>VLOOKUP(A1423,'Datos generales'!A:L,6,0)</f>
        <v>1267.01</v>
      </c>
      <c r="E1423" s="4">
        <f>VLOOKUP(A1423,'Datos generales'!A:L,12,0)</f>
        <v>1267.01</v>
      </c>
      <c r="F1423" s="4" t="str">
        <f>VLOOKUP(A1423,'Datos generales'!A:L,7,0)</f>
        <v>Muebles</v>
      </c>
      <c r="G1423" s="4">
        <v>2024</v>
      </c>
    </row>
    <row r="1424" spans="1:7" x14ac:dyDescent="0.25">
      <c r="A1424" t="s">
        <v>34</v>
      </c>
      <c r="B1424" s="4">
        <f>VLOOKUP(A1424,'Datos generales'!A:L,5,0)</f>
        <v>4</v>
      </c>
      <c r="C1424" s="4" t="str">
        <f>VLOOKUP(A1424,'Datos generales'!A:L,4,0)</f>
        <v>Monitor</v>
      </c>
      <c r="D1424" s="4">
        <f>VLOOKUP(A1424,'Datos generales'!A:L,6,0)</f>
        <v>1027.81</v>
      </c>
      <c r="E1424" s="4">
        <f>VLOOKUP(A1424,'Datos generales'!A:L,12,0)</f>
        <v>1027.81</v>
      </c>
      <c r="F1424" s="4" t="str">
        <f>VLOOKUP(A1424,'Datos generales'!A:L,7,0)</f>
        <v>Electrónica</v>
      </c>
      <c r="G1424" s="4">
        <v>2024</v>
      </c>
    </row>
    <row r="1425" spans="1:7" x14ac:dyDescent="0.25">
      <c r="A1425" t="s">
        <v>35</v>
      </c>
      <c r="B1425" s="4">
        <f>VLOOKUP(A1425,'Datos generales'!A:L,5,0)</f>
        <v>3</v>
      </c>
      <c r="C1425" s="4" t="str">
        <f>VLOOKUP(A1425,'Datos generales'!A:L,4,0)</f>
        <v>Webcam</v>
      </c>
      <c r="D1425" s="4">
        <f>VLOOKUP(A1425,'Datos generales'!A:L,6,0)</f>
        <v>925.62</v>
      </c>
      <c r="E1425" s="4">
        <f>VLOOKUP(A1425,'Datos generales'!A:L,12,0)</f>
        <v>925.62</v>
      </c>
      <c r="F1425" s="4" t="str">
        <f>VLOOKUP(A1425,'Datos generales'!A:L,7,0)</f>
        <v>Accesorios</v>
      </c>
      <c r="G1425" s="4">
        <v>2024</v>
      </c>
    </row>
    <row r="1426" spans="1:7" x14ac:dyDescent="0.25">
      <c r="A1426" t="s">
        <v>36</v>
      </c>
      <c r="B1426" s="4">
        <f>VLOOKUP(A1426,'Datos generales'!A:L,5,0)</f>
        <v>3</v>
      </c>
      <c r="C1426" s="4" t="str">
        <f>VLOOKUP(A1426,'Datos generales'!A:L,4,0)</f>
        <v>Monitor</v>
      </c>
      <c r="D1426" s="4">
        <f>VLOOKUP(A1426,'Datos generales'!A:L,6,0)</f>
        <v>213.71</v>
      </c>
      <c r="E1426" s="4">
        <f>VLOOKUP(A1426,'Datos generales'!A:L,12,0)</f>
        <v>213.71</v>
      </c>
      <c r="F1426" s="4" t="str">
        <f>VLOOKUP(A1426,'Datos generales'!A:L,7,0)</f>
        <v>Electrónica</v>
      </c>
      <c r="G1426" s="4">
        <v>2025</v>
      </c>
    </row>
    <row r="1427" spans="1:7" x14ac:dyDescent="0.25">
      <c r="A1427" t="s">
        <v>37</v>
      </c>
      <c r="B1427" s="4">
        <f>VLOOKUP(A1427,'Datos generales'!A:L,5,0)</f>
        <v>2</v>
      </c>
      <c r="C1427" s="4" t="str">
        <f>VLOOKUP(A1427,'Datos generales'!A:L,4,0)</f>
        <v>Laptop</v>
      </c>
      <c r="D1427" s="4">
        <f>VLOOKUP(A1427,'Datos generales'!A:L,6,0)</f>
        <v>1146.75</v>
      </c>
      <c r="E1427" s="4">
        <f>VLOOKUP(A1427,'Datos generales'!A:L,12,0)</f>
        <v>1146.75</v>
      </c>
      <c r="F1427" s="4" t="str">
        <f>VLOOKUP(A1427,'Datos generales'!A:L,7,0)</f>
        <v>Electrónica</v>
      </c>
      <c r="G1427" s="4">
        <v>2024</v>
      </c>
    </row>
    <row r="1428" spans="1:7" x14ac:dyDescent="0.25">
      <c r="A1428" t="s">
        <v>38</v>
      </c>
      <c r="B1428" s="4">
        <f>VLOOKUP(A1428,'Datos generales'!A:L,5,0)</f>
        <v>5</v>
      </c>
      <c r="C1428" s="4" t="str">
        <f>VLOOKUP(A1428,'Datos generales'!A:L,4,0)</f>
        <v>Laptop</v>
      </c>
      <c r="D1428" s="4">
        <f>VLOOKUP(A1428,'Datos generales'!A:L,6,0)</f>
        <v>907.28</v>
      </c>
      <c r="E1428" s="4">
        <f>VLOOKUP(A1428,'Datos generales'!A:L,12,0)</f>
        <v>907.28</v>
      </c>
      <c r="F1428" s="4" t="str">
        <f>VLOOKUP(A1428,'Datos generales'!A:L,7,0)</f>
        <v>Electrónica</v>
      </c>
      <c r="G1428" s="4">
        <v>2023</v>
      </c>
    </row>
    <row r="1429" spans="1:7" x14ac:dyDescent="0.25">
      <c r="A1429" t="s">
        <v>39</v>
      </c>
      <c r="B1429" s="4">
        <f>VLOOKUP(A1429,'Datos generales'!A:L,5,0)</f>
        <v>2</v>
      </c>
      <c r="C1429" s="4" t="str">
        <f>VLOOKUP(A1429,'Datos generales'!A:L,4,0)</f>
        <v>Webcam</v>
      </c>
      <c r="D1429" s="4">
        <f>VLOOKUP(A1429,'Datos generales'!A:L,6,0)</f>
        <v>1734.44</v>
      </c>
      <c r="E1429" s="4">
        <f>VLOOKUP(A1429,'Datos generales'!A:L,12,0)</f>
        <v>1734.44</v>
      </c>
      <c r="F1429" s="4" t="str">
        <f>VLOOKUP(A1429,'Datos generales'!A:L,7,0)</f>
        <v>Accesorios</v>
      </c>
      <c r="G1429" s="4">
        <v>2023</v>
      </c>
    </row>
    <row r="1430" spans="1:7" x14ac:dyDescent="0.25">
      <c r="A1430" t="s">
        <v>40</v>
      </c>
      <c r="B1430" s="4">
        <f>VLOOKUP(A1430,'Datos generales'!A:L,5,0)</f>
        <v>1</v>
      </c>
      <c r="C1430" s="4" t="str">
        <f>VLOOKUP(A1430,'Datos generales'!A:L,4,0)</f>
        <v>Teclado</v>
      </c>
      <c r="D1430" s="4">
        <f>VLOOKUP(A1430,'Datos generales'!A:L,6,0)</f>
        <v>424.35</v>
      </c>
      <c r="E1430" s="4">
        <f>VLOOKUP(A1430,'Datos generales'!A:L,12,0)</f>
        <v>424.35</v>
      </c>
      <c r="F1430" s="4" t="str">
        <f>VLOOKUP(A1430,'Datos generales'!A:L,7,0)</f>
        <v>Accesorios</v>
      </c>
      <c r="G1430" s="4">
        <v>2024</v>
      </c>
    </row>
    <row r="1431" spans="1:7" x14ac:dyDescent="0.25">
      <c r="A1431" t="s">
        <v>41</v>
      </c>
      <c r="B1431" s="4">
        <f>VLOOKUP(A1431,'Datos generales'!A:L,5,0)</f>
        <v>1</v>
      </c>
      <c r="C1431" s="4" t="str">
        <f>VLOOKUP(A1431,'Datos generales'!A:L,4,0)</f>
        <v>Monitor</v>
      </c>
      <c r="D1431" s="4">
        <f>VLOOKUP(A1431,'Datos generales'!A:L,6,0)</f>
        <v>252.57</v>
      </c>
      <c r="E1431" s="4">
        <f>VLOOKUP(A1431,'Datos generales'!A:L,12,0)</f>
        <v>252.57</v>
      </c>
      <c r="F1431" s="4" t="str">
        <f>VLOOKUP(A1431,'Datos generales'!A:L,7,0)</f>
        <v>Electrónica</v>
      </c>
      <c r="G1431" s="4">
        <v>2025</v>
      </c>
    </row>
    <row r="1432" spans="1:7" x14ac:dyDescent="0.25">
      <c r="A1432" t="s">
        <v>42</v>
      </c>
      <c r="B1432" s="4">
        <f>VLOOKUP(A1432,'Datos generales'!A:L,5,0)</f>
        <v>3</v>
      </c>
      <c r="C1432" s="4" t="str">
        <f>VLOOKUP(A1432,'Datos generales'!A:L,4,0)</f>
        <v>Mouse</v>
      </c>
      <c r="D1432" s="4">
        <f>VLOOKUP(A1432,'Datos generales'!A:L,6,0)</f>
        <v>21.56</v>
      </c>
      <c r="E1432" s="4">
        <f>VLOOKUP(A1432,'Datos generales'!A:L,12,0)</f>
        <v>21.56</v>
      </c>
      <c r="F1432" s="4" t="str">
        <f>VLOOKUP(A1432,'Datos generales'!A:L,7,0)</f>
        <v>Accesorios</v>
      </c>
      <c r="G1432" s="4">
        <v>2024</v>
      </c>
    </row>
    <row r="1433" spans="1:7" x14ac:dyDescent="0.25">
      <c r="A1433" t="s">
        <v>43</v>
      </c>
      <c r="B1433" s="4">
        <f>VLOOKUP(A1433,'Datos generales'!A:L,5,0)</f>
        <v>1</v>
      </c>
      <c r="C1433" s="4" t="str">
        <f>VLOOKUP(A1433,'Datos generales'!A:L,4,0)</f>
        <v>Silla Gamer</v>
      </c>
      <c r="D1433" s="4">
        <f>VLOOKUP(A1433,'Datos generales'!A:L,6,0)</f>
        <v>446.81</v>
      </c>
      <c r="E1433" s="4">
        <f>VLOOKUP(A1433,'Datos generales'!A:L,12,0)</f>
        <v>446.81</v>
      </c>
      <c r="F1433" s="4" t="str">
        <f>VLOOKUP(A1433,'Datos generales'!A:L,7,0)</f>
        <v>Muebles</v>
      </c>
      <c r="G1433" s="4">
        <v>2024</v>
      </c>
    </row>
    <row r="1434" spans="1:7" x14ac:dyDescent="0.25">
      <c r="A1434" t="s">
        <v>44</v>
      </c>
      <c r="B1434" s="4">
        <f>VLOOKUP(A1434,'Datos generales'!A:L,5,0)</f>
        <v>2</v>
      </c>
      <c r="C1434" s="4" t="str">
        <f>VLOOKUP(A1434,'Datos generales'!A:L,4,0)</f>
        <v>Mouse</v>
      </c>
      <c r="D1434" s="4">
        <f>VLOOKUP(A1434,'Datos generales'!A:L,6,0)</f>
        <v>64.67</v>
      </c>
      <c r="E1434" s="4">
        <f>VLOOKUP(A1434,'Datos generales'!A:L,12,0)</f>
        <v>64.67</v>
      </c>
      <c r="F1434" s="4" t="str">
        <f>VLOOKUP(A1434,'Datos generales'!A:L,7,0)</f>
        <v>Accesorios</v>
      </c>
      <c r="G1434" s="4">
        <v>2023</v>
      </c>
    </row>
    <row r="1435" spans="1:7" x14ac:dyDescent="0.25">
      <c r="A1435" t="s">
        <v>45</v>
      </c>
      <c r="B1435" s="4">
        <f>VLOOKUP(A1435,'Datos generales'!A:L,5,0)</f>
        <v>5</v>
      </c>
      <c r="C1435" s="4" t="str">
        <f>VLOOKUP(A1435,'Datos generales'!A:L,4,0)</f>
        <v>Webcam</v>
      </c>
      <c r="D1435" s="4">
        <f>VLOOKUP(A1435,'Datos generales'!A:L,6,0)</f>
        <v>1168.3499999999999</v>
      </c>
      <c r="E1435" s="4">
        <f>VLOOKUP(A1435,'Datos generales'!A:L,12,0)</f>
        <v>1168.3499999999999</v>
      </c>
      <c r="F1435" s="4" t="str">
        <f>VLOOKUP(A1435,'Datos generales'!A:L,7,0)</f>
        <v>Accesorios</v>
      </c>
      <c r="G1435" s="4">
        <v>2024</v>
      </c>
    </row>
    <row r="1436" spans="1:7" x14ac:dyDescent="0.25">
      <c r="A1436" t="s">
        <v>46</v>
      </c>
      <c r="B1436" s="4">
        <f>VLOOKUP(A1436,'Datos generales'!A:L,5,0)</f>
        <v>2</v>
      </c>
      <c r="C1436" s="4" t="str">
        <f>VLOOKUP(A1436,'Datos generales'!A:L,4,0)</f>
        <v>Silla Gamer</v>
      </c>
      <c r="D1436" s="4">
        <f>VLOOKUP(A1436,'Datos generales'!A:L,6,0)</f>
        <v>349.3</v>
      </c>
      <c r="E1436" s="4">
        <f>VLOOKUP(A1436,'Datos generales'!A:L,12,0)</f>
        <v>349.3</v>
      </c>
      <c r="F1436" s="4" t="str">
        <f>VLOOKUP(A1436,'Datos generales'!A:L,7,0)</f>
        <v>Muebles</v>
      </c>
      <c r="G1436" s="4">
        <v>2025</v>
      </c>
    </row>
    <row r="1437" spans="1:7" x14ac:dyDescent="0.25">
      <c r="A1437" t="s">
        <v>47</v>
      </c>
      <c r="B1437" s="4">
        <f>VLOOKUP(A1437,'Datos generales'!A:L,5,0)</f>
        <v>3</v>
      </c>
      <c r="C1437" s="4" t="str">
        <f>VLOOKUP(A1437,'Datos generales'!A:L,4,0)</f>
        <v>Webcam</v>
      </c>
      <c r="D1437" s="4">
        <f>VLOOKUP(A1437,'Datos generales'!A:L,6,0)</f>
        <v>1154.06</v>
      </c>
      <c r="E1437" s="4">
        <f>VLOOKUP(A1437,'Datos generales'!A:L,12,0)</f>
        <v>1154.06</v>
      </c>
      <c r="F1437" s="4" t="str">
        <f>VLOOKUP(A1437,'Datos generales'!A:L,7,0)</f>
        <v>Accesorios</v>
      </c>
      <c r="G1437" s="4">
        <v>2024</v>
      </c>
    </row>
    <row r="1438" spans="1:7" x14ac:dyDescent="0.25">
      <c r="A1438" t="s">
        <v>48</v>
      </c>
      <c r="B1438" s="4">
        <f>VLOOKUP(A1438,'Datos generales'!A:L,5,0)</f>
        <v>4</v>
      </c>
      <c r="C1438" s="4" t="str">
        <f>VLOOKUP(A1438,'Datos generales'!A:L,4,0)</f>
        <v>Impresora</v>
      </c>
      <c r="D1438" s="4">
        <f>VLOOKUP(A1438,'Datos generales'!A:L,6,0)</f>
        <v>1566.37</v>
      </c>
      <c r="E1438" s="4">
        <f>VLOOKUP(A1438,'Datos generales'!A:L,12,0)</f>
        <v>1566.37</v>
      </c>
      <c r="F1438" s="4" t="str">
        <f>VLOOKUP(A1438,'Datos generales'!A:L,7,0)</f>
        <v>Electrónica</v>
      </c>
      <c r="G1438" s="4">
        <v>2025</v>
      </c>
    </row>
    <row r="1439" spans="1:7" x14ac:dyDescent="0.25">
      <c r="A1439" t="s">
        <v>49</v>
      </c>
      <c r="B1439" s="4">
        <f>VLOOKUP(A1439,'Datos generales'!A:L,5,0)</f>
        <v>2</v>
      </c>
      <c r="C1439" s="4" t="str">
        <f>VLOOKUP(A1439,'Datos generales'!A:L,4,0)</f>
        <v>Monitor</v>
      </c>
      <c r="D1439" s="4">
        <f>VLOOKUP(A1439,'Datos generales'!A:L,6,0)</f>
        <v>674.48</v>
      </c>
      <c r="E1439" s="4">
        <f>VLOOKUP(A1439,'Datos generales'!A:L,12,0)</f>
        <v>674.48</v>
      </c>
      <c r="F1439" s="4" t="str">
        <f>VLOOKUP(A1439,'Datos generales'!A:L,7,0)</f>
        <v>Electrónica</v>
      </c>
      <c r="G1439" s="4">
        <v>2024</v>
      </c>
    </row>
    <row r="1440" spans="1:7" x14ac:dyDescent="0.25">
      <c r="A1440" t="s">
        <v>50</v>
      </c>
      <c r="B1440" s="4">
        <f>VLOOKUP(A1440,'Datos generales'!A:L,5,0)</f>
        <v>2</v>
      </c>
      <c r="C1440" s="4" t="str">
        <f>VLOOKUP(A1440,'Datos generales'!A:L,4,0)</f>
        <v>Monitor</v>
      </c>
      <c r="D1440" s="4">
        <f>VLOOKUP(A1440,'Datos generales'!A:L,6,0)</f>
        <v>1543.98</v>
      </c>
      <c r="E1440" s="4">
        <f>VLOOKUP(A1440,'Datos generales'!A:L,12,0)</f>
        <v>1543.98</v>
      </c>
      <c r="F1440" s="4" t="str">
        <f>VLOOKUP(A1440,'Datos generales'!A:L,7,0)</f>
        <v>Electrónica</v>
      </c>
      <c r="G1440" s="4">
        <v>2024</v>
      </c>
    </row>
    <row r="1441" spans="1:7" x14ac:dyDescent="0.25">
      <c r="A1441" t="s">
        <v>51</v>
      </c>
      <c r="B1441" s="4">
        <f>VLOOKUP(A1441,'Datos generales'!A:L,5,0)</f>
        <v>5</v>
      </c>
      <c r="C1441" s="4" t="str">
        <f>VLOOKUP(A1441,'Datos generales'!A:L,4,0)</f>
        <v>Laptop</v>
      </c>
      <c r="D1441" s="4">
        <f>VLOOKUP(A1441,'Datos generales'!A:L,6,0)</f>
        <v>917.31</v>
      </c>
      <c r="E1441" s="4">
        <f>VLOOKUP(A1441,'Datos generales'!A:L,12,0)</f>
        <v>917.30999999999983</v>
      </c>
      <c r="F1441" s="4" t="str">
        <f>VLOOKUP(A1441,'Datos generales'!A:L,7,0)</f>
        <v>Electrónica</v>
      </c>
      <c r="G1441" s="4">
        <v>2023</v>
      </c>
    </row>
    <row r="1442" spans="1:7" x14ac:dyDescent="0.25">
      <c r="A1442" t="s">
        <v>52</v>
      </c>
      <c r="B1442" s="4">
        <f>VLOOKUP(A1442,'Datos generales'!A:L,5,0)</f>
        <v>4</v>
      </c>
      <c r="C1442" s="4" t="str">
        <f>VLOOKUP(A1442,'Datos generales'!A:L,4,0)</f>
        <v>Audífonos</v>
      </c>
      <c r="D1442" s="4">
        <f>VLOOKUP(A1442,'Datos generales'!A:L,6,0)</f>
        <v>450.36</v>
      </c>
      <c r="E1442" s="4">
        <f>VLOOKUP(A1442,'Datos generales'!A:L,12,0)</f>
        <v>450.36</v>
      </c>
      <c r="F1442" s="4" t="str">
        <f>VLOOKUP(A1442,'Datos generales'!A:L,7,0)</f>
        <v>Accesorios</v>
      </c>
      <c r="G1442" s="4">
        <v>2024</v>
      </c>
    </row>
    <row r="1443" spans="1:7" x14ac:dyDescent="0.25">
      <c r="A1443" t="s">
        <v>53</v>
      </c>
      <c r="B1443" s="4">
        <f>VLOOKUP(A1443,'Datos generales'!A:L,5,0)</f>
        <v>2</v>
      </c>
      <c r="C1443" s="4" t="str">
        <f>VLOOKUP(A1443,'Datos generales'!A:L,4,0)</f>
        <v>Impresora</v>
      </c>
      <c r="D1443" s="4">
        <f>VLOOKUP(A1443,'Datos generales'!A:L,6,0)</f>
        <v>755.48</v>
      </c>
      <c r="E1443" s="4">
        <f>VLOOKUP(A1443,'Datos generales'!A:L,12,0)</f>
        <v>755.48</v>
      </c>
      <c r="F1443" s="4" t="str">
        <f>VLOOKUP(A1443,'Datos generales'!A:L,7,0)</f>
        <v>Electrónica</v>
      </c>
      <c r="G1443" s="4">
        <v>2023</v>
      </c>
    </row>
    <row r="1444" spans="1:7" x14ac:dyDescent="0.25">
      <c r="A1444" t="s">
        <v>54</v>
      </c>
      <c r="B1444" s="4">
        <f>VLOOKUP(A1444,'Datos generales'!A:L,5,0)</f>
        <v>3</v>
      </c>
      <c r="C1444" s="4" t="str">
        <f>VLOOKUP(A1444,'Datos generales'!A:L,4,0)</f>
        <v>Teclado</v>
      </c>
      <c r="D1444" s="4">
        <f>VLOOKUP(A1444,'Datos generales'!A:L,6,0)</f>
        <v>1855.55</v>
      </c>
      <c r="E1444" s="4">
        <f>VLOOKUP(A1444,'Datos generales'!A:L,12,0)</f>
        <v>1855.55</v>
      </c>
      <c r="F1444" s="4" t="str">
        <f>VLOOKUP(A1444,'Datos generales'!A:L,7,0)</f>
        <v>Accesorios</v>
      </c>
      <c r="G1444" s="4">
        <v>2024</v>
      </c>
    </row>
    <row r="1445" spans="1:7" x14ac:dyDescent="0.25">
      <c r="A1445" t="s">
        <v>55</v>
      </c>
      <c r="B1445" s="4">
        <f>VLOOKUP(A1445,'Datos generales'!A:L,5,0)</f>
        <v>5</v>
      </c>
      <c r="C1445" s="4" t="str">
        <f>VLOOKUP(A1445,'Datos generales'!A:L,4,0)</f>
        <v>Webcam</v>
      </c>
      <c r="D1445" s="4">
        <f>VLOOKUP(A1445,'Datos generales'!A:L,6,0)</f>
        <v>1011.75</v>
      </c>
      <c r="E1445" s="4">
        <f>VLOOKUP(A1445,'Datos generales'!A:L,12,0)</f>
        <v>1011.75</v>
      </c>
      <c r="F1445" s="4" t="str">
        <f>VLOOKUP(A1445,'Datos generales'!A:L,7,0)</f>
        <v>Accesorios</v>
      </c>
      <c r="G1445" s="4">
        <v>2023</v>
      </c>
    </row>
    <row r="1446" spans="1:7" x14ac:dyDescent="0.25">
      <c r="A1446" t="s">
        <v>56</v>
      </c>
      <c r="B1446" s="4">
        <f>VLOOKUP(A1446,'Datos generales'!A:L,5,0)</f>
        <v>5</v>
      </c>
      <c r="C1446" s="4" t="str">
        <f>VLOOKUP(A1446,'Datos generales'!A:L,4,0)</f>
        <v>Teclado</v>
      </c>
      <c r="D1446" s="4">
        <f>VLOOKUP(A1446,'Datos generales'!A:L,6,0)</f>
        <v>1218.3399999999999</v>
      </c>
      <c r="E1446" s="4">
        <f>VLOOKUP(A1446,'Datos generales'!A:L,12,0)</f>
        <v>1218.3399999999999</v>
      </c>
      <c r="F1446" s="4" t="str">
        <f>VLOOKUP(A1446,'Datos generales'!A:L,7,0)</f>
        <v>Accesorios</v>
      </c>
      <c r="G1446" s="4">
        <v>2023</v>
      </c>
    </row>
    <row r="1447" spans="1:7" x14ac:dyDescent="0.25">
      <c r="A1447" t="s">
        <v>57</v>
      </c>
      <c r="B1447" s="4">
        <f>VLOOKUP(A1447,'Datos generales'!A:L,5,0)</f>
        <v>2</v>
      </c>
      <c r="C1447" s="4" t="str">
        <f>VLOOKUP(A1447,'Datos generales'!A:L,4,0)</f>
        <v>Webcam</v>
      </c>
      <c r="D1447" s="4">
        <f>VLOOKUP(A1447,'Datos generales'!A:L,6,0)</f>
        <v>361.59</v>
      </c>
      <c r="E1447" s="4">
        <f>VLOOKUP(A1447,'Datos generales'!A:L,12,0)</f>
        <v>361.59</v>
      </c>
      <c r="F1447" s="4" t="str">
        <f>VLOOKUP(A1447,'Datos generales'!A:L,7,0)</f>
        <v>Accesorios</v>
      </c>
      <c r="G1447" s="4">
        <v>2023</v>
      </c>
    </row>
    <row r="1448" spans="1:7" x14ac:dyDescent="0.25">
      <c r="A1448" t="s">
        <v>58</v>
      </c>
      <c r="B1448" s="4">
        <f>VLOOKUP(A1448,'Datos generales'!A:L,5,0)</f>
        <v>5</v>
      </c>
      <c r="C1448" s="4" t="str">
        <f>VLOOKUP(A1448,'Datos generales'!A:L,4,0)</f>
        <v>Teclado</v>
      </c>
      <c r="D1448" s="4">
        <f>VLOOKUP(A1448,'Datos generales'!A:L,6,0)</f>
        <v>958.8</v>
      </c>
      <c r="E1448" s="4">
        <f>VLOOKUP(A1448,'Datos generales'!A:L,12,0)</f>
        <v>958.8</v>
      </c>
      <c r="F1448" s="4" t="str">
        <f>VLOOKUP(A1448,'Datos generales'!A:L,7,0)</f>
        <v>Accesorios</v>
      </c>
      <c r="G1448" s="4">
        <v>2023</v>
      </c>
    </row>
    <row r="1449" spans="1:7" x14ac:dyDescent="0.25">
      <c r="A1449" t="s">
        <v>59</v>
      </c>
      <c r="B1449" s="4">
        <f>VLOOKUP(A1449,'Datos generales'!A:L,5,0)</f>
        <v>5</v>
      </c>
      <c r="C1449" s="4" t="str">
        <f>VLOOKUP(A1449,'Datos generales'!A:L,4,0)</f>
        <v>Silla Gamer</v>
      </c>
      <c r="D1449" s="4">
        <f>VLOOKUP(A1449,'Datos generales'!A:L,6,0)</f>
        <v>1776.87</v>
      </c>
      <c r="E1449" s="4">
        <f>VLOOKUP(A1449,'Datos generales'!A:L,12,0)</f>
        <v>1776.87</v>
      </c>
      <c r="F1449" s="4" t="str">
        <f>VLOOKUP(A1449,'Datos generales'!A:L,7,0)</f>
        <v>Muebles</v>
      </c>
      <c r="G1449" s="4">
        <v>2025</v>
      </c>
    </row>
    <row r="1450" spans="1:7" x14ac:dyDescent="0.25">
      <c r="A1450" t="s">
        <v>60</v>
      </c>
      <c r="B1450" s="4">
        <f>VLOOKUP(A1450,'Datos generales'!A:L,5,0)</f>
        <v>1</v>
      </c>
      <c r="C1450" s="4" t="str">
        <f>VLOOKUP(A1450,'Datos generales'!A:L,4,0)</f>
        <v>Audífonos</v>
      </c>
      <c r="D1450" s="4">
        <f>VLOOKUP(A1450,'Datos generales'!A:L,6,0)</f>
        <v>1467.34</v>
      </c>
      <c r="E1450" s="4">
        <f>VLOOKUP(A1450,'Datos generales'!A:L,12,0)</f>
        <v>1467.34</v>
      </c>
      <c r="F1450" s="4" t="str">
        <f>VLOOKUP(A1450,'Datos generales'!A:L,7,0)</f>
        <v>Accesorios</v>
      </c>
      <c r="G1450" s="4">
        <v>2025</v>
      </c>
    </row>
    <row r="1451" spans="1:7" x14ac:dyDescent="0.25">
      <c r="A1451" t="s">
        <v>61</v>
      </c>
      <c r="B1451" s="4">
        <f>VLOOKUP(A1451,'Datos generales'!A:L,5,0)</f>
        <v>3</v>
      </c>
      <c r="C1451" s="4" t="str">
        <f>VLOOKUP(A1451,'Datos generales'!A:L,4,0)</f>
        <v>Silla Gamer</v>
      </c>
      <c r="D1451" s="4">
        <f>VLOOKUP(A1451,'Datos generales'!A:L,6,0)</f>
        <v>683.91</v>
      </c>
      <c r="E1451" s="4">
        <f>VLOOKUP(A1451,'Datos generales'!A:L,12,0)</f>
        <v>683.91</v>
      </c>
      <c r="F1451" s="4" t="str">
        <f>VLOOKUP(A1451,'Datos generales'!A:L,7,0)</f>
        <v>Muebles</v>
      </c>
      <c r="G1451" s="4">
        <v>2025</v>
      </c>
    </row>
    <row r="1452" spans="1:7" x14ac:dyDescent="0.25">
      <c r="A1452" t="s">
        <v>62</v>
      </c>
      <c r="B1452" s="4">
        <f>VLOOKUP(A1452,'Datos generales'!A:L,5,0)</f>
        <v>1</v>
      </c>
      <c r="C1452" s="4" t="str">
        <f>VLOOKUP(A1452,'Datos generales'!A:L,4,0)</f>
        <v>Silla Gamer</v>
      </c>
      <c r="D1452" s="4">
        <f>VLOOKUP(A1452,'Datos generales'!A:L,6,0)</f>
        <v>1083.8599999999999</v>
      </c>
      <c r="E1452" s="4">
        <f>VLOOKUP(A1452,'Datos generales'!A:L,12,0)</f>
        <v>1083.8599999999999</v>
      </c>
      <c r="F1452" s="4" t="str">
        <f>VLOOKUP(A1452,'Datos generales'!A:L,7,0)</f>
        <v>Muebles</v>
      </c>
      <c r="G1452" s="4">
        <v>2024</v>
      </c>
    </row>
    <row r="1453" spans="1:7" x14ac:dyDescent="0.25">
      <c r="A1453" t="s">
        <v>63</v>
      </c>
      <c r="B1453" s="4">
        <f>VLOOKUP(A1453,'Datos generales'!A:L,5,0)</f>
        <v>2</v>
      </c>
      <c r="C1453" s="4" t="str">
        <f>VLOOKUP(A1453,'Datos generales'!A:L,4,0)</f>
        <v>Monitor</v>
      </c>
      <c r="D1453" s="4">
        <f>VLOOKUP(A1453,'Datos generales'!A:L,6,0)</f>
        <v>1551.85</v>
      </c>
      <c r="E1453" s="4">
        <f>VLOOKUP(A1453,'Datos generales'!A:L,12,0)</f>
        <v>1551.85</v>
      </c>
      <c r="F1453" s="4" t="str">
        <f>VLOOKUP(A1453,'Datos generales'!A:L,7,0)</f>
        <v>Electrónica</v>
      </c>
      <c r="G1453" s="4">
        <v>2023</v>
      </c>
    </row>
    <row r="1454" spans="1:7" x14ac:dyDescent="0.25">
      <c r="A1454" t="s">
        <v>64</v>
      </c>
      <c r="B1454" s="4">
        <f>VLOOKUP(A1454,'Datos generales'!A:L,5,0)</f>
        <v>5</v>
      </c>
      <c r="C1454" s="4" t="str">
        <f>VLOOKUP(A1454,'Datos generales'!A:L,4,0)</f>
        <v>Laptop</v>
      </c>
      <c r="D1454" s="4">
        <f>VLOOKUP(A1454,'Datos generales'!A:L,6,0)</f>
        <v>1368.27</v>
      </c>
      <c r="E1454" s="4">
        <f>VLOOKUP(A1454,'Datos generales'!A:L,12,0)</f>
        <v>1368.27</v>
      </c>
      <c r="F1454" s="4" t="str">
        <f>VLOOKUP(A1454,'Datos generales'!A:L,7,0)</f>
        <v>Electrónica</v>
      </c>
      <c r="G1454" s="4">
        <v>2024</v>
      </c>
    </row>
    <row r="1455" spans="1:7" x14ac:dyDescent="0.25">
      <c r="A1455" t="s">
        <v>65</v>
      </c>
      <c r="B1455" s="4">
        <f>VLOOKUP(A1455,'Datos generales'!A:L,5,0)</f>
        <v>4</v>
      </c>
      <c r="C1455" s="4" t="str">
        <f>VLOOKUP(A1455,'Datos generales'!A:L,4,0)</f>
        <v>Laptop</v>
      </c>
      <c r="D1455" s="4">
        <f>VLOOKUP(A1455,'Datos generales'!A:L,6,0)</f>
        <v>1818.88</v>
      </c>
      <c r="E1455" s="4">
        <f>VLOOKUP(A1455,'Datos generales'!A:L,12,0)</f>
        <v>1818.88</v>
      </c>
      <c r="F1455" s="4" t="str">
        <f>VLOOKUP(A1455,'Datos generales'!A:L,7,0)</f>
        <v>Electrónica</v>
      </c>
      <c r="G1455" s="4">
        <v>2024</v>
      </c>
    </row>
    <row r="1456" spans="1:7" x14ac:dyDescent="0.25">
      <c r="A1456" t="s">
        <v>66</v>
      </c>
      <c r="B1456" s="4">
        <f>VLOOKUP(A1456,'Datos generales'!A:L,5,0)</f>
        <v>4</v>
      </c>
      <c r="C1456" s="4" t="str">
        <f>VLOOKUP(A1456,'Datos generales'!A:L,4,0)</f>
        <v>Mouse</v>
      </c>
      <c r="D1456" s="4">
        <f>VLOOKUP(A1456,'Datos generales'!A:L,6,0)</f>
        <v>1601.32</v>
      </c>
      <c r="E1456" s="4">
        <f>VLOOKUP(A1456,'Datos generales'!A:L,12,0)</f>
        <v>1601.32</v>
      </c>
      <c r="F1456" s="4" t="str">
        <f>VLOOKUP(A1456,'Datos generales'!A:L,7,0)</f>
        <v>Accesorios</v>
      </c>
      <c r="G1456" s="4">
        <v>2023</v>
      </c>
    </row>
    <row r="1457" spans="1:7" x14ac:dyDescent="0.25">
      <c r="A1457" t="s">
        <v>67</v>
      </c>
      <c r="B1457" s="4">
        <f>VLOOKUP(A1457,'Datos generales'!A:L,5,0)</f>
        <v>4</v>
      </c>
      <c r="C1457" s="4" t="str">
        <f>VLOOKUP(A1457,'Datos generales'!A:L,4,0)</f>
        <v>Teclado</v>
      </c>
      <c r="D1457" s="4">
        <f>VLOOKUP(A1457,'Datos generales'!A:L,6,0)</f>
        <v>177.79</v>
      </c>
      <c r="E1457" s="4">
        <f>VLOOKUP(A1457,'Datos generales'!A:L,12,0)</f>
        <v>177.79</v>
      </c>
      <c r="F1457" s="4" t="str">
        <f>VLOOKUP(A1457,'Datos generales'!A:L,7,0)</f>
        <v>Accesorios</v>
      </c>
      <c r="G1457" s="4">
        <v>2023</v>
      </c>
    </row>
    <row r="1458" spans="1:7" x14ac:dyDescent="0.25">
      <c r="A1458" t="s">
        <v>68</v>
      </c>
      <c r="B1458" s="4">
        <f>VLOOKUP(A1458,'Datos generales'!A:L,5,0)</f>
        <v>1</v>
      </c>
      <c r="C1458" s="4" t="str">
        <f>VLOOKUP(A1458,'Datos generales'!A:L,4,0)</f>
        <v>Teclado</v>
      </c>
      <c r="D1458" s="4">
        <f>VLOOKUP(A1458,'Datos generales'!A:L,6,0)</f>
        <v>83.48</v>
      </c>
      <c r="E1458" s="4">
        <f>VLOOKUP(A1458,'Datos generales'!A:L,12,0)</f>
        <v>83.48</v>
      </c>
      <c r="F1458" s="4" t="str">
        <f>VLOOKUP(A1458,'Datos generales'!A:L,7,0)</f>
        <v>Accesorios</v>
      </c>
      <c r="G1458" s="4">
        <v>2023</v>
      </c>
    </row>
    <row r="1459" spans="1:7" x14ac:dyDescent="0.25">
      <c r="A1459" t="s">
        <v>69</v>
      </c>
      <c r="B1459" s="4">
        <f>VLOOKUP(A1459,'Datos generales'!A:L,5,0)</f>
        <v>1</v>
      </c>
      <c r="C1459" s="4" t="str">
        <f>VLOOKUP(A1459,'Datos generales'!A:L,4,0)</f>
        <v>Audífonos</v>
      </c>
      <c r="D1459" s="4">
        <f>VLOOKUP(A1459,'Datos generales'!A:L,6,0)</f>
        <v>1372.72</v>
      </c>
      <c r="E1459" s="4">
        <f>VLOOKUP(A1459,'Datos generales'!A:L,12,0)</f>
        <v>1372.72</v>
      </c>
      <c r="F1459" s="4" t="str">
        <f>VLOOKUP(A1459,'Datos generales'!A:L,7,0)</f>
        <v>Accesorios</v>
      </c>
      <c r="G1459" s="4">
        <v>2023</v>
      </c>
    </row>
    <row r="1460" spans="1:7" x14ac:dyDescent="0.25">
      <c r="A1460" t="s">
        <v>70</v>
      </c>
      <c r="B1460" s="4">
        <f>VLOOKUP(A1460,'Datos generales'!A:L,5,0)</f>
        <v>1</v>
      </c>
      <c r="C1460" s="4" t="str">
        <f>VLOOKUP(A1460,'Datos generales'!A:L,4,0)</f>
        <v>Monitor</v>
      </c>
      <c r="D1460" s="4">
        <f>VLOOKUP(A1460,'Datos generales'!A:L,6,0)</f>
        <v>1618.91</v>
      </c>
      <c r="E1460" s="4">
        <f>VLOOKUP(A1460,'Datos generales'!A:L,12,0)</f>
        <v>1618.91</v>
      </c>
      <c r="F1460" s="4" t="str">
        <f>VLOOKUP(A1460,'Datos generales'!A:L,7,0)</f>
        <v>Electrónica</v>
      </c>
      <c r="G1460" s="4">
        <v>2024</v>
      </c>
    </row>
    <row r="1461" spans="1:7" x14ac:dyDescent="0.25">
      <c r="A1461" t="s">
        <v>71</v>
      </c>
      <c r="B1461" s="4">
        <f>VLOOKUP(A1461,'Datos generales'!A:L,5,0)</f>
        <v>4</v>
      </c>
      <c r="C1461" s="4" t="str">
        <f>VLOOKUP(A1461,'Datos generales'!A:L,4,0)</f>
        <v>Impresora</v>
      </c>
      <c r="D1461" s="4">
        <f>VLOOKUP(A1461,'Datos generales'!A:L,6,0)</f>
        <v>530.65</v>
      </c>
      <c r="E1461" s="4">
        <f>VLOOKUP(A1461,'Datos generales'!A:L,12,0)</f>
        <v>530.65</v>
      </c>
      <c r="F1461" s="4" t="str">
        <f>VLOOKUP(A1461,'Datos generales'!A:L,7,0)</f>
        <v>Electrónica</v>
      </c>
      <c r="G1461" s="4">
        <v>2024</v>
      </c>
    </row>
    <row r="1462" spans="1:7" x14ac:dyDescent="0.25">
      <c r="A1462" t="s">
        <v>72</v>
      </c>
      <c r="B1462" s="4">
        <f>VLOOKUP(A1462,'Datos generales'!A:L,5,0)</f>
        <v>5</v>
      </c>
      <c r="C1462" s="4" t="str">
        <f>VLOOKUP(A1462,'Datos generales'!A:L,4,0)</f>
        <v>Webcam</v>
      </c>
      <c r="D1462" s="4">
        <f>VLOOKUP(A1462,'Datos generales'!A:L,6,0)</f>
        <v>418.83</v>
      </c>
      <c r="E1462" s="4">
        <f>VLOOKUP(A1462,'Datos generales'!A:L,12,0)</f>
        <v>418.83</v>
      </c>
      <c r="F1462" s="4" t="str">
        <f>VLOOKUP(A1462,'Datos generales'!A:L,7,0)</f>
        <v>Accesorios</v>
      </c>
      <c r="G1462" s="4">
        <v>2024</v>
      </c>
    </row>
    <row r="1463" spans="1:7" x14ac:dyDescent="0.25">
      <c r="A1463" t="s">
        <v>73</v>
      </c>
      <c r="B1463" s="4">
        <f>VLOOKUP(A1463,'Datos generales'!A:L,5,0)</f>
        <v>3</v>
      </c>
      <c r="C1463" s="4" t="str">
        <f>VLOOKUP(A1463,'Datos generales'!A:L,4,0)</f>
        <v>Silla Gamer</v>
      </c>
      <c r="D1463" s="4">
        <f>VLOOKUP(A1463,'Datos generales'!A:L,6,0)</f>
        <v>664.98</v>
      </c>
      <c r="E1463" s="4">
        <f>VLOOKUP(A1463,'Datos generales'!A:L,12,0)</f>
        <v>664.98</v>
      </c>
      <c r="F1463" s="4" t="str">
        <f>VLOOKUP(A1463,'Datos generales'!A:L,7,0)</f>
        <v>Muebles</v>
      </c>
      <c r="G1463" s="4">
        <v>2025</v>
      </c>
    </row>
    <row r="1464" spans="1:7" x14ac:dyDescent="0.25">
      <c r="A1464" t="s">
        <v>74</v>
      </c>
      <c r="B1464" s="4">
        <f>VLOOKUP(A1464,'Datos generales'!A:L,5,0)</f>
        <v>1</v>
      </c>
      <c r="C1464" s="4" t="str">
        <f>VLOOKUP(A1464,'Datos generales'!A:L,4,0)</f>
        <v>Laptop</v>
      </c>
      <c r="D1464" s="4">
        <f>VLOOKUP(A1464,'Datos generales'!A:L,6,0)</f>
        <v>1322.41</v>
      </c>
      <c r="E1464" s="4">
        <f>VLOOKUP(A1464,'Datos generales'!A:L,12,0)</f>
        <v>1322.41</v>
      </c>
      <c r="F1464" s="4" t="str">
        <f>VLOOKUP(A1464,'Datos generales'!A:L,7,0)</f>
        <v>Electrónica</v>
      </c>
      <c r="G1464" s="4">
        <v>2024</v>
      </c>
    </row>
    <row r="1465" spans="1:7" x14ac:dyDescent="0.25">
      <c r="A1465" t="s">
        <v>75</v>
      </c>
      <c r="B1465" s="4">
        <f>VLOOKUP(A1465,'Datos generales'!A:L,5,0)</f>
        <v>4</v>
      </c>
      <c r="C1465" s="4" t="str">
        <f>VLOOKUP(A1465,'Datos generales'!A:L,4,0)</f>
        <v>Monitor</v>
      </c>
      <c r="D1465" s="4">
        <f>VLOOKUP(A1465,'Datos generales'!A:L,6,0)</f>
        <v>1467.27</v>
      </c>
      <c r="E1465" s="4">
        <f>VLOOKUP(A1465,'Datos generales'!A:L,12,0)</f>
        <v>1467.27</v>
      </c>
      <c r="F1465" s="4" t="str">
        <f>VLOOKUP(A1465,'Datos generales'!A:L,7,0)</f>
        <v>Electrónica</v>
      </c>
      <c r="G1465" s="4">
        <v>2023</v>
      </c>
    </row>
    <row r="1466" spans="1:7" x14ac:dyDescent="0.25">
      <c r="A1466" t="s">
        <v>76</v>
      </c>
      <c r="B1466" s="4">
        <f>VLOOKUP(A1466,'Datos generales'!A:L,5,0)</f>
        <v>4</v>
      </c>
      <c r="C1466" s="4" t="str">
        <f>VLOOKUP(A1466,'Datos generales'!A:L,4,0)</f>
        <v>Impresora</v>
      </c>
      <c r="D1466" s="4">
        <f>VLOOKUP(A1466,'Datos generales'!A:L,6,0)</f>
        <v>1804.12</v>
      </c>
      <c r="E1466" s="4">
        <f>VLOOKUP(A1466,'Datos generales'!A:L,12,0)</f>
        <v>1804.12</v>
      </c>
      <c r="F1466" s="4" t="str">
        <f>VLOOKUP(A1466,'Datos generales'!A:L,7,0)</f>
        <v>Electrónica</v>
      </c>
      <c r="G1466" s="4">
        <v>2024</v>
      </c>
    </row>
    <row r="1467" spans="1:7" x14ac:dyDescent="0.25">
      <c r="A1467" t="s">
        <v>77</v>
      </c>
      <c r="B1467" s="4">
        <f>VLOOKUP(A1467,'Datos generales'!A:L,5,0)</f>
        <v>1</v>
      </c>
      <c r="C1467" s="4" t="str">
        <f>VLOOKUP(A1467,'Datos generales'!A:L,4,0)</f>
        <v>Audífonos</v>
      </c>
      <c r="D1467" s="4">
        <f>VLOOKUP(A1467,'Datos generales'!A:L,6,0)</f>
        <v>1172.72</v>
      </c>
      <c r="E1467" s="4">
        <f>VLOOKUP(A1467,'Datos generales'!A:L,12,0)</f>
        <v>1172.72</v>
      </c>
      <c r="F1467" s="4" t="str">
        <f>VLOOKUP(A1467,'Datos generales'!A:L,7,0)</f>
        <v>Accesorios</v>
      </c>
      <c r="G1467" s="4">
        <v>2024</v>
      </c>
    </row>
    <row r="1468" spans="1:7" x14ac:dyDescent="0.25">
      <c r="A1468" t="s">
        <v>78</v>
      </c>
      <c r="B1468" s="4">
        <f>VLOOKUP(A1468,'Datos generales'!A:L,5,0)</f>
        <v>1</v>
      </c>
      <c r="C1468" s="4" t="str">
        <f>VLOOKUP(A1468,'Datos generales'!A:L,4,0)</f>
        <v>Mouse</v>
      </c>
      <c r="D1468" s="4">
        <f>VLOOKUP(A1468,'Datos generales'!A:L,6,0)</f>
        <v>725.07</v>
      </c>
      <c r="E1468" s="4">
        <f>VLOOKUP(A1468,'Datos generales'!A:L,12,0)</f>
        <v>725.07</v>
      </c>
      <c r="F1468" s="4" t="str">
        <f>VLOOKUP(A1468,'Datos generales'!A:L,7,0)</f>
        <v>Accesorios</v>
      </c>
      <c r="G1468" s="4">
        <v>2023</v>
      </c>
    </row>
    <row r="1469" spans="1:7" x14ac:dyDescent="0.25">
      <c r="A1469" t="s">
        <v>79</v>
      </c>
      <c r="B1469" s="4">
        <f>VLOOKUP(A1469,'Datos generales'!A:L,5,0)</f>
        <v>5</v>
      </c>
      <c r="C1469" s="4" t="str">
        <f>VLOOKUP(A1469,'Datos generales'!A:L,4,0)</f>
        <v>Monitor</v>
      </c>
      <c r="D1469" s="4">
        <f>VLOOKUP(A1469,'Datos generales'!A:L,6,0)</f>
        <v>563.69000000000005</v>
      </c>
      <c r="E1469" s="4">
        <f>VLOOKUP(A1469,'Datos generales'!A:L,12,0)</f>
        <v>563.69000000000005</v>
      </c>
      <c r="F1469" s="4" t="str">
        <f>VLOOKUP(A1469,'Datos generales'!A:L,7,0)</f>
        <v>Electrónica</v>
      </c>
      <c r="G1469" s="4">
        <v>2025</v>
      </c>
    </row>
    <row r="1470" spans="1:7" x14ac:dyDescent="0.25">
      <c r="A1470" t="s">
        <v>80</v>
      </c>
      <c r="B1470" s="4">
        <f>VLOOKUP(A1470,'Datos generales'!A:L,5,0)</f>
        <v>5</v>
      </c>
      <c r="C1470" s="4" t="str">
        <f>VLOOKUP(A1470,'Datos generales'!A:L,4,0)</f>
        <v>Audífonos</v>
      </c>
      <c r="D1470" s="4">
        <f>VLOOKUP(A1470,'Datos generales'!A:L,6,0)</f>
        <v>1547.41</v>
      </c>
      <c r="E1470" s="4">
        <f>VLOOKUP(A1470,'Datos generales'!A:L,12,0)</f>
        <v>1547.41</v>
      </c>
      <c r="F1470" s="4" t="str">
        <f>VLOOKUP(A1470,'Datos generales'!A:L,7,0)</f>
        <v>Accesorios</v>
      </c>
      <c r="G1470" s="4">
        <v>2023</v>
      </c>
    </row>
    <row r="1471" spans="1:7" x14ac:dyDescent="0.25">
      <c r="A1471" t="s">
        <v>81</v>
      </c>
      <c r="B1471" s="4">
        <f>VLOOKUP(A1471,'Datos generales'!A:L,5,0)</f>
        <v>2</v>
      </c>
      <c r="C1471" s="4" t="str">
        <f>VLOOKUP(A1471,'Datos generales'!A:L,4,0)</f>
        <v>Webcam</v>
      </c>
      <c r="D1471" s="4">
        <f>VLOOKUP(A1471,'Datos generales'!A:L,6,0)</f>
        <v>1903.65</v>
      </c>
      <c r="E1471" s="4">
        <f>VLOOKUP(A1471,'Datos generales'!A:L,12,0)</f>
        <v>1903.65</v>
      </c>
      <c r="F1471" s="4" t="str">
        <f>VLOOKUP(A1471,'Datos generales'!A:L,7,0)</f>
        <v>Accesorios</v>
      </c>
      <c r="G1471" s="4">
        <v>2023</v>
      </c>
    </row>
    <row r="1472" spans="1:7" x14ac:dyDescent="0.25">
      <c r="A1472" t="s">
        <v>82</v>
      </c>
      <c r="B1472" s="4">
        <f>VLOOKUP(A1472,'Datos generales'!A:L,5,0)</f>
        <v>2</v>
      </c>
      <c r="C1472" s="4" t="str">
        <f>VLOOKUP(A1472,'Datos generales'!A:L,4,0)</f>
        <v>Impresora</v>
      </c>
      <c r="D1472" s="4">
        <f>VLOOKUP(A1472,'Datos generales'!A:L,6,0)</f>
        <v>1198.2</v>
      </c>
      <c r="E1472" s="4">
        <f>VLOOKUP(A1472,'Datos generales'!A:L,12,0)</f>
        <v>1198.2</v>
      </c>
      <c r="F1472" s="4" t="str">
        <f>VLOOKUP(A1472,'Datos generales'!A:L,7,0)</f>
        <v>Electrónica</v>
      </c>
      <c r="G1472" s="4">
        <v>2024</v>
      </c>
    </row>
    <row r="1473" spans="1:7" x14ac:dyDescent="0.25">
      <c r="A1473" t="s">
        <v>83</v>
      </c>
      <c r="B1473" s="4">
        <f>VLOOKUP(A1473,'Datos generales'!A:L,5,0)</f>
        <v>3</v>
      </c>
      <c r="C1473" s="4" t="str">
        <f>VLOOKUP(A1473,'Datos generales'!A:L,4,0)</f>
        <v>Teclado</v>
      </c>
      <c r="D1473" s="4">
        <f>VLOOKUP(A1473,'Datos generales'!A:L,6,0)</f>
        <v>543.72</v>
      </c>
      <c r="E1473" s="4">
        <f>VLOOKUP(A1473,'Datos generales'!A:L,12,0)</f>
        <v>543.72</v>
      </c>
      <c r="F1473" s="4" t="str">
        <f>VLOOKUP(A1473,'Datos generales'!A:L,7,0)</f>
        <v>Accesorios</v>
      </c>
      <c r="G1473" s="4">
        <v>2025</v>
      </c>
    </row>
    <row r="1474" spans="1:7" x14ac:dyDescent="0.25">
      <c r="A1474" t="s">
        <v>84</v>
      </c>
      <c r="B1474" s="4">
        <f>VLOOKUP(A1474,'Datos generales'!A:L,5,0)</f>
        <v>2</v>
      </c>
      <c r="C1474" s="4" t="str">
        <f>VLOOKUP(A1474,'Datos generales'!A:L,4,0)</f>
        <v>Webcam</v>
      </c>
      <c r="D1474" s="4">
        <f>VLOOKUP(A1474,'Datos generales'!A:L,6,0)</f>
        <v>1449.53</v>
      </c>
      <c r="E1474" s="4">
        <f>VLOOKUP(A1474,'Datos generales'!A:L,12,0)</f>
        <v>1449.53</v>
      </c>
      <c r="F1474" s="4" t="str">
        <f>VLOOKUP(A1474,'Datos generales'!A:L,7,0)</f>
        <v>Accesorios</v>
      </c>
      <c r="G1474" s="4">
        <v>2023</v>
      </c>
    </row>
    <row r="1475" spans="1:7" x14ac:dyDescent="0.25">
      <c r="A1475" t="s">
        <v>85</v>
      </c>
      <c r="B1475" s="4">
        <f>VLOOKUP(A1475,'Datos generales'!A:L,5,0)</f>
        <v>5</v>
      </c>
      <c r="C1475" s="4" t="str">
        <f>VLOOKUP(A1475,'Datos generales'!A:L,4,0)</f>
        <v>Silla Gamer</v>
      </c>
      <c r="D1475" s="4">
        <f>VLOOKUP(A1475,'Datos generales'!A:L,6,0)</f>
        <v>472.42</v>
      </c>
      <c r="E1475" s="4">
        <f>VLOOKUP(A1475,'Datos generales'!A:L,12,0)</f>
        <v>472.42</v>
      </c>
      <c r="F1475" s="4" t="str">
        <f>VLOOKUP(A1475,'Datos generales'!A:L,7,0)</f>
        <v>Muebles</v>
      </c>
      <c r="G1475" s="4">
        <v>2024</v>
      </c>
    </row>
    <row r="1476" spans="1:7" x14ac:dyDescent="0.25">
      <c r="A1476" t="s">
        <v>86</v>
      </c>
      <c r="B1476" s="4">
        <f>VLOOKUP(A1476,'Datos generales'!A:L,5,0)</f>
        <v>3</v>
      </c>
      <c r="C1476" s="4" t="str">
        <f>VLOOKUP(A1476,'Datos generales'!A:L,4,0)</f>
        <v>Audífonos</v>
      </c>
      <c r="D1476" s="4">
        <f>VLOOKUP(A1476,'Datos generales'!A:L,6,0)</f>
        <v>367.9</v>
      </c>
      <c r="E1476" s="4">
        <f>VLOOKUP(A1476,'Datos generales'!A:L,12,0)</f>
        <v>367.89999999999992</v>
      </c>
      <c r="F1476" s="4" t="str">
        <f>VLOOKUP(A1476,'Datos generales'!A:L,7,0)</f>
        <v>Accesorios</v>
      </c>
      <c r="G1476" s="4">
        <v>2023</v>
      </c>
    </row>
    <row r="1477" spans="1:7" x14ac:dyDescent="0.25">
      <c r="A1477" t="s">
        <v>87</v>
      </c>
      <c r="B1477" s="4">
        <f>VLOOKUP(A1477,'Datos generales'!A:L,5,0)</f>
        <v>5</v>
      </c>
      <c r="C1477" s="4" t="str">
        <f>VLOOKUP(A1477,'Datos generales'!A:L,4,0)</f>
        <v>Audífonos</v>
      </c>
      <c r="D1477" s="4">
        <f>VLOOKUP(A1477,'Datos generales'!A:L,6,0)</f>
        <v>739.51</v>
      </c>
      <c r="E1477" s="4">
        <f>VLOOKUP(A1477,'Datos generales'!A:L,12,0)</f>
        <v>739.51</v>
      </c>
      <c r="F1477" s="4" t="str">
        <f>VLOOKUP(A1477,'Datos generales'!A:L,7,0)</f>
        <v>Accesorios</v>
      </c>
      <c r="G1477" s="4">
        <v>2025</v>
      </c>
    </row>
    <row r="1478" spans="1:7" x14ac:dyDescent="0.25">
      <c r="A1478" t="s">
        <v>88</v>
      </c>
      <c r="B1478" s="4">
        <f>VLOOKUP(A1478,'Datos generales'!A:L,5,0)</f>
        <v>2</v>
      </c>
      <c r="C1478" s="4" t="str">
        <f>VLOOKUP(A1478,'Datos generales'!A:L,4,0)</f>
        <v>Laptop</v>
      </c>
      <c r="D1478" s="4">
        <f>VLOOKUP(A1478,'Datos generales'!A:L,6,0)</f>
        <v>1089.1300000000001</v>
      </c>
      <c r="E1478" s="4">
        <f>VLOOKUP(A1478,'Datos generales'!A:L,12,0)</f>
        <v>1089.1300000000001</v>
      </c>
      <c r="F1478" s="4" t="str">
        <f>VLOOKUP(A1478,'Datos generales'!A:L,7,0)</f>
        <v>Electrónica</v>
      </c>
      <c r="G1478" s="4">
        <v>2023</v>
      </c>
    </row>
    <row r="1479" spans="1:7" x14ac:dyDescent="0.25">
      <c r="A1479" t="s">
        <v>89</v>
      </c>
      <c r="B1479" s="4">
        <f>VLOOKUP(A1479,'Datos generales'!A:L,5,0)</f>
        <v>5</v>
      </c>
      <c r="C1479" s="4" t="str">
        <f>VLOOKUP(A1479,'Datos generales'!A:L,4,0)</f>
        <v>Webcam</v>
      </c>
      <c r="D1479" s="4">
        <f>VLOOKUP(A1479,'Datos generales'!A:L,6,0)</f>
        <v>1632.75</v>
      </c>
      <c r="E1479" s="4">
        <f>VLOOKUP(A1479,'Datos generales'!A:L,12,0)</f>
        <v>1632.75</v>
      </c>
      <c r="F1479" s="4" t="str">
        <f>VLOOKUP(A1479,'Datos generales'!A:L,7,0)</f>
        <v>Accesorios</v>
      </c>
      <c r="G1479" s="4">
        <v>2024</v>
      </c>
    </row>
    <row r="1480" spans="1:7" x14ac:dyDescent="0.25">
      <c r="A1480" t="s">
        <v>90</v>
      </c>
      <c r="B1480" s="4">
        <f>VLOOKUP(A1480,'Datos generales'!A:L,5,0)</f>
        <v>3</v>
      </c>
      <c r="C1480" s="4" t="str">
        <f>VLOOKUP(A1480,'Datos generales'!A:L,4,0)</f>
        <v>Monitor</v>
      </c>
      <c r="D1480" s="4">
        <f>VLOOKUP(A1480,'Datos generales'!A:L,6,0)</f>
        <v>817.35</v>
      </c>
      <c r="E1480" s="4">
        <f>VLOOKUP(A1480,'Datos generales'!A:L,12,0)</f>
        <v>817.35</v>
      </c>
      <c r="F1480" s="4" t="str">
        <f>VLOOKUP(A1480,'Datos generales'!A:L,7,0)</f>
        <v>Electrónica</v>
      </c>
      <c r="G1480" s="4">
        <v>2023</v>
      </c>
    </row>
    <row r="1481" spans="1:7" x14ac:dyDescent="0.25">
      <c r="A1481" t="s">
        <v>91</v>
      </c>
      <c r="B1481" s="4">
        <f>VLOOKUP(A1481,'Datos generales'!A:L,5,0)</f>
        <v>2</v>
      </c>
      <c r="C1481" s="4" t="str">
        <f>VLOOKUP(A1481,'Datos generales'!A:L,4,0)</f>
        <v>Teclado</v>
      </c>
      <c r="D1481" s="4">
        <f>VLOOKUP(A1481,'Datos generales'!A:L,6,0)</f>
        <v>1186.58</v>
      </c>
      <c r="E1481" s="4">
        <f>VLOOKUP(A1481,'Datos generales'!A:L,12,0)</f>
        <v>1186.58</v>
      </c>
      <c r="F1481" s="4" t="str">
        <f>VLOOKUP(A1481,'Datos generales'!A:L,7,0)</f>
        <v>Accesorios</v>
      </c>
      <c r="G1481" s="4">
        <v>2024</v>
      </c>
    </row>
    <row r="1482" spans="1:7" x14ac:dyDescent="0.25">
      <c r="A1482" t="s">
        <v>92</v>
      </c>
      <c r="B1482" s="4">
        <f>VLOOKUP(A1482,'Datos generales'!A:L,5,0)</f>
        <v>2</v>
      </c>
      <c r="C1482" s="4" t="str">
        <f>VLOOKUP(A1482,'Datos generales'!A:L,4,0)</f>
        <v>Impresora</v>
      </c>
      <c r="D1482" s="4">
        <f>VLOOKUP(A1482,'Datos generales'!A:L,6,0)</f>
        <v>1872.8</v>
      </c>
      <c r="E1482" s="4">
        <f>VLOOKUP(A1482,'Datos generales'!A:L,12,0)</f>
        <v>1872.8</v>
      </c>
      <c r="F1482" s="4" t="str">
        <f>VLOOKUP(A1482,'Datos generales'!A:L,7,0)</f>
        <v>Electrónica</v>
      </c>
      <c r="G1482" s="4">
        <v>2023</v>
      </c>
    </row>
    <row r="1483" spans="1:7" x14ac:dyDescent="0.25">
      <c r="A1483" t="s">
        <v>93</v>
      </c>
      <c r="B1483" s="4">
        <f>VLOOKUP(A1483,'Datos generales'!A:L,5,0)</f>
        <v>3</v>
      </c>
      <c r="C1483" s="4" t="str">
        <f>VLOOKUP(A1483,'Datos generales'!A:L,4,0)</f>
        <v>Silla Gamer</v>
      </c>
      <c r="D1483" s="4">
        <f>VLOOKUP(A1483,'Datos generales'!A:L,6,0)</f>
        <v>680.19</v>
      </c>
      <c r="E1483" s="4">
        <f>VLOOKUP(A1483,'Datos generales'!A:L,12,0)</f>
        <v>680.19</v>
      </c>
      <c r="F1483" s="4" t="str">
        <f>VLOOKUP(A1483,'Datos generales'!A:L,7,0)</f>
        <v>Muebles</v>
      </c>
      <c r="G1483" s="4">
        <v>2023</v>
      </c>
    </row>
    <row r="1484" spans="1:7" x14ac:dyDescent="0.25">
      <c r="A1484" t="s">
        <v>94</v>
      </c>
      <c r="B1484" s="4">
        <f>VLOOKUP(A1484,'Datos generales'!A:L,5,0)</f>
        <v>4</v>
      </c>
      <c r="C1484" s="4" t="str">
        <f>VLOOKUP(A1484,'Datos generales'!A:L,4,0)</f>
        <v>Webcam</v>
      </c>
      <c r="D1484" s="4">
        <f>VLOOKUP(A1484,'Datos generales'!A:L,6,0)</f>
        <v>262.82</v>
      </c>
      <c r="E1484" s="4">
        <f>VLOOKUP(A1484,'Datos generales'!A:L,12,0)</f>
        <v>262.82</v>
      </c>
      <c r="F1484" s="4" t="str">
        <f>VLOOKUP(A1484,'Datos generales'!A:L,7,0)</f>
        <v>Accesorios</v>
      </c>
      <c r="G1484" s="4">
        <v>2023</v>
      </c>
    </row>
    <row r="1485" spans="1:7" x14ac:dyDescent="0.25">
      <c r="A1485" t="s">
        <v>95</v>
      </c>
      <c r="B1485" s="4">
        <f>VLOOKUP(A1485,'Datos generales'!A:L,5,0)</f>
        <v>4</v>
      </c>
      <c r="C1485" s="4" t="str">
        <f>VLOOKUP(A1485,'Datos generales'!A:L,4,0)</f>
        <v>Impresora</v>
      </c>
      <c r="D1485" s="4">
        <f>VLOOKUP(A1485,'Datos generales'!A:L,6,0)</f>
        <v>1531.75</v>
      </c>
      <c r="E1485" s="4">
        <f>VLOOKUP(A1485,'Datos generales'!A:L,12,0)</f>
        <v>1531.75</v>
      </c>
      <c r="F1485" s="4" t="str">
        <f>VLOOKUP(A1485,'Datos generales'!A:L,7,0)</f>
        <v>Electrónica</v>
      </c>
      <c r="G1485" s="4">
        <v>2025</v>
      </c>
    </row>
    <row r="1486" spans="1:7" x14ac:dyDescent="0.25">
      <c r="A1486" t="s">
        <v>96</v>
      </c>
      <c r="B1486" s="4">
        <f>VLOOKUP(A1486,'Datos generales'!A:L,5,0)</f>
        <v>1</v>
      </c>
      <c r="C1486" s="4" t="str">
        <f>VLOOKUP(A1486,'Datos generales'!A:L,4,0)</f>
        <v>Impresora</v>
      </c>
      <c r="D1486" s="4">
        <f>VLOOKUP(A1486,'Datos generales'!A:L,6,0)</f>
        <v>503.84</v>
      </c>
      <c r="E1486" s="4">
        <f>VLOOKUP(A1486,'Datos generales'!A:L,12,0)</f>
        <v>503.84</v>
      </c>
      <c r="F1486" s="4" t="str">
        <f>VLOOKUP(A1486,'Datos generales'!A:L,7,0)</f>
        <v>Electrónica</v>
      </c>
      <c r="G1486" s="4">
        <v>2023</v>
      </c>
    </row>
    <row r="1487" spans="1:7" x14ac:dyDescent="0.25">
      <c r="A1487" t="s">
        <v>97</v>
      </c>
      <c r="B1487" s="4">
        <f>VLOOKUP(A1487,'Datos generales'!A:L,5,0)</f>
        <v>4</v>
      </c>
      <c r="C1487" s="4" t="str">
        <f>VLOOKUP(A1487,'Datos generales'!A:L,4,0)</f>
        <v>Laptop</v>
      </c>
      <c r="D1487" s="4">
        <f>VLOOKUP(A1487,'Datos generales'!A:L,6,0)</f>
        <v>1908.41</v>
      </c>
      <c r="E1487" s="4">
        <f>VLOOKUP(A1487,'Datos generales'!A:L,12,0)</f>
        <v>1908.41</v>
      </c>
      <c r="F1487" s="4" t="str">
        <f>VLOOKUP(A1487,'Datos generales'!A:L,7,0)</f>
        <v>Electrónica</v>
      </c>
      <c r="G1487" s="4">
        <v>2024</v>
      </c>
    </row>
    <row r="1488" spans="1:7" x14ac:dyDescent="0.25">
      <c r="A1488" t="s">
        <v>98</v>
      </c>
      <c r="B1488" s="4">
        <f>VLOOKUP(A1488,'Datos generales'!A:L,5,0)</f>
        <v>2</v>
      </c>
      <c r="C1488" s="4" t="str">
        <f>VLOOKUP(A1488,'Datos generales'!A:L,4,0)</f>
        <v>Impresora</v>
      </c>
      <c r="D1488" s="4">
        <f>VLOOKUP(A1488,'Datos generales'!A:L,6,0)</f>
        <v>114.6</v>
      </c>
      <c r="E1488" s="4">
        <f>VLOOKUP(A1488,'Datos generales'!A:L,12,0)</f>
        <v>114.6</v>
      </c>
      <c r="F1488" s="4" t="str">
        <f>VLOOKUP(A1488,'Datos generales'!A:L,7,0)</f>
        <v>Electrónica</v>
      </c>
      <c r="G1488" s="4">
        <v>2024</v>
      </c>
    </row>
    <row r="1489" spans="1:7" x14ac:dyDescent="0.25">
      <c r="A1489" t="s">
        <v>99</v>
      </c>
      <c r="B1489" s="4">
        <f>VLOOKUP(A1489,'Datos generales'!A:L,5,0)</f>
        <v>2</v>
      </c>
      <c r="C1489" s="4" t="str">
        <f>VLOOKUP(A1489,'Datos generales'!A:L,4,0)</f>
        <v>Impresora</v>
      </c>
      <c r="D1489" s="4">
        <f>VLOOKUP(A1489,'Datos generales'!A:L,6,0)</f>
        <v>595.78</v>
      </c>
      <c r="E1489" s="4">
        <f>VLOOKUP(A1489,'Datos generales'!A:L,12,0)</f>
        <v>595.78</v>
      </c>
      <c r="F1489" s="4" t="str">
        <f>VLOOKUP(A1489,'Datos generales'!A:L,7,0)</f>
        <v>Electrónica</v>
      </c>
      <c r="G1489" s="4">
        <v>2023</v>
      </c>
    </row>
    <row r="1490" spans="1:7" x14ac:dyDescent="0.25">
      <c r="A1490" t="s">
        <v>100</v>
      </c>
      <c r="B1490" s="4">
        <f>VLOOKUP(A1490,'Datos generales'!A:L,5,0)</f>
        <v>2</v>
      </c>
      <c r="C1490" s="4" t="str">
        <f>VLOOKUP(A1490,'Datos generales'!A:L,4,0)</f>
        <v>Laptop</v>
      </c>
      <c r="D1490" s="4">
        <f>VLOOKUP(A1490,'Datos generales'!A:L,6,0)</f>
        <v>75.02</v>
      </c>
      <c r="E1490" s="4">
        <f>VLOOKUP(A1490,'Datos generales'!A:L,12,0)</f>
        <v>75.02</v>
      </c>
      <c r="F1490" s="4" t="str">
        <f>VLOOKUP(A1490,'Datos generales'!A:L,7,0)</f>
        <v>Electrónica</v>
      </c>
      <c r="G1490" s="4">
        <v>2024</v>
      </c>
    </row>
    <row r="1491" spans="1:7" x14ac:dyDescent="0.25">
      <c r="A1491" t="s">
        <v>101</v>
      </c>
      <c r="B1491" s="4">
        <f>VLOOKUP(A1491,'Datos generales'!A:L,5,0)</f>
        <v>5</v>
      </c>
      <c r="C1491" s="4" t="str">
        <f>VLOOKUP(A1491,'Datos generales'!A:L,4,0)</f>
        <v>Webcam</v>
      </c>
      <c r="D1491" s="4">
        <f>VLOOKUP(A1491,'Datos generales'!A:L,6,0)</f>
        <v>540.91999999999996</v>
      </c>
      <c r="E1491" s="4">
        <f>VLOOKUP(A1491,'Datos generales'!A:L,12,0)</f>
        <v>540.91999999999996</v>
      </c>
      <c r="F1491" s="4" t="str">
        <f>VLOOKUP(A1491,'Datos generales'!A:L,7,0)</f>
        <v>Accesorios</v>
      </c>
      <c r="G1491" s="4">
        <v>2024</v>
      </c>
    </row>
    <row r="1492" spans="1:7" x14ac:dyDescent="0.25">
      <c r="A1492" t="s">
        <v>102</v>
      </c>
      <c r="B1492" s="4">
        <f>VLOOKUP(A1492,'Datos generales'!A:L,5,0)</f>
        <v>2</v>
      </c>
      <c r="C1492" s="4" t="str">
        <f>VLOOKUP(A1492,'Datos generales'!A:L,4,0)</f>
        <v>Monitor</v>
      </c>
      <c r="D1492" s="4">
        <f>VLOOKUP(A1492,'Datos generales'!A:L,6,0)</f>
        <v>356.91</v>
      </c>
      <c r="E1492" s="4">
        <f>VLOOKUP(A1492,'Datos generales'!A:L,12,0)</f>
        <v>356.91</v>
      </c>
      <c r="F1492" s="4" t="str">
        <f>VLOOKUP(A1492,'Datos generales'!A:L,7,0)</f>
        <v>Electrónica</v>
      </c>
      <c r="G1492" s="4">
        <v>2025</v>
      </c>
    </row>
    <row r="1493" spans="1:7" x14ac:dyDescent="0.25">
      <c r="A1493" t="s">
        <v>103</v>
      </c>
      <c r="B1493" s="4">
        <f>VLOOKUP(A1493,'Datos generales'!A:L,5,0)</f>
        <v>3</v>
      </c>
      <c r="C1493" s="4" t="str">
        <f>VLOOKUP(A1493,'Datos generales'!A:L,4,0)</f>
        <v>Audífonos</v>
      </c>
      <c r="D1493" s="4">
        <f>VLOOKUP(A1493,'Datos generales'!A:L,6,0)</f>
        <v>1135.67</v>
      </c>
      <c r="E1493" s="4">
        <f>VLOOKUP(A1493,'Datos generales'!A:L,12,0)</f>
        <v>1135.67</v>
      </c>
      <c r="F1493" s="4" t="str">
        <f>VLOOKUP(A1493,'Datos generales'!A:L,7,0)</f>
        <v>Accesorios</v>
      </c>
      <c r="G1493" s="4">
        <v>2025</v>
      </c>
    </row>
    <row r="1494" spans="1:7" x14ac:dyDescent="0.25">
      <c r="A1494" t="s">
        <v>104</v>
      </c>
      <c r="B1494" s="4">
        <f>VLOOKUP(A1494,'Datos generales'!A:L,5,0)</f>
        <v>3</v>
      </c>
      <c r="C1494" s="4" t="str">
        <f>VLOOKUP(A1494,'Datos generales'!A:L,4,0)</f>
        <v>Impresora</v>
      </c>
      <c r="D1494" s="4">
        <f>VLOOKUP(A1494,'Datos generales'!A:L,6,0)</f>
        <v>805.69</v>
      </c>
      <c r="E1494" s="4">
        <f>VLOOKUP(A1494,'Datos generales'!A:L,12,0)</f>
        <v>805.69</v>
      </c>
      <c r="F1494" s="4" t="str">
        <f>VLOOKUP(A1494,'Datos generales'!A:L,7,0)</f>
        <v>Electrónica</v>
      </c>
      <c r="G1494" s="4">
        <v>2025</v>
      </c>
    </row>
    <row r="1495" spans="1:7" x14ac:dyDescent="0.25">
      <c r="A1495" t="s">
        <v>105</v>
      </c>
      <c r="B1495" s="4">
        <f>VLOOKUP(A1495,'Datos generales'!A:L,5,0)</f>
        <v>2</v>
      </c>
      <c r="C1495" s="4" t="str">
        <f>VLOOKUP(A1495,'Datos generales'!A:L,4,0)</f>
        <v>Laptop</v>
      </c>
      <c r="D1495" s="4">
        <f>VLOOKUP(A1495,'Datos generales'!A:L,6,0)</f>
        <v>1259.07</v>
      </c>
      <c r="E1495" s="4">
        <f>VLOOKUP(A1495,'Datos generales'!A:L,12,0)</f>
        <v>1259.07</v>
      </c>
      <c r="F1495" s="4" t="str">
        <f>VLOOKUP(A1495,'Datos generales'!A:L,7,0)</f>
        <v>Electrónica</v>
      </c>
      <c r="G1495" s="4">
        <v>2023</v>
      </c>
    </row>
    <row r="1496" spans="1:7" x14ac:dyDescent="0.25">
      <c r="A1496" t="s">
        <v>106</v>
      </c>
      <c r="B1496" s="4">
        <f>VLOOKUP(A1496,'Datos generales'!A:L,5,0)</f>
        <v>3</v>
      </c>
      <c r="C1496" s="4" t="str">
        <f>VLOOKUP(A1496,'Datos generales'!A:L,4,0)</f>
        <v>Mouse</v>
      </c>
      <c r="D1496" s="4">
        <f>VLOOKUP(A1496,'Datos generales'!A:L,6,0)</f>
        <v>600.4</v>
      </c>
      <c r="E1496" s="4">
        <f>VLOOKUP(A1496,'Datos generales'!A:L,12,0)</f>
        <v>600.4</v>
      </c>
      <c r="F1496" s="4" t="str">
        <f>VLOOKUP(A1496,'Datos generales'!A:L,7,0)</f>
        <v>Accesorios</v>
      </c>
      <c r="G1496" s="4">
        <v>2024</v>
      </c>
    </row>
    <row r="1497" spans="1:7" x14ac:dyDescent="0.25">
      <c r="A1497" t="s">
        <v>107</v>
      </c>
      <c r="B1497" s="4">
        <f>VLOOKUP(A1497,'Datos generales'!A:L,5,0)</f>
        <v>2</v>
      </c>
      <c r="C1497" s="4" t="str">
        <f>VLOOKUP(A1497,'Datos generales'!A:L,4,0)</f>
        <v>Silla Gamer</v>
      </c>
      <c r="D1497" s="4">
        <f>VLOOKUP(A1497,'Datos generales'!A:L,6,0)</f>
        <v>479.81</v>
      </c>
      <c r="E1497" s="4">
        <f>VLOOKUP(A1497,'Datos generales'!A:L,12,0)</f>
        <v>479.81</v>
      </c>
      <c r="F1497" s="4" t="str">
        <f>VLOOKUP(A1497,'Datos generales'!A:L,7,0)</f>
        <v>Muebles</v>
      </c>
      <c r="G1497" s="4">
        <v>2024</v>
      </c>
    </row>
    <row r="1498" spans="1:7" x14ac:dyDescent="0.25">
      <c r="A1498" t="s">
        <v>108</v>
      </c>
      <c r="B1498" s="4">
        <f>VLOOKUP(A1498,'Datos generales'!A:L,5,0)</f>
        <v>1</v>
      </c>
      <c r="C1498" s="4" t="str">
        <f>VLOOKUP(A1498,'Datos generales'!A:L,4,0)</f>
        <v>Webcam</v>
      </c>
      <c r="D1498" s="4">
        <f>VLOOKUP(A1498,'Datos generales'!A:L,6,0)</f>
        <v>1888.86</v>
      </c>
      <c r="E1498" s="4">
        <f>VLOOKUP(A1498,'Datos generales'!A:L,12,0)</f>
        <v>1888.86</v>
      </c>
      <c r="F1498" s="4" t="str">
        <f>VLOOKUP(A1498,'Datos generales'!A:L,7,0)</f>
        <v>Accesorios</v>
      </c>
      <c r="G1498" s="4">
        <v>2024</v>
      </c>
    </row>
    <row r="1499" spans="1:7" x14ac:dyDescent="0.25">
      <c r="A1499" t="s">
        <v>109</v>
      </c>
      <c r="B1499" s="4">
        <f>VLOOKUP(A1499,'Datos generales'!A:L,5,0)</f>
        <v>4</v>
      </c>
      <c r="C1499" s="4" t="str">
        <f>VLOOKUP(A1499,'Datos generales'!A:L,4,0)</f>
        <v>Laptop</v>
      </c>
      <c r="D1499" s="4">
        <f>VLOOKUP(A1499,'Datos generales'!A:L,6,0)</f>
        <v>1821.05</v>
      </c>
      <c r="E1499" s="4">
        <f>VLOOKUP(A1499,'Datos generales'!A:L,12,0)</f>
        <v>1821.05</v>
      </c>
      <c r="F1499" s="4" t="str">
        <f>VLOOKUP(A1499,'Datos generales'!A:L,7,0)</f>
        <v>Electrónica</v>
      </c>
      <c r="G1499" s="4">
        <v>2024</v>
      </c>
    </row>
    <row r="1500" spans="1:7" x14ac:dyDescent="0.25">
      <c r="A1500" t="s">
        <v>110</v>
      </c>
      <c r="B1500" s="4">
        <f>VLOOKUP(A1500,'Datos generales'!A:L,5,0)</f>
        <v>3</v>
      </c>
      <c r="C1500" s="4" t="str">
        <f>VLOOKUP(A1500,'Datos generales'!A:L,4,0)</f>
        <v>Mouse</v>
      </c>
      <c r="D1500" s="4">
        <f>VLOOKUP(A1500,'Datos generales'!A:L,6,0)</f>
        <v>1537.23</v>
      </c>
      <c r="E1500" s="4">
        <f>VLOOKUP(A1500,'Datos generales'!A:L,12,0)</f>
        <v>1537.23</v>
      </c>
      <c r="F1500" s="4" t="str">
        <f>VLOOKUP(A1500,'Datos generales'!A:L,7,0)</f>
        <v>Accesorios</v>
      </c>
      <c r="G1500" s="4">
        <v>2025</v>
      </c>
    </row>
    <row r="1501" spans="1:7" x14ac:dyDescent="0.25">
      <c r="A1501" t="s">
        <v>111</v>
      </c>
      <c r="B1501" s="4">
        <f>VLOOKUP(A1501,'Datos generales'!A:L,5,0)</f>
        <v>3</v>
      </c>
      <c r="C1501" s="4" t="str">
        <f>VLOOKUP(A1501,'Datos generales'!A:L,4,0)</f>
        <v>Silla Gamer</v>
      </c>
      <c r="D1501" s="4">
        <f>VLOOKUP(A1501,'Datos generales'!A:L,6,0)</f>
        <v>311.66000000000003</v>
      </c>
      <c r="E1501" s="4">
        <f>VLOOKUP(A1501,'Datos generales'!A:L,12,0)</f>
        <v>311.66000000000003</v>
      </c>
      <c r="F1501" s="4" t="str">
        <f>VLOOKUP(A1501,'Datos generales'!A:L,7,0)</f>
        <v>Muebles</v>
      </c>
      <c r="G1501" s="4">
        <v>2024</v>
      </c>
    </row>
    <row r="1502" spans="1:7" x14ac:dyDescent="0.25">
      <c r="A1502" t="s">
        <v>112</v>
      </c>
      <c r="B1502" s="4">
        <f>VLOOKUP(A1502,'Datos generales'!A:L,5,0)</f>
        <v>5</v>
      </c>
      <c r="C1502" s="4" t="str">
        <f>VLOOKUP(A1502,'Datos generales'!A:L,4,0)</f>
        <v>Teclado</v>
      </c>
      <c r="D1502" s="4">
        <f>VLOOKUP(A1502,'Datos generales'!A:L,6,0)</f>
        <v>149.09</v>
      </c>
      <c r="E1502" s="4">
        <f>VLOOKUP(A1502,'Datos generales'!A:L,12,0)</f>
        <v>149.09</v>
      </c>
      <c r="F1502" s="4" t="str">
        <f>VLOOKUP(A1502,'Datos generales'!A:L,7,0)</f>
        <v>Accesorios</v>
      </c>
      <c r="G1502" s="4">
        <v>2024</v>
      </c>
    </row>
    <row r="1503" spans="1:7" x14ac:dyDescent="0.25">
      <c r="A1503" t="s">
        <v>113</v>
      </c>
      <c r="B1503" s="4">
        <f>VLOOKUP(A1503,'Datos generales'!A:L,5,0)</f>
        <v>5</v>
      </c>
      <c r="C1503" s="4" t="str">
        <f>VLOOKUP(A1503,'Datos generales'!A:L,4,0)</f>
        <v>Laptop</v>
      </c>
      <c r="D1503" s="4">
        <f>VLOOKUP(A1503,'Datos generales'!A:L,6,0)</f>
        <v>1885.48</v>
      </c>
      <c r="E1503" s="4">
        <f>VLOOKUP(A1503,'Datos generales'!A:L,12,0)</f>
        <v>1885.48</v>
      </c>
      <c r="F1503" s="4" t="str">
        <f>VLOOKUP(A1503,'Datos generales'!A:L,7,0)</f>
        <v>Electrónica</v>
      </c>
      <c r="G1503" s="4">
        <v>2023</v>
      </c>
    </row>
    <row r="1504" spans="1:7" x14ac:dyDescent="0.25">
      <c r="A1504" t="s">
        <v>114</v>
      </c>
      <c r="B1504" s="4">
        <f>VLOOKUP(A1504,'Datos generales'!A:L,5,0)</f>
        <v>3</v>
      </c>
      <c r="C1504" s="4" t="str">
        <f>VLOOKUP(A1504,'Datos generales'!A:L,4,0)</f>
        <v>Webcam</v>
      </c>
      <c r="D1504" s="4">
        <f>VLOOKUP(A1504,'Datos generales'!A:L,6,0)</f>
        <v>1591.92</v>
      </c>
      <c r="E1504" s="4">
        <f>VLOOKUP(A1504,'Datos generales'!A:L,12,0)</f>
        <v>1591.92</v>
      </c>
      <c r="F1504" s="4" t="str">
        <f>VLOOKUP(A1504,'Datos generales'!A:L,7,0)</f>
        <v>Accesorios</v>
      </c>
      <c r="G1504" s="4">
        <v>2023</v>
      </c>
    </row>
    <row r="1505" spans="1:7" x14ac:dyDescent="0.25">
      <c r="A1505" t="s">
        <v>115</v>
      </c>
      <c r="B1505" s="4">
        <f>VLOOKUP(A1505,'Datos generales'!A:L,5,0)</f>
        <v>5</v>
      </c>
      <c r="C1505" s="4" t="str">
        <f>VLOOKUP(A1505,'Datos generales'!A:L,4,0)</f>
        <v>Webcam</v>
      </c>
      <c r="D1505" s="4">
        <f>VLOOKUP(A1505,'Datos generales'!A:L,6,0)</f>
        <v>1383.33</v>
      </c>
      <c r="E1505" s="4">
        <f>VLOOKUP(A1505,'Datos generales'!A:L,12,0)</f>
        <v>1383.33</v>
      </c>
      <c r="F1505" s="4" t="str">
        <f>VLOOKUP(A1505,'Datos generales'!A:L,7,0)</f>
        <v>Accesorios</v>
      </c>
      <c r="G1505" s="4">
        <v>2025</v>
      </c>
    </row>
    <row r="1506" spans="1:7" x14ac:dyDescent="0.25">
      <c r="A1506" t="s">
        <v>116</v>
      </c>
      <c r="B1506" s="4">
        <f>VLOOKUP(A1506,'Datos generales'!A:L,5,0)</f>
        <v>2</v>
      </c>
      <c r="C1506" s="4" t="str">
        <f>VLOOKUP(A1506,'Datos generales'!A:L,4,0)</f>
        <v>Silla Gamer</v>
      </c>
      <c r="D1506" s="4">
        <f>VLOOKUP(A1506,'Datos generales'!A:L,6,0)</f>
        <v>1051.23</v>
      </c>
      <c r="E1506" s="4">
        <f>VLOOKUP(A1506,'Datos generales'!A:L,12,0)</f>
        <v>1051.23</v>
      </c>
      <c r="F1506" s="4" t="str">
        <f>VLOOKUP(A1506,'Datos generales'!A:L,7,0)</f>
        <v>Muebles</v>
      </c>
      <c r="G1506" s="4">
        <v>2025</v>
      </c>
    </row>
    <row r="1507" spans="1:7" x14ac:dyDescent="0.25">
      <c r="A1507" t="s">
        <v>117</v>
      </c>
      <c r="B1507" s="4">
        <f>VLOOKUP(A1507,'Datos generales'!A:L,5,0)</f>
        <v>4</v>
      </c>
      <c r="C1507" s="4" t="str">
        <f>VLOOKUP(A1507,'Datos generales'!A:L,4,0)</f>
        <v>Audífonos</v>
      </c>
      <c r="D1507" s="4">
        <f>VLOOKUP(A1507,'Datos generales'!A:L,6,0)</f>
        <v>1274.46</v>
      </c>
      <c r="E1507" s="4">
        <f>VLOOKUP(A1507,'Datos generales'!A:L,12,0)</f>
        <v>1274.46</v>
      </c>
      <c r="F1507" s="4" t="str">
        <f>VLOOKUP(A1507,'Datos generales'!A:L,7,0)</f>
        <v>Accesorios</v>
      </c>
      <c r="G1507" s="4">
        <v>2023</v>
      </c>
    </row>
    <row r="1508" spans="1:7" x14ac:dyDescent="0.25">
      <c r="A1508" t="s">
        <v>118</v>
      </c>
      <c r="B1508" s="4">
        <f>VLOOKUP(A1508,'Datos generales'!A:L,5,0)</f>
        <v>1</v>
      </c>
      <c r="C1508" s="4" t="str">
        <f>VLOOKUP(A1508,'Datos generales'!A:L,4,0)</f>
        <v>Monitor</v>
      </c>
      <c r="D1508" s="4">
        <f>VLOOKUP(A1508,'Datos generales'!A:L,6,0)</f>
        <v>1251.08</v>
      </c>
      <c r="E1508" s="4">
        <f>VLOOKUP(A1508,'Datos generales'!A:L,12,0)</f>
        <v>1251.08</v>
      </c>
      <c r="F1508" s="4" t="str">
        <f>VLOOKUP(A1508,'Datos generales'!A:L,7,0)</f>
        <v>Electrónica</v>
      </c>
      <c r="G1508" s="4">
        <v>2025</v>
      </c>
    </row>
    <row r="1509" spans="1:7" x14ac:dyDescent="0.25">
      <c r="A1509" t="s">
        <v>119</v>
      </c>
      <c r="B1509" s="4">
        <f>VLOOKUP(A1509,'Datos generales'!A:L,5,0)</f>
        <v>5</v>
      </c>
      <c r="C1509" s="4" t="str">
        <f>VLOOKUP(A1509,'Datos generales'!A:L,4,0)</f>
        <v>Audífonos</v>
      </c>
      <c r="D1509" s="4">
        <f>VLOOKUP(A1509,'Datos generales'!A:L,6,0)</f>
        <v>1582.2</v>
      </c>
      <c r="E1509" s="4">
        <f>VLOOKUP(A1509,'Datos generales'!A:L,12,0)</f>
        <v>1582.2</v>
      </c>
      <c r="F1509" s="4" t="str">
        <f>VLOOKUP(A1509,'Datos generales'!A:L,7,0)</f>
        <v>Accesorios</v>
      </c>
      <c r="G1509" s="4">
        <v>2025</v>
      </c>
    </row>
    <row r="1510" spans="1:7" x14ac:dyDescent="0.25">
      <c r="A1510" t="s">
        <v>120</v>
      </c>
      <c r="B1510" s="4">
        <f>VLOOKUP(A1510,'Datos generales'!A:L,5,0)</f>
        <v>1</v>
      </c>
      <c r="C1510" s="4" t="str">
        <f>VLOOKUP(A1510,'Datos generales'!A:L,4,0)</f>
        <v>Silla Gamer</v>
      </c>
      <c r="D1510" s="4">
        <f>VLOOKUP(A1510,'Datos generales'!A:L,6,0)</f>
        <v>81.92</v>
      </c>
      <c r="E1510" s="4">
        <f>VLOOKUP(A1510,'Datos generales'!A:L,12,0)</f>
        <v>81.92</v>
      </c>
      <c r="F1510" s="4" t="str">
        <f>VLOOKUP(A1510,'Datos generales'!A:L,7,0)</f>
        <v>Muebles</v>
      </c>
      <c r="G1510" s="4">
        <v>2023</v>
      </c>
    </row>
    <row r="1511" spans="1:7" x14ac:dyDescent="0.25">
      <c r="A1511" t="s">
        <v>121</v>
      </c>
      <c r="B1511" s="4">
        <f>VLOOKUP(A1511,'Datos generales'!A:L,5,0)</f>
        <v>1</v>
      </c>
      <c r="C1511" s="4" t="str">
        <f>VLOOKUP(A1511,'Datos generales'!A:L,4,0)</f>
        <v>Mouse</v>
      </c>
      <c r="D1511" s="4">
        <f>VLOOKUP(A1511,'Datos generales'!A:L,6,0)</f>
        <v>1153.31</v>
      </c>
      <c r="E1511" s="4">
        <f>VLOOKUP(A1511,'Datos generales'!A:L,12,0)</f>
        <v>1153.31</v>
      </c>
      <c r="F1511" s="4" t="str">
        <f>VLOOKUP(A1511,'Datos generales'!A:L,7,0)</f>
        <v>Accesorios</v>
      </c>
      <c r="G1511" s="4">
        <v>2024</v>
      </c>
    </row>
    <row r="1512" spans="1:7" x14ac:dyDescent="0.25">
      <c r="A1512" t="s">
        <v>122</v>
      </c>
      <c r="B1512" s="4">
        <f>VLOOKUP(A1512,'Datos generales'!A:L,5,0)</f>
        <v>3</v>
      </c>
      <c r="C1512" s="4" t="str">
        <f>VLOOKUP(A1512,'Datos generales'!A:L,4,0)</f>
        <v>Mouse</v>
      </c>
      <c r="D1512" s="4">
        <f>VLOOKUP(A1512,'Datos generales'!A:L,6,0)</f>
        <v>1078.08</v>
      </c>
      <c r="E1512" s="4">
        <f>VLOOKUP(A1512,'Datos generales'!A:L,12,0)</f>
        <v>1078.08</v>
      </c>
      <c r="F1512" s="4" t="str">
        <f>VLOOKUP(A1512,'Datos generales'!A:L,7,0)</f>
        <v>Accesorios</v>
      </c>
      <c r="G1512" s="4">
        <v>2025</v>
      </c>
    </row>
    <row r="1513" spans="1:7" x14ac:dyDescent="0.25">
      <c r="A1513" t="s">
        <v>123</v>
      </c>
      <c r="B1513" s="4">
        <f>VLOOKUP(A1513,'Datos generales'!A:L,5,0)</f>
        <v>1</v>
      </c>
      <c r="C1513" s="4" t="str">
        <f>VLOOKUP(A1513,'Datos generales'!A:L,4,0)</f>
        <v>Impresora</v>
      </c>
      <c r="D1513" s="4">
        <f>VLOOKUP(A1513,'Datos generales'!A:L,6,0)</f>
        <v>201.91</v>
      </c>
      <c r="E1513" s="4">
        <f>VLOOKUP(A1513,'Datos generales'!A:L,12,0)</f>
        <v>201.91</v>
      </c>
      <c r="F1513" s="4" t="str">
        <f>VLOOKUP(A1513,'Datos generales'!A:L,7,0)</f>
        <v>Electrónica</v>
      </c>
      <c r="G1513" s="4">
        <v>2024</v>
      </c>
    </row>
    <row r="1514" spans="1:7" x14ac:dyDescent="0.25">
      <c r="A1514" t="s">
        <v>124</v>
      </c>
      <c r="B1514" s="4">
        <f>VLOOKUP(A1514,'Datos generales'!A:L,5,0)</f>
        <v>3</v>
      </c>
      <c r="C1514" s="4" t="str">
        <f>VLOOKUP(A1514,'Datos generales'!A:L,4,0)</f>
        <v>Webcam</v>
      </c>
      <c r="D1514" s="4">
        <f>VLOOKUP(A1514,'Datos generales'!A:L,6,0)</f>
        <v>727.36</v>
      </c>
      <c r="E1514" s="4">
        <f>VLOOKUP(A1514,'Datos generales'!A:L,12,0)</f>
        <v>727.36</v>
      </c>
      <c r="F1514" s="4" t="str">
        <f>VLOOKUP(A1514,'Datos generales'!A:L,7,0)</f>
        <v>Accesorios</v>
      </c>
      <c r="G1514" s="4">
        <v>2024</v>
      </c>
    </row>
    <row r="1515" spans="1:7" x14ac:dyDescent="0.25">
      <c r="A1515" t="s">
        <v>125</v>
      </c>
      <c r="B1515" s="4">
        <f>VLOOKUP(A1515,'Datos generales'!A:L,5,0)</f>
        <v>3</v>
      </c>
      <c r="C1515" s="4" t="str">
        <f>VLOOKUP(A1515,'Datos generales'!A:L,4,0)</f>
        <v>Audífonos</v>
      </c>
      <c r="D1515" s="4">
        <f>VLOOKUP(A1515,'Datos generales'!A:L,6,0)</f>
        <v>1645.43</v>
      </c>
      <c r="E1515" s="4">
        <f>VLOOKUP(A1515,'Datos generales'!A:L,12,0)</f>
        <v>1645.43</v>
      </c>
      <c r="F1515" s="4" t="str">
        <f>VLOOKUP(A1515,'Datos generales'!A:L,7,0)</f>
        <v>Accesorios</v>
      </c>
      <c r="G1515" s="4">
        <v>2023</v>
      </c>
    </row>
    <row r="1516" spans="1:7" x14ac:dyDescent="0.25">
      <c r="A1516" t="s">
        <v>126</v>
      </c>
      <c r="B1516" s="4">
        <f>VLOOKUP(A1516,'Datos generales'!A:L,5,0)</f>
        <v>3</v>
      </c>
      <c r="C1516" s="4" t="str">
        <f>VLOOKUP(A1516,'Datos generales'!A:L,4,0)</f>
        <v>Laptop</v>
      </c>
      <c r="D1516" s="4">
        <f>VLOOKUP(A1516,'Datos generales'!A:L,6,0)</f>
        <v>420.05</v>
      </c>
      <c r="E1516" s="4">
        <f>VLOOKUP(A1516,'Datos generales'!A:L,12,0)</f>
        <v>420.05</v>
      </c>
      <c r="F1516" s="4" t="str">
        <f>VLOOKUP(A1516,'Datos generales'!A:L,7,0)</f>
        <v>Electrónica</v>
      </c>
      <c r="G1516" s="4">
        <v>2024</v>
      </c>
    </row>
    <row r="1517" spans="1:7" x14ac:dyDescent="0.25">
      <c r="A1517" t="s">
        <v>127</v>
      </c>
      <c r="B1517" s="4">
        <f>VLOOKUP(A1517,'Datos generales'!A:L,5,0)</f>
        <v>4</v>
      </c>
      <c r="C1517" s="4" t="str">
        <f>VLOOKUP(A1517,'Datos generales'!A:L,4,0)</f>
        <v>Silla Gamer</v>
      </c>
      <c r="D1517" s="4">
        <f>VLOOKUP(A1517,'Datos generales'!A:L,6,0)</f>
        <v>496.9</v>
      </c>
      <c r="E1517" s="4">
        <f>VLOOKUP(A1517,'Datos generales'!A:L,12,0)</f>
        <v>496.9</v>
      </c>
      <c r="F1517" s="4" t="str">
        <f>VLOOKUP(A1517,'Datos generales'!A:L,7,0)</f>
        <v>Muebles</v>
      </c>
      <c r="G1517" s="4">
        <v>2024</v>
      </c>
    </row>
    <row r="1518" spans="1:7" x14ac:dyDescent="0.25">
      <c r="A1518" t="s">
        <v>128</v>
      </c>
      <c r="B1518" s="4">
        <f>VLOOKUP(A1518,'Datos generales'!A:L,5,0)</f>
        <v>2</v>
      </c>
      <c r="C1518" s="4" t="str">
        <f>VLOOKUP(A1518,'Datos generales'!A:L,4,0)</f>
        <v>Teclado</v>
      </c>
      <c r="D1518" s="4">
        <f>VLOOKUP(A1518,'Datos generales'!A:L,6,0)</f>
        <v>721.56</v>
      </c>
      <c r="E1518" s="4">
        <f>VLOOKUP(A1518,'Datos generales'!A:L,12,0)</f>
        <v>721.56</v>
      </c>
      <c r="F1518" s="4" t="str">
        <f>VLOOKUP(A1518,'Datos generales'!A:L,7,0)</f>
        <v>Accesorios</v>
      </c>
      <c r="G1518" s="4">
        <v>2023</v>
      </c>
    </row>
    <row r="1519" spans="1:7" x14ac:dyDescent="0.25">
      <c r="A1519" t="s">
        <v>129</v>
      </c>
      <c r="B1519" s="4">
        <f>VLOOKUP(A1519,'Datos generales'!A:L,5,0)</f>
        <v>4</v>
      </c>
      <c r="C1519" s="4" t="str">
        <f>VLOOKUP(A1519,'Datos generales'!A:L,4,0)</f>
        <v>Audífonos</v>
      </c>
      <c r="D1519" s="4">
        <f>VLOOKUP(A1519,'Datos generales'!A:L,6,0)</f>
        <v>1353.9</v>
      </c>
      <c r="E1519" s="4">
        <f>VLOOKUP(A1519,'Datos generales'!A:L,12,0)</f>
        <v>1353.9</v>
      </c>
      <c r="F1519" s="4" t="str">
        <f>VLOOKUP(A1519,'Datos generales'!A:L,7,0)</f>
        <v>Accesorios</v>
      </c>
      <c r="G1519" s="4">
        <v>2023</v>
      </c>
    </row>
    <row r="1520" spans="1:7" x14ac:dyDescent="0.25">
      <c r="A1520" t="s">
        <v>130</v>
      </c>
      <c r="B1520" s="4">
        <f>VLOOKUP(A1520,'Datos generales'!A:L,5,0)</f>
        <v>2</v>
      </c>
      <c r="C1520" s="4" t="str">
        <f>VLOOKUP(A1520,'Datos generales'!A:L,4,0)</f>
        <v>Impresora</v>
      </c>
      <c r="D1520" s="4">
        <f>VLOOKUP(A1520,'Datos generales'!A:L,6,0)</f>
        <v>429.52</v>
      </c>
      <c r="E1520" s="4">
        <f>VLOOKUP(A1520,'Datos generales'!A:L,12,0)</f>
        <v>429.52</v>
      </c>
      <c r="F1520" s="4" t="str">
        <f>VLOOKUP(A1520,'Datos generales'!A:L,7,0)</f>
        <v>Electrónica</v>
      </c>
      <c r="G1520" s="4">
        <v>2024</v>
      </c>
    </row>
    <row r="1521" spans="1:7" x14ac:dyDescent="0.25">
      <c r="A1521" t="s">
        <v>131</v>
      </c>
      <c r="B1521" s="4">
        <f>VLOOKUP(A1521,'Datos generales'!A:L,5,0)</f>
        <v>2</v>
      </c>
      <c r="C1521" s="4" t="str">
        <f>VLOOKUP(A1521,'Datos generales'!A:L,4,0)</f>
        <v>Silla Gamer</v>
      </c>
      <c r="D1521" s="4">
        <f>VLOOKUP(A1521,'Datos generales'!A:L,6,0)</f>
        <v>1824.96</v>
      </c>
      <c r="E1521" s="4">
        <f>VLOOKUP(A1521,'Datos generales'!A:L,12,0)</f>
        <v>1824.96</v>
      </c>
      <c r="F1521" s="4" t="str">
        <f>VLOOKUP(A1521,'Datos generales'!A:L,7,0)</f>
        <v>Muebles</v>
      </c>
      <c r="G1521" s="4">
        <v>2024</v>
      </c>
    </row>
    <row r="1522" spans="1:7" x14ac:dyDescent="0.25">
      <c r="A1522" t="s">
        <v>132</v>
      </c>
      <c r="B1522" s="4">
        <f>VLOOKUP(A1522,'Datos generales'!A:L,5,0)</f>
        <v>5</v>
      </c>
      <c r="C1522" s="4" t="str">
        <f>VLOOKUP(A1522,'Datos generales'!A:L,4,0)</f>
        <v>Mouse</v>
      </c>
      <c r="D1522" s="4">
        <f>VLOOKUP(A1522,'Datos generales'!A:L,6,0)</f>
        <v>1059.81</v>
      </c>
      <c r="E1522" s="4">
        <f>VLOOKUP(A1522,'Datos generales'!A:L,12,0)</f>
        <v>1059.81</v>
      </c>
      <c r="F1522" s="4" t="str">
        <f>VLOOKUP(A1522,'Datos generales'!A:L,7,0)</f>
        <v>Accesorios</v>
      </c>
      <c r="G1522" s="4">
        <v>2024</v>
      </c>
    </row>
    <row r="1523" spans="1:7" x14ac:dyDescent="0.25">
      <c r="A1523" t="s">
        <v>133</v>
      </c>
      <c r="B1523" s="4">
        <f>VLOOKUP(A1523,'Datos generales'!A:L,5,0)</f>
        <v>4</v>
      </c>
      <c r="C1523" s="4" t="str">
        <f>VLOOKUP(A1523,'Datos generales'!A:L,4,0)</f>
        <v>Silla Gamer</v>
      </c>
      <c r="D1523" s="4">
        <f>VLOOKUP(A1523,'Datos generales'!A:L,6,0)</f>
        <v>46.39</v>
      </c>
      <c r="E1523" s="4">
        <f>VLOOKUP(A1523,'Datos generales'!A:L,12,0)</f>
        <v>46.39</v>
      </c>
      <c r="F1523" s="4" t="str">
        <f>VLOOKUP(A1523,'Datos generales'!A:L,7,0)</f>
        <v>Muebles</v>
      </c>
      <c r="G1523" s="4">
        <v>2023</v>
      </c>
    </row>
    <row r="1524" spans="1:7" x14ac:dyDescent="0.25">
      <c r="A1524" t="s">
        <v>134</v>
      </c>
      <c r="B1524" s="4">
        <f>VLOOKUP(A1524,'Datos generales'!A:L,5,0)</f>
        <v>1</v>
      </c>
      <c r="C1524" s="4" t="str">
        <f>VLOOKUP(A1524,'Datos generales'!A:L,4,0)</f>
        <v>Laptop</v>
      </c>
      <c r="D1524" s="4">
        <f>VLOOKUP(A1524,'Datos generales'!A:L,6,0)</f>
        <v>754.07</v>
      </c>
      <c r="E1524" s="4">
        <f>VLOOKUP(A1524,'Datos generales'!A:L,12,0)</f>
        <v>754.07</v>
      </c>
      <c r="F1524" s="4" t="str">
        <f>VLOOKUP(A1524,'Datos generales'!A:L,7,0)</f>
        <v>Electrónica</v>
      </c>
      <c r="G1524" s="4">
        <v>2023</v>
      </c>
    </row>
    <row r="1525" spans="1:7" x14ac:dyDescent="0.25">
      <c r="A1525" t="s">
        <v>135</v>
      </c>
      <c r="B1525" s="4">
        <f>VLOOKUP(A1525,'Datos generales'!A:L,5,0)</f>
        <v>1</v>
      </c>
      <c r="C1525" s="4" t="str">
        <f>VLOOKUP(A1525,'Datos generales'!A:L,4,0)</f>
        <v>Audífonos</v>
      </c>
      <c r="D1525" s="4">
        <f>VLOOKUP(A1525,'Datos generales'!A:L,6,0)</f>
        <v>1681.02</v>
      </c>
      <c r="E1525" s="4">
        <f>VLOOKUP(A1525,'Datos generales'!A:L,12,0)</f>
        <v>1681.02</v>
      </c>
      <c r="F1525" s="4" t="str">
        <f>VLOOKUP(A1525,'Datos generales'!A:L,7,0)</f>
        <v>Accesorios</v>
      </c>
      <c r="G1525" s="4">
        <v>2025</v>
      </c>
    </row>
    <row r="1526" spans="1:7" x14ac:dyDescent="0.25">
      <c r="A1526" t="s">
        <v>136</v>
      </c>
      <c r="B1526" s="4">
        <f>VLOOKUP(A1526,'Datos generales'!A:L,5,0)</f>
        <v>2</v>
      </c>
      <c r="C1526" s="4" t="str">
        <f>VLOOKUP(A1526,'Datos generales'!A:L,4,0)</f>
        <v>Monitor</v>
      </c>
      <c r="D1526" s="4">
        <f>VLOOKUP(A1526,'Datos generales'!A:L,6,0)</f>
        <v>1198.72</v>
      </c>
      <c r="E1526" s="4">
        <f>VLOOKUP(A1526,'Datos generales'!A:L,12,0)</f>
        <v>1198.72</v>
      </c>
      <c r="F1526" s="4" t="str">
        <f>VLOOKUP(A1526,'Datos generales'!A:L,7,0)</f>
        <v>Electrónica</v>
      </c>
      <c r="G1526" s="4">
        <v>2025</v>
      </c>
    </row>
    <row r="1527" spans="1:7" x14ac:dyDescent="0.25">
      <c r="A1527" t="s">
        <v>137</v>
      </c>
      <c r="B1527" s="4">
        <f>VLOOKUP(A1527,'Datos generales'!A:L,5,0)</f>
        <v>2</v>
      </c>
      <c r="C1527" s="4" t="str">
        <f>VLOOKUP(A1527,'Datos generales'!A:L,4,0)</f>
        <v>Audífonos</v>
      </c>
      <c r="D1527" s="4">
        <f>VLOOKUP(A1527,'Datos generales'!A:L,6,0)</f>
        <v>1040.2</v>
      </c>
      <c r="E1527" s="4">
        <f>VLOOKUP(A1527,'Datos generales'!A:L,12,0)</f>
        <v>1040.2</v>
      </c>
      <c r="F1527" s="4" t="str">
        <f>VLOOKUP(A1527,'Datos generales'!A:L,7,0)</f>
        <v>Accesorios</v>
      </c>
      <c r="G1527" s="4">
        <v>2023</v>
      </c>
    </row>
    <row r="1528" spans="1:7" x14ac:dyDescent="0.25">
      <c r="A1528" t="s">
        <v>138</v>
      </c>
      <c r="B1528" s="4">
        <f>VLOOKUP(A1528,'Datos generales'!A:L,5,0)</f>
        <v>3</v>
      </c>
      <c r="C1528" s="4" t="str">
        <f>VLOOKUP(A1528,'Datos generales'!A:L,4,0)</f>
        <v>Teclado</v>
      </c>
      <c r="D1528" s="4">
        <f>VLOOKUP(A1528,'Datos generales'!A:L,6,0)</f>
        <v>107.53</v>
      </c>
      <c r="E1528" s="4">
        <f>VLOOKUP(A1528,'Datos generales'!A:L,12,0)</f>
        <v>107.53</v>
      </c>
      <c r="F1528" s="4" t="str">
        <f>VLOOKUP(A1528,'Datos generales'!A:L,7,0)</f>
        <v>Accesorios</v>
      </c>
      <c r="G1528" s="4">
        <v>2025</v>
      </c>
    </row>
    <row r="1529" spans="1:7" x14ac:dyDescent="0.25">
      <c r="A1529" t="s">
        <v>139</v>
      </c>
      <c r="B1529" s="4">
        <f>VLOOKUP(A1529,'Datos generales'!A:L,5,0)</f>
        <v>4</v>
      </c>
      <c r="C1529" s="4" t="str">
        <f>VLOOKUP(A1529,'Datos generales'!A:L,4,0)</f>
        <v>Impresora</v>
      </c>
      <c r="D1529" s="4">
        <f>VLOOKUP(A1529,'Datos generales'!A:L,6,0)</f>
        <v>380.66</v>
      </c>
      <c r="E1529" s="4">
        <f>VLOOKUP(A1529,'Datos generales'!A:L,12,0)</f>
        <v>380.66</v>
      </c>
      <c r="F1529" s="4" t="str">
        <f>VLOOKUP(A1529,'Datos generales'!A:L,7,0)</f>
        <v>Electrónica</v>
      </c>
      <c r="G1529" s="4">
        <v>2025</v>
      </c>
    </row>
    <row r="1530" spans="1:7" x14ac:dyDescent="0.25">
      <c r="A1530" t="s">
        <v>140</v>
      </c>
      <c r="B1530" s="4">
        <f>VLOOKUP(A1530,'Datos generales'!A:L,5,0)</f>
        <v>2</v>
      </c>
      <c r="C1530" s="4" t="str">
        <f>VLOOKUP(A1530,'Datos generales'!A:L,4,0)</f>
        <v>Monitor</v>
      </c>
      <c r="D1530" s="4">
        <f>VLOOKUP(A1530,'Datos generales'!A:L,6,0)</f>
        <v>700.11</v>
      </c>
      <c r="E1530" s="4">
        <f>VLOOKUP(A1530,'Datos generales'!A:L,12,0)</f>
        <v>700.11</v>
      </c>
      <c r="F1530" s="4" t="str">
        <f>VLOOKUP(A1530,'Datos generales'!A:L,7,0)</f>
        <v>Electrónica</v>
      </c>
      <c r="G1530" s="4">
        <v>2025</v>
      </c>
    </row>
    <row r="1531" spans="1:7" x14ac:dyDescent="0.25">
      <c r="A1531" t="s">
        <v>141</v>
      </c>
      <c r="B1531" s="4">
        <f>VLOOKUP(A1531,'Datos generales'!A:L,5,0)</f>
        <v>5</v>
      </c>
      <c r="C1531" s="4" t="str">
        <f>VLOOKUP(A1531,'Datos generales'!A:L,4,0)</f>
        <v>Impresora</v>
      </c>
      <c r="D1531" s="4">
        <f>VLOOKUP(A1531,'Datos generales'!A:L,6,0)</f>
        <v>358.48</v>
      </c>
      <c r="E1531" s="4">
        <f>VLOOKUP(A1531,'Datos generales'!A:L,12,0)</f>
        <v>358.48</v>
      </c>
      <c r="F1531" s="4" t="str">
        <f>VLOOKUP(A1531,'Datos generales'!A:L,7,0)</f>
        <v>Electrónica</v>
      </c>
      <c r="G1531" s="4">
        <v>2023</v>
      </c>
    </row>
    <row r="1532" spans="1:7" x14ac:dyDescent="0.25">
      <c r="A1532" t="s">
        <v>142</v>
      </c>
      <c r="B1532" s="4">
        <f>VLOOKUP(A1532,'Datos generales'!A:L,5,0)</f>
        <v>4</v>
      </c>
      <c r="C1532" s="4" t="str">
        <f>VLOOKUP(A1532,'Datos generales'!A:L,4,0)</f>
        <v>Silla Gamer</v>
      </c>
      <c r="D1532" s="4">
        <f>VLOOKUP(A1532,'Datos generales'!A:L,6,0)</f>
        <v>746.6</v>
      </c>
      <c r="E1532" s="4">
        <f>VLOOKUP(A1532,'Datos generales'!A:L,12,0)</f>
        <v>746.6</v>
      </c>
      <c r="F1532" s="4" t="str">
        <f>VLOOKUP(A1532,'Datos generales'!A:L,7,0)</f>
        <v>Muebles</v>
      </c>
      <c r="G1532" s="4">
        <v>2024</v>
      </c>
    </row>
    <row r="1533" spans="1:7" x14ac:dyDescent="0.25">
      <c r="A1533" t="s">
        <v>143</v>
      </c>
      <c r="B1533" s="4">
        <f>VLOOKUP(A1533,'Datos generales'!A:L,5,0)</f>
        <v>1</v>
      </c>
      <c r="C1533" s="4" t="str">
        <f>VLOOKUP(A1533,'Datos generales'!A:L,4,0)</f>
        <v>Laptop</v>
      </c>
      <c r="D1533" s="4">
        <f>VLOOKUP(A1533,'Datos generales'!A:L,6,0)</f>
        <v>751.43</v>
      </c>
      <c r="E1533" s="4">
        <f>VLOOKUP(A1533,'Datos generales'!A:L,12,0)</f>
        <v>751.43</v>
      </c>
      <c r="F1533" s="4" t="str">
        <f>VLOOKUP(A1533,'Datos generales'!A:L,7,0)</f>
        <v>Electrónica</v>
      </c>
      <c r="G1533" s="4">
        <v>2024</v>
      </c>
    </row>
    <row r="1534" spans="1:7" x14ac:dyDescent="0.25">
      <c r="A1534" t="s">
        <v>144</v>
      </c>
      <c r="B1534" s="4">
        <f>VLOOKUP(A1534,'Datos generales'!A:L,5,0)</f>
        <v>5</v>
      </c>
      <c r="C1534" s="4" t="str">
        <f>VLOOKUP(A1534,'Datos generales'!A:L,4,0)</f>
        <v>Mouse</v>
      </c>
      <c r="D1534" s="4">
        <f>VLOOKUP(A1534,'Datos generales'!A:L,6,0)</f>
        <v>1109.08</v>
      </c>
      <c r="E1534" s="4">
        <f>VLOOKUP(A1534,'Datos generales'!A:L,12,0)</f>
        <v>1109.08</v>
      </c>
      <c r="F1534" s="4" t="str">
        <f>VLOOKUP(A1534,'Datos generales'!A:L,7,0)</f>
        <v>Accesorios</v>
      </c>
      <c r="G1534" s="4">
        <v>2023</v>
      </c>
    </row>
    <row r="1535" spans="1:7" x14ac:dyDescent="0.25">
      <c r="A1535" t="s">
        <v>145</v>
      </c>
      <c r="B1535" s="4">
        <f>VLOOKUP(A1535,'Datos generales'!A:L,5,0)</f>
        <v>5</v>
      </c>
      <c r="C1535" s="4" t="str">
        <f>VLOOKUP(A1535,'Datos generales'!A:L,4,0)</f>
        <v>Monitor</v>
      </c>
      <c r="D1535" s="4">
        <f>VLOOKUP(A1535,'Datos generales'!A:L,6,0)</f>
        <v>642.74</v>
      </c>
      <c r="E1535" s="4">
        <f>VLOOKUP(A1535,'Datos generales'!A:L,12,0)</f>
        <v>642.74</v>
      </c>
      <c r="F1535" s="4" t="str">
        <f>VLOOKUP(A1535,'Datos generales'!A:L,7,0)</f>
        <v>Electrónica</v>
      </c>
      <c r="G1535" s="4">
        <v>2024</v>
      </c>
    </row>
    <row r="1536" spans="1:7" x14ac:dyDescent="0.25">
      <c r="A1536" t="s">
        <v>146</v>
      </c>
      <c r="B1536" s="4">
        <f>VLOOKUP(A1536,'Datos generales'!A:L,5,0)</f>
        <v>5</v>
      </c>
      <c r="C1536" s="4" t="str">
        <f>VLOOKUP(A1536,'Datos generales'!A:L,4,0)</f>
        <v>Audífonos</v>
      </c>
      <c r="D1536" s="4">
        <f>VLOOKUP(A1536,'Datos generales'!A:L,6,0)</f>
        <v>245.73</v>
      </c>
      <c r="E1536" s="4">
        <f>VLOOKUP(A1536,'Datos generales'!A:L,12,0)</f>
        <v>245.73</v>
      </c>
      <c r="F1536" s="4" t="str">
        <f>VLOOKUP(A1536,'Datos generales'!A:L,7,0)</f>
        <v>Accesorios</v>
      </c>
      <c r="G1536" s="4">
        <v>2024</v>
      </c>
    </row>
    <row r="1537" spans="1:7" x14ac:dyDescent="0.25">
      <c r="A1537" t="s">
        <v>147</v>
      </c>
      <c r="B1537" s="4">
        <f>VLOOKUP(A1537,'Datos generales'!A:L,5,0)</f>
        <v>3</v>
      </c>
      <c r="C1537" s="4" t="str">
        <f>VLOOKUP(A1537,'Datos generales'!A:L,4,0)</f>
        <v>Webcam</v>
      </c>
      <c r="D1537" s="4">
        <f>VLOOKUP(A1537,'Datos generales'!A:L,6,0)</f>
        <v>1782.13</v>
      </c>
      <c r="E1537" s="4">
        <f>VLOOKUP(A1537,'Datos generales'!A:L,12,0)</f>
        <v>1782.13</v>
      </c>
      <c r="F1537" s="4" t="str">
        <f>VLOOKUP(A1537,'Datos generales'!A:L,7,0)</f>
        <v>Accesorios</v>
      </c>
      <c r="G1537" s="4">
        <v>2023</v>
      </c>
    </row>
    <row r="1538" spans="1:7" x14ac:dyDescent="0.25">
      <c r="A1538" t="s">
        <v>148</v>
      </c>
      <c r="B1538" s="4">
        <f>VLOOKUP(A1538,'Datos generales'!A:L,5,0)</f>
        <v>5</v>
      </c>
      <c r="C1538" s="4" t="str">
        <f>VLOOKUP(A1538,'Datos generales'!A:L,4,0)</f>
        <v>Impresora</v>
      </c>
      <c r="D1538" s="4">
        <f>VLOOKUP(A1538,'Datos generales'!A:L,6,0)</f>
        <v>1137.1400000000001</v>
      </c>
      <c r="E1538" s="4">
        <f>VLOOKUP(A1538,'Datos generales'!A:L,12,0)</f>
        <v>1137.1400000000001</v>
      </c>
      <c r="F1538" s="4" t="str">
        <f>VLOOKUP(A1538,'Datos generales'!A:L,7,0)</f>
        <v>Electrónica</v>
      </c>
      <c r="G1538" s="4">
        <v>2024</v>
      </c>
    </row>
    <row r="1539" spans="1:7" x14ac:dyDescent="0.25">
      <c r="A1539" t="s">
        <v>149</v>
      </c>
      <c r="B1539" s="4">
        <f>VLOOKUP(A1539,'Datos generales'!A:L,5,0)</f>
        <v>4</v>
      </c>
      <c r="C1539" s="4" t="str">
        <f>VLOOKUP(A1539,'Datos generales'!A:L,4,0)</f>
        <v>Teclado</v>
      </c>
      <c r="D1539" s="4">
        <f>VLOOKUP(A1539,'Datos generales'!A:L,6,0)</f>
        <v>966.72</v>
      </c>
      <c r="E1539" s="4">
        <f>VLOOKUP(A1539,'Datos generales'!A:L,12,0)</f>
        <v>966.72</v>
      </c>
      <c r="F1539" s="4" t="str">
        <f>VLOOKUP(A1539,'Datos generales'!A:L,7,0)</f>
        <v>Accesorios</v>
      </c>
      <c r="G1539" s="4">
        <v>2024</v>
      </c>
    </row>
    <row r="1540" spans="1:7" x14ac:dyDescent="0.25">
      <c r="A1540" t="s">
        <v>150</v>
      </c>
      <c r="B1540" s="4">
        <f>VLOOKUP(A1540,'Datos generales'!A:L,5,0)</f>
        <v>5</v>
      </c>
      <c r="C1540" s="4" t="str">
        <f>VLOOKUP(A1540,'Datos generales'!A:L,4,0)</f>
        <v>Impresora</v>
      </c>
      <c r="D1540" s="4">
        <f>VLOOKUP(A1540,'Datos generales'!A:L,6,0)</f>
        <v>754.88</v>
      </c>
      <c r="E1540" s="4">
        <f>VLOOKUP(A1540,'Datos generales'!A:L,12,0)</f>
        <v>754.88</v>
      </c>
      <c r="F1540" s="4" t="str">
        <f>VLOOKUP(A1540,'Datos generales'!A:L,7,0)</f>
        <v>Electrónica</v>
      </c>
      <c r="G1540" s="4">
        <v>2024</v>
      </c>
    </row>
    <row r="1541" spans="1:7" x14ac:dyDescent="0.25">
      <c r="A1541" t="s">
        <v>151</v>
      </c>
      <c r="B1541" s="4">
        <f>VLOOKUP(A1541,'Datos generales'!A:L,5,0)</f>
        <v>4</v>
      </c>
      <c r="C1541" s="4" t="str">
        <f>VLOOKUP(A1541,'Datos generales'!A:L,4,0)</f>
        <v>Webcam</v>
      </c>
      <c r="D1541" s="4">
        <f>VLOOKUP(A1541,'Datos generales'!A:L,6,0)</f>
        <v>902.5</v>
      </c>
      <c r="E1541" s="4">
        <f>VLOOKUP(A1541,'Datos generales'!A:L,12,0)</f>
        <v>902.5</v>
      </c>
      <c r="F1541" s="4" t="str">
        <f>VLOOKUP(A1541,'Datos generales'!A:L,7,0)</f>
        <v>Accesorios</v>
      </c>
      <c r="G1541" s="4">
        <v>2025</v>
      </c>
    </row>
    <row r="1542" spans="1:7" x14ac:dyDescent="0.25">
      <c r="A1542" t="s">
        <v>152</v>
      </c>
      <c r="B1542" s="4">
        <f>VLOOKUP(A1542,'Datos generales'!A:L,5,0)</f>
        <v>2</v>
      </c>
      <c r="C1542" s="4" t="str">
        <f>VLOOKUP(A1542,'Datos generales'!A:L,4,0)</f>
        <v>Mouse</v>
      </c>
      <c r="D1542" s="4">
        <f>VLOOKUP(A1542,'Datos generales'!A:L,6,0)</f>
        <v>78.180000000000007</v>
      </c>
      <c r="E1542" s="4">
        <f>VLOOKUP(A1542,'Datos generales'!A:L,12,0)</f>
        <v>78.180000000000007</v>
      </c>
      <c r="F1542" s="4" t="str">
        <f>VLOOKUP(A1542,'Datos generales'!A:L,7,0)</f>
        <v>Accesorios</v>
      </c>
      <c r="G1542" s="4">
        <v>2025</v>
      </c>
    </row>
    <row r="1543" spans="1:7" x14ac:dyDescent="0.25">
      <c r="A1543" t="s">
        <v>153</v>
      </c>
      <c r="B1543" s="4">
        <f>VLOOKUP(A1543,'Datos generales'!A:L,5,0)</f>
        <v>2</v>
      </c>
      <c r="C1543" s="4" t="str">
        <f>VLOOKUP(A1543,'Datos generales'!A:L,4,0)</f>
        <v>Monitor</v>
      </c>
      <c r="D1543" s="4">
        <f>VLOOKUP(A1543,'Datos generales'!A:L,6,0)</f>
        <v>1615.41</v>
      </c>
      <c r="E1543" s="4">
        <f>VLOOKUP(A1543,'Datos generales'!A:L,12,0)</f>
        <v>1615.41</v>
      </c>
      <c r="F1543" s="4" t="str">
        <f>VLOOKUP(A1543,'Datos generales'!A:L,7,0)</f>
        <v>Electrónica</v>
      </c>
      <c r="G1543" s="4">
        <v>2025</v>
      </c>
    </row>
    <row r="1544" spans="1:7" x14ac:dyDescent="0.25">
      <c r="A1544" t="s">
        <v>154</v>
      </c>
      <c r="B1544" s="4">
        <f>VLOOKUP(A1544,'Datos generales'!A:L,5,0)</f>
        <v>5</v>
      </c>
      <c r="C1544" s="4" t="str">
        <f>VLOOKUP(A1544,'Datos generales'!A:L,4,0)</f>
        <v>Monitor</v>
      </c>
      <c r="D1544" s="4">
        <f>VLOOKUP(A1544,'Datos generales'!A:L,6,0)</f>
        <v>149.54</v>
      </c>
      <c r="E1544" s="4">
        <f>VLOOKUP(A1544,'Datos generales'!A:L,12,0)</f>
        <v>149.54</v>
      </c>
      <c r="F1544" s="4" t="str">
        <f>VLOOKUP(A1544,'Datos generales'!A:L,7,0)</f>
        <v>Electrónica</v>
      </c>
      <c r="G1544" s="4">
        <v>2024</v>
      </c>
    </row>
    <row r="1545" spans="1:7" x14ac:dyDescent="0.25">
      <c r="A1545" t="s">
        <v>155</v>
      </c>
      <c r="B1545" s="4">
        <f>VLOOKUP(A1545,'Datos generales'!A:L,5,0)</f>
        <v>5</v>
      </c>
      <c r="C1545" s="4" t="str">
        <f>VLOOKUP(A1545,'Datos generales'!A:L,4,0)</f>
        <v>Teclado</v>
      </c>
      <c r="D1545" s="4">
        <f>VLOOKUP(A1545,'Datos generales'!A:L,6,0)</f>
        <v>955.39</v>
      </c>
      <c r="E1545" s="4">
        <f>VLOOKUP(A1545,'Datos generales'!A:L,12,0)</f>
        <v>955.39</v>
      </c>
      <c r="F1545" s="4" t="str">
        <f>VLOOKUP(A1545,'Datos generales'!A:L,7,0)</f>
        <v>Accesorios</v>
      </c>
      <c r="G1545" s="4">
        <v>2025</v>
      </c>
    </row>
    <row r="1546" spans="1:7" x14ac:dyDescent="0.25">
      <c r="A1546" t="s">
        <v>156</v>
      </c>
      <c r="B1546" s="4">
        <f>VLOOKUP(A1546,'Datos generales'!A:L,5,0)</f>
        <v>2</v>
      </c>
      <c r="C1546" s="4" t="str">
        <f>VLOOKUP(A1546,'Datos generales'!A:L,4,0)</f>
        <v>Silla Gamer</v>
      </c>
      <c r="D1546" s="4">
        <f>VLOOKUP(A1546,'Datos generales'!A:L,6,0)</f>
        <v>1963.63</v>
      </c>
      <c r="E1546" s="4">
        <f>VLOOKUP(A1546,'Datos generales'!A:L,12,0)</f>
        <v>1963.63</v>
      </c>
      <c r="F1546" s="4" t="str">
        <f>VLOOKUP(A1546,'Datos generales'!A:L,7,0)</f>
        <v>Muebles</v>
      </c>
      <c r="G1546" s="4">
        <v>2024</v>
      </c>
    </row>
    <row r="1547" spans="1:7" x14ac:dyDescent="0.25">
      <c r="A1547" t="s">
        <v>157</v>
      </c>
      <c r="B1547" s="4">
        <f>VLOOKUP(A1547,'Datos generales'!A:L,5,0)</f>
        <v>5</v>
      </c>
      <c r="C1547" s="4" t="str">
        <f>VLOOKUP(A1547,'Datos generales'!A:L,4,0)</f>
        <v>Webcam</v>
      </c>
      <c r="D1547" s="4">
        <f>VLOOKUP(A1547,'Datos generales'!A:L,6,0)</f>
        <v>1440.14</v>
      </c>
      <c r="E1547" s="4">
        <f>VLOOKUP(A1547,'Datos generales'!A:L,12,0)</f>
        <v>1440.14</v>
      </c>
      <c r="F1547" s="4" t="str">
        <f>VLOOKUP(A1547,'Datos generales'!A:L,7,0)</f>
        <v>Accesorios</v>
      </c>
      <c r="G1547" s="4">
        <v>2024</v>
      </c>
    </row>
    <row r="1548" spans="1:7" x14ac:dyDescent="0.25">
      <c r="A1548" t="s">
        <v>158</v>
      </c>
      <c r="B1548" s="4">
        <f>VLOOKUP(A1548,'Datos generales'!A:L,5,0)</f>
        <v>4</v>
      </c>
      <c r="C1548" s="4" t="str">
        <f>VLOOKUP(A1548,'Datos generales'!A:L,4,0)</f>
        <v>Monitor</v>
      </c>
      <c r="D1548" s="4">
        <f>VLOOKUP(A1548,'Datos generales'!A:L,6,0)</f>
        <v>283.7</v>
      </c>
      <c r="E1548" s="4">
        <f>VLOOKUP(A1548,'Datos generales'!A:L,12,0)</f>
        <v>283.7</v>
      </c>
      <c r="F1548" s="4" t="str">
        <f>VLOOKUP(A1548,'Datos generales'!A:L,7,0)</f>
        <v>Electrónica</v>
      </c>
      <c r="G1548" s="4">
        <v>2023</v>
      </c>
    </row>
    <row r="1549" spans="1:7" x14ac:dyDescent="0.25">
      <c r="A1549" t="s">
        <v>159</v>
      </c>
      <c r="B1549" s="4">
        <f>VLOOKUP(A1549,'Datos generales'!A:L,5,0)</f>
        <v>3</v>
      </c>
      <c r="C1549" s="4" t="str">
        <f>VLOOKUP(A1549,'Datos generales'!A:L,4,0)</f>
        <v>Impresora</v>
      </c>
      <c r="D1549" s="4">
        <f>VLOOKUP(A1549,'Datos generales'!A:L,6,0)</f>
        <v>687.51</v>
      </c>
      <c r="E1549" s="4">
        <f>VLOOKUP(A1549,'Datos generales'!A:L,12,0)</f>
        <v>687.50999999999988</v>
      </c>
      <c r="F1549" s="4" t="str">
        <f>VLOOKUP(A1549,'Datos generales'!A:L,7,0)</f>
        <v>Electrónica</v>
      </c>
      <c r="G1549" s="4">
        <v>2024</v>
      </c>
    </row>
    <row r="1550" spans="1:7" x14ac:dyDescent="0.25">
      <c r="A1550" t="s">
        <v>160</v>
      </c>
      <c r="B1550" s="4">
        <f>VLOOKUP(A1550,'Datos generales'!A:L,5,0)</f>
        <v>2</v>
      </c>
      <c r="C1550" s="4" t="str">
        <f>VLOOKUP(A1550,'Datos generales'!A:L,4,0)</f>
        <v>Webcam</v>
      </c>
      <c r="D1550" s="4">
        <f>VLOOKUP(A1550,'Datos generales'!A:L,6,0)</f>
        <v>282</v>
      </c>
      <c r="E1550" s="4">
        <f>VLOOKUP(A1550,'Datos generales'!A:L,12,0)</f>
        <v>282</v>
      </c>
      <c r="F1550" s="4" t="str">
        <f>VLOOKUP(A1550,'Datos generales'!A:L,7,0)</f>
        <v>Accesorios</v>
      </c>
      <c r="G1550" s="4">
        <v>2023</v>
      </c>
    </row>
    <row r="1551" spans="1:7" x14ac:dyDescent="0.25">
      <c r="A1551" t="s">
        <v>161</v>
      </c>
      <c r="B1551" s="4">
        <f>VLOOKUP(A1551,'Datos generales'!A:L,5,0)</f>
        <v>4</v>
      </c>
      <c r="C1551" s="4" t="str">
        <f>VLOOKUP(A1551,'Datos generales'!A:L,4,0)</f>
        <v>Impresora</v>
      </c>
      <c r="D1551" s="4">
        <f>VLOOKUP(A1551,'Datos generales'!A:L,6,0)</f>
        <v>1471.38</v>
      </c>
      <c r="E1551" s="4">
        <f>VLOOKUP(A1551,'Datos generales'!A:L,12,0)</f>
        <v>1471.38</v>
      </c>
      <c r="F1551" s="4" t="str">
        <f>VLOOKUP(A1551,'Datos generales'!A:L,7,0)</f>
        <v>Electrónica</v>
      </c>
      <c r="G1551" s="4">
        <v>2025</v>
      </c>
    </row>
    <row r="1552" spans="1:7" x14ac:dyDescent="0.25">
      <c r="A1552" t="s">
        <v>162</v>
      </c>
      <c r="B1552" s="4">
        <f>VLOOKUP(A1552,'Datos generales'!A:L,5,0)</f>
        <v>1</v>
      </c>
      <c r="C1552" s="4" t="str">
        <f>VLOOKUP(A1552,'Datos generales'!A:L,4,0)</f>
        <v>Webcam</v>
      </c>
      <c r="D1552" s="4">
        <f>VLOOKUP(A1552,'Datos generales'!A:L,6,0)</f>
        <v>1463.91</v>
      </c>
      <c r="E1552" s="4">
        <f>VLOOKUP(A1552,'Datos generales'!A:L,12,0)</f>
        <v>1463.91</v>
      </c>
      <c r="F1552" s="4" t="str">
        <f>VLOOKUP(A1552,'Datos generales'!A:L,7,0)</f>
        <v>Accesorios</v>
      </c>
      <c r="G1552" s="4">
        <v>2025</v>
      </c>
    </row>
    <row r="1553" spans="1:7" x14ac:dyDescent="0.25">
      <c r="A1553" t="s">
        <v>163</v>
      </c>
      <c r="B1553" s="4">
        <f>VLOOKUP(A1553,'Datos generales'!A:L,5,0)</f>
        <v>4</v>
      </c>
      <c r="C1553" s="4" t="str">
        <f>VLOOKUP(A1553,'Datos generales'!A:L,4,0)</f>
        <v>Teclado</v>
      </c>
      <c r="D1553" s="4">
        <f>VLOOKUP(A1553,'Datos generales'!A:L,6,0)</f>
        <v>1585.49</v>
      </c>
      <c r="E1553" s="4">
        <f>VLOOKUP(A1553,'Datos generales'!A:L,12,0)</f>
        <v>1585.49</v>
      </c>
      <c r="F1553" s="4" t="str">
        <f>VLOOKUP(A1553,'Datos generales'!A:L,7,0)</f>
        <v>Accesorios</v>
      </c>
      <c r="G1553" s="4">
        <v>2024</v>
      </c>
    </row>
    <row r="1554" spans="1:7" x14ac:dyDescent="0.25">
      <c r="A1554" t="s">
        <v>164</v>
      </c>
      <c r="B1554" s="4">
        <f>VLOOKUP(A1554,'Datos generales'!A:L,5,0)</f>
        <v>1</v>
      </c>
      <c r="C1554" s="4" t="str">
        <f>VLOOKUP(A1554,'Datos generales'!A:L,4,0)</f>
        <v>Teclado</v>
      </c>
      <c r="D1554" s="4">
        <f>VLOOKUP(A1554,'Datos generales'!A:L,6,0)</f>
        <v>662.17</v>
      </c>
      <c r="E1554" s="4">
        <f>VLOOKUP(A1554,'Datos generales'!A:L,12,0)</f>
        <v>662.17</v>
      </c>
      <c r="F1554" s="4" t="str">
        <f>VLOOKUP(A1554,'Datos generales'!A:L,7,0)</f>
        <v>Accesorios</v>
      </c>
      <c r="G1554" s="4">
        <v>2024</v>
      </c>
    </row>
    <row r="1555" spans="1:7" x14ac:dyDescent="0.25">
      <c r="A1555" t="s">
        <v>165</v>
      </c>
      <c r="B1555" s="4">
        <f>VLOOKUP(A1555,'Datos generales'!A:L,5,0)</f>
        <v>2</v>
      </c>
      <c r="C1555" s="4" t="str">
        <f>VLOOKUP(A1555,'Datos generales'!A:L,4,0)</f>
        <v>Webcam</v>
      </c>
      <c r="D1555" s="4">
        <f>VLOOKUP(A1555,'Datos generales'!A:L,6,0)</f>
        <v>136.68</v>
      </c>
      <c r="E1555" s="4">
        <f>VLOOKUP(A1555,'Datos generales'!A:L,12,0)</f>
        <v>136.68</v>
      </c>
      <c r="F1555" s="4" t="str">
        <f>VLOOKUP(A1555,'Datos generales'!A:L,7,0)</f>
        <v>Accesorios</v>
      </c>
      <c r="G1555" s="4">
        <v>2024</v>
      </c>
    </row>
    <row r="1556" spans="1:7" x14ac:dyDescent="0.25">
      <c r="A1556" t="s">
        <v>166</v>
      </c>
      <c r="B1556" s="4">
        <f>VLOOKUP(A1556,'Datos generales'!A:L,5,0)</f>
        <v>4</v>
      </c>
      <c r="C1556" s="4" t="str">
        <f>VLOOKUP(A1556,'Datos generales'!A:L,4,0)</f>
        <v>Impresora</v>
      </c>
      <c r="D1556" s="4">
        <f>VLOOKUP(A1556,'Datos generales'!A:L,6,0)</f>
        <v>118.64</v>
      </c>
      <c r="E1556" s="4">
        <f>VLOOKUP(A1556,'Datos generales'!A:L,12,0)</f>
        <v>118.64</v>
      </c>
      <c r="F1556" s="4" t="str">
        <f>VLOOKUP(A1556,'Datos generales'!A:L,7,0)</f>
        <v>Electrónica</v>
      </c>
      <c r="G1556" s="4">
        <v>2025</v>
      </c>
    </row>
    <row r="1557" spans="1:7" x14ac:dyDescent="0.25">
      <c r="A1557" t="s">
        <v>167</v>
      </c>
      <c r="B1557" s="4">
        <f>VLOOKUP(A1557,'Datos generales'!A:L,5,0)</f>
        <v>3</v>
      </c>
      <c r="C1557" s="4" t="str">
        <f>VLOOKUP(A1557,'Datos generales'!A:L,4,0)</f>
        <v>Laptop</v>
      </c>
      <c r="D1557" s="4">
        <f>VLOOKUP(A1557,'Datos generales'!A:L,6,0)</f>
        <v>933.49</v>
      </c>
      <c r="E1557" s="4">
        <f>VLOOKUP(A1557,'Datos generales'!A:L,12,0)</f>
        <v>933.49000000000012</v>
      </c>
      <c r="F1557" s="4" t="str">
        <f>VLOOKUP(A1557,'Datos generales'!A:L,7,0)</f>
        <v>Electrónica</v>
      </c>
      <c r="G1557" s="4">
        <v>2024</v>
      </c>
    </row>
    <row r="1558" spans="1:7" x14ac:dyDescent="0.25">
      <c r="A1558" t="s">
        <v>168</v>
      </c>
      <c r="B1558" s="4">
        <f>VLOOKUP(A1558,'Datos generales'!A:L,5,0)</f>
        <v>2</v>
      </c>
      <c r="C1558" s="4" t="str">
        <f>VLOOKUP(A1558,'Datos generales'!A:L,4,0)</f>
        <v>Audífonos</v>
      </c>
      <c r="D1558" s="4">
        <f>VLOOKUP(A1558,'Datos generales'!A:L,6,0)</f>
        <v>1035.0899999999999</v>
      </c>
      <c r="E1558" s="4">
        <f>VLOOKUP(A1558,'Datos generales'!A:L,12,0)</f>
        <v>1035.0899999999999</v>
      </c>
      <c r="F1558" s="4" t="str">
        <f>VLOOKUP(A1558,'Datos generales'!A:L,7,0)</f>
        <v>Accesorios</v>
      </c>
      <c r="G1558" s="4">
        <v>2023</v>
      </c>
    </row>
    <row r="1559" spans="1:7" x14ac:dyDescent="0.25">
      <c r="A1559" t="s">
        <v>169</v>
      </c>
      <c r="B1559" s="4">
        <f>VLOOKUP(A1559,'Datos generales'!A:L,5,0)</f>
        <v>2</v>
      </c>
      <c r="C1559" s="4" t="str">
        <f>VLOOKUP(A1559,'Datos generales'!A:L,4,0)</f>
        <v>Impresora</v>
      </c>
      <c r="D1559" s="4">
        <f>VLOOKUP(A1559,'Datos generales'!A:L,6,0)</f>
        <v>1325.01</v>
      </c>
      <c r="E1559" s="4">
        <f>VLOOKUP(A1559,'Datos generales'!A:L,12,0)</f>
        <v>1325.01</v>
      </c>
      <c r="F1559" s="4" t="str">
        <f>VLOOKUP(A1559,'Datos generales'!A:L,7,0)</f>
        <v>Electrónica</v>
      </c>
      <c r="G1559" s="4">
        <v>2024</v>
      </c>
    </row>
    <row r="1560" spans="1:7" x14ac:dyDescent="0.25">
      <c r="A1560" t="s">
        <v>170</v>
      </c>
      <c r="B1560" s="4">
        <f>VLOOKUP(A1560,'Datos generales'!A:L,5,0)</f>
        <v>4</v>
      </c>
      <c r="C1560" s="4" t="str">
        <f>VLOOKUP(A1560,'Datos generales'!A:L,4,0)</f>
        <v>Teclado</v>
      </c>
      <c r="D1560" s="4">
        <f>VLOOKUP(A1560,'Datos generales'!A:L,6,0)</f>
        <v>710.84</v>
      </c>
      <c r="E1560" s="4">
        <f>VLOOKUP(A1560,'Datos generales'!A:L,12,0)</f>
        <v>710.84</v>
      </c>
      <c r="F1560" s="4" t="str">
        <f>VLOOKUP(A1560,'Datos generales'!A:L,7,0)</f>
        <v>Accesorios</v>
      </c>
      <c r="G1560" s="4">
        <v>2023</v>
      </c>
    </row>
    <row r="1561" spans="1:7" x14ac:dyDescent="0.25">
      <c r="A1561" t="s">
        <v>171</v>
      </c>
      <c r="B1561" s="4">
        <f>VLOOKUP(A1561,'Datos generales'!A:L,5,0)</f>
        <v>3</v>
      </c>
      <c r="C1561" s="4" t="str">
        <f>VLOOKUP(A1561,'Datos generales'!A:L,4,0)</f>
        <v>Silla Gamer</v>
      </c>
      <c r="D1561" s="4">
        <f>VLOOKUP(A1561,'Datos generales'!A:L,6,0)</f>
        <v>97.27</v>
      </c>
      <c r="E1561" s="4">
        <f>VLOOKUP(A1561,'Datos generales'!A:L,12,0)</f>
        <v>97.27</v>
      </c>
      <c r="F1561" s="4" t="str">
        <f>VLOOKUP(A1561,'Datos generales'!A:L,7,0)</f>
        <v>Muebles</v>
      </c>
      <c r="G1561" s="4">
        <v>2025</v>
      </c>
    </row>
    <row r="1562" spans="1:7" x14ac:dyDescent="0.25">
      <c r="A1562" t="s">
        <v>172</v>
      </c>
      <c r="B1562" s="4">
        <f>VLOOKUP(A1562,'Datos generales'!A:L,5,0)</f>
        <v>5</v>
      </c>
      <c r="C1562" s="4" t="str">
        <f>VLOOKUP(A1562,'Datos generales'!A:L,4,0)</f>
        <v>Impresora</v>
      </c>
      <c r="D1562" s="4">
        <f>VLOOKUP(A1562,'Datos generales'!A:L,6,0)</f>
        <v>498.36</v>
      </c>
      <c r="E1562" s="4">
        <f>VLOOKUP(A1562,'Datos generales'!A:L,12,0)</f>
        <v>498.36</v>
      </c>
      <c r="F1562" s="4" t="str">
        <f>VLOOKUP(A1562,'Datos generales'!A:L,7,0)</f>
        <v>Electrónica</v>
      </c>
      <c r="G1562" s="4">
        <v>2024</v>
      </c>
    </row>
    <row r="1563" spans="1:7" x14ac:dyDescent="0.25">
      <c r="A1563" t="s">
        <v>173</v>
      </c>
      <c r="B1563" s="4">
        <f>VLOOKUP(A1563,'Datos generales'!A:L,5,0)</f>
        <v>5</v>
      </c>
      <c r="C1563" s="4" t="str">
        <f>VLOOKUP(A1563,'Datos generales'!A:L,4,0)</f>
        <v>Silla Gamer</v>
      </c>
      <c r="D1563" s="4">
        <f>VLOOKUP(A1563,'Datos generales'!A:L,6,0)</f>
        <v>980.89</v>
      </c>
      <c r="E1563" s="4">
        <f>VLOOKUP(A1563,'Datos generales'!A:L,12,0)</f>
        <v>980.89</v>
      </c>
      <c r="F1563" s="4" t="str">
        <f>VLOOKUP(A1563,'Datos generales'!A:L,7,0)</f>
        <v>Muebles</v>
      </c>
      <c r="G1563" s="4">
        <v>2024</v>
      </c>
    </row>
    <row r="1564" spans="1:7" x14ac:dyDescent="0.25">
      <c r="A1564" t="s">
        <v>174</v>
      </c>
      <c r="B1564" s="4">
        <f>VLOOKUP(A1564,'Datos generales'!A:L,5,0)</f>
        <v>1</v>
      </c>
      <c r="C1564" s="4" t="str">
        <f>VLOOKUP(A1564,'Datos generales'!A:L,4,0)</f>
        <v>Teclado</v>
      </c>
      <c r="D1564" s="4">
        <f>VLOOKUP(A1564,'Datos generales'!A:L,6,0)</f>
        <v>1390.33</v>
      </c>
      <c r="E1564" s="4">
        <f>VLOOKUP(A1564,'Datos generales'!A:L,12,0)</f>
        <v>1390.33</v>
      </c>
      <c r="F1564" s="4" t="str">
        <f>VLOOKUP(A1564,'Datos generales'!A:L,7,0)</f>
        <v>Accesorios</v>
      </c>
      <c r="G1564" s="4">
        <v>2024</v>
      </c>
    </row>
    <row r="1565" spans="1:7" x14ac:dyDescent="0.25">
      <c r="A1565" t="s">
        <v>175</v>
      </c>
      <c r="B1565" s="4">
        <f>VLOOKUP(A1565,'Datos generales'!A:L,5,0)</f>
        <v>5</v>
      </c>
      <c r="C1565" s="4" t="str">
        <f>VLOOKUP(A1565,'Datos generales'!A:L,4,0)</f>
        <v>Laptop</v>
      </c>
      <c r="D1565" s="4">
        <f>VLOOKUP(A1565,'Datos generales'!A:L,6,0)</f>
        <v>1708.09</v>
      </c>
      <c r="E1565" s="4">
        <f>VLOOKUP(A1565,'Datos generales'!A:L,12,0)</f>
        <v>1708.09</v>
      </c>
      <c r="F1565" s="4" t="str">
        <f>VLOOKUP(A1565,'Datos generales'!A:L,7,0)</f>
        <v>Electrónica</v>
      </c>
      <c r="G1565" s="4">
        <v>2023</v>
      </c>
    </row>
    <row r="1566" spans="1:7" x14ac:dyDescent="0.25">
      <c r="A1566" t="s">
        <v>176</v>
      </c>
      <c r="B1566" s="4">
        <f>VLOOKUP(A1566,'Datos generales'!A:L,5,0)</f>
        <v>3</v>
      </c>
      <c r="C1566" s="4" t="str">
        <f>VLOOKUP(A1566,'Datos generales'!A:L,4,0)</f>
        <v>Audífonos</v>
      </c>
      <c r="D1566" s="4">
        <f>VLOOKUP(A1566,'Datos generales'!A:L,6,0)</f>
        <v>459.4</v>
      </c>
      <c r="E1566" s="4">
        <f>VLOOKUP(A1566,'Datos generales'!A:L,12,0)</f>
        <v>459.39999999999992</v>
      </c>
      <c r="F1566" s="4" t="str">
        <f>VLOOKUP(A1566,'Datos generales'!A:L,7,0)</f>
        <v>Accesorios</v>
      </c>
      <c r="G1566" s="4">
        <v>2023</v>
      </c>
    </row>
    <row r="1567" spans="1:7" x14ac:dyDescent="0.25">
      <c r="A1567" t="s">
        <v>177</v>
      </c>
      <c r="B1567" s="4">
        <f>VLOOKUP(A1567,'Datos generales'!A:L,5,0)</f>
        <v>1</v>
      </c>
      <c r="C1567" s="4" t="str">
        <f>VLOOKUP(A1567,'Datos generales'!A:L,4,0)</f>
        <v>Impresora</v>
      </c>
      <c r="D1567" s="4">
        <f>VLOOKUP(A1567,'Datos generales'!A:L,6,0)</f>
        <v>1578.33</v>
      </c>
      <c r="E1567" s="4">
        <f>VLOOKUP(A1567,'Datos generales'!A:L,12,0)</f>
        <v>1578.33</v>
      </c>
      <c r="F1567" s="4" t="str">
        <f>VLOOKUP(A1567,'Datos generales'!A:L,7,0)</f>
        <v>Electrónica</v>
      </c>
      <c r="G1567" s="4">
        <v>2023</v>
      </c>
    </row>
    <row r="1568" spans="1:7" x14ac:dyDescent="0.25">
      <c r="A1568" t="s">
        <v>178</v>
      </c>
      <c r="B1568" s="4">
        <f>VLOOKUP(A1568,'Datos generales'!A:L,5,0)</f>
        <v>5</v>
      </c>
      <c r="C1568" s="4" t="str">
        <f>VLOOKUP(A1568,'Datos generales'!A:L,4,0)</f>
        <v>Teclado</v>
      </c>
      <c r="D1568" s="4">
        <f>VLOOKUP(A1568,'Datos generales'!A:L,6,0)</f>
        <v>1602.39</v>
      </c>
      <c r="E1568" s="4">
        <f>VLOOKUP(A1568,'Datos generales'!A:L,12,0)</f>
        <v>1602.39</v>
      </c>
      <c r="F1568" s="4" t="str">
        <f>VLOOKUP(A1568,'Datos generales'!A:L,7,0)</f>
        <v>Accesorios</v>
      </c>
      <c r="G1568" s="4">
        <v>2024</v>
      </c>
    </row>
    <row r="1569" spans="1:7" x14ac:dyDescent="0.25">
      <c r="A1569" t="s">
        <v>179</v>
      </c>
      <c r="B1569" s="4">
        <f>VLOOKUP(A1569,'Datos generales'!A:L,5,0)</f>
        <v>2</v>
      </c>
      <c r="C1569" s="4" t="str">
        <f>VLOOKUP(A1569,'Datos generales'!A:L,4,0)</f>
        <v>Teclado</v>
      </c>
      <c r="D1569" s="4">
        <f>VLOOKUP(A1569,'Datos generales'!A:L,6,0)</f>
        <v>714.55</v>
      </c>
      <c r="E1569" s="4">
        <f>VLOOKUP(A1569,'Datos generales'!A:L,12,0)</f>
        <v>714.55</v>
      </c>
      <c r="F1569" s="4" t="str">
        <f>VLOOKUP(A1569,'Datos generales'!A:L,7,0)</f>
        <v>Accesorios</v>
      </c>
      <c r="G1569" s="4">
        <v>2023</v>
      </c>
    </row>
    <row r="1570" spans="1:7" x14ac:dyDescent="0.25">
      <c r="A1570" t="s">
        <v>180</v>
      </c>
      <c r="B1570" s="4">
        <f>VLOOKUP(A1570,'Datos generales'!A:L,5,0)</f>
        <v>2</v>
      </c>
      <c r="C1570" s="4" t="str">
        <f>VLOOKUP(A1570,'Datos generales'!A:L,4,0)</f>
        <v>Silla Gamer</v>
      </c>
      <c r="D1570" s="4">
        <f>VLOOKUP(A1570,'Datos generales'!A:L,6,0)</f>
        <v>140.54</v>
      </c>
      <c r="E1570" s="4">
        <f>VLOOKUP(A1570,'Datos generales'!A:L,12,0)</f>
        <v>140.54</v>
      </c>
      <c r="F1570" s="4" t="str">
        <f>VLOOKUP(A1570,'Datos generales'!A:L,7,0)</f>
        <v>Muebles</v>
      </c>
      <c r="G1570" s="4">
        <v>2025</v>
      </c>
    </row>
    <row r="1571" spans="1:7" x14ac:dyDescent="0.25">
      <c r="A1571" t="s">
        <v>181</v>
      </c>
      <c r="B1571" s="4">
        <f>VLOOKUP(A1571,'Datos generales'!A:L,5,0)</f>
        <v>5</v>
      </c>
      <c r="C1571" s="4" t="str">
        <f>VLOOKUP(A1571,'Datos generales'!A:L,4,0)</f>
        <v>Mouse</v>
      </c>
      <c r="D1571" s="4">
        <f>VLOOKUP(A1571,'Datos generales'!A:L,6,0)</f>
        <v>286.87</v>
      </c>
      <c r="E1571" s="4">
        <f>VLOOKUP(A1571,'Datos generales'!A:L,12,0)</f>
        <v>286.87</v>
      </c>
      <c r="F1571" s="4" t="str">
        <f>VLOOKUP(A1571,'Datos generales'!A:L,7,0)</f>
        <v>Accesorios</v>
      </c>
      <c r="G1571" s="4">
        <v>2024</v>
      </c>
    </row>
    <row r="1572" spans="1:7" x14ac:dyDescent="0.25">
      <c r="A1572" t="s">
        <v>182</v>
      </c>
      <c r="B1572" s="4">
        <f>VLOOKUP(A1572,'Datos generales'!A:L,5,0)</f>
        <v>5</v>
      </c>
      <c r="C1572" s="4" t="str">
        <f>VLOOKUP(A1572,'Datos generales'!A:L,4,0)</f>
        <v>Webcam</v>
      </c>
      <c r="D1572" s="4">
        <f>VLOOKUP(A1572,'Datos generales'!A:L,6,0)</f>
        <v>1897.97</v>
      </c>
      <c r="E1572" s="4">
        <f>VLOOKUP(A1572,'Datos generales'!A:L,12,0)</f>
        <v>1897.97</v>
      </c>
      <c r="F1572" s="4" t="str">
        <f>VLOOKUP(A1572,'Datos generales'!A:L,7,0)</f>
        <v>Accesorios</v>
      </c>
      <c r="G1572" s="4">
        <v>2024</v>
      </c>
    </row>
    <row r="1573" spans="1:7" x14ac:dyDescent="0.25">
      <c r="A1573" t="s">
        <v>183</v>
      </c>
      <c r="B1573" s="4">
        <f>VLOOKUP(A1573,'Datos generales'!A:L,5,0)</f>
        <v>2</v>
      </c>
      <c r="C1573" s="4" t="str">
        <f>VLOOKUP(A1573,'Datos generales'!A:L,4,0)</f>
        <v>Teclado</v>
      </c>
      <c r="D1573" s="4">
        <f>VLOOKUP(A1573,'Datos generales'!A:L,6,0)</f>
        <v>587.71</v>
      </c>
      <c r="E1573" s="4">
        <f>VLOOKUP(A1573,'Datos generales'!A:L,12,0)</f>
        <v>587.71</v>
      </c>
      <c r="F1573" s="4" t="str">
        <f>VLOOKUP(A1573,'Datos generales'!A:L,7,0)</f>
        <v>Accesorios</v>
      </c>
      <c r="G1573" s="4">
        <v>2024</v>
      </c>
    </row>
    <row r="1574" spans="1:7" x14ac:dyDescent="0.25">
      <c r="A1574" t="s">
        <v>184</v>
      </c>
      <c r="B1574" s="4">
        <f>VLOOKUP(A1574,'Datos generales'!A:L,5,0)</f>
        <v>4</v>
      </c>
      <c r="C1574" s="4" t="str">
        <f>VLOOKUP(A1574,'Datos generales'!A:L,4,0)</f>
        <v>Webcam</v>
      </c>
      <c r="D1574" s="4">
        <f>VLOOKUP(A1574,'Datos generales'!A:L,6,0)</f>
        <v>895.13</v>
      </c>
      <c r="E1574" s="4">
        <f>VLOOKUP(A1574,'Datos generales'!A:L,12,0)</f>
        <v>895.13</v>
      </c>
      <c r="F1574" s="4" t="str">
        <f>VLOOKUP(A1574,'Datos generales'!A:L,7,0)</f>
        <v>Accesorios</v>
      </c>
      <c r="G1574" s="4">
        <v>2023</v>
      </c>
    </row>
    <row r="1575" spans="1:7" x14ac:dyDescent="0.25">
      <c r="A1575" t="s">
        <v>185</v>
      </c>
      <c r="B1575" s="4">
        <f>VLOOKUP(A1575,'Datos generales'!A:L,5,0)</f>
        <v>3</v>
      </c>
      <c r="C1575" s="4" t="str">
        <f>VLOOKUP(A1575,'Datos generales'!A:L,4,0)</f>
        <v>Impresora</v>
      </c>
      <c r="D1575" s="4">
        <f>VLOOKUP(A1575,'Datos generales'!A:L,6,0)</f>
        <v>1457.35</v>
      </c>
      <c r="E1575" s="4">
        <f>VLOOKUP(A1575,'Datos generales'!A:L,12,0)</f>
        <v>1457.35</v>
      </c>
      <c r="F1575" s="4" t="str">
        <f>VLOOKUP(A1575,'Datos generales'!A:L,7,0)</f>
        <v>Electrónica</v>
      </c>
      <c r="G1575" s="4">
        <v>2024</v>
      </c>
    </row>
    <row r="1576" spans="1:7" x14ac:dyDescent="0.25">
      <c r="A1576" t="s">
        <v>186</v>
      </c>
      <c r="B1576" s="4">
        <f>VLOOKUP(A1576,'Datos generales'!A:L,5,0)</f>
        <v>3</v>
      </c>
      <c r="C1576" s="4" t="str">
        <f>VLOOKUP(A1576,'Datos generales'!A:L,4,0)</f>
        <v>Silla Gamer</v>
      </c>
      <c r="D1576" s="4">
        <f>VLOOKUP(A1576,'Datos generales'!A:L,6,0)</f>
        <v>1083.32</v>
      </c>
      <c r="E1576" s="4">
        <f>VLOOKUP(A1576,'Datos generales'!A:L,12,0)</f>
        <v>1083.32</v>
      </c>
      <c r="F1576" s="4" t="str">
        <f>VLOOKUP(A1576,'Datos generales'!A:L,7,0)</f>
        <v>Muebles</v>
      </c>
      <c r="G1576" s="4">
        <v>2024</v>
      </c>
    </row>
    <row r="1577" spans="1:7" x14ac:dyDescent="0.25">
      <c r="A1577" t="s">
        <v>187</v>
      </c>
      <c r="B1577" s="4">
        <f>VLOOKUP(A1577,'Datos generales'!A:L,5,0)</f>
        <v>3</v>
      </c>
      <c r="C1577" s="4" t="str">
        <f>VLOOKUP(A1577,'Datos generales'!A:L,4,0)</f>
        <v>Laptop</v>
      </c>
      <c r="D1577" s="4">
        <f>VLOOKUP(A1577,'Datos generales'!A:L,6,0)</f>
        <v>1542.71</v>
      </c>
      <c r="E1577" s="4">
        <f>VLOOKUP(A1577,'Datos generales'!A:L,12,0)</f>
        <v>1542.71</v>
      </c>
      <c r="F1577" s="4" t="str">
        <f>VLOOKUP(A1577,'Datos generales'!A:L,7,0)</f>
        <v>Electrónica</v>
      </c>
      <c r="G1577" s="4">
        <v>2025</v>
      </c>
    </row>
    <row r="1578" spans="1:7" x14ac:dyDescent="0.25">
      <c r="A1578" t="s">
        <v>188</v>
      </c>
      <c r="B1578" s="4">
        <f>VLOOKUP(A1578,'Datos generales'!A:L,5,0)</f>
        <v>5</v>
      </c>
      <c r="C1578" s="4" t="str">
        <f>VLOOKUP(A1578,'Datos generales'!A:L,4,0)</f>
        <v>Impresora</v>
      </c>
      <c r="D1578" s="4">
        <f>VLOOKUP(A1578,'Datos generales'!A:L,6,0)</f>
        <v>723.8</v>
      </c>
      <c r="E1578" s="4">
        <f>VLOOKUP(A1578,'Datos generales'!A:L,12,0)</f>
        <v>723.8</v>
      </c>
      <c r="F1578" s="4" t="str">
        <f>VLOOKUP(A1578,'Datos generales'!A:L,7,0)</f>
        <v>Electrónica</v>
      </c>
      <c r="G1578" s="4">
        <v>2025</v>
      </c>
    </row>
    <row r="1579" spans="1:7" x14ac:dyDescent="0.25">
      <c r="A1579" t="s">
        <v>189</v>
      </c>
      <c r="B1579" s="4">
        <f>VLOOKUP(A1579,'Datos generales'!A:L,5,0)</f>
        <v>5</v>
      </c>
      <c r="C1579" s="4" t="str">
        <f>VLOOKUP(A1579,'Datos generales'!A:L,4,0)</f>
        <v>Teclado</v>
      </c>
      <c r="D1579" s="4">
        <f>VLOOKUP(A1579,'Datos generales'!A:L,6,0)</f>
        <v>179.97</v>
      </c>
      <c r="E1579" s="4">
        <f>VLOOKUP(A1579,'Datos generales'!A:L,12,0)</f>
        <v>179.97</v>
      </c>
      <c r="F1579" s="4" t="str">
        <f>VLOOKUP(A1579,'Datos generales'!A:L,7,0)</f>
        <v>Accesorios</v>
      </c>
      <c r="G1579" s="4">
        <v>2023</v>
      </c>
    </row>
    <row r="1580" spans="1:7" x14ac:dyDescent="0.25">
      <c r="A1580" t="s">
        <v>190</v>
      </c>
      <c r="B1580" s="4">
        <f>VLOOKUP(A1580,'Datos generales'!A:L,5,0)</f>
        <v>1</v>
      </c>
      <c r="C1580" s="4" t="str">
        <f>VLOOKUP(A1580,'Datos generales'!A:L,4,0)</f>
        <v>Laptop</v>
      </c>
      <c r="D1580" s="4">
        <f>VLOOKUP(A1580,'Datos generales'!A:L,6,0)</f>
        <v>1318.43</v>
      </c>
      <c r="E1580" s="4">
        <f>VLOOKUP(A1580,'Datos generales'!A:L,12,0)</f>
        <v>1318.43</v>
      </c>
      <c r="F1580" s="4" t="str">
        <f>VLOOKUP(A1580,'Datos generales'!A:L,7,0)</f>
        <v>Electrónica</v>
      </c>
      <c r="G1580" s="4">
        <v>2024</v>
      </c>
    </row>
    <row r="1581" spans="1:7" x14ac:dyDescent="0.25">
      <c r="A1581" t="s">
        <v>191</v>
      </c>
      <c r="B1581" s="4">
        <f>VLOOKUP(A1581,'Datos generales'!A:L,5,0)</f>
        <v>2</v>
      </c>
      <c r="C1581" s="4" t="str">
        <f>VLOOKUP(A1581,'Datos generales'!A:L,4,0)</f>
        <v>Impresora</v>
      </c>
      <c r="D1581" s="4">
        <f>VLOOKUP(A1581,'Datos generales'!A:L,6,0)</f>
        <v>307.37</v>
      </c>
      <c r="E1581" s="4">
        <f>VLOOKUP(A1581,'Datos generales'!A:L,12,0)</f>
        <v>307.37</v>
      </c>
      <c r="F1581" s="4" t="str">
        <f>VLOOKUP(A1581,'Datos generales'!A:L,7,0)</f>
        <v>Electrónica</v>
      </c>
      <c r="G1581" s="4">
        <v>2023</v>
      </c>
    </row>
    <row r="1582" spans="1:7" x14ac:dyDescent="0.25">
      <c r="A1582" t="s">
        <v>192</v>
      </c>
      <c r="B1582" s="4">
        <f>VLOOKUP(A1582,'Datos generales'!A:L,5,0)</f>
        <v>1</v>
      </c>
      <c r="C1582" s="4" t="str">
        <f>VLOOKUP(A1582,'Datos generales'!A:L,4,0)</f>
        <v>Silla Gamer</v>
      </c>
      <c r="D1582" s="4">
        <f>VLOOKUP(A1582,'Datos generales'!A:L,6,0)</f>
        <v>1364.97</v>
      </c>
      <c r="E1582" s="4">
        <f>VLOOKUP(A1582,'Datos generales'!A:L,12,0)</f>
        <v>1364.97</v>
      </c>
      <c r="F1582" s="4" t="str">
        <f>VLOOKUP(A1582,'Datos generales'!A:L,7,0)</f>
        <v>Muebles</v>
      </c>
      <c r="G1582" s="4">
        <v>2023</v>
      </c>
    </row>
    <row r="1583" spans="1:7" x14ac:dyDescent="0.25">
      <c r="A1583" t="s">
        <v>193</v>
      </c>
      <c r="B1583" s="4">
        <f>VLOOKUP(A1583,'Datos generales'!A:L,5,0)</f>
        <v>3</v>
      </c>
      <c r="C1583" s="4" t="str">
        <f>VLOOKUP(A1583,'Datos generales'!A:L,4,0)</f>
        <v>Audífonos</v>
      </c>
      <c r="D1583" s="4">
        <f>VLOOKUP(A1583,'Datos generales'!A:L,6,0)</f>
        <v>244.23</v>
      </c>
      <c r="E1583" s="4">
        <f>VLOOKUP(A1583,'Datos generales'!A:L,12,0)</f>
        <v>244.23</v>
      </c>
      <c r="F1583" s="4" t="str">
        <f>VLOOKUP(A1583,'Datos generales'!A:L,7,0)</f>
        <v>Accesorios</v>
      </c>
      <c r="G1583" s="4">
        <v>2024</v>
      </c>
    </row>
    <row r="1584" spans="1:7" x14ac:dyDescent="0.25">
      <c r="A1584" t="s">
        <v>194</v>
      </c>
      <c r="B1584" s="4">
        <f>VLOOKUP(A1584,'Datos generales'!A:L,5,0)</f>
        <v>3</v>
      </c>
      <c r="C1584" s="4" t="str">
        <f>VLOOKUP(A1584,'Datos generales'!A:L,4,0)</f>
        <v>Webcam</v>
      </c>
      <c r="D1584" s="4">
        <f>VLOOKUP(A1584,'Datos generales'!A:L,6,0)</f>
        <v>245.64</v>
      </c>
      <c r="E1584" s="4">
        <f>VLOOKUP(A1584,'Datos generales'!A:L,12,0)</f>
        <v>245.64</v>
      </c>
      <c r="F1584" s="4" t="str">
        <f>VLOOKUP(A1584,'Datos generales'!A:L,7,0)</f>
        <v>Accesorios</v>
      </c>
      <c r="G1584" s="4">
        <v>2023</v>
      </c>
    </row>
    <row r="1585" spans="1:7" x14ac:dyDescent="0.25">
      <c r="A1585" t="s">
        <v>195</v>
      </c>
      <c r="B1585" s="4">
        <f>VLOOKUP(A1585,'Datos generales'!A:L,5,0)</f>
        <v>1</v>
      </c>
      <c r="C1585" s="4" t="str">
        <f>VLOOKUP(A1585,'Datos generales'!A:L,4,0)</f>
        <v>Webcam</v>
      </c>
      <c r="D1585" s="4">
        <f>VLOOKUP(A1585,'Datos generales'!A:L,6,0)</f>
        <v>1501.34</v>
      </c>
      <c r="E1585" s="4">
        <f>VLOOKUP(A1585,'Datos generales'!A:L,12,0)</f>
        <v>1501.34</v>
      </c>
      <c r="F1585" s="4" t="str">
        <f>VLOOKUP(A1585,'Datos generales'!A:L,7,0)</f>
        <v>Accesorios</v>
      </c>
      <c r="G1585" s="4">
        <v>2024</v>
      </c>
    </row>
    <row r="1586" spans="1:7" x14ac:dyDescent="0.25">
      <c r="A1586" t="s">
        <v>196</v>
      </c>
      <c r="B1586" s="4">
        <f>VLOOKUP(A1586,'Datos generales'!A:L,5,0)</f>
        <v>4</v>
      </c>
      <c r="C1586" s="4" t="str">
        <f>VLOOKUP(A1586,'Datos generales'!A:L,4,0)</f>
        <v>Teclado</v>
      </c>
      <c r="D1586" s="4">
        <f>VLOOKUP(A1586,'Datos generales'!A:L,6,0)</f>
        <v>995.18</v>
      </c>
      <c r="E1586" s="4">
        <f>VLOOKUP(A1586,'Datos generales'!A:L,12,0)</f>
        <v>995.18</v>
      </c>
      <c r="F1586" s="4" t="str">
        <f>VLOOKUP(A1586,'Datos generales'!A:L,7,0)</f>
        <v>Accesorios</v>
      </c>
      <c r="G1586" s="4">
        <v>2024</v>
      </c>
    </row>
    <row r="1587" spans="1:7" x14ac:dyDescent="0.25">
      <c r="A1587" t="s">
        <v>197</v>
      </c>
      <c r="B1587" s="4">
        <f>VLOOKUP(A1587,'Datos generales'!A:L,5,0)</f>
        <v>2</v>
      </c>
      <c r="C1587" s="4" t="str">
        <f>VLOOKUP(A1587,'Datos generales'!A:L,4,0)</f>
        <v>Teclado</v>
      </c>
      <c r="D1587" s="4">
        <f>VLOOKUP(A1587,'Datos generales'!A:L,6,0)</f>
        <v>1834.72</v>
      </c>
      <c r="E1587" s="4">
        <f>VLOOKUP(A1587,'Datos generales'!A:L,12,0)</f>
        <v>1834.72</v>
      </c>
      <c r="F1587" s="4" t="str">
        <f>VLOOKUP(A1587,'Datos generales'!A:L,7,0)</f>
        <v>Accesorios</v>
      </c>
      <c r="G1587" s="4">
        <v>2023</v>
      </c>
    </row>
    <row r="1588" spans="1:7" x14ac:dyDescent="0.25">
      <c r="A1588" t="s">
        <v>198</v>
      </c>
      <c r="B1588" s="4">
        <f>VLOOKUP(A1588,'Datos generales'!A:L,5,0)</f>
        <v>2</v>
      </c>
      <c r="C1588" s="4" t="str">
        <f>VLOOKUP(A1588,'Datos generales'!A:L,4,0)</f>
        <v>Audífonos</v>
      </c>
      <c r="D1588" s="4">
        <f>VLOOKUP(A1588,'Datos generales'!A:L,6,0)</f>
        <v>1942.31</v>
      </c>
      <c r="E1588" s="4">
        <f>VLOOKUP(A1588,'Datos generales'!A:L,12,0)</f>
        <v>1942.31</v>
      </c>
      <c r="F1588" s="4" t="str">
        <f>VLOOKUP(A1588,'Datos generales'!A:L,7,0)</f>
        <v>Accesorios</v>
      </c>
      <c r="G1588" s="4">
        <v>2024</v>
      </c>
    </row>
    <row r="1589" spans="1:7" x14ac:dyDescent="0.25">
      <c r="A1589" t="s">
        <v>199</v>
      </c>
      <c r="B1589" s="4">
        <f>VLOOKUP(A1589,'Datos generales'!A:L,5,0)</f>
        <v>3</v>
      </c>
      <c r="C1589" s="4" t="str">
        <f>VLOOKUP(A1589,'Datos generales'!A:L,4,0)</f>
        <v>Audífonos</v>
      </c>
      <c r="D1589" s="4">
        <f>VLOOKUP(A1589,'Datos generales'!A:L,6,0)</f>
        <v>1025.57</v>
      </c>
      <c r="E1589" s="4">
        <f>VLOOKUP(A1589,'Datos generales'!A:L,12,0)</f>
        <v>1025.57</v>
      </c>
      <c r="F1589" s="4" t="str">
        <f>VLOOKUP(A1589,'Datos generales'!A:L,7,0)</f>
        <v>Accesorios</v>
      </c>
      <c r="G1589" s="4">
        <v>2025</v>
      </c>
    </row>
    <row r="1590" spans="1:7" x14ac:dyDescent="0.25">
      <c r="A1590" t="s">
        <v>200</v>
      </c>
      <c r="B1590" s="4">
        <f>VLOOKUP(A1590,'Datos generales'!A:L,5,0)</f>
        <v>4</v>
      </c>
      <c r="C1590" s="4" t="str">
        <f>VLOOKUP(A1590,'Datos generales'!A:L,4,0)</f>
        <v>Impresora</v>
      </c>
      <c r="D1590" s="4">
        <f>VLOOKUP(A1590,'Datos generales'!A:L,6,0)</f>
        <v>555.19000000000005</v>
      </c>
      <c r="E1590" s="4">
        <f>VLOOKUP(A1590,'Datos generales'!A:L,12,0)</f>
        <v>555.19000000000005</v>
      </c>
      <c r="F1590" s="4" t="str">
        <f>VLOOKUP(A1590,'Datos generales'!A:L,7,0)</f>
        <v>Electrónica</v>
      </c>
      <c r="G1590" s="4">
        <v>2023</v>
      </c>
    </row>
    <row r="1591" spans="1:7" x14ac:dyDescent="0.25">
      <c r="A1591" t="s">
        <v>201</v>
      </c>
      <c r="B1591" s="4">
        <f>VLOOKUP(A1591,'Datos generales'!A:L,5,0)</f>
        <v>5</v>
      </c>
      <c r="C1591" s="4" t="str">
        <f>VLOOKUP(A1591,'Datos generales'!A:L,4,0)</f>
        <v>Silla Gamer</v>
      </c>
      <c r="D1591" s="4">
        <f>VLOOKUP(A1591,'Datos generales'!A:L,6,0)</f>
        <v>750.82</v>
      </c>
      <c r="E1591" s="4">
        <f>VLOOKUP(A1591,'Datos generales'!A:L,12,0)</f>
        <v>750.82</v>
      </c>
      <c r="F1591" s="4" t="str">
        <f>VLOOKUP(A1591,'Datos generales'!A:L,7,0)</f>
        <v>Muebles</v>
      </c>
      <c r="G1591" s="4">
        <v>2023</v>
      </c>
    </row>
    <row r="1592" spans="1:7" x14ac:dyDescent="0.25">
      <c r="A1592" t="s">
        <v>202</v>
      </c>
      <c r="B1592" s="4">
        <f>VLOOKUP(A1592,'Datos generales'!A:L,5,0)</f>
        <v>2</v>
      </c>
      <c r="C1592" s="4" t="str">
        <f>VLOOKUP(A1592,'Datos generales'!A:L,4,0)</f>
        <v>Impresora</v>
      </c>
      <c r="D1592" s="4">
        <f>VLOOKUP(A1592,'Datos generales'!A:L,6,0)</f>
        <v>1609.9</v>
      </c>
      <c r="E1592" s="4">
        <f>VLOOKUP(A1592,'Datos generales'!A:L,12,0)</f>
        <v>1609.9</v>
      </c>
      <c r="F1592" s="4" t="str">
        <f>VLOOKUP(A1592,'Datos generales'!A:L,7,0)</f>
        <v>Electrónica</v>
      </c>
      <c r="G1592" s="4">
        <v>2025</v>
      </c>
    </row>
    <row r="1593" spans="1:7" x14ac:dyDescent="0.25">
      <c r="A1593" t="s">
        <v>203</v>
      </c>
      <c r="B1593" s="4">
        <f>VLOOKUP(A1593,'Datos generales'!A:L,5,0)</f>
        <v>3</v>
      </c>
      <c r="C1593" s="4" t="str">
        <f>VLOOKUP(A1593,'Datos generales'!A:L,4,0)</f>
        <v>Silla Gamer</v>
      </c>
      <c r="D1593" s="4">
        <f>VLOOKUP(A1593,'Datos generales'!A:L,6,0)</f>
        <v>27.89</v>
      </c>
      <c r="E1593" s="4">
        <f>VLOOKUP(A1593,'Datos generales'!A:L,12,0)</f>
        <v>27.89</v>
      </c>
      <c r="F1593" s="4" t="str">
        <f>VLOOKUP(A1593,'Datos generales'!A:L,7,0)</f>
        <v>Muebles</v>
      </c>
      <c r="G1593" s="4">
        <v>2025</v>
      </c>
    </row>
    <row r="1594" spans="1:7" x14ac:dyDescent="0.25">
      <c r="A1594" t="s">
        <v>204</v>
      </c>
      <c r="B1594" s="4">
        <f>VLOOKUP(A1594,'Datos generales'!A:L,5,0)</f>
        <v>1</v>
      </c>
      <c r="C1594" s="4" t="str">
        <f>VLOOKUP(A1594,'Datos generales'!A:L,4,0)</f>
        <v>Audífonos</v>
      </c>
      <c r="D1594" s="4">
        <f>VLOOKUP(A1594,'Datos generales'!A:L,6,0)</f>
        <v>1700.54</v>
      </c>
      <c r="E1594" s="4">
        <f>VLOOKUP(A1594,'Datos generales'!A:L,12,0)</f>
        <v>1700.54</v>
      </c>
      <c r="F1594" s="4" t="str">
        <f>VLOOKUP(A1594,'Datos generales'!A:L,7,0)</f>
        <v>Accesorios</v>
      </c>
      <c r="G1594" s="4">
        <v>2025</v>
      </c>
    </row>
    <row r="1595" spans="1:7" x14ac:dyDescent="0.25">
      <c r="A1595" t="s">
        <v>205</v>
      </c>
      <c r="B1595" s="4">
        <f>VLOOKUP(A1595,'Datos generales'!A:L,5,0)</f>
        <v>3</v>
      </c>
      <c r="C1595" s="4" t="str">
        <f>VLOOKUP(A1595,'Datos generales'!A:L,4,0)</f>
        <v>Audífonos</v>
      </c>
      <c r="D1595" s="4">
        <f>VLOOKUP(A1595,'Datos generales'!A:L,6,0)</f>
        <v>473.4</v>
      </c>
      <c r="E1595" s="4">
        <f>VLOOKUP(A1595,'Datos generales'!A:L,12,0)</f>
        <v>473.39999999999992</v>
      </c>
      <c r="F1595" s="4" t="str">
        <f>VLOOKUP(A1595,'Datos generales'!A:L,7,0)</f>
        <v>Accesorios</v>
      </c>
      <c r="G1595" s="4">
        <v>2025</v>
      </c>
    </row>
    <row r="1596" spans="1:7" x14ac:dyDescent="0.25">
      <c r="A1596" t="s">
        <v>206</v>
      </c>
      <c r="B1596" s="4">
        <f>VLOOKUP(A1596,'Datos generales'!A:L,5,0)</f>
        <v>1</v>
      </c>
      <c r="C1596" s="4" t="str">
        <f>VLOOKUP(A1596,'Datos generales'!A:L,4,0)</f>
        <v>Impresora</v>
      </c>
      <c r="D1596" s="4">
        <f>VLOOKUP(A1596,'Datos generales'!A:L,6,0)</f>
        <v>521.32000000000005</v>
      </c>
      <c r="E1596" s="4">
        <f>VLOOKUP(A1596,'Datos generales'!A:L,12,0)</f>
        <v>521.32000000000005</v>
      </c>
      <c r="F1596" s="4" t="str">
        <f>VLOOKUP(A1596,'Datos generales'!A:L,7,0)</f>
        <v>Electrónica</v>
      </c>
      <c r="G1596" s="4">
        <v>2023</v>
      </c>
    </row>
    <row r="1597" spans="1:7" x14ac:dyDescent="0.25">
      <c r="A1597" t="s">
        <v>207</v>
      </c>
      <c r="B1597" s="4">
        <f>VLOOKUP(A1597,'Datos generales'!A:L,5,0)</f>
        <v>1</v>
      </c>
      <c r="C1597" s="4" t="str">
        <f>VLOOKUP(A1597,'Datos generales'!A:L,4,0)</f>
        <v>Teclado</v>
      </c>
      <c r="D1597" s="4">
        <f>VLOOKUP(A1597,'Datos generales'!A:L,6,0)</f>
        <v>1067.6400000000001</v>
      </c>
      <c r="E1597" s="4">
        <f>VLOOKUP(A1597,'Datos generales'!A:L,12,0)</f>
        <v>1067.6400000000001</v>
      </c>
      <c r="F1597" s="4" t="str">
        <f>VLOOKUP(A1597,'Datos generales'!A:L,7,0)</f>
        <v>Accesorios</v>
      </c>
      <c r="G1597" s="4">
        <v>2025</v>
      </c>
    </row>
    <row r="1598" spans="1:7" x14ac:dyDescent="0.25">
      <c r="A1598" t="s">
        <v>208</v>
      </c>
      <c r="B1598" s="4">
        <f>VLOOKUP(A1598,'Datos generales'!A:L,5,0)</f>
        <v>1</v>
      </c>
      <c r="C1598" s="4" t="str">
        <f>VLOOKUP(A1598,'Datos generales'!A:L,4,0)</f>
        <v>Mouse</v>
      </c>
      <c r="D1598" s="4">
        <f>VLOOKUP(A1598,'Datos generales'!A:L,6,0)</f>
        <v>1903.64</v>
      </c>
      <c r="E1598" s="4">
        <f>VLOOKUP(A1598,'Datos generales'!A:L,12,0)</f>
        <v>1903.64</v>
      </c>
      <c r="F1598" s="4" t="str">
        <f>VLOOKUP(A1598,'Datos generales'!A:L,7,0)</f>
        <v>Accesorios</v>
      </c>
      <c r="G1598" s="4">
        <v>2023</v>
      </c>
    </row>
    <row r="1599" spans="1:7" x14ac:dyDescent="0.25">
      <c r="A1599" t="s">
        <v>209</v>
      </c>
      <c r="B1599" s="4">
        <f>VLOOKUP(A1599,'Datos generales'!A:L,5,0)</f>
        <v>2</v>
      </c>
      <c r="C1599" s="4" t="str">
        <f>VLOOKUP(A1599,'Datos generales'!A:L,4,0)</f>
        <v>Silla Gamer</v>
      </c>
      <c r="D1599" s="4">
        <f>VLOOKUP(A1599,'Datos generales'!A:L,6,0)</f>
        <v>1460.16</v>
      </c>
      <c r="E1599" s="4">
        <f>VLOOKUP(A1599,'Datos generales'!A:L,12,0)</f>
        <v>1460.16</v>
      </c>
      <c r="F1599" s="4" t="str">
        <f>VLOOKUP(A1599,'Datos generales'!A:L,7,0)</f>
        <v>Muebles</v>
      </c>
      <c r="G1599" s="4">
        <v>2023</v>
      </c>
    </row>
    <row r="1600" spans="1:7" x14ac:dyDescent="0.25">
      <c r="A1600" t="s">
        <v>210</v>
      </c>
      <c r="B1600" s="4">
        <f>VLOOKUP(A1600,'Datos generales'!A:L,5,0)</f>
        <v>4</v>
      </c>
      <c r="C1600" s="4" t="str">
        <f>VLOOKUP(A1600,'Datos generales'!A:L,4,0)</f>
        <v>Monitor</v>
      </c>
      <c r="D1600" s="4">
        <f>VLOOKUP(A1600,'Datos generales'!A:L,6,0)</f>
        <v>847</v>
      </c>
      <c r="E1600" s="4">
        <f>VLOOKUP(A1600,'Datos generales'!A:L,12,0)</f>
        <v>847</v>
      </c>
      <c r="F1600" s="4" t="str">
        <f>VLOOKUP(A1600,'Datos generales'!A:L,7,0)</f>
        <v>Electrónica</v>
      </c>
      <c r="G1600" s="4">
        <v>2025</v>
      </c>
    </row>
    <row r="1601" spans="1:7" x14ac:dyDescent="0.25">
      <c r="A1601" t="s">
        <v>211</v>
      </c>
      <c r="B1601" s="4">
        <f>VLOOKUP(A1601,'Datos generales'!A:L,5,0)</f>
        <v>2</v>
      </c>
      <c r="C1601" s="4" t="str">
        <f>VLOOKUP(A1601,'Datos generales'!A:L,4,0)</f>
        <v>Mouse</v>
      </c>
      <c r="D1601" s="4">
        <f>VLOOKUP(A1601,'Datos generales'!A:L,6,0)</f>
        <v>1243.3399999999999</v>
      </c>
      <c r="E1601" s="4">
        <f>VLOOKUP(A1601,'Datos generales'!A:L,12,0)</f>
        <v>1243.3399999999999</v>
      </c>
      <c r="F1601" s="4" t="str">
        <f>VLOOKUP(A1601,'Datos generales'!A:L,7,0)</f>
        <v>Accesorios</v>
      </c>
      <c r="G1601" s="4">
        <v>2023</v>
      </c>
    </row>
    <row r="1602" spans="1:7" x14ac:dyDescent="0.25">
      <c r="A1602" t="s">
        <v>12</v>
      </c>
      <c r="B1602" s="4">
        <f>VLOOKUP(A1602,'Datos generales'!A:L,5,0)</f>
        <v>5</v>
      </c>
      <c r="C1602" s="4" t="str">
        <f>VLOOKUP(A1602,'Datos generales'!A:L,4,0)</f>
        <v>Monitor</v>
      </c>
      <c r="D1602" s="4">
        <f>VLOOKUP(A1602,'Datos generales'!A:L,6,0)</f>
        <v>1497.24</v>
      </c>
      <c r="E1602" s="4">
        <f>VLOOKUP(A1602,'Datos generales'!A:L,12,0)</f>
        <v>1497.24</v>
      </c>
      <c r="F1602" s="4" t="str">
        <f>VLOOKUP(A1602,'Datos generales'!A:L,7,0)</f>
        <v>Electrónica</v>
      </c>
      <c r="G1602" s="4">
        <v>2023</v>
      </c>
    </row>
    <row r="1603" spans="1:7" x14ac:dyDescent="0.25">
      <c r="A1603" t="s">
        <v>13</v>
      </c>
      <c r="B1603" s="4">
        <f>VLOOKUP(A1603,'Datos generales'!A:L,5,0)</f>
        <v>1</v>
      </c>
      <c r="C1603" s="4" t="str">
        <f>VLOOKUP(A1603,'Datos generales'!A:L,4,0)</f>
        <v>Monitor</v>
      </c>
      <c r="D1603" s="4">
        <f>VLOOKUP(A1603,'Datos generales'!A:L,6,0)</f>
        <v>1687.54</v>
      </c>
      <c r="E1603" s="4">
        <f>VLOOKUP(A1603,'Datos generales'!A:L,12,0)</f>
        <v>1687.54</v>
      </c>
      <c r="F1603" s="4" t="str">
        <f>VLOOKUP(A1603,'Datos generales'!A:L,7,0)</f>
        <v>Electrónica</v>
      </c>
      <c r="G1603" s="4">
        <v>2023</v>
      </c>
    </row>
    <row r="1604" spans="1:7" x14ac:dyDescent="0.25">
      <c r="A1604" t="s">
        <v>14</v>
      </c>
      <c r="B1604" s="4">
        <f>VLOOKUP(A1604,'Datos generales'!A:L,5,0)</f>
        <v>3</v>
      </c>
      <c r="C1604" s="4" t="str">
        <f>VLOOKUP(A1604,'Datos generales'!A:L,4,0)</f>
        <v>Teclado</v>
      </c>
      <c r="D1604" s="4">
        <f>VLOOKUP(A1604,'Datos generales'!A:L,6,0)</f>
        <v>768.8</v>
      </c>
      <c r="E1604" s="4">
        <f>VLOOKUP(A1604,'Datos generales'!A:L,12,0)</f>
        <v>768.79999999999984</v>
      </c>
      <c r="F1604" s="4" t="str">
        <f>VLOOKUP(A1604,'Datos generales'!A:L,7,0)</f>
        <v>Accesorios</v>
      </c>
      <c r="G1604" s="4">
        <v>2024</v>
      </c>
    </row>
    <row r="1605" spans="1:7" x14ac:dyDescent="0.25">
      <c r="A1605" t="s">
        <v>15</v>
      </c>
      <c r="B1605" s="4">
        <f>VLOOKUP(A1605,'Datos generales'!A:L,5,0)</f>
        <v>1</v>
      </c>
      <c r="C1605" s="4" t="str">
        <f>VLOOKUP(A1605,'Datos generales'!A:L,4,0)</f>
        <v>Silla Gamer</v>
      </c>
      <c r="D1605" s="4">
        <f>VLOOKUP(A1605,'Datos generales'!A:L,6,0)</f>
        <v>1532.67</v>
      </c>
      <c r="E1605" s="4">
        <f>VLOOKUP(A1605,'Datos generales'!A:L,12,0)</f>
        <v>1532.67</v>
      </c>
      <c r="F1605" s="4" t="str">
        <f>VLOOKUP(A1605,'Datos generales'!A:L,7,0)</f>
        <v>Muebles</v>
      </c>
      <c r="G1605" s="4">
        <v>2025</v>
      </c>
    </row>
    <row r="1606" spans="1:7" x14ac:dyDescent="0.25">
      <c r="A1606" t="s">
        <v>16</v>
      </c>
      <c r="B1606" s="4">
        <f>VLOOKUP(A1606,'Datos generales'!A:L,5,0)</f>
        <v>3</v>
      </c>
      <c r="C1606" s="4" t="str">
        <f>VLOOKUP(A1606,'Datos generales'!A:L,4,0)</f>
        <v>Silla Gamer</v>
      </c>
      <c r="D1606" s="4">
        <f>VLOOKUP(A1606,'Datos generales'!A:L,6,0)</f>
        <v>1709.47</v>
      </c>
      <c r="E1606" s="4">
        <f>VLOOKUP(A1606,'Datos generales'!A:L,12,0)</f>
        <v>1709.47</v>
      </c>
      <c r="F1606" s="4" t="str">
        <f>VLOOKUP(A1606,'Datos generales'!A:L,7,0)</f>
        <v>Muebles</v>
      </c>
      <c r="G1606" s="4">
        <v>2025</v>
      </c>
    </row>
    <row r="1607" spans="1:7" x14ac:dyDescent="0.25">
      <c r="A1607" t="s">
        <v>17</v>
      </c>
      <c r="B1607" s="4">
        <f>VLOOKUP(A1607,'Datos generales'!A:L,5,0)</f>
        <v>3</v>
      </c>
      <c r="C1607" s="4" t="str">
        <f>VLOOKUP(A1607,'Datos generales'!A:L,4,0)</f>
        <v>Impresora</v>
      </c>
      <c r="D1607" s="4">
        <f>VLOOKUP(A1607,'Datos generales'!A:L,6,0)</f>
        <v>297.54000000000002</v>
      </c>
      <c r="E1607" s="4">
        <f>VLOOKUP(A1607,'Datos generales'!A:L,12,0)</f>
        <v>297.54000000000002</v>
      </c>
      <c r="F1607" s="4" t="str">
        <f>VLOOKUP(A1607,'Datos generales'!A:L,7,0)</f>
        <v>Electrónica</v>
      </c>
      <c r="G1607" s="4">
        <v>2023</v>
      </c>
    </row>
    <row r="1608" spans="1:7" x14ac:dyDescent="0.25">
      <c r="A1608" t="s">
        <v>18</v>
      </c>
      <c r="B1608" s="4">
        <f>VLOOKUP(A1608,'Datos generales'!A:L,5,0)</f>
        <v>4</v>
      </c>
      <c r="C1608" s="4" t="str">
        <f>VLOOKUP(A1608,'Datos generales'!A:L,4,0)</f>
        <v>Webcam</v>
      </c>
      <c r="D1608" s="4">
        <f>VLOOKUP(A1608,'Datos generales'!A:L,6,0)</f>
        <v>1546.65</v>
      </c>
      <c r="E1608" s="4">
        <f>VLOOKUP(A1608,'Datos generales'!A:L,12,0)</f>
        <v>1546.65</v>
      </c>
      <c r="F1608" s="4" t="str">
        <f>VLOOKUP(A1608,'Datos generales'!A:L,7,0)</f>
        <v>Accesorios</v>
      </c>
      <c r="G1608" s="4">
        <v>2025</v>
      </c>
    </row>
    <row r="1609" spans="1:7" x14ac:dyDescent="0.25">
      <c r="A1609" t="s">
        <v>19</v>
      </c>
      <c r="B1609" s="4">
        <f>VLOOKUP(A1609,'Datos generales'!A:L,5,0)</f>
        <v>1</v>
      </c>
      <c r="C1609" s="4" t="str">
        <f>VLOOKUP(A1609,'Datos generales'!A:L,4,0)</f>
        <v>Monitor</v>
      </c>
      <c r="D1609" s="4">
        <f>VLOOKUP(A1609,'Datos generales'!A:L,6,0)</f>
        <v>1575.18</v>
      </c>
      <c r="E1609" s="4">
        <f>VLOOKUP(A1609,'Datos generales'!A:L,12,0)</f>
        <v>1575.18</v>
      </c>
      <c r="F1609" s="4" t="str">
        <f>VLOOKUP(A1609,'Datos generales'!A:L,7,0)</f>
        <v>Electrónica</v>
      </c>
      <c r="G1609" s="4">
        <v>2025</v>
      </c>
    </row>
    <row r="1610" spans="1:7" x14ac:dyDescent="0.25">
      <c r="A1610" t="s">
        <v>20</v>
      </c>
      <c r="B1610" s="4">
        <f>VLOOKUP(A1610,'Datos generales'!A:L,5,0)</f>
        <v>5</v>
      </c>
      <c r="C1610" s="4" t="str">
        <f>VLOOKUP(A1610,'Datos generales'!A:L,4,0)</f>
        <v>Laptop</v>
      </c>
      <c r="D1610" s="4">
        <f>VLOOKUP(A1610,'Datos generales'!A:L,6,0)</f>
        <v>1815.86</v>
      </c>
      <c r="E1610" s="4">
        <f>VLOOKUP(A1610,'Datos generales'!A:L,12,0)</f>
        <v>1815.86</v>
      </c>
      <c r="F1610" s="4" t="str">
        <f>VLOOKUP(A1610,'Datos generales'!A:L,7,0)</f>
        <v>Electrónica</v>
      </c>
      <c r="G1610" s="4">
        <v>2024</v>
      </c>
    </row>
    <row r="1611" spans="1:7" x14ac:dyDescent="0.25">
      <c r="A1611" t="s">
        <v>21</v>
      </c>
      <c r="B1611" s="4">
        <f>VLOOKUP(A1611,'Datos generales'!A:L,5,0)</f>
        <v>1</v>
      </c>
      <c r="C1611" s="4" t="str">
        <f>VLOOKUP(A1611,'Datos generales'!A:L,4,0)</f>
        <v>Monitor</v>
      </c>
      <c r="D1611" s="4">
        <f>VLOOKUP(A1611,'Datos generales'!A:L,6,0)</f>
        <v>564.11</v>
      </c>
      <c r="E1611" s="4">
        <f>VLOOKUP(A1611,'Datos generales'!A:L,12,0)</f>
        <v>564.11</v>
      </c>
      <c r="F1611" s="4" t="str">
        <f>VLOOKUP(A1611,'Datos generales'!A:L,7,0)</f>
        <v>Electrónica</v>
      </c>
      <c r="G1611" s="4">
        <v>2024</v>
      </c>
    </row>
    <row r="1612" spans="1:7" x14ac:dyDescent="0.25">
      <c r="A1612" t="s">
        <v>22</v>
      </c>
      <c r="B1612" s="4">
        <f>VLOOKUP(A1612,'Datos generales'!A:L,5,0)</f>
        <v>1</v>
      </c>
      <c r="C1612" s="4" t="str">
        <f>VLOOKUP(A1612,'Datos generales'!A:L,4,0)</f>
        <v>Laptop</v>
      </c>
      <c r="D1612" s="4">
        <f>VLOOKUP(A1612,'Datos generales'!A:L,6,0)</f>
        <v>454.9</v>
      </c>
      <c r="E1612" s="4">
        <f>VLOOKUP(A1612,'Datos generales'!A:L,12,0)</f>
        <v>454.9</v>
      </c>
      <c r="F1612" s="4" t="str">
        <f>VLOOKUP(A1612,'Datos generales'!A:L,7,0)</f>
        <v>Electrónica</v>
      </c>
      <c r="G1612" s="4">
        <v>2024</v>
      </c>
    </row>
    <row r="1613" spans="1:7" x14ac:dyDescent="0.25">
      <c r="A1613" t="s">
        <v>23</v>
      </c>
      <c r="B1613" s="4">
        <f>VLOOKUP(A1613,'Datos generales'!A:L,5,0)</f>
        <v>3</v>
      </c>
      <c r="C1613" s="4" t="str">
        <f>VLOOKUP(A1613,'Datos generales'!A:L,4,0)</f>
        <v>Mouse</v>
      </c>
      <c r="D1613" s="4">
        <f>VLOOKUP(A1613,'Datos generales'!A:L,6,0)</f>
        <v>1277.51</v>
      </c>
      <c r="E1613" s="4">
        <f>VLOOKUP(A1613,'Datos generales'!A:L,12,0)</f>
        <v>1277.51</v>
      </c>
      <c r="F1613" s="4" t="str">
        <f>VLOOKUP(A1613,'Datos generales'!A:L,7,0)</f>
        <v>Accesorios</v>
      </c>
      <c r="G1613" s="4">
        <v>2024</v>
      </c>
    </row>
    <row r="1614" spans="1:7" x14ac:dyDescent="0.25">
      <c r="A1614" t="s">
        <v>24</v>
      </c>
      <c r="B1614" s="4">
        <f>VLOOKUP(A1614,'Datos generales'!A:L,5,0)</f>
        <v>2</v>
      </c>
      <c r="C1614" s="4" t="str">
        <f>VLOOKUP(A1614,'Datos generales'!A:L,4,0)</f>
        <v>Silla Gamer</v>
      </c>
      <c r="D1614" s="4">
        <f>VLOOKUP(A1614,'Datos generales'!A:L,6,0)</f>
        <v>1870.95</v>
      </c>
      <c r="E1614" s="4">
        <f>VLOOKUP(A1614,'Datos generales'!A:L,12,0)</f>
        <v>1870.95</v>
      </c>
      <c r="F1614" s="4" t="str">
        <f>VLOOKUP(A1614,'Datos generales'!A:L,7,0)</f>
        <v>Muebles</v>
      </c>
      <c r="G1614" s="4">
        <v>2023</v>
      </c>
    </row>
    <row r="1615" spans="1:7" x14ac:dyDescent="0.25">
      <c r="A1615" t="s">
        <v>25</v>
      </c>
      <c r="B1615" s="4">
        <f>VLOOKUP(A1615,'Datos generales'!A:L,5,0)</f>
        <v>4</v>
      </c>
      <c r="C1615" s="4" t="str">
        <f>VLOOKUP(A1615,'Datos generales'!A:L,4,0)</f>
        <v>Monitor</v>
      </c>
      <c r="D1615" s="4">
        <f>VLOOKUP(A1615,'Datos generales'!A:L,6,0)</f>
        <v>1227.23</v>
      </c>
      <c r="E1615" s="4">
        <f>VLOOKUP(A1615,'Datos generales'!A:L,12,0)</f>
        <v>1227.23</v>
      </c>
      <c r="F1615" s="4" t="str">
        <f>VLOOKUP(A1615,'Datos generales'!A:L,7,0)</f>
        <v>Electrónica</v>
      </c>
      <c r="G1615" s="4">
        <v>2023</v>
      </c>
    </row>
    <row r="1616" spans="1:7" x14ac:dyDescent="0.25">
      <c r="A1616" t="s">
        <v>26</v>
      </c>
      <c r="B1616" s="4">
        <f>VLOOKUP(A1616,'Datos generales'!A:L,5,0)</f>
        <v>1</v>
      </c>
      <c r="C1616" s="4" t="str">
        <f>VLOOKUP(A1616,'Datos generales'!A:L,4,0)</f>
        <v>Impresora</v>
      </c>
      <c r="D1616" s="4">
        <f>VLOOKUP(A1616,'Datos generales'!A:L,6,0)</f>
        <v>1329.6</v>
      </c>
      <c r="E1616" s="4">
        <f>VLOOKUP(A1616,'Datos generales'!A:L,12,0)</f>
        <v>1329.6</v>
      </c>
      <c r="F1616" s="4" t="str">
        <f>VLOOKUP(A1616,'Datos generales'!A:L,7,0)</f>
        <v>Electrónica</v>
      </c>
      <c r="G1616" s="4">
        <v>2024</v>
      </c>
    </row>
    <row r="1617" spans="1:7" x14ac:dyDescent="0.25">
      <c r="A1617" t="s">
        <v>27</v>
      </c>
      <c r="B1617" s="4">
        <f>VLOOKUP(A1617,'Datos generales'!A:L,5,0)</f>
        <v>3</v>
      </c>
      <c r="C1617" s="4" t="str">
        <f>VLOOKUP(A1617,'Datos generales'!A:L,4,0)</f>
        <v>Monitor</v>
      </c>
      <c r="D1617" s="4">
        <f>VLOOKUP(A1617,'Datos generales'!A:L,6,0)</f>
        <v>1734.12</v>
      </c>
      <c r="E1617" s="4">
        <f>VLOOKUP(A1617,'Datos generales'!A:L,12,0)</f>
        <v>1734.12</v>
      </c>
      <c r="F1617" s="4" t="str">
        <f>VLOOKUP(A1617,'Datos generales'!A:L,7,0)</f>
        <v>Electrónica</v>
      </c>
      <c r="G1617" s="4">
        <v>2023</v>
      </c>
    </row>
    <row r="1618" spans="1:7" x14ac:dyDescent="0.25">
      <c r="A1618" t="s">
        <v>28</v>
      </c>
      <c r="B1618" s="4">
        <f>VLOOKUP(A1618,'Datos generales'!A:L,5,0)</f>
        <v>1</v>
      </c>
      <c r="C1618" s="4" t="str">
        <f>VLOOKUP(A1618,'Datos generales'!A:L,4,0)</f>
        <v>Monitor</v>
      </c>
      <c r="D1618" s="4">
        <f>VLOOKUP(A1618,'Datos generales'!A:L,6,0)</f>
        <v>1209.6199999999999</v>
      </c>
      <c r="E1618" s="4">
        <f>VLOOKUP(A1618,'Datos generales'!A:L,12,0)</f>
        <v>1209.6199999999999</v>
      </c>
      <c r="F1618" s="4" t="str">
        <f>VLOOKUP(A1618,'Datos generales'!A:L,7,0)</f>
        <v>Electrónica</v>
      </c>
      <c r="G1618" s="4">
        <v>2024</v>
      </c>
    </row>
    <row r="1619" spans="1:7" x14ac:dyDescent="0.25">
      <c r="A1619" t="s">
        <v>29</v>
      </c>
      <c r="B1619" s="4">
        <f>VLOOKUP(A1619,'Datos generales'!A:L,5,0)</f>
        <v>3</v>
      </c>
      <c r="C1619" s="4" t="str">
        <f>VLOOKUP(A1619,'Datos generales'!A:L,4,0)</f>
        <v>Mouse</v>
      </c>
      <c r="D1619" s="4">
        <f>VLOOKUP(A1619,'Datos generales'!A:L,6,0)</f>
        <v>922.33</v>
      </c>
      <c r="E1619" s="4">
        <f>VLOOKUP(A1619,'Datos generales'!A:L,12,0)</f>
        <v>922.33</v>
      </c>
      <c r="F1619" s="4" t="str">
        <f>VLOOKUP(A1619,'Datos generales'!A:L,7,0)</f>
        <v>Accesorios</v>
      </c>
      <c r="G1619" s="4">
        <v>2024</v>
      </c>
    </row>
    <row r="1620" spans="1:7" x14ac:dyDescent="0.25">
      <c r="A1620" t="s">
        <v>30</v>
      </c>
      <c r="B1620" s="4">
        <f>VLOOKUP(A1620,'Datos generales'!A:L,5,0)</f>
        <v>4</v>
      </c>
      <c r="C1620" s="4" t="str">
        <f>VLOOKUP(A1620,'Datos generales'!A:L,4,0)</f>
        <v>Webcam</v>
      </c>
      <c r="D1620" s="4">
        <f>VLOOKUP(A1620,'Datos generales'!A:L,6,0)</f>
        <v>54.42</v>
      </c>
      <c r="E1620" s="4">
        <f>VLOOKUP(A1620,'Datos generales'!A:L,12,0)</f>
        <v>54.42</v>
      </c>
      <c r="F1620" s="4" t="str">
        <f>VLOOKUP(A1620,'Datos generales'!A:L,7,0)</f>
        <v>Accesorios</v>
      </c>
      <c r="G1620" s="4">
        <v>2025</v>
      </c>
    </row>
    <row r="1621" spans="1:7" x14ac:dyDescent="0.25">
      <c r="A1621" t="s">
        <v>31</v>
      </c>
      <c r="B1621" s="4">
        <f>VLOOKUP(A1621,'Datos generales'!A:L,5,0)</f>
        <v>2</v>
      </c>
      <c r="C1621" s="4" t="str">
        <f>VLOOKUP(A1621,'Datos generales'!A:L,4,0)</f>
        <v>Mouse</v>
      </c>
      <c r="D1621" s="4">
        <f>VLOOKUP(A1621,'Datos generales'!A:L,6,0)</f>
        <v>1567.18</v>
      </c>
      <c r="E1621" s="4">
        <f>VLOOKUP(A1621,'Datos generales'!A:L,12,0)</f>
        <v>1567.18</v>
      </c>
      <c r="F1621" s="4" t="str">
        <f>VLOOKUP(A1621,'Datos generales'!A:L,7,0)</f>
        <v>Accesorios</v>
      </c>
      <c r="G1621" s="4">
        <v>2023</v>
      </c>
    </row>
    <row r="1622" spans="1:7" x14ac:dyDescent="0.25">
      <c r="A1622" t="s">
        <v>32</v>
      </c>
      <c r="B1622" s="4">
        <f>VLOOKUP(A1622,'Datos generales'!A:L,5,0)</f>
        <v>2</v>
      </c>
      <c r="C1622" s="4" t="str">
        <f>VLOOKUP(A1622,'Datos generales'!A:L,4,0)</f>
        <v>Teclado</v>
      </c>
      <c r="D1622" s="4">
        <f>VLOOKUP(A1622,'Datos generales'!A:L,6,0)</f>
        <v>519.79999999999995</v>
      </c>
      <c r="E1622" s="4">
        <f>VLOOKUP(A1622,'Datos generales'!A:L,12,0)</f>
        <v>519.79999999999995</v>
      </c>
      <c r="F1622" s="4" t="str">
        <f>VLOOKUP(A1622,'Datos generales'!A:L,7,0)</f>
        <v>Accesorios</v>
      </c>
      <c r="G1622" s="4">
        <v>2023</v>
      </c>
    </row>
    <row r="1623" spans="1:7" x14ac:dyDescent="0.25">
      <c r="A1623" t="s">
        <v>33</v>
      </c>
      <c r="B1623" s="4">
        <f>VLOOKUP(A1623,'Datos generales'!A:L,5,0)</f>
        <v>1</v>
      </c>
      <c r="C1623" s="4" t="str">
        <f>VLOOKUP(A1623,'Datos generales'!A:L,4,0)</f>
        <v>Silla Gamer</v>
      </c>
      <c r="D1623" s="4">
        <f>VLOOKUP(A1623,'Datos generales'!A:L,6,0)</f>
        <v>1267.01</v>
      </c>
      <c r="E1623" s="4">
        <f>VLOOKUP(A1623,'Datos generales'!A:L,12,0)</f>
        <v>1267.01</v>
      </c>
      <c r="F1623" s="4" t="str">
        <f>VLOOKUP(A1623,'Datos generales'!A:L,7,0)</f>
        <v>Muebles</v>
      </c>
      <c r="G1623" s="4">
        <v>2024</v>
      </c>
    </row>
    <row r="1624" spans="1:7" x14ac:dyDescent="0.25">
      <c r="A1624" t="s">
        <v>34</v>
      </c>
      <c r="B1624" s="4">
        <f>VLOOKUP(A1624,'Datos generales'!A:L,5,0)</f>
        <v>4</v>
      </c>
      <c r="C1624" s="4" t="str">
        <f>VLOOKUP(A1624,'Datos generales'!A:L,4,0)</f>
        <v>Monitor</v>
      </c>
      <c r="D1624" s="4">
        <f>VLOOKUP(A1624,'Datos generales'!A:L,6,0)</f>
        <v>1027.81</v>
      </c>
      <c r="E1624" s="4">
        <f>VLOOKUP(A1624,'Datos generales'!A:L,12,0)</f>
        <v>1027.81</v>
      </c>
      <c r="F1624" s="4" t="str">
        <f>VLOOKUP(A1624,'Datos generales'!A:L,7,0)</f>
        <v>Electrónica</v>
      </c>
      <c r="G1624" s="4">
        <v>2024</v>
      </c>
    </row>
    <row r="1625" spans="1:7" x14ac:dyDescent="0.25">
      <c r="A1625" t="s">
        <v>35</v>
      </c>
      <c r="B1625" s="4">
        <f>VLOOKUP(A1625,'Datos generales'!A:L,5,0)</f>
        <v>3</v>
      </c>
      <c r="C1625" s="4" t="str">
        <f>VLOOKUP(A1625,'Datos generales'!A:L,4,0)</f>
        <v>Webcam</v>
      </c>
      <c r="D1625" s="4">
        <f>VLOOKUP(A1625,'Datos generales'!A:L,6,0)</f>
        <v>925.62</v>
      </c>
      <c r="E1625" s="4">
        <f>VLOOKUP(A1625,'Datos generales'!A:L,12,0)</f>
        <v>925.62</v>
      </c>
      <c r="F1625" s="4" t="str">
        <f>VLOOKUP(A1625,'Datos generales'!A:L,7,0)</f>
        <v>Accesorios</v>
      </c>
      <c r="G1625" s="4">
        <v>2024</v>
      </c>
    </row>
    <row r="1626" spans="1:7" x14ac:dyDescent="0.25">
      <c r="A1626" t="s">
        <v>36</v>
      </c>
      <c r="B1626" s="4">
        <f>VLOOKUP(A1626,'Datos generales'!A:L,5,0)</f>
        <v>3</v>
      </c>
      <c r="C1626" s="4" t="str">
        <f>VLOOKUP(A1626,'Datos generales'!A:L,4,0)</f>
        <v>Monitor</v>
      </c>
      <c r="D1626" s="4">
        <f>VLOOKUP(A1626,'Datos generales'!A:L,6,0)</f>
        <v>213.71</v>
      </c>
      <c r="E1626" s="4">
        <f>VLOOKUP(A1626,'Datos generales'!A:L,12,0)</f>
        <v>213.71</v>
      </c>
      <c r="F1626" s="4" t="str">
        <f>VLOOKUP(A1626,'Datos generales'!A:L,7,0)</f>
        <v>Electrónica</v>
      </c>
      <c r="G1626" s="4">
        <v>2025</v>
      </c>
    </row>
    <row r="1627" spans="1:7" x14ac:dyDescent="0.25">
      <c r="A1627" t="s">
        <v>37</v>
      </c>
      <c r="B1627" s="4">
        <f>VLOOKUP(A1627,'Datos generales'!A:L,5,0)</f>
        <v>2</v>
      </c>
      <c r="C1627" s="4" t="str">
        <f>VLOOKUP(A1627,'Datos generales'!A:L,4,0)</f>
        <v>Laptop</v>
      </c>
      <c r="D1627" s="4">
        <f>VLOOKUP(A1627,'Datos generales'!A:L,6,0)</f>
        <v>1146.75</v>
      </c>
      <c r="E1627" s="4">
        <f>VLOOKUP(A1627,'Datos generales'!A:L,12,0)</f>
        <v>1146.75</v>
      </c>
      <c r="F1627" s="4" t="str">
        <f>VLOOKUP(A1627,'Datos generales'!A:L,7,0)</f>
        <v>Electrónica</v>
      </c>
      <c r="G1627" s="4">
        <v>2024</v>
      </c>
    </row>
    <row r="1628" spans="1:7" x14ac:dyDescent="0.25">
      <c r="A1628" t="s">
        <v>38</v>
      </c>
      <c r="B1628" s="4">
        <f>VLOOKUP(A1628,'Datos generales'!A:L,5,0)</f>
        <v>5</v>
      </c>
      <c r="C1628" s="4" t="str">
        <f>VLOOKUP(A1628,'Datos generales'!A:L,4,0)</f>
        <v>Laptop</v>
      </c>
      <c r="D1628" s="4">
        <f>VLOOKUP(A1628,'Datos generales'!A:L,6,0)</f>
        <v>907.28</v>
      </c>
      <c r="E1628" s="4">
        <f>VLOOKUP(A1628,'Datos generales'!A:L,12,0)</f>
        <v>907.28</v>
      </c>
      <c r="F1628" s="4" t="str">
        <f>VLOOKUP(A1628,'Datos generales'!A:L,7,0)</f>
        <v>Electrónica</v>
      </c>
      <c r="G1628" s="4">
        <v>2023</v>
      </c>
    </row>
    <row r="1629" spans="1:7" x14ac:dyDescent="0.25">
      <c r="A1629" t="s">
        <v>39</v>
      </c>
      <c r="B1629" s="4">
        <f>VLOOKUP(A1629,'Datos generales'!A:L,5,0)</f>
        <v>2</v>
      </c>
      <c r="C1629" s="4" t="str">
        <f>VLOOKUP(A1629,'Datos generales'!A:L,4,0)</f>
        <v>Webcam</v>
      </c>
      <c r="D1629" s="4">
        <f>VLOOKUP(A1629,'Datos generales'!A:L,6,0)</f>
        <v>1734.44</v>
      </c>
      <c r="E1629" s="4">
        <f>VLOOKUP(A1629,'Datos generales'!A:L,12,0)</f>
        <v>1734.44</v>
      </c>
      <c r="F1629" s="4" t="str">
        <f>VLOOKUP(A1629,'Datos generales'!A:L,7,0)</f>
        <v>Accesorios</v>
      </c>
      <c r="G1629" s="4">
        <v>2023</v>
      </c>
    </row>
    <row r="1630" spans="1:7" x14ac:dyDescent="0.25">
      <c r="A1630" t="s">
        <v>40</v>
      </c>
      <c r="B1630" s="4">
        <f>VLOOKUP(A1630,'Datos generales'!A:L,5,0)</f>
        <v>1</v>
      </c>
      <c r="C1630" s="4" t="str">
        <f>VLOOKUP(A1630,'Datos generales'!A:L,4,0)</f>
        <v>Teclado</v>
      </c>
      <c r="D1630" s="4">
        <f>VLOOKUP(A1630,'Datos generales'!A:L,6,0)</f>
        <v>424.35</v>
      </c>
      <c r="E1630" s="4">
        <f>VLOOKUP(A1630,'Datos generales'!A:L,12,0)</f>
        <v>424.35</v>
      </c>
      <c r="F1630" s="4" t="str">
        <f>VLOOKUP(A1630,'Datos generales'!A:L,7,0)</f>
        <v>Accesorios</v>
      </c>
      <c r="G1630" s="4">
        <v>2024</v>
      </c>
    </row>
    <row r="1631" spans="1:7" x14ac:dyDescent="0.25">
      <c r="A1631" t="s">
        <v>41</v>
      </c>
      <c r="B1631" s="4">
        <f>VLOOKUP(A1631,'Datos generales'!A:L,5,0)</f>
        <v>1</v>
      </c>
      <c r="C1631" s="4" t="str">
        <f>VLOOKUP(A1631,'Datos generales'!A:L,4,0)</f>
        <v>Monitor</v>
      </c>
      <c r="D1631" s="4">
        <f>VLOOKUP(A1631,'Datos generales'!A:L,6,0)</f>
        <v>252.57</v>
      </c>
      <c r="E1631" s="4">
        <f>VLOOKUP(A1631,'Datos generales'!A:L,12,0)</f>
        <v>252.57</v>
      </c>
      <c r="F1631" s="4" t="str">
        <f>VLOOKUP(A1631,'Datos generales'!A:L,7,0)</f>
        <v>Electrónica</v>
      </c>
      <c r="G1631" s="4">
        <v>2025</v>
      </c>
    </row>
    <row r="1632" spans="1:7" x14ac:dyDescent="0.25">
      <c r="A1632" t="s">
        <v>42</v>
      </c>
      <c r="B1632" s="4">
        <f>VLOOKUP(A1632,'Datos generales'!A:L,5,0)</f>
        <v>3</v>
      </c>
      <c r="C1632" s="4" t="str">
        <f>VLOOKUP(A1632,'Datos generales'!A:L,4,0)</f>
        <v>Mouse</v>
      </c>
      <c r="D1632" s="4">
        <f>VLOOKUP(A1632,'Datos generales'!A:L,6,0)</f>
        <v>21.56</v>
      </c>
      <c r="E1632" s="4">
        <f>VLOOKUP(A1632,'Datos generales'!A:L,12,0)</f>
        <v>21.56</v>
      </c>
      <c r="F1632" s="4" t="str">
        <f>VLOOKUP(A1632,'Datos generales'!A:L,7,0)</f>
        <v>Accesorios</v>
      </c>
      <c r="G1632" s="4">
        <v>2024</v>
      </c>
    </row>
    <row r="1633" spans="1:7" x14ac:dyDescent="0.25">
      <c r="A1633" t="s">
        <v>43</v>
      </c>
      <c r="B1633" s="4">
        <f>VLOOKUP(A1633,'Datos generales'!A:L,5,0)</f>
        <v>1</v>
      </c>
      <c r="C1633" s="4" t="str">
        <f>VLOOKUP(A1633,'Datos generales'!A:L,4,0)</f>
        <v>Silla Gamer</v>
      </c>
      <c r="D1633" s="4">
        <f>VLOOKUP(A1633,'Datos generales'!A:L,6,0)</f>
        <v>446.81</v>
      </c>
      <c r="E1633" s="4">
        <f>VLOOKUP(A1633,'Datos generales'!A:L,12,0)</f>
        <v>446.81</v>
      </c>
      <c r="F1633" s="4" t="str">
        <f>VLOOKUP(A1633,'Datos generales'!A:L,7,0)</f>
        <v>Muebles</v>
      </c>
      <c r="G1633" s="4">
        <v>2024</v>
      </c>
    </row>
    <row r="1634" spans="1:7" x14ac:dyDescent="0.25">
      <c r="A1634" t="s">
        <v>44</v>
      </c>
      <c r="B1634" s="4">
        <f>VLOOKUP(A1634,'Datos generales'!A:L,5,0)</f>
        <v>2</v>
      </c>
      <c r="C1634" s="4" t="str">
        <f>VLOOKUP(A1634,'Datos generales'!A:L,4,0)</f>
        <v>Mouse</v>
      </c>
      <c r="D1634" s="4">
        <f>VLOOKUP(A1634,'Datos generales'!A:L,6,0)</f>
        <v>64.67</v>
      </c>
      <c r="E1634" s="4">
        <f>VLOOKUP(A1634,'Datos generales'!A:L,12,0)</f>
        <v>64.67</v>
      </c>
      <c r="F1634" s="4" t="str">
        <f>VLOOKUP(A1634,'Datos generales'!A:L,7,0)</f>
        <v>Accesorios</v>
      </c>
      <c r="G1634" s="4">
        <v>2023</v>
      </c>
    </row>
    <row r="1635" spans="1:7" x14ac:dyDescent="0.25">
      <c r="A1635" t="s">
        <v>45</v>
      </c>
      <c r="B1635" s="4">
        <f>VLOOKUP(A1635,'Datos generales'!A:L,5,0)</f>
        <v>5</v>
      </c>
      <c r="C1635" s="4" t="str">
        <f>VLOOKUP(A1635,'Datos generales'!A:L,4,0)</f>
        <v>Webcam</v>
      </c>
      <c r="D1635" s="4">
        <f>VLOOKUP(A1635,'Datos generales'!A:L,6,0)</f>
        <v>1168.3499999999999</v>
      </c>
      <c r="E1635" s="4">
        <f>VLOOKUP(A1635,'Datos generales'!A:L,12,0)</f>
        <v>1168.3499999999999</v>
      </c>
      <c r="F1635" s="4" t="str">
        <f>VLOOKUP(A1635,'Datos generales'!A:L,7,0)</f>
        <v>Accesorios</v>
      </c>
      <c r="G1635" s="4">
        <v>2024</v>
      </c>
    </row>
    <row r="1636" spans="1:7" x14ac:dyDescent="0.25">
      <c r="A1636" t="s">
        <v>46</v>
      </c>
      <c r="B1636" s="4">
        <f>VLOOKUP(A1636,'Datos generales'!A:L,5,0)</f>
        <v>2</v>
      </c>
      <c r="C1636" s="4" t="str">
        <f>VLOOKUP(A1636,'Datos generales'!A:L,4,0)</f>
        <v>Silla Gamer</v>
      </c>
      <c r="D1636" s="4">
        <f>VLOOKUP(A1636,'Datos generales'!A:L,6,0)</f>
        <v>349.3</v>
      </c>
      <c r="E1636" s="4">
        <f>VLOOKUP(A1636,'Datos generales'!A:L,12,0)</f>
        <v>349.3</v>
      </c>
      <c r="F1636" s="4" t="str">
        <f>VLOOKUP(A1636,'Datos generales'!A:L,7,0)</f>
        <v>Muebles</v>
      </c>
      <c r="G1636" s="4">
        <v>2025</v>
      </c>
    </row>
    <row r="1637" spans="1:7" x14ac:dyDescent="0.25">
      <c r="A1637" t="s">
        <v>47</v>
      </c>
      <c r="B1637" s="4">
        <f>VLOOKUP(A1637,'Datos generales'!A:L,5,0)</f>
        <v>3</v>
      </c>
      <c r="C1637" s="4" t="str">
        <f>VLOOKUP(A1637,'Datos generales'!A:L,4,0)</f>
        <v>Webcam</v>
      </c>
      <c r="D1637" s="4">
        <f>VLOOKUP(A1637,'Datos generales'!A:L,6,0)</f>
        <v>1154.06</v>
      </c>
      <c r="E1637" s="4">
        <f>VLOOKUP(A1637,'Datos generales'!A:L,12,0)</f>
        <v>1154.06</v>
      </c>
      <c r="F1637" s="4" t="str">
        <f>VLOOKUP(A1637,'Datos generales'!A:L,7,0)</f>
        <v>Accesorios</v>
      </c>
      <c r="G1637" s="4">
        <v>2024</v>
      </c>
    </row>
    <row r="1638" spans="1:7" x14ac:dyDescent="0.25">
      <c r="A1638" t="s">
        <v>48</v>
      </c>
      <c r="B1638" s="4">
        <f>VLOOKUP(A1638,'Datos generales'!A:L,5,0)</f>
        <v>4</v>
      </c>
      <c r="C1638" s="4" t="str">
        <f>VLOOKUP(A1638,'Datos generales'!A:L,4,0)</f>
        <v>Impresora</v>
      </c>
      <c r="D1638" s="4">
        <f>VLOOKUP(A1638,'Datos generales'!A:L,6,0)</f>
        <v>1566.37</v>
      </c>
      <c r="E1638" s="4">
        <f>VLOOKUP(A1638,'Datos generales'!A:L,12,0)</f>
        <v>1566.37</v>
      </c>
      <c r="F1638" s="4" t="str">
        <f>VLOOKUP(A1638,'Datos generales'!A:L,7,0)</f>
        <v>Electrónica</v>
      </c>
      <c r="G1638" s="4">
        <v>2025</v>
      </c>
    </row>
    <row r="1639" spans="1:7" x14ac:dyDescent="0.25">
      <c r="A1639" t="s">
        <v>49</v>
      </c>
      <c r="B1639" s="4">
        <f>VLOOKUP(A1639,'Datos generales'!A:L,5,0)</f>
        <v>2</v>
      </c>
      <c r="C1639" s="4" t="str">
        <f>VLOOKUP(A1639,'Datos generales'!A:L,4,0)</f>
        <v>Monitor</v>
      </c>
      <c r="D1639" s="4">
        <f>VLOOKUP(A1639,'Datos generales'!A:L,6,0)</f>
        <v>674.48</v>
      </c>
      <c r="E1639" s="4">
        <f>VLOOKUP(A1639,'Datos generales'!A:L,12,0)</f>
        <v>674.48</v>
      </c>
      <c r="F1639" s="4" t="str">
        <f>VLOOKUP(A1639,'Datos generales'!A:L,7,0)</f>
        <v>Electrónica</v>
      </c>
      <c r="G1639" s="4">
        <v>2024</v>
      </c>
    </row>
    <row r="1640" spans="1:7" x14ac:dyDescent="0.25">
      <c r="A1640" t="s">
        <v>50</v>
      </c>
      <c r="B1640" s="4">
        <f>VLOOKUP(A1640,'Datos generales'!A:L,5,0)</f>
        <v>2</v>
      </c>
      <c r="C1640" s="4" t="str">
        <f>VLOOKUP(A1640,'Datos generales'!A:L,4,0)</f>
        <v>Monitor</v>
      </c>
      <c r="D1640" s="4">
        <f>VLOOKUP(A1640,'Datos generales'!A:L,6,0)</f>
        <v>1543.98</v>
      </c>
      <c r="E1640" s="4">
        <f>VLOOKUP(A1640,'Datos generales'!A:L,12,0)</f>
        <v>1543.98</v>
      </c>
      <c r="F1640" s="4" t="str">
        <f>VLOOKUP(A1640,'Datos generales'!A:L,7,0)</f>
        <v>Electrónica</v>
      </c>
      <c r="G1640" s="4">
        <v>2024</v>
      </c>
    </row>
    <row r="1641" spans="1:7" x14ac:dyDescent="0.25">
      <c r="A1641" t="s">
        <v>51</v>
      </c>
      <c r="B1641" s="4">
        <f>VLOOKUP(A1641,'Datos generales'!A:L,5,0)</f>
        <v>5</v>
      </c>
      <c r="C1641" s="4" t="str">
        <f>VLOOKUP(A1641,'Datos generales'!A:L,4,0)</f>
        <v>Laptop</v>
      </c>
      <c r="D1641" s="4">
        <f>VLOOKUP(A1641,'Datos generales'!A:L,6,0)</f>
        <v>917.31</v>
      </c>
      <c r="E1641" s="4">
        <f>VLOOKUP(A1641,'Datos generales'!A:L,12,0)</f>
        <v>917.30999999999983</v>
      </c>
      <c r="F1641" s="4" t="str">
        <f>VLOOKUP(A1641,'Datos generales'!A:L,7,0)</f>
        <v>Electrónica</v>
      </c>
      <c r="G1641" s="4">
        <v>2023</v>
      </c>
    </row>
    <row r="1642" spans="1:7" x14ac:dyDescent="0.25">
      <c r="A1642" t="s">
        <v>52</v>
      </c>
      <c r="B1642" s="4">
        <f>VLOOKUP(A1642,'Datos generales'!A:L,5,0)</f>
        <v>4</v>
      </c>
      <c r="C1642" s="4" t="str">
        <f>VLOOKUP(A1642,'Datos generales'!A:L,4,0)</f>
        <v>Audífonos</v>
      </c>
      <c r="D1642" s="4">
        <f>VLOOKUP(A1642,'Datos generales'!A:L,6,0)</f>
        <v>450.36</v>
      </c>
      <c r="E1642" s="4">
        <f>VLOOKUP(A1642,'Datos generales'!A:L,12,0)</f>
        <v>450.36</v>
      </c>
      <c r="F1642" s="4" t="str">
        <f>VLOOKUP(A1642,'Datos generales'!A:L,7,0)</f>
        <v>Accesorios</v>
      </c>
      <c r="G1642" s="4">
        <v>2024</v>
      </c>
    </row>
    <row r="1643" spans="1:7" x14ac:dyDescent="0.25">
      <c r="A1643" t="s">
        <v>53</v>
      </c>
      <c r="B1643" s="4">
        <f>VLOOKUP(A1643,'Datos generales'!A:L,5,0)</f>
        <v>2</v>
      </c>
      <c r="C1643" s="4" t="str">
        <f>VLOOKUP(A1643,'Datos generales'!A:L,4,0)</f>
        <v>Impresora</v>
      </c>
      <c r="D1643" s="4">
        <f>VLOOKUP(A1643,'Datos generales'!A:L,6,0)</f>
        <v>755.48</v>
      </c>
      <c r="E1643" s="4">
        <f>VLOOKUP(A1643,'Datos generales'!A:L,12,0)</f>
        <v>755.48</v>
      </c>
      <c r="F1643" s="4" t="str">
        <f>VLOOKUP(A1643,'Datos generales'!A:L,7,0)</f>
        <v>Electrónica</v>
      </c>
      <c r="G1643" s="4">
        <v>2023</v>
      </c>
    </row>
    <row r="1644" spans="1:7" x14ac:dyDescent="0.25">
      <c r="A1644" t="s">
        <v>54</v>
      </c>
      <c r="B1644" s="4">
        <f>VLOOKUP(A1644,'Datos generales'!A:L,5,0)</f>
        <v>3</v>
      </c>
      <c r="C1644" s="4" t="str">
        <f>VLOOKUP(A1644,'Datos generales'!A:L,4,0)</f>
        <v>Teclado</v>
      </c>
      <c r="D1644" s="4">
        <f>VLOOKUP(A1644,'Datos generales'!A:L,6,0)</f>
        <v>1855.55</v>
      </c>
      <c r="E1644" s="4">
        <f>VLOOKUP(A1644,'Datos generales'!A:L,12,0)</f>
        <v>1855.55</v>
      </c>
      <c r="F1644" s="4" t="str">
        <f>VLOOKUP(A1644,'Datos generales'!A:L,7,0)</f>
        <v>Accesorios</v>
      </c>
      <c r="G1644" s="4">
        <v>2024</v>
      </c>
    </row>
    <row r="1645" spans="1:7" x14ac:dyDescent="0.25">
      <c r="A1645" t="s">
        <v>55</v>
      </c>
      <c r="B1645" s="4">
        <f>VLOOKUP(A1645,'Datos generales'!A:L,5,0)</f>
        <v>5</v>
      </c>
      <c r="C1645" s="4" t="str">
        <f>VLOOKUP(A1645,'Datos generales'!A:L,4,0)</f>
        <v>Webcam</v>
      </c>
      <c r="D1645" s="4">
        <f>VLOOKUP(A1645,'Datos generales'!A:L,6,0)</f>
        <v>1011.75</v>
      </c>
      <c r="E1645" s="4">
        <f>VLOOKUP(A1645,'Datos generales'!A:L,12,0)</f>
        <v>1011.75</v>
      </c>
      <c r="F1645" s="4" t="str">
        <f>VLOOKUP(A1645,'Datos generales'!A:L,7,0)</f>
        <v>Accesorios</v>
      </c>
      <c r="G1645" s="4">
        <v>2023</v>
      </c>
    </row>
    <row r="1646" spans="1:7" x14ac:dyDescent="0.25">
      <c r="A1646" t="s">
        <v>56</v>
      </c>
      <c r="B1646" s="4">
        <f>VLOOKUP(A1646,'Datos generales'!A:L,5,0)</f>
        <v>5</v>
      </c>
      <c r="C1646" s="4" t="str">
        <f>VLOOKUP(A1646,'Datos generales'!A:L,4,0)</f>
        <v>Teclado</v>
      </c>
      <c r="D1646" s="4">
        <f>VLOOKUP(A1646,'Datos generales'!A:L,6,0)</f>
        <v>1218.3399999999999</v>
      </c>
      <c r="E1646" s="4">
        <f>VLOOKUP(A1646,'Datos generales'!A:L,12,0)</f>
        <v>1218.3399999999999</v>
      </c>
      <c r="F1646" s="4" t="str">
        <f>VLOOKUP(A1646,'Datos generales'!A:L,7,0)</f>
        <v>Accesorios</v>
      </c>
      <c r="G1646" s="4">
        <v>2023</v>
      </c>
    </row>
    <row r="1647" spans="1:7" x14ac:dyDescent="0.25">
      <c r="A1647" t="s">
        <v>57</v>
      </c>
      <c r="B1647" s="4">
        <f>VLOOKUP(A1647,'Datos generales'!A:L,5,0)</f>
        <v>2</v>
      </c>
      <c r="C1647" s="4" t="str">
        <f>VLOOKUP(A1647,'Datos generales'!A:L,4,0)</f>
        <v>Webcam</v>
      </c>
      <c r="D1647" s="4">
        <f>VLOOKUP(A1647,'Datos generales'!A:L,6,0)</f>
        <v>361.59</v>
      </c>
      <c r="E1647" s="4">
        <f>VLOOKUP(A1647,'Datos generales'!A:L,12,0)</f>
        <v>361.59</v>
      </c>
      <c r="F1647" s="4" t="str">
        <f>VLOOKUP(A1647,'Datos generales'!A:L,7,0)</f>
        <v>Accesorios</v>
      </c>
      <c r="G1647" s="4">
        <v>2023</v>
      </c>
    </row>
    <row r="1648" spans="1:7" x14ac:dyDescent="0.25">
      <c r="A1648" t="s">
        <v>58</v>
      </c>
      <c r="B1648" s="4">
        <f>VLOOKUP(A1648,'Datos generales'!A:L,5,0)</f>
        <v>5</v>
      </c>
      <c r="C1648" s="4" t="str">
        <f>VLOOKUP(A1648,'Datos generales'!A:L,4,0)</f>
        <v>Teclado</v>
      </c>
      <c r="D1648" s="4">
        <f>VLOOKUP(A1648,'Datos generales'!A:L,6,0)</f>
        <v>958.8</v>
      </c>
      <c r="E1648" s="4">
        <f>VLOOKUP(A1648,'Datos generales'!A:L,12,0)</f>
        <v>958.8</v>
      </c>
      <c r="F1648" s="4" t="str">
        <f>VLOOKUP(A1648,'Datos generales'!A:L,7,0)</f>
        <v>Accesorios</v>
      </c>
      <c r="G1648" s="4">
        <v>2023</v>
      </c>
    </row>
    <row r="1649" spans="1:7" x14ac:dyDescent="0.25">
      <c r="A1649" t="s">
        <v>59</v>
      </c>
      <c r="B1649" s="4">
        <f>VLOOKUP(A1649,'Datos generales'!A:L,5,0)</f>
        <v>5</v>
      </c>
      <c r="C1649" s="4" t="str">
        <f>VLOOKUP(A1649,'Datos generales'!A:L,4,0)</f>
        <v>Silla Gamer</v>
      </c>
      <c r="D1649" s="4">
        <f>VLOOKUP(A1649,'Datos generales'!A:L,6,0)</f>
        <v>1776.87</v>
      </c>
      <c r="E1649" s="4">
        <f>VLOOKUP(A1649,'Datos generales'!A:L,12,0)</f>
        <v>1776.87</v>
      </c>
      <c r="F1649" s="4" t="str">
        <f>VLOOKUP(A1649,'Datos generales'!A:L,7,0)</f>
        <v>Muebles</v>
      </c>
      <c r="G1649" s="4">
        <v>2025</v>
      </c>
    </row>
    <row r="1650" spans="1:7" x14ac:dyDescent="0.25">
      <c r="A1650" t="s">
        <v>60</v>
      </c>
      <c r="B1650" s="4">
        <f>VLOOKUP(A1650,'Datos generales'!A:L,5,0)</f>
        <v>1</v>
      </c>
      <c r="C1650" s="4" t="str">
        <f>VLOOKUP(A1650,'Datos generales'!A:L,4,0)</f>
        <v>Audífonos</v>
      </c>
      <c r="D1650" s="4">
        <f>VLOOKUP(A1650,'Datos generales'!A:L,6,0)</f>
        <v>1467.34</v>
      </c>
      <c r="E1650" s="4">
        <f>VLOOKUP(A1650,'Datos generales'!A:L,12,0)</f>
        <v>1467.34</v>
      </c>
      <c r="F1650" s="4" t="str">
        <f>VLOOKUP(A1650,'Datos generales'!A:L,7,0)</f>
        <v>Accesorios</v>
      </c>
      <c r="G1650" s="4">
        <v>2025</v>
      </c>
    </row>
    <row r="1651" spans="1:7" x14ac:dyDescent="0.25">
      <c r="A1651" t="s">
        <v>61</v>
      </c>
      <c r="B1651" s="4">
        <f>VLOOKUP(A1651,'Datos generales'!A:L,5,0)</f>
        <v>3</v>
      </c>
      <c r="C1651" s="4" t="str">
        <f>VLOOKUP(A1651,'Datos generales'!A:L,4,0)</f>
        <v>Silla Gamer</v>
      </c>
      <c r="D1651" s="4">
        <f>VLOOKUP(A1651,'Datos generales'!A:L,6,0)</f>
        <v>683.91</v>
      </c>
      <c r="E1651" s="4">
        <f>VLOOKUP(A1651,'Datos generales'!A:L,12,0)</f>
        <v>683.91</v>
      </c>
      <c r="F1651" s="4" t="str">
        <f>VLOOKUP(A1651,'Datos generales'!A:L,7,0)</f>
        <v>Muebles</v>
      </c>
      <c r="G1651" s="4">
        <v>2025</v>
      </c>
    </row>
    <row r="1652" spans="1:7" x14ac:dyDescent="0.25">
      <c r="A1652" t="s">
        <v>62</v>
      </c>
      <c r="B1652" s="4">
        <f>VLOOKUP(A1652,'Datos generales'!A:L,5,0)</f>
        <v>1</v>
      </c>
      <c r="C1652" s="4" t="str">
        <f>VLOOKUP(A1652,'Datos generales'!A:L,4,0)</f>
        <v>Silla Gamer</v>
      </c>
      <c r="D1652" s="4">
        <f>VLOOKUP(A1652,'Datos generales'!A:L,6,0)</f>
        <v>1083.8599999999999</v>
      </c>
      <c r="E1652" s="4">
        <f>VLOOKUP(A1652,'Datos generales'!A:L,12,0)</f>
        <v>1083.8599999999999</v>
      </c>
      <c r="F1652" s="4" t="str">
        <f>VLOOKUP(A1652,'Datos generales'!A:L,7,0)</f>
        <v>Muebles</v>
      </c>
      <c r="G1652" s="4">
        <v>2024</v>
      </c>
    </row>
    <row r="1653" spans="1:7" x14ac:dyDescent="0.25">
      <c r="A1653" t="s">
        <v>63</v>
      </c>
      <c r="B1653" s="4">
        <f>VLOOKUP(A1653,'Datos generales'!A:L,5,0)</f>
        <v>2</v>
      </c>
      <c r="C1653" s="4" t="str">
        <f>VLOOKUP(A1653,'Datos generales'!A:L,4,0)</f>
        <v>Monitor</v>
      </c>
      <c r="D1653" s="4">
        <f>VLOOKUP(A1653,'Datos generales'!A:L,6,0)</f>
        <v>1551.85</v>
      </c>
      <c r="E1653" s="4">
        <f>VLOOKUP(A1653,'Datos generales'!A:L,12,0)</f>
        <v>1551.85</v>
      </c>
      <c r="F1653" s="4" t="str">
        <f>VLOOKUP(A1653,'Datos generales'!A:L,7,0)</f>
        <v>Electrónica</v>
      </c>
      <c r="G1653" s="4">
        <v>2023</v>
      </c>
    </row>
    <row r="1654" spans="1:7" x14ac:dyDescent="0.25">
      <c r="A1654" t="s">
        <v>64</v>
      </c>
      <c r="B1654" s="4">
        <f>VLOOKUP(A1654,'Datos generales'!A:L,5,0)</f>
        <v>5</v>
      </c>
      <c r="C1654" s="4" t="str">
        <f>VLOOKUP(A1654,'Datos generales'!A:L,4,0)</f>
        <v>Laptop</v>
      </c>
      <c r="D1654" s="4">
        <f>VLOOKUP(A1654,'Datos generales'!A:L,6,0)</f>
        <v>1368.27</v>
      </c>
      <c r="E1654" s="4">
        <f>VLOOKUP(A1654,'Datos generales'!A:L,12,0)</f>
        <v>1368.27</v>
      </c>
      <c r="F1654" s="4" t="str">
        <f>VLOOKUP(A1654,'Datos generales'!A:L,7,0)</f>
        <v>Electrónica</v>
      </c>
      <c r="G1654" s="4">
        <v>2024</v>
      </c>
    </row>
    <row r="1655" spans="1:7" x14ac:dyDescent="0.25">
      <c r="A1655" t="s">
        <v>65</v>
      </c>
      <c r="B1655" s="4">
        <f>VLOOKUP(A1655,'Datos generales'!A:L,5,0)</f>
        <v>4</v>
      </c>
      <c r="C1655" s="4" t="str">
        <f>VLOOKUP(A1655,'Datos generales'!A:L,4,0)</f>
        <v>Laptop</v>
      </c>
      <c r="D1655" s="4">
        <f>VLOOKUP(A1655,'Datos generales'!A:L,6,0)</f>
        <v>1818.88</v>
      </c>
      <c r="E1655" s="4">
        <f>VLOOKUP(A1655,'Datos generales'!A:L,12,0)</f>
        <v>1818.88</v>
      </c>
      <c r="F1655" s="4" t="str">
        <f>VLOOKUP(A1655,'Datos generales'!A:L,7,0)</f>
        <v>Electrónica</v>
      </c>
      <c r="G1655" s="4">
        <v>2024</v>
      </c>
    </row>
    <row r="1656" spans="1:7" x14ac:dyDescent="0.25">
      <c r="A1656" t="s">
        <v>66</v>
      </c>
      <c r="B1656" s="4">
        <f>VLOOKUP(A1656,'Datos generales'!A:L,5,0)</f>
        <v>4</v>
      </c>
      <c r="C1656" s="4" t="str">
        <f>VLOOKUP(A1656,'Datos generales'!A:L,4,0)</f>
        <v>Mouse</v>
      </c>
      <c r="D1656" s="4">
        <f>VLOOKUP(A1656,'Datos generales'!A:L,6,0)</f>
        <v>1601.32</v>
      </c>
      <c r="E1656" s="4">
        <f>VLOOKUP(A1656,'Datos generales'!A:L,12,0)</f>
        <v>1601.32</v>
      </c>
      <c r="F1656" s="4" t="str">
        <f>VLOOKUP(A1656,'Datos generales'!A:L,7,0)</f>
        <v>Accesorios</v>
      </c>
      <c r="G1656" s="4">
        <v>2023</v>
      </c>
    </row>
    <row r="1657" spans="1:7" x14ac:dyDescent="0.25">
      <c r="A1657" t="s">
        <v>67</v>
      </c>
      <c r="B1657" s="4">
        <f>VLOOKUP(A1657,'Datos generales'!A:L,5,0)</f>
        <v>4</v>
      </c>
      <c r="C1657" s="4" t="str">
        <f>VLOOKUP(A1657,'Datos generales'!A:L,4,0)</f>
        <v>Teclado</v>
      </c>
      <c r="D1657" s="4">
        <f>VLOOKUP(A1657,'Datos generales'!A:L,6,0)</f>
        <v>177.79</v>
      </c>
      <c r="E1657" s="4">
        <f>VLOOKUP(A1657,'Datos generales'!A:L,12,0)</f>
        <v>177.79</v>
      </c>
      <c r="F1657" s="4" t="str">
        <f>VLOOKUP(A1657,'Datos generales'!A:L,7,0)</f>
        <v>Accesorios</v>
      </c>
      <c r="G1657" s="4">
        <v>2023</v>
      </c>
    </row>
    <row r="1658" spans="1:7" x14ac:dyDescent="0.25">
      <c r="A1658" t="s">
        <v>68</v>
      </c>
      <c r="B1658" s="4">
        <f>VLOOKUP(A1658,'Datos generales'!A:L,5,0)</f>
        <v>1</v>
      </c>
      <c r="C1658" s="4" t="str">
        <f>VLOOKUP(A1658,'Datos generales'!A:L,4,0)</f>
        <v>Teclado</v>
      </c>
      <c r="D1658" s="4">
        <f>VLOOKUP(A1658,'Datos generales'!A:L,6,0)</f>
        <v>83.48</v>
      </c>
      <c r="E1658" s="4">
        <f>VLOOKUP(A1658,'Datos generales'!A:L,12,0)</f>
        <v>83.48</v>
      </c>
      <c r="F1658" s="4" t="str">
        <f>VLOOKUP(A1658,'Datos generales'!A:L,7,0)</f>
        <v>Accesorios</v>
      </c>
      <c r="G1658" s="4">
        <v>2023</v>
      </c>
    </row>
    <row r="1659" spans="1:7" x14ac:dyDescent="0.25">
      <c r="A1659" t="s">
        <v>69</v>
      </c>
      <c r="B1659" s="4">
        <f>VLOOKUP(A1659,'Datos generales'!A:L,5,0)</f>
        <v>1</v>
      </c>
      <c r="C1659" s="4" t="str">
        <f>VLOOKUP(A1659,'Datos generales'!A:L,4,0)</f>
        <v>Audífonos</v>
      </c>
      <c r="D1659" s="4">
        <f>VLOOKUP(A1659,'Datos generales'!A:L,6,0)</f>
        <v>1372.72</v>
      </c>
      <c r="E1659" s="4">
        <f>VLOOKUP(A1659,'Datos generales'!A:L,12,0)</f>
        <v>1372.72</v>
      </c>
      <c r="F1659" s="4" t="str">
        <f>VLOOKUP(A1659,'Datos generales'!A:L,7,0)</f>
        <v>Accesorios</v>
      </c>
      <c r="G1659" s="4">
        <v>2023</v>
      </c>
    </row>
    <row r="1660" spans="1:7" x14ac:dyDescent="0.25">
      <c r="A1660" t="s">
        <v>70</v>
      </c>
      <c r="B1660" s="4">
        <f>VLOOKUP(A1660,'Datos generales'!A:L,5,0)</f>
        <v>1</v>
      </c>
      <c r="C1660" s="4" t="str">
        <f>VLOOKUP(A1660,'Datos generales'!A:L,4,0)</f>
        <v>Monitor</v>
      </c>
      <c r="D1660" s="4">
        <f>VLOOKUP(A1660,'Datos generales'!A:L,6,0)</f>
        <v>1618.91</v>
      </c>
      <c r="E1660" s="4">
        <f>VLOOKUP(A1660,'Datos generales'!A:L,12,0)</f>
        <v>1618.91</v>
      </c>
      <c r="F1660" s="4" t="str">
        <f>VLOOKUP(A1660,'Datos generales'!A:L,7,0)</f>
        <v>Electrónica</v>
      </c>
      <c r="G1660" s="4">
        <v>2024</v>
      </c>
    </row>
    <row r="1661" spans="1:7" x14ac:dyDescent="0.25">
      <c r="A1661" t="s">
        <v>71</v>
      </c>
      <c r="B1661" s="4">
        <f>VLOOKUP(A1661,'Datos generales'!A:L,5,0)</f>
        <v>4</v>
      </c>
      <c r="C1661" s="4" t="str">
        <f>VLOOKUP(A1661,'Datos generales'!A:L,4,0)</f>
        <v>Impresora</v>
      </c>
      <c r="D1661" s="4">
        <f>VLOOKUP(A1661,'Datos generales'!A:L,6,0)</f>
        <v>530.65</v>
      </c>
      <c r="E1661" s="4">
        <f>VLOOKUP(A1661,'Datos generales'!A:L,12,0)</f>
        <v>530.65</v>
      </c>
      <c r="F1661" s="4" t="str">
        <f>VLOOKUP(A1661,'Datos generales'!A:L,7,0)</f>
        <v>Electrónica</v>
      </c>
      <c r="G1661" s="4">
        <v>2024</v>
      </c>
    </row>
    <row r="1662" spans="1:7" x14ac:dyDescent="0.25">
      <c r="A1662" t="s">
        <v>72</v>
      </c>
      <c r="B1662" s="4">
        <f>VLOOKUP(A1662,'Datos generales'!A:L,5,0)</f>
        <v>5</v>
      </c>
      <c r="C1662" s="4" t="str">
        <f>VLOOKUP(A1662,'Datos generales'!A:L,4,0)</f>
        <v>Webcam</v>
      </c>
      <c r="D1662" s="4">
        <f>VLOOKUP(A1662,'Datos generales'!A:L,6,0)</f>
        <v>418.83</v>
      </c>
      <c r="E1662" s="4">
        <f>VLOOKUP(A1662,'Datos generales'!A:L,12,0)</f>
        <v>418.83</v>
      </c>
      <c r="F1662" s="4" t="str">
        <f>VLOOKUP(A1662,'Datos generales'!A:L,7,0)</f>
        <v>Accesorios</v>
      </c>
      <c r="G1662" s="4">
        <v>2024</v>
      </c>
    </row>
    <row r="1663" spans="1:7" x14ac:dyDescent="0.25">
      <c r="A1663" t="s">
        <v>73</v>
      </c>
      <c r="B1663" s="4">
        <f>VLOOKUP(A1663,'Datos generales'!A:L,5,0)</f>
        <v>3</v>
      </c>
      <c r="C1663" s="4" t="str">
        <f>VLOOKUP(A1663,'Datos generales'!A:L,4,0)</f>
        <v>Silla Gamer</v>
      </c>
      <c r="D1663" s="4">
        <f>VLOOKUP(A1663,'Datos generales'!A:L,6,0)</f>
        <v>664.98</v>
      </c>
      <c r="E1663" s="4">
        <f>VLOOKUP(A1663,'Datos generales'!A:L,12,0)</f>
        <v>664.98</v>
      </c>
      <c r="F1663" s="4" t="str">
        <f>VLOOKUP(A1663,'Datos generales'!A:L,7,0)</f>
        <v>Muebles</v>
      </c>
      <c r="G1663" s="4">
        <v>2025</v>
      </c>
    </row>
    <row r="1664" spans="1:7" x14ac:dyDescent="0.25">
      <c r="A1664" t="s">
        <v>74</v>
      </c>
      <c r="B1664" s="4">
        <f>VLOOKUP(A1664,'Datos generales'!A:L,5,0)</f>
        <v>1</v>
      </c>
      <c r="C1664" s="4" t="str">
        <f>VLOOKUP(A1664,'Datos generales'!A:L,4,0)</f>
        <v>Laptop</v>
      </c>
      <c r="D1664" s="4">
        <f>VLOOKUP(A1664,'Datos generales'!A:L,6,0)</f>
        <v>1322.41</v>
      </c>
      <c r="E1664" s="4">
        <f>VLOOKUP(A1664,'Datos generales'!A:L,12,0)</f>
        <v>1322.41</v>
      </c>
      <c r="F1664" s="4" t="str">
        <f>VLOOKUP(A1664,'Datos generales'!A:L,7,0)</f>
        <v>Electrónica</v>
      </c>
      <c r="G1664" s="4">
        <v>2024</v>
      </c>
    </row>
    <row r="1665" spans="1:7" x14ac:dyDescent="0.25">
      <c r="A1665" t="s">
        <v>75</v>
      </c>
      <c r="B1665" s="4">
        <f>VLOOKUP(A1665,'Datos generales'!A:L,5,0)</f>
        <v>4</v>
      </c>
      <c r="C1665" s="4" t="str">
        <f>VLOOKUP(A1665,'Datos generales'!A:L,4,0)</f>
        <v>Monitor</v>
      </c>
      <c r="D1665" s="4">
        <f>VLOOKUP(A1665,'Datos generales'!A:L,6,0)</f>
        <v>1467.27</v>
      </c>
      <c r="E1665" s="4">
        <f>VLOOKUP(A1665,'Datos generales'!A:L,12,0)</f>
        <v>1467.27</v>
      </c>
      <c r="F1665" s="4" t="str">
        <f>VLOOKUP(A1665,'Datos generales'!A:L,7,0)</f>
        <v>Electrónica</v>
      </c>
      <c r="G1665" s="4">
        <v>2023</v>
      </c>
    </row>
    <row r="1666" spans="1:7" x14ac:dyDescent="0.25">
      <c r="A1666" t="s">
        <v>76</v>
      </c>
      <c r="B1666" s="4">
        <f>VLOOKUP(A1666,'Datos generales'!A:L,5,0)</f>
        <v>4</v>
      </c>
      <c r="C1666" s="4" t="str">
        <f>VLOOKUP(A1666,'Datos generales'!A:L,4,0)</f>
        <v>Impresora</v>
      </c>
      <c r="D1666" s="4">
        <f>VLOOKUP(A1666,'Datos generales'!A:L,6,0)</f>
        <v>1804.12</v>
      </c>
      <c r="E1666" s="4">
        <f>VLOOKUP(A1666,'Datos generales'!A:L,12,0)</f>
        <v>1804.12</v>
      </c>
      <c r="F1666" s="4" t="str">
        <f>VLOOKUP(A1666,'Datos generales'!A:L,7,0)</f>
        <v>Electrónica</v>
      </c>
      <c r="G1666" s="4">
        <v>2024</v>
      </c>
    </row>
    <row r="1667" spans="1:7" x14ac:dyDescent="0.25">
      <c r="A1667" t="s">
        <v>77</v>
      </c>
      <c r="B1667" s="4">
        <f>VLOOKUP(A1667,'Datos generales'!A:L,5,0)</f>
        <v>1</v>
      </c>
      <c r="C1667" s="4" t="str">
        <f>VLOOKUP(A1667,'Datos generales'!A:L,4,0)</f>
        <v>Audífonos</v>
      </c>
      <c r="D1667" s="4">
        <f>VLOOKUP(A1667,'Datos generales'!A:L,6,0)</f>
        <v>1172.72</v>
      </c>
      <c r="E1667" s="4">
        <f>VLOOKUP(A1667,'Datos generales'!A:L,12,0)</f>
        <v>1172.72</v>
      </c>
      <c r="F1667" s="4" t="str">
        <f>VLOOKUP(A1667,'Datos generales'!A:L,7,0)</f>
        <v>Accesorios</v>
      </c>
      <c r="G1667" s="4">
        <v>2024</v>
      </c>
    </row>
    <row r="1668" spans="1:7" x14ac:dyDescent="0.25">
      <c r="A1668" t="s">
        <v>78</v>
      </c>
      <c r="B1668" s="4">
        <f>VLOOKUP(A1668,'Datos generales'!A:L,5,0)</f>
        <v>1</v>
      </c>
      <c r="C1668" s="4" t="str">
        <f>VLOOKUP(A1668,'Datos generales'!A:L,4,0)</f>
        <v>Mouse</v>
      </c>
      <c r="D1668" s="4">
        <f>VLOOKUP(A1668,'Datos generales'!A:L,6,0)</f>
        <v>725.07</v>
      </c>
      <c r="E1668" s="4">
        <f>VLOOKUP(A1668,'Datos generales'!A:L,12,0)</f>
        <v>725.07</v>
      </c>
      <c r="F1668" s="4" t="str">
        <f>VLOOKUP(A1668,'Datos generales'!A:L,7,0)</f>
        <v>Accesorios</v>
      </c>
      <c r="G1668" s="4">
        <v>2023</v>
      </c>
    </row>
    <row r="1669" spans="1:7" x14ac:dyDescent="0.25">
      <c r="A1669" t="s">
        <v>79</v>
      </c>
      <c r="B1669" s="4">
        <f>VLOOKUP(A1669,'Datos generales'!A:L,5,0)</f>
        <v>5</v>
      </c>
      <c r="C1669" s="4" t="str">
        <f>VLOOKUP(A1669,'Datos generales'!A:L,4,0)</f>
        <v>Monitor</v>
      </c>
      <c r="D1669" s="4">
        <f>VLOOKUP(A1669,'Datos generales'!A:L,6,0)</f>
        <v>563.69000000000005</v>
      </c>
      <c r="E1669" s="4">
        <f>VLOOKUP(A1669,'Datos generales'!A:L,12,0)</f>
        <v>563.69000000000005</v>
      </c>
      <c r="F1669" s="4" t="str">
        <f>VLOOKUP(A1669,'Datos generales'!A:L,7,0)</f>
        <v>Electrónica</v>
      </c>
      <c r="G1669" s="4">
        <v>2025</v>
      </c>
    </row>
    <row r="1670" spans="1:7" x14ac:dyDescent="0.25">
      <c r="A1670" t="s">
        <v>80</v>
      </c>
      <c r="B1670" s="4">
        <f>VLOOKUP(A1670,'Datos generales'!A:L,5,0)</f>
        <v>5</v>
      </c>
      <c r="C1670" s="4" t="str">
        <f>VLOOKUP(A1670,'Datos generales'!A:L,4,0)</f>
        <v>Audífonos</v>
      </c>
      <c r="D1670" s="4">
        <f>VLOOKUP(A1670,'Datos generales'!A:L,6,0)</f>
        <v>1547.41</v>
      </c>
      <c r="E1670" s="4">
        <f>VLOOKUP(A1670,'Datos generales'!A:L,12,0)</f>
        <v>1547.41</v>
      </c>
      <c r="F1670" s="4" t="str">
        <f>VLOOKUP(A1670,'Datos generales'!A:L,7,0)</f>
        <v>Accesorios</v>
      </c>
      <c r="G1670" s="4">
        <v>2023</v>
      </c>
    </row>
    <row r="1671" spans="1:7" x14ac:dyDescent="0.25">
      <c r="A1671" t="s">
        <v>81</v>
      </c>
      <c r="B1671" s="4">
        <f>VLOOKUP(A1671,'Datos generales'!A:L,5,0)</f>
        <v>2</v>
      </c>
      <c r="C1671" s="4" t="str">
        <f>VLOOKUP(A1671,'Datos generales'!A:L,4,0)</f>
        <v>Webcam</v>
      </c>
      <c r="D1671" s="4">
        <f>VLOOKUP(A1671,'Datos generales'!A:L,6,0)</f>
        <v>1903.65</v>
      </c>
      <c r="E1671" s="4">
        <f>VLOOKUP(A1671,'Datos generales'!A:L,12,0)</f>
        <v>1903.65</v>
      </c>
      <c r="F1671" s="4" t="str">
        <f>VLOOKUP(A1671,'Datos generales'!A:L,7,0)</f>
        <v>Accesorios</v>
      </c>
      <c r="G1671" s="4">
        <v>2023</v>
      </c>
    </row>
    <row r="1672" spans="1:7" x14ac:dyDescent="0.25">
      <c r="A1672" t="s">
        <v>82</v>
      </c>
      <c r="B1672" s="4">
        <f>VLOOKUP(A1672,'Datos generales'!A:L,5,0)</f>
        <v>2</v>
      </c>
      <c r="C1672" s="4" t="str">
        <f>VLOOKUP(A1672,'Datos generales'!A:L,4,0)</f>
        <v>Impresora</v>
      </c>
      <c r="D1672" s="4">
        <f>VLOOKUP(A1672,'Datos generales'!A:L,6,0)</f>
        <v>1198.2</v>
      </c>
      <c r="E1672" s="4">
        <f>VLOOKUP(A1672,'Datos generales'!A:L,12,0)</f>
        <v>1198.2</v>
      </c>
      <c r="F1672" s="4" t="str">
        <f>VLOOKUP(A1672,'Datos generales'!A:L,7,0)</f>
        <v>Electrónica</v>
      </c>
      <c r="G1672" s="4">
        <v>2024</v>
      </c>
    </row>
    <row r="1673" spans="1:7" x14ac:dyDescent="0.25">
      <c r="A1673" t="s">
        <v>83</v>
      </c>
      <c r="B1673" s="4">
        <f>VLOOKUP(A1673,'Datos generales'!A:L,5,0)</f>
        <v>3</v>
      </c>
      <c r="C1673" s="4" t="str">
        <f>VLOOKUP(A1673,'Datos generales'!A:L,4,0)</f>
        <v>Teclado</v>
      </c>
      <c r="D1673" s="4">
        <f>VLOOKUP(A1673,'Datos generales'!A:L,6,0)</f>
        <v>543.72</v>
      </c>
      <c r="E1673" s="4">
        <f>VLOOKUP(A1673,'Datos generales'!A:L,12,0)</f>
        <v>543.72</v>
      </c>
      <c r="F1673" s="4" t="str">
        <f>VLOOKUP(A1673,'Datos generales'!A:L,7,0)</f>
        <v>Accesorios</v>
      </c>
      <c r="G1673" s="4">
        <v>2025</v>
      </c>
    </row>
    <row r="1674" spans="1:7" x14ac:dyDescent="0.25">
      <c r="A1674" t="s">
        <v>84</v>
      </c>
      <c r="B1674" s="4">
        <f>VLOOKUP(A1674,'Datos generales'!A:L,5,0)</f>
        <v>2</v>
      </c>
      <c r="C1674" s="4" t="str">
        <f>VLOOKUP(A1674,'Datos generales'!A:L,4,0)</f>
        <v>Webcam</v>
      </c>
      <c r="D1674" s="4">
        <f>VLOOKUP(A1674,'Datos generales'!A:L,6,0)</f>
        <v>1449.53</v>
      </c>
      <c r="E1674" s="4">
        <f>VLOOKUP(A1674,'Datos generales'!A:L,12,0)</f>
        <v>1449.53</v>
      </c>
      <c r="F1674" s="4" t="str">
        <f>VLOOKUP(A1674,'Datos generales'!A:L,7,0)</f>
        <v>Accesorios</v>
      </c>
      <c r="G1674" s="4">
        <v>2023</v>
      </c>
    </row>
    <row r="1675" spans="1:7" x14ac:dyDescent="0.25">
      <c r="A1675" t="s">
        <v>85</v>
      </c>
      <c r="B1675" s="4">
        <f>VLOOKUP(A1675,'Datos generales'!A:L,5,0)</f>
        <v>5</v>
      </c>
      <c r="C1675" s="4" t="str">
        <f>VLOOKUP(A1675,'Datos generales'!A:L,4,0)</f>
        <v>Silla Gamer</v>
      </c>
      <c r="D1675" s="4">
        <f>VLOOKUP(A1675,'Datos generales'!A:L,6,0)</f>
        <v>472.42</v>
      </c>
      <c r="E1675" s="4">
        <f>VLOOKUP(A1675,'Datos generales'!A:L,12,0)</f>
        <v>472.42</v>
      </c>
      <c r="F1675" s="4" t="str">
        <f>VLOOKUP(A1675,'Datos generales'!A:L,7,0)</f>
        <v>Muebles</v>
      </c>
      <c r="G1675" s="4">
        <v>2024</v>
      </c>
    </row>
    <row r="1676" spans="1:7" x14ac:dyDescent="0.25">
      <c r="A1676" t="s">
        <v>86</v>
      </c>
      <c r="B1676" s="4">
        <f>VLOOKUP(A1676,'Datos generales'!A:L,5,0)</f>
        <v>3</v>
      </c>
      <c r="C1676" s="4" t="str">
        <f>VLOOKUP(A1676,'Datos generales'!A:L,4,0)</f>
        <v>Audífonos</v>
      </c>
      <c r="D1676" s="4">
        <f>VLOOKUP(A1676,'Datos generales'!A:L,6,0)</f>
        <v>367.9</v>
      </c>
      <c r="E1676" s="4">
        <f>VLOOKUP(A1676,'Datos generales'!A:L,12,0)</f>
        <v>367.89999999999992</v>
      </c>
      <c r="F1676" s="4" t="str">
        <f>VLOOKUP(A1676,'Datos generales'!A:L,7,0)</f>
        <v>Accesorios</v>
      </c>
      <c r="G1676" s="4">
        <v>2023</v>
      </c>
    </row>
    <row r="1677" spans="1:7" x14ac:dyDescent="0.25">
      <c r="A1677" t="s">
        <v>87</v>
      </c>
      <c r="B1677" s="4">
        <f>VLOOKUP(A1677,'Datos generales'!A:L,5,0)</f>
        <v>5</v>
      </c>
      <c r="C1677" s="4" t="str">
        <f>VLOOKUP(A1677,'Datos generales'!A:L,4,0)</f>
        <v>Audífonos</v>
      </c>
      <c r="D1677" s="4">
        <f>VLOOKUP(A1677,'Datos generales'!A:L,6,0)</f>
        <v>739.51</v>
      </c>
      <c r="E1677" s="4">
        <f>VLOOKUP(A1677,'Datos generales'!A:L,12,0)</f>
        <v>739.51</v>
      </c>
      <c r="F1677" s="4" t="str">
        <f>VLOOKUP(A1677,'Datos generales'!A:L,7,0)</f>
        <v>Accesorios</v>
      </c>
      <c r="G1677" s="4">
        <v>2025</v>
      </c>
    </row>
    <row r="1678" spans="1:7" x14ac:dyDescent="0.25">
      <c r="A1678" t="s">
        <v>88</v>
      </c>
      <c r="B1678" s="4">
        <f>VLOOKUP(A1678,'Datos generales'!A:L,5,0)</f>
        <v>2</v>
      </c>
      <c r="C1678" s="4" t="str">
        <f>VLOOKUP(A1678,'Datos generales'!A:L,4,0)</f>
        <v>Laptop</v>
      </c>
      <c r="D1678" s="4">
        <f>VLOOKUP(A1678,'Datos generales'!A:L,6,0)</f>
        <v>1089.1300000000001</v>
      </c>
      <c r="E1678" s="4">
        <f>VLOOKUP(A1678,'Datos generales'!A:L,12,0)</f>
        <v>1089.1300000000001</v>
      </c>
      <c r="F1678" s="4" t="str">
        <f>VLOOKUP(A1678,'Datos generales'!A:L,7,0)</f>
        <v>Electrónica</v>
      </c>
      <c r="G1678" s="4">
        <v>2023</v>
      </c>
    </row>
    <row r="1679" spans="1:7" x14ac:dyDescent="0.25">
      <c r="A1679" t="s">
        <v>89</v>
      </c>
      <c r="B1679" s="4">
        <f>VLOOKUP(A1679,'Datos generales'!A:L,5,0)</f>
        <v>5</v>
      </c>
      <c r="C1679" s="4" t="str">
        <f>VLOOKUP(A1679,'Datos generales'!A:L,4,0)</f>
        <v>Webcam</v>
      </c>
      <c r="D1679" s="4">
        <f>VLOOKUP(A1679,'Datos generales'!A:L,6,0)</f>
        <v>1632.75</v>
      </c>
      <c r="E1679" s="4">
        <f>VLOOKUP(A1679,'Datos generales'!A:L,12,0)</f>
        <v>1632.75</v>
      </c>
      <c r="F1679" s="4" t="str">
        <f>VLOOKUP(A1679,'Datos generales'!A:L,7,0)</f>
        <v>Accesorios</v>
      </c>
      <c r="G1679" s="4">
        <v>2024</v>
      </c>
    </row>
    <row r="1680" spans="1:7" x14ac:dyDescent="0.25">
      <c r="A1680" t="s">
        <v>90</v>
      </c>
      <c r="B1680" s="4">
        <f>VLOOKUP(A1680,'Datos generales'!A:L,5,0)</f>
        <v>3</v>
      </c>
      <c r="C1680" s="4" t="str">
        <f>VLOOKUP(A1680,'Datos generales'!A:L,4,0)</f>
        <v>Monitor</v>
      </c>
      <c r="D1680" s="4">
        <f>VLOOKUP(A1680,'Datos generales'!A:L,6,0)</f>
        <v>817.35</v>
      </c>
      <c r="E1680" s="4">
        <f>VLOOKUP(A1680,'Datos generales'!A:L,12,0)</f>
        <v>817.35</v>
      </c>
      <c r="F1680" s="4" t="str">
        <f>VLOOKUP(A1680,'Datos generales'!A:L,7,0)</f>
        <v>Electrónica</v>
      </c>
      <c r="G1680" s="4">
        <v>2023</v>
      </c>
    </row>
    <row r="1681" spans="1:7" x14ac:dyDescent="0.25">
      <c r="A1681" t="s">
        <v>91</v>
      </c>
      <c r="B1681" s="4">
        <f>VLOOKUP(A1681,'Datos generales'!A:L,5,0)</f>
        <v>2</v>
      </c>
      <c r="C1681" s="4" t="str">
        <f>VLOOKUP(A1681,'Datos generales'!A:L,4,0)</f>
        <v>Teclado</v>
      </c>
      <c r="D1681" s="4">
        <f>VLOOKUP(A1681,'Datos generales'!A:L,6,0)</f>
        <v>1186.58</v>
      </c>
      <c r="E1681" s="4">
        <f>VLOOKUP(A1681,'Datos generales'!A:L,12,0)</f>
        <v>1186.58</v>
      </c>
      <c r="F1681" s="4" t="str">
        <f>VLOOKUP(A1681,'Datos generales'!A:L,7,0)</f>
        <v>Accesorios</v>
      </c>
      <c r="G1681" s="4">
        <v>2024</v>
      </c>
    </row>
    <row r="1682" spans="1:7" x14ac:dyDescent="0.25">
      <c r="A1682" t="s">
        <v>92</v>
      </c>
      <c r="B1682" s="4">
        <f>VLOOKUP(A1682,'Datos generales'!A:L,5,0)</f>
        <v>2</v>
      </c>
      <c r="C1682" s="4" t="str">
        <f>VLOOKUP(A1682,'Datos generales'!A:L,4,0)</f>
        <v>Impresora</v>
      </c>
      <c r="D1682" s="4">
        <f>VLOOKUP(A1682,'Datos generales'!A:L,6,0)</f>
        <v>1872.8</v>
      </c>
      <c r="E1682" s="4">
        <f>VLOOKUP(A1682,'Datos generales'!A:L,12,0)</f>
        <v>1872.8</v>
      </c>
      <c r="F1682" s="4" t="str">
        <f>VLOOKUP(A1682,'Datos generales'!A:L,7,0)</f>
        <v>Electrónica</v>
      </c>
      <c r="G1682" s="4">
        <v>2023</v>
      </c>
    </row>
    <row r="1683" spans="1:7" x14ac:dyDescent="0.25">
      <c r="A1683" t="s">
        <v>93</v>
      </c>
      <c r="B1683" s="4">
        <f>VLOOKUP(A1683,'Datos generales'!A:L,5,0)</f>
        <v>3</v>
      </c>
      <c r="C1683" s="4" t="str">
        <f>VLOOKUP(A1683,'Datos generales'!A:L,4,0)</f>
        <v>Silla Gamer</v>
      </c>
      <c r="D1683" s="4">
        <f>VLOOKUP(A1683,'Datos generales'!A:L,6,0)</f>
        <v>680.19</v>
      </c>
      <c r="E1683" s="4">
        <f>VLOOKUP(A1683,'Datos generales'!A:L,12,0)</f>
        <v>680.19</v>
      </c>
      <c r="F1683" s="4" t="str">
        <f>VLOOKUP(A1683,'Datos generales'!A:L,7,0)</f>
        <v>Muebles</v>
      </c>
      <c r="G1683" s="4">
        <v>2023</v>
      </c>
    </row>
    <row r="1684" spans="1:7" x14ac:dyDescent="0.25">
      <c r="A1684" t="s">
        <v>94</v>
      </c>
      <c r="B1684" s="4">
        <f>VLOOKUP(A1684,'Datos generales'!A:L,5,0)</f>
        <v>4</v>
      </c>
      <c r="C1684" s="4" t="str">
        <f>VLOOKUP(A1684,'Datos generales'!A:L,4,0)</f>
        <v>Webcam</v>
      </c>
      <c r="D1684" s="4">
        <f>VLOOKUP(A1684,'Datos generales'!A:L,6,0)</f>
        <v>262.82</v>
      </c>
      <c r="E1684" s="4">
        <f>VLOOKUP(A1684,'Datos generales'!A:L,12,0)</f>
        <v>262.82</v>
      </c>
      <c r="F1684" s="4" t="str">
        <f>VLOOKUP(A1684,'Datos generales'!A:L,7,0)</f>
        <v>Accesorios</v>
      </c>
      <c r="G1684" s="4">
        <v>2023</v>
      </c>
    </row>
    <row r="1685" spans="1:7" x14ac:dyDescent="0.25">
      <c r="A1685" t="s">
        <v>95</v>
      </c>
      <c r="B1685" s="4">
        <f>VLOOKUP(A1685,'Datos generales'!A:L,5,0)</f>
        <v>4</v>
      </c>
      <c r="C1685" s="4" t="str">
        <f>VLOOKUP(A1685,'Datos generales'!A:L,4,0)</f>
        <v>Impresora</v>
      </c>
      <c r="D1685" s="4">
        <f>VLOOKUP(A1685,'Datos generales'!A:L,6,0)</f>
        <v>1531.75</v>
      </c>
      <c r="E1685" s="4">
        <f>VLOOKUP(A1685,'Datos generales'!A:L,12,0)</f>
        <v>1531.75</v>
      </c>
      <c r="F1685" s="4" t="str">
        <f>VLOOKUP(A1685,'Datos generales'!A:L,7,0)</f>
        <v>Electrónica</v>
      </c>
      <c r="G1685" s="4">
        <v>2025</v>
      </c>
    </row>
    <row r="1686" spans="1:7" x14ac:dyDescent="0.25">
      <c r="A1686" t="s">
        <v>96</v>
      </c>
      <c r="B1686" s="4">
        <f>VLOOKUP(A1686,'Datos generales'!A:L,5,0)</f>
        <v>1</v>
      </c>
      <c r="C1686" s="4" t="str">
        <f>VLOOKUP(A1686,'Datos generales'!A:L,4,0)</f>
        <v>Impresora</v>
      </c>
      <c r="D1686" s="4">
        <f>VLOOKUP(A1686,'Datos generales'!A:L,6,0)</f>
        <v>503.84</v>
      </c>
      <c r="E1686" s="4">
        <f>VLOOKUP(A1686,'Datos generales'!A:L,12,0)</f>
        <v>503.84</v>
      </c>
      <c r="F1686" s="4" t="str">
        <f>VLOOKUP(A1686,'Datos generales'!A:L,7,0)</f>
        <v>Electrónica</v>
      </c>
      <c r="G1686" s="4">
        <v>2023</v>
      </c>
    </row>
    <row r="1687" spans="1:7" x14ac:dyDescent="0.25">
      <c r="A1687" t="s">
        <v>97</v>
      </c>
      <c r="B1687" s="4">
        <f>VLOOKUP(A1687,'Datos generales'!A:L,5,0)</f>
        <v>4</v>
      </c>
      <c r="C1687" s="4" t="str">
        <f>VLOOKUP(A1687,'Datos generales'!A:L,4,0)</f>
        <v>Laptop</v>
      </c>
      <c r="D1687" s="4">
        <f>VLOOKUP(A1687,'Datos generales'!A:L,6,0)</f>
        <v>1908.41</v>
      </c>
      <c r="E1687" s="4">
        <f>VLOOKUP(A1687,'Datos generales'!A:L,12,0)</f>
        <v>1908.41</v>
      </c>
      <c r="F1687" s="4" t="str">
        <f>VLOOKUP(A1687,'Datos generales'!A:L,7,0)</f>
        <v>Electrónica</v>
      </c>
      <c r="G1687" s="4">
        <v>2024</v>
      </c>
    </row>
    <row r="1688" spans="1:7" x14ac:dyDescent="0.25">
      <c r="A1688" t="s">
        <v>98</v>
      </c>
      <c r="B1688" s="4">
        <f>VLOOKUP(A1688,'Datos generales'!A:L,5,0)</f>
        <v>2</v>
      </c>
      <c r="C1688" s="4" t="str">
        <f>VLOOKUP(A1688,'Datos generales'!A:L,4,0)</f>
        <v>Impresora</v>
      </c>
      <c r="D1688" s="4">
        <f>VLOOKUP(A1688,'Datos generales'!A:L,6,0)</f>
        <v>114.6</v>
      </c>
      <c r="E1688" s="4">
        <f>VLOOKUP(A1688,'Datos generales'!A:L,12,0)</f>
        <v>114.6</v>
      </c>
      <c r="F1688" s="4" t="str">
        <f>VLOOKUP(A1688,'Datos generales'!A:L,7,0)</f>
        <v>Electrónica</v>
      </c>
      <c r="G1688" s="4">
        <v>2024</v>
      </c>
    </row>
    <row r="1689" spans="1:7" x14ac:dyDescent="0.25">
      <c r="A1689" t="s">
        <v>99</v>
      </c>
      <c r="B1689" s="4">
        <f>VLOOKUP(A1689,'Datos generales'!A:L,5,0)</f>
        <v>2</v>
      </c>
      <c r="C1689" s="4" t="str">
        <f>VLOOKUP(A1689,'Datos generales'!A:L,4,0)</f>
        <v>Impresora</v>
      </c>
      <c r="D1689" s="4">
        <f>VLOOKUP(A1689,'Datos generales'!A:L,6,0)</f>
        <v>595.78</v>
      </c>
      <c r="E1689" s="4">
        <f>VLOOKUP(A1689,'Datos generales'!A:L,12,0)</f>
        <v>595.78</v>
      </c>
      <c r="F1689" s="4" t="str">
        <f>VLOOKUP(A1689,'Datos generales'!A:L,7,0)</f>
        <v>Electrónica</v>
      </c>
      <c r="G1689" s="4">
        <v>2023</v>
      </c>
    </row>
    <row r="1690" spans="1:7" x14ac:dyDescent="0.25">
      <c r="A1690" t="s">
        <v>100</v>
      </c>
      <c r="B1690" s="4">
        <f>VLOOKUP(A1690,'Datos generales'!A:L,5,0)</f>
        <v>2</v>
      </c>
      <c r="C1690" s="4" t="str">
        <f>VLOOKUP(A1690,'Datos generales'!A:L,4,0)</f>
        <v>Laptop</v>
      </c>
      <c r="D1690" s="4">
        <f>VLOOKUP(A1690,'Datos generales'!A:L,6,0)</f>
        <v>75.02</v>
      </c>
      <c r="E1690" s="4">
        <f>VLOOKUP(A1690,'Datos generales'!A:L,12,0)</f>
        <v>75.02</v>
      </c>
      <c r="F1690" s="4" t="str">
        <f>VLOOKUP(A1690,'Datos generales'!A:L,7,0)</f>
        <v>Electrónica</v>
      </c>
      <c r="G1690" s="4">
        <v>2024</v>
      </c>
    </row>
    <row r="1691" spans="1:7" x14ac:dyDescent="0.25">
      <c r="A1691" t="s">
        <v>101</v>
      </c>
      <c r="B1691" s="4">
        <f>VLOOKUP(A1691,'Datos generales'!A:L,5,0)</f>
        <v>5</v>
      </c>
      <c r="C1691" s="4" t="str">
        <f>VLOOKUP(A1691,'Datos generales'!A:L,4,0)</f>
        <v>Webcam</v>
      </c>
      <c r="D1691" s="4">
        <f>VLOOKUP(A1691,'Datos generales'!A:L,6,0)</f>
        <v>540.91999999999996</v>
      </c>
      <c r="E1691" s="4">
        <f>VLOOKUP(A1691,'Datos generales'!A:L,12,0)</f>
        <v>540.91999999999996</v>
      </c>
      <c r="F1691" s="4" t="str">
        <f>VLOOKUP(A1691,'Datos generales'!A:L,7,0)</f>
        <v>Accesorios</v>
      </c>
      <c r="G1691" s="4">
        <v>2024</v>
      </c>
    </row>
    <row r="1692" spans="1:7" x14ac:dyDescent="0.25">
      <c r="A1692" t="s">
        <v>102</v>
      </c>
      <c r="B1692" s="4">
        <f>VLOOKUP(A1692,'Datos generales'!A:L,5,0)</f>
        <v>2</v>
      </c>
      <c r="C1692" s="4" t="str">
        <f>VLOOKUP(A1692,'Datos generales'!A:L,4,0)</f>
        <v>Monitor</v>
      </c>
      <c r="D1692" s="4">
        <f>VLOOKUP(A1692,'Datos generales'!A:L,6,0)</f>
        <v>356.91</v>
      </c>
      <c r="E1692" s="4">
        <f>VLOOKUP(A1692,'Datos generales'!A:L,12,0)</f>
        <v>356.91</v>
      </c>
      <c r="F1692" s="4" t="str">
        <f>VLOOKUP(A1692,'Datos generales'!A:L,7,0)</f>
        <v>Electrónica</v>
      </c>
      <c r="G1692" s="4">
        <v>2025</v>
      </c>
    </row>
    <row r="1693" spans="1:7" x14ac:dyDescent="0.25">
      <c r="A1693" t="s">
        <v>103</v>
      </c>
      <c r="B1693" s="4">
        <f>VLOOKUP(A1693,'Datos generales'!A:L,5,0)</f>
        <v>3</v>
      </c>
      <c r="C1693" s="4" t="str">
        <f>VLOOKUP(A1693,'Datos generales'!A:L,4,0)</f>
        <v>Audífonos</v>
      </c>
      <c r="D1693" s="4">
        <f>VLOOKUP(A1693,'Datos generales'!A:L,6,0)</f>
        <v>1135.67</v>
      </c>
      <c r="E1693" s="4">
        <f>VLOOKUP(A1693,'Datos generales'!A:L,12,0)</f>
        <v>1135.67</v>
      </c>
      <c r="F1693" s="4" t="str">
        <f>VLOOKUP(A1693,'Datos generales'!A:L,7,0)</f>
        <v>Accesorios</v>
      </c>
      <c r="G1693" s="4">
        <v>2025</v>
      </c>
    </row>
    <row r="1694" spans="1:7" x14ac:dyDescent="0.25">
      <c r="A1694" t="s">
        <v>104</v>
      </c>
      <c r="B1694" s="4">
        <f>VLOOKUP(A1694,'Datos generales'!A:L,5,0)</f>
        <v>3</v>
      </c>
      <c r="C1694" s="4" t="str">
        <f>VLOOKUP(A1694,'Datos generales'!A:L,4,0)</f>
        <v>Impresora</v>
      </c>
      <c r="D1694" s="4">
        <f>VLOOKUP(A1694,'Datos generales'!A:L,6,0)</f>
        <v>805.69</v>
      </c>
      <c r="E1694" s="4">
        <f>VLOOKUP(A1694,'Datos generales'!A:L,12,0)</f>
        <v>805.69</v>
      </c>
      <c r="F1694" s="4" t="str">
        <f>VLOOKUP(A1694,'Datos generales'!A:L,7,0)</f>
        <v>Electrónica</v>
      </c>
      <c r="G1694" s="4">
        <v>2025</v>
      </c>
    </row>
    <row r="1695" spans="1:7" x14ac:dyDescent="0.25">
      <c r="A1695" t="s">
        <v>105</v>
      </c>
      <c r="B1695" s="4">
        <f>VLOOKUP(A1695,'Datos generales'!A:L,5,0)</f>
        <v>2</v>
      </c>
      <c r="C1695" s="4" t="str">
        <f>VLOOKUP(A1695,'Datos generales'!A:L,4,0)</f>
        <v>Laptop</v>
      </c>
      <c r="D1695" s="4">
        <f>VLOOKUP(A1695,'Datos generales'!A:L,6,0)</f>
        <v>1259.07</v>
      </c>
      <c r="E1695" s="4">
        <f>VLOOKUP(A1695,'Datos generales'!A:L,12,0)</f>
        <v>1259.07</v>
      </c>
      <c r="F1695" s="4" t="str">
        <f>VLOOKUP(A1695,'Datos generales'!A:L,7,0)</f>
        <v>Electrónica</v>
      </c>
      <c r="G1695" s="4">
        <v>2023</v>
      </c>
    </row>
    <row r="1696" spans="1:7" x14ac:dyDescent="0.25">
      <c r="A1696" t="s">
        <v>106</v>
      </c>
      <c r="B1696" s="4">
        <f>VLOOKUP(A1696,'Datos generales'!A:L,5,0)</f>
        <v>3</v>
      </c>
      <c r="C1696" s="4" t="str">
        <f>VLOOKUP(A1696,'Datos generales'!A:L,4,0)</f>
        <v>Mouse</v>
      </c>
      <c r="D1696" s="4">
        <f>VLOOKUP(A1696,'Datos generales'!A:L,6,0)</f>
        <v>600.4</v>
      </c>
      <c r="E1696" s="4">
        <f>VLOOKUP(A1696,'Datos generales'!A:L,12,0)</f>
        <v>600.4</v>
      </c>
      <c r="F1696" s="4" t="str">
        <f>VLOOKUP(A1696,'Datos generales'!A:L,7,0)</f>
        <v>Accesorios</v>
      </c>
      <c r="G1696" s="4">
        <v>2024</v>
      </c>
    </row>
    <row r="1697" spans="1:7" x14ac:dyDescent="0.25">
      <c r="A1697" t="s">
        <v>107</v>
      </c>
      <c r="B1697" s="4">
        <f>VLOOKUP(A1697,'Datos generales'!A:L,5,0)</f>
        <v>2</v>
      </c>
      <c r="C1697" s="4" t="str">
        <f>VLOOKUP(A1697,'Datos generales'!A:L,4,0)</f>
        <v>Silla Gamer</v>
      </c>
      <c r="D1697" s="4">
        <f>VLOOKUP(A1697,'Datos generales'!A:L,6,0)</f>
        <v>479.81</v>
      </c>
      <c r="E1697" s="4">
        <f>VLOOKUP(A1697,'Datos generales'!A:L,12,0)</f>
        <v>479.81</v>
      </c>
      <c r="F1697" s="4" t="str">
        <f>VLOOKUP(A1697,'Datos generales'!A:L,7,0)</f>
        <v>Muebles</v>
      </c>
      <c r="G1697" s="4">
        <v>2024</v>
      </c>
    </row>
    <row r="1698" spans="1:7" x14ac:dyDescent="0.25">
      <c r="A1698" t="s">
        <v>108</v>
      </c>
      <c r="B1698" s="4">
        <f>VLOOKUP(A1698,'Datos generales'!A:L,5,0)</f>
        <v>1</v>
      </c>
      <c r="C1698" s="4" t="str">
        <f>VLOOKUP(A1698,'Datos generales'!A:L,4,0)</f>
        <v>Webcam</v>
      </c>
      <c r="D1698" s="4">
        <f>VLOOKUP(A1698,'Datos generales'!A:L,6,0)</f>
        <v>1888.86</v>
      </c>
      <c r="E1698" s="4">
        <f>VLOOKUP(A1698,'Datos generales'!A:L,12,0)</f>
        <v>1888.86</v>
      </c>
      <c r="F1698" s="4" t="str">
        <f>VLOOKUP(A1698,'Datos generales'!A:L,7,0)</f>
        <v>Accesorios</v>
      </c>
      <c r="G1698" s="4">
        <v>2024</v>
      </c>
    </row>
    <row r="1699" spans="1:7" x14ac:dyDescent="0.25">
      <c r="A1699" t="s">
        <v>109</v>
      </c>
      <c r="B1699" s="4">
        <f>VLOOKUP(A1699,'Datos generales'!A:L,5,0)</f>
        <v>4</v>
      </c>
      <c r="C1699" s="4" t="str">
        <f>VLOOKUP(A1699,'Datos generales'!A:L,4,0)</f>
        <v>Laptop</v>
      </c>
      <c r="D1699" s="4">
        <f>VLOOKUP(A1699,'Datos generales'!A:L,6,0)</f>
        <v>1821.05</v>
      </c>
      <c r="E1699" s="4">
        <f>VLOOKUP(A1699,'Datos generales'!A:L,12,0)</f>
        <v>1821.05</v>
      </c>
      <c r="F1699" s="4" t="str">
        <f>VLOOKUP(A1699,'Datos generales'!A:L,7,0)</f>
        <v>Electrónica</v>
      </c>
      <c r="G1699" s="4">
        <v>2024</v>
      </c>
    </row>
    <row r="1700" spans="1:7" x14ac:dyDescent="0.25">
      <c r="A1700" t="s">
        <v>110</v>
      </c>
      <c r="B1700" s="4">
        <f>VLOOKUP(A1700,'Datos generales'!A:L,5,0)</f>
        <v>3</v>
      </c>
      <c r="C1700" s="4" t="str">
        <f>VLOOKUP(A1700,'Datos generales'!A:L,4,0)</f>
        <v>Mouse</v>
      </c>
      <c r="D1700" s="4">
        <f>VLOOKUP(A1700,'Datos generales'!A:L,6,0)</f>
        <v>1537.23</v>
      </c>
      <c r="E1700" s="4">
        <f>VLOOKUP(A1700,'Datos generales'!A:L,12,0)</f>
        <v>1537.23</v>
      </c>
      <c r="F1700" s="4" t="str">
        <f>VLOOKUP(A1700,'Datos generales'!A:L,7,0)</f>
        <v>Accesorios</v>
      </c>
      <c r="G1700" s="4">
        <v>2025</v>
      </c>
    </row>
    <row r="1701" spans="1:7" x14ac:dyDescent="0.25">
      <c r="A1701" t="s">
        <v>111</v>
      </c>
      <c r="B1701" s="4">
        <f>VLOOKUP(A1701,'Datos generales'!A:L,5,0)</f>
        <v>3</v>
      </c>
      <c r="C1701" s="4" t="str">
        <f>VLOOKUP(A1701,'Datos generales'!A:L,4,0)</f>
        <v>Silla Gamer</v>
      </c>
      <c r="D1701" s="4">
        <f>VLOOKUP(A1701,'Datos generales'!A:L,6,0)</f>
        <v>311.66000000000003</v>
      </c>
      <c r="E1701" s="4">
        <f>VLOOKUP(A1701,'Datos generales'!A:L,12,0)</f>
        <v>311.66000000000003</v>
      </c>
      <c r="F1701" s="4" t="str">
        <f>VLOOKUP(A1701,'Datos generales'!A:L,7,0)</f>
        <v>Muebles</v>
      </c>
      <c r="G1701" s="4">
        <v>2024</v>
      </c>
    </row>
    <row r="1702" spans="1:7" x14ac:dyDescent="0.25">
      <c r="A1702" t="s">
        <v>112</v>
      </c>
      <c r="B1702" s="4">
        <f>VLOOKUP(A1702,'Datos generales'!A:L,5,0)</f>
        <v>5</v>
      </c>
      <c r="C1702" s="4" t="str">
        <f>VLOOKUP(A1702,'Datos generales'!A:L,4,0)</f>
        <v>Teclado</v>
      </c>
      <c r="D1702" s="4">
        <f>VLOOKUP(A1702,'Datos generales'!A:L,6,0)</f>
        <v>149.09</v>
      </c>
      <c r="E1702" s="4">
        <f>VLOOKUP(A1702,'Datos generales'!A:L,12,0)</f>
        <v>149.09</v>
      </c>
      <c r="F1702" s="4" t="str">
        <f>VLOOKUP(A1702,'Datos generales'!A:L,7,0)</f>
        <v>Accesorios</v>
      </c>
      <c r="G1702" s="4">
        <v>2024</v>
      </c>
    </row>
    <row r="1703" spans="1:7" x14ac:dyDescent="0.25">
      <c r="A1703" t="s">
        <v>113</v>
      </c>
      <c r="B1703" s="4">
        <f>VLOOKUP(A1703,'Datos generales'!A:L,5,0)</f>
        <v>5</v>
      </c>
      <c r="C1703" s="4" t="str">
        <f>VLOOKUP(A1703,'Datos generales'!A:L,4,0)</f>
        <v>Laptop</v>
      </c>
      <c r="D1703" s="4">
        <f>VLOOKUP(A1703,'Datos generales'!A:L,6,0)</f>
        <v>1885.48</v>
      </c>
      <c r="E1703" s="4">
        <f>VLOOKUP(A1703,'Datos generales'!A:L,12,0)</f>
        <v>1885.48</v>
      </c>
      <c r="F1703" s="4" t="str">
        <f>VLOOKUP(A1703,'Datos generales'!A:L,7,0)</f>
        <v>Electrónica</v>
      </c>
      <c r="G1703" s="4">
        <v>2023</v>
      </c>
    </row>
    <row r="1704" spans="1:7" x14ac:dyDescent="0.25">
      <c r="A1704" t="s">
        <v>114</v>
      </c>
      <c r="B1704" s="4">
        <f>VLOOKUP(A1704,'Datos generales'!A:L,5,0)</f>
        <v>3</v>
      </c>
      <c r="C1704" s="4" t="str">
        <f>VLOOKUP(A1704,'Datos generales'!A:L,4,0)</f>
        <v>Webcam</v>
      </c>
      <c r="D1704" s="4">
        <f>VLOOKUP(A1704,'Datos generales'!A:L,6,0)</f>
        <v>1591.92</v>
      </c>
      <c r="E1704" s="4">
        <f>VLOOKUP(A1704,'Datos generales'!A:L,12,0)</f>
        <v>1591.92</v>
      </c>
      <c r="F1704" s="4" t="str">
        <f>VLOOKUP(A1704,'Datos generales'!A:L,7,0)</f>
        <v>Accesorios</v>
      </c>
      <c r="G1704" s="4">
        <v>2023</v>
      </c>
    </row>
    <row r="1705" spans="1:7" x14ac:dyDescent="0.25">
      <c r="A1705" t="s">
        <v>115</v>
      </c>
      <c r="B1705" s="4">
        <f>VLOOKUP(A1705,'Datos generales'!A:L,5,0)</f>
        <v>5</v>
      </c>
      <c r="C1705" s="4" t="str">
        <f>VLOOKUP(A1705,'Datos generales'!A:L,4,0)</f>
        <v>Webcam</v>
      </c>
      <c r="D1705" s="4">
        <f>VLOOKUP(A1705,'Datos generales'!A:L,6,0)</f>
        <v>1383.33</v>
      </c>
      <c r="E1705" s="4">
        <f>VLOOKUP(A1705,'Datos generales'!A:L,12,0)</f>
        <v>1383.33</v>
      </c>
      <c r="F1705" s="4" t="str">
        <f>VLOOKUP(A1705,'Datos generales'!A:L,7,0)</f>
        <v>Accesorios</v>
      </c>
      <c r="G1705" s="4">
        <v>2025</v>
      </c>
    </row>
    <row r="1706" spans="1:7" x14ac:dyDescent="0.25">
      <c r="A1706" t="s">
        <v>116</v>
      </c>
      <c r="B1706" s="4">
        <f>VLOOKUP(A1706,'Datos generales'!A:L,5,0)</f>
        <v>2</v>
      </c>
      <c r="C1706" s="4" t="str">
        <f>VLOOKUP(A1706,'Datos generales'!A:L,4,0)</f>
        <v>Silla Gamer</v>
      </c>
      <c r="D1706" s="4">
        <f>VLOOKUP(A1706,'Datos generales'!A:L,6,0)</f>
        <v>1051.23</v>
      </c>
      <c r="E1706" s="4">
        <f>VLOOKUP(A1706,'Datos generales'!A:L,12,0)</f>
        <v>1051.23</v>
      </c>
      <c r="F1706" s="4" t="str">
        <f>VLOOKUP(A1706,'Datos generales'!A:L,7,0)</f>
        <v>Muebles</v>
      </c>
      <c r="G1706" s="4">
        <v>2025</v>
      </c>
    </row>
    <row r="1707" spans="1:7" x14ac:dyDescent="0.25">
      <c r="A1707" t="s">
        <v>117</v>
      </c>
      <c r="B1707" s="4">
        <f>VLOOKUP(A1707,'Datos generales'!A:L,5,0)</f>
        <v>4</v>
      </c>
      <c r="C1707" s="4" t="str">
        <f>VLOOKUP(A1707,'Datos generales'!A:L,4,0)</f>
        <v>Audífonos</v>
      </c>
      <c r="D1707" s="4">
        <f>VLOOKUP(A1707,'Datos generales'!A:L,6,0)</f>
        <v>1274.46</v>
      </c>
      <c r="E1707" s="4">
        <f>VLOOKUP(A1707,'Datos generales'!A:L,12,0)</f>
        <v>1274.46</v>
      </c>
      <c r="F1707" s="4" t="str">
        <f>VLOOKUP(A1707,'Datos generales'!A:L,7,0)</f>
        <v>Accesorios</v>
      </c>
      <c r="G1707" s="4">
        <v>2023</v>
      </c>
    </row>
    <row r="1708" spans="1:7" x14ac:dyDescent="0.25">
      <c r="A1708" t="s">
        <v>118</v>
      </c>
      <c r="B1708" s="4">
        <f>VLOOKUP(A1708,'Datos generales'!A:L,5,0)</f>
        <v>1</v>
      </c>
      <c r="C1708" s="4" t="str">
        <f>VLOOKUP(A1708,'Datos generales'!A:L,4,0)</f>
        <v>Monitor</v>
      </c>
      <c r="D1708" s="4">
        <f>VLOOKUP(A1708,'Datos generales'!A:L,6,0)</f>
        <v>1251.08</v>
      </c>
      <c r="E1708" s="4">
        <f>VLOOKUP(A1708,'Datos generales'!A:L,12,0)</f>
        <v>1251.08</v>
      </c>
      <c r="F1708" s="4" t="str">
        <f>VLOOKUP(A1708,'Datos generales'!A:L,7,0)</f>
        <v>Electrónica</v>
      </c>
      <c r="G1708" s="4">
        <v>2025</v>
      </c>
    </row>
    <row r="1709" spans="1:7" x14ac:dyDescent="0.25">
      <c r="A1709" t="s">
        <v>119</v>
      </c>
      <c r="B1709" s="4">
        <f>VLOOKUP(A1709,'Datos generales'!A:L,5,0)</f>
        <v>5</v>
      </c>
      <c r="C1709" s="4" t="str">
        <f>VLOOKUP(A1709,'Datos generales'!A:L,4,0)</f>
        <v>Audífonos</v>
      </c>
      <c r="D1709" s="4">
        <f>VLOOKUP(A1709,'Datos generales'!A:L,6,0)</f>
        <v>1582.2</v>
      </c>
      <c r="E1709" s="4">
        <f>VLOOKUP(A1709,'Datos generales'!A:L,12,0)</f>
        <v>1582.2</v>
      </c>
      <c r="F1709" s="4" t="str">
        <f>VLOOKUP(A1709,'Datos generales'!A:L,7,0)</f>
        <v>Accesorios</v>
      </c>
      <c r="G1709" s="4">
        <v>2025</v>
      </c>
    </row>
    <row r="1710" spans="1:7" x14ac:dyDescent="0.25">
      <c r="A1710" t="s">
        <v>120</v>
      </c>
      <c r="B1710" s="4">
        <f>VLOOKUP(A1710,'Datos generales'!A:L,5,0)</f>
        <v>1</v>
      </c>
      <c r="C1710" s="4" t="str">
        <f>VLOOKUP(A1710,'Datos generales'!A:L,4,0)</f>
        <v>Silla Gamer</v>
      </c>
      <c r="D1710" s="4">
        <f>VLOOKUP(A1710,'Datos generales'!A:L,6,0)</f>
        <v>81.92</v>
      </c>
      <c r="E1710" s="4">
        <f>VLOOKUP(A1710,'Datos generales'!A:L,12,0)</f>
        <v>81.92</v>
      </c>
      <c r="F1710" s="4" t="str">
        <f>VLOOKUP(A1710,'Datos generales'!A:L,7,0)</f>
        <v>Muebles</v>
      </c>
      <c r="G1710" s="4">
        <v>2023</v>
      </c>
    </row>
    <row r="1711" spans="1:7" x14ac:dyDescent="0.25">
      <c r="A1711" t="s">
        <v>121</v>
      </c>
      <c r="B1711" s="4">
        <f>VLOOKUP(A1711,'Datos generales'!A:L,5,0)</f>
        <v>1</v>
      </c>
      <c r="C1711" s="4" t="str">
        <f>VLOOKUP(A1711,'Datos generales'!A:L,4,0)</f>
        <v>Mouse</v>
      </c>
      <c r="D1711" s="4">
        <f>VLOOKUP(A1711,'Datos generales'!A:L,6,0)</f>
        <v>1153.31</v>
      </c>
      <c r="E1711" s="4">
        <f>VLOOKUP(A1711,'Datos generales'!A:L,12,0)</f>
        <v>1153.31</v>
      </c>
      <c r="F1711" s="4" t="str">
        <f>VLOOKUP(A1711,'Datos generales'!A:L,7,0)</f>
        <v>Accesorios</v>
      </c>
      <c r="G1711" s="4">
        <v>2024</v>
      </c>
    </row>
    <row r="1712" spans="1:7" x14ac:dyDescent="0.25">
      <c r="A1712" t="s">
        <v>122</v>
      </c>
      <c r="B1712" s="4">
        <f>VLOOKUP(A1712,'Datos generales'!A:L,5,0)</f>
        <v>3</v>
      </c>
      <c r="C1712" s="4" t="str">
        <f>VLOOKUP(A1712,'Datos generales'!A:L,4,0)</f>
        <v>Mouse</v>
      </c>
      <c r="D1712" s="4">
        <f>VLOOKUP(A1712,'Datos generales'!A:L,6,0)</f>
        <v>1078.08</v>
      </c>
      <c r="E1712" s="4">
        <f>VLOOKUP(A1712,'Datos generales'!A:L,12,0)</f>
        <v>1078.08</v>
      </c>
      <c r="F1712" s="4" t="str">
        <f>VLOOKUP(A1712,'Datos generales'!A:L,7,0)</f>
        <v>Accesorios</v>
      </c>
      <c r="G1712" s="4">
        <v>2025</v>
      </c>
    </row>
    <row r="1713" spans="1:7" x14ac:dyDescent="0.25">
      <c r="A1713" t="s">
        <v>123</v>
      </c>
      <c r="B1713" s="4">
        <f>VLOOKUP(A1713,'Datos generales'!A:L,5,0)</f>
        <v>1</v>
      </c>
      <c r="C1713" s="4" t="str">
        <f>VLOOKUP(A1713,'Datos generales'!A:L,4,0)</f>
        <v>Impresora</v>
      </c>
      <c r="D1713" s="4">
        <f>VLOOKUP(A1713,'Datos generales'!A:L,6,0)</f>
        <v>201.91</v>
      </c>
      <c r="E1713" s="4">
        <f>VLOOKUP(A1713,'Datos generales'!A:L,12,0)</f>
        <v>201.91</v>
      </c>
      <c r="F1713" s="4" t="str">
        <f>VLOOKUP(A1713,'Datos generales'!A:L,7,0)</f>
        <v>Electrónica</v>
      </c>
      <c r="G1713" s="4">
        <v>2024</v>
      </c>
    </row>
    <row r="1714" spans="1:7" x14ac:dyDescent="0.25">
      <c r="A1714" t="s">
        <v>124</v>
      </c>
      <c r="B1714" s="4">
        <f>VLOOKUP(A1714,'Datos generales'!A:L,5,0)</f>
        <v>3</v>
      </c>
      <c r="C1714" s="4" t="str">
        <f>VLOOKUP(A1714,'Datos generales'!A:L,4,0)</f>
        <v>Webcam</v>
      </c>
      <c r="D1714" s="4">
        <f>VLOOKUP(A1714,'Datos generales'!A:L,6,0)</f>
        <v>727.36</v>
      </c>
      <c r="E1714" s="4">
        <f>VLOOKUP(A1714,'Datos generales'!A:L,12,0)</f>
        <v>727.36</v>
      </c>
      <c r="F1714" s="4" t="str">
        <f>VLOOKUP(A1714,'Datos generales'!A:L,7,0)</f>
        <v>Accesorios</v>
      </c>
      <c r="G1714" s="4">
        <v>2024</v>
      </c>
    </row>
    <row r="1715" spans="1:7" x14ac:dyDescent="0.25">
      <c r="A1715" t="s">
        <v>125</v>
      </c>
      <c r="B1715" s="4">
        <f>VLOOKUP(A1715,'Datos generales'!A:L,5,0)</f>
        <v>3</v>
      </c>
      <c r="C1715" s="4" t="str">
        <f>VLOOKUP(A1715,'Datos generales'!A:L,4,0)</f>
        <v>Audífonos</v>
      </c>
      <c r="D1715" s="4">
        <f>VLOOKUP(A1715,'Datos generales'!A:L,6,0)</f>
        <v>1645.43</v>
      </c>
      <c r="E1715" s="4">
        <f>VLOOKUP(A1715,'Datos generales'!A:L,12,0)</f>
        <v>1645.43</v>
      </c>
      <c r="F1715" s="4" t="str">
        <f>VLOOKUP(A1715,'Datos generales'!A:L,7,0)</f>
        <v>Accesorios</v>
      </c>
      <c r="G1715" s="4">
        <v>2023</v>
      </c>
    </row>
    <row r="1716" spans="1:7" x14ac:dyDescent="0.25">
      <c r="A1716" t="s">
        <v>126</v>
      </c>
      <c r="B1716" s="4">
        <f>VLOOKUP(A1716,'Datos generales'!A:L,5,0)</f>
        <v>3</v>
      </c>
      <c r="C1716" s="4" t="str">
        <f>VLOOKUP(A1716,'Datos generales'!A:L,4,0)</f>
        <v>Laptop</v>
      </c>
      <c r="D1716" s="4">
        <f>VLOOKUP(A1716,'Datos generales'!A:L,6,0)</f>
        <v>420.05</v>
      </c>
      <c r="E1716" s="4">
        <f>VLOOKUP(A1716,'Datos generales'!A:L,12,0)</f>
        <v>420.05</v>
      </c>
      <c r="F1716" s="4" t="str">
        <f>VLOOKUP(A1716,'Datos generales'!A:L,7,0)</f>
        <v>Electrónica</v>
      </c>
      <c r="G1716" s="4">
        <v>2024</v>
      </c>
    </row>
    <row r="1717" spans="1:7" x14ac:dyDescent="0.25">
      <c r="A1717" t="s">
        <v>127</v>
      </c>
      <c r="B1717" s="4">
        <f>VLOOKUP(A1717,'Datos generales'!A:L,5,0)</f>
        <v>4</v>
      </c>
      <c r="C1717" s="4" t="str">
        <f>VLOOKUP(A1717,'Datos generales'!A:L,4,0)</f>
        <v>Silla Gamer</v>
      </c>
      <c r="D1717" s="4">
        <f>VLOOKUP(A1717,'Datos generales'!A:L,6,0)</f>
        <v>496.9</v>
      </c>
      <c r="E1717" s="4">
        <f>VLOOKUP(A1717,'Datos generales'!A:L,12,0)</f>
        <v>496.9</v>
      </c>
      <c r="F1717" s="4" t="str">
        <f>VLOOKUP(A1717,'Datos generales'!A:L,7,0)</f>
        <v>Muebles</v>
      </c>
      <c r="G1717" s="4">
        <v>2024</v>
      </c>
    </row>
    <row r="1718" spans="1:7" x14ac:dyDescent="0.25">
      <c r="A1718" t="s">
        <v>128</v>
      </c>
      <c r="B1718" s="4">
        <f>VLOOKUP(A1718,'Datos generales'!A:L,5,0)</f>
        <v>2</v>
      </c>
      <c r="C1718" s="4" t="str">
        <f>VLOOKUP(A1718,'Datos generales'!A:L,4,0)</f>
        <v>Teclado</v>
      </c>
      <c r="D1718" s="4">
        <f>VLOOKUP(A1718,'Datos generales'!A:L,6,0)</f>
        <v>721.56</v>
      </c>
      <c r="E1718" s="4">
        <f>VLOOKUP(A1718,'Datos generales'!A:L,12,0)</f>
        <v>721.56</v>
      </c>
      <c r="F1718" s="4" t="str">
        <f>VLOOKUP(A1718,'Datos generales'!A:L,7,0)</f>
        <v>Accesorios</v>
      </c>
      <c r="G1718" s="4">
        <v>2023</v>
      </c>
    </row>
    <row r="1719" spans="1:7" x14ac:dyDescent="0.25">
      <c r="A1719" t="s">
        <v>129</v>
      </c>
      <c r="B1719" s="4">
        <f>VLOOKUP(A1719,'Datos generales'!A:L,5,0)</f>
        <v>4</v>
      </c>
      <c r="C1719" s="4" t="str">
        <f>VLOOKUP(A1719,'Datos generales'!A:L,4,0)</f>
        <v>Audífonos</v>
      </c>
      <c r="D1719" s="4">
        <f>VLOOKUP(A1719,'Datos generales'!A:L,6,0)</f>
        <v>1353.9</v>
      </c>
      <c r="E1719" s="4">
        <f>VLOOKUP(A1719,'Datos generales'!A:L,12,0)</f>
        <v>1353.9</v>
      </c>
      <c r="F1719" s="4" t="str">
        <f>VLOOKUP(A1719,'Datos generales'!A:L,7,0)</f>
        <v>Accesorios</v>
      </c>
      <c r="G1719" s="4">
        <v>2023</v>
      </c>
    </row>
    <row r="1720" spans="1:7" x14ac:dyDescent="0.25">
      <c r="A1720" t="s">
        <v>130</v>
      </c>
      <c r="B1720" s="4">
        <f>VLOOKUP(A1720,'Datos generales'!A:L,5,0)</f>
        <v>2</v>
      </c>
      <c r="C1720" s="4" t="str">
        <f>VLOOKUP(A1720,'Datos generales'!A:L,4,0)</f>
        <v>Impresora</v>
      </c>
      <c r="D1720" s="4">
        <f>VLOOKUP(A1720,'Datos generales'!A:L,6,0)</f>
        <v>429.52</v>
      </c>
      <c r="E1720" s="4">
        <f>VLOOKUP(A1720,'Datos generales'!A:L,12,0)</f>
        <v>429.52</v>
      </c>
      <c r="F1720" s="4" t="str">
        <f>VLOOKUP(A1720,'Datos generales'!A:L,7,0)</f>
        <v>Electrónica</v>
      </c>
      <c r="G1720" s="4">
        <v>2024</v>
      </c>
    </row>
    <row r="1721" spans="1:7" x14ac:dyDescent="0.25">
      <c r="A1721" t="s">
        <v>131</v>
      </c>
      <c r="B1721" s="4">
        <f>VLOOKUP(A1721,'Datos generales'!A:L,5,0)</f>
        <v>2</v>
      </c>
      <c r="C1721" s="4" t="str">
        <f>VLOOKUP(A1721,'Datos generales'!A:L,4,0)</f>
        <v>Silla Gamer</v>
      </c>
      <c r="D1721" s="4">
        <f>VLOOKUP(A1721,'Datos generales'!A:L,6,0)</f>
        <v>1824.96</v>
      </c>
      <c r="E1721" s="4">
        <f>VLOOKUP(A1721,'Datos generales'!A:L,12,0)</f>
        <v>1824.96</v>
      </c>
      <c r="F1721" s="4" t="str">
        <f>VLOOKUP(A1721,'Datos generales'!A:L,7,0)</f>
        <v>Muebles</v>
      </c>
      <c r="G1721" s="4">
        <v>2024</v>
      </c>
    </row>
    <row r="1722" spans="1:7" x14ac:dyDescent="0.25">
      <c r="A1722" t="s">
        <v>132</v>
      </c>
      <c r="B1722" s="4">
        <f>VLOOKUP(A1722,'Datos generales'!A:L,5,0)</f>
        <v>5</v>
      </c>
      <c r="C1722" s="4" t="str">
        <f>VLOOKUP(A1722,'Datos generales'!A:L,4,0)</f>
        <v>Mouse</v>
      </c>
      <c r="D1722" s="4">
        <f>VLOOKUP(A1722,'Datos generales'!A:L,6,0)</f>
        <v>1059.81</v>
      </c>
      <c r="E1722" s="4">
        <f>VLOOKUP(A1722,'Datos generales'!A:L,12,0)</f>
        <v>1059.81</v>
      </c>
      <c r="F1722" s="4" t="str">
        <f>VLOOKUP(A1722,'Datos generales'!A:L,7,0)</f>
        <v>Accesorios</v>
      </c>
      <c r="G1722" s="4">
        <v>2024</v>
      </c>
    </row>
    <row r="1723" spans="1:7" x14ac:dyDescent="0.25">
      <c r="A1723" t="s">
        <v>133</v>
      </c>
      <c r="B1723" s="4">
        <f>VLOOKUP(A1723,'Datos generales'!A:L,5,0)</f>
        <v>4</v>
      </c>
      <c r="C1723" s="4" t="str">
        <f>VLOOKUP(A1723,'Datos generales'!A:L,4,0)</f>
        <v>Silla Gamer</v>
      </c>
      <c r="D1723" s="4">
        <f>VLOOKUP(A1723,'Datos generales'!A:L,6,0)</f>
        <v>46.39</v>
      </c>
      <c r="E1723" s="4">
        <f>VLOOKUP(A1723,'Datos generales'!A:L,12,0)</f>
        <v>46.39</v>
      </c>
      <c r="F1723" s="4" t="str">
        <f>VLOOKUP(A1723,'Datos generales'!A:L,7,0)</f>
        <v>Muebles</v>
      </c>
      <c r="G1723" s="4">
        <v>2023</v>
      </c>
    </row>
    <row r="1724" spans="1:7" x14ac:dyDescent="0.25">
      <c r="A1724" t="s">
        <v>134</v>
      </c>
      <c r="B1724" s="4">
        <f>VLOOKUP(A1724,'Datos generales'!A:L,5,0)</f>
        <v>1</v>
      </c>
      <c r="C1724" s="4" t="str">
        <f>VLOOKUP(A1724,'Datos generales'!A:L,4,0)</f>
        <v>Laptop</v>
      </c>
      <c r="D1724" s="4">
        <f>VLOOKUP(A1724,'Datos generales'!A:L,6,0)</f>
        <v>754.07</v>
      </c>
      <c r="E1724" s="4">
        <f>VLOOKUP(A1724,'Datos generales'!A:L,12,0)</f>
        <v>754.07</v>
      </c>
      <c r="F1724" s="4" t="str">
        <f>VLOOKUP(A1724,'Datos generales'!A:L,7,0)</f>
        <v>Electrónica</v>
      </c>
      <c r="G1724" s="4">
        <v>2023</v>
      </c>
    </row>
    <row r="1725" spans="1:7" x14ac:dyDescent="0.25">
      <c r="A1725" t="s">
        <v>135</v>
      </c>
      <c r="B1725" s="4">
        <f>VLOOKUP(A1725,'Datos generales'!A:L,5,0)</f>
        <v>1</v>
      </c>
      <c r="C1725" s="4" t="str">
        <f>VLOOKUP(A1725,'Datos generales'!A:L,4,0)</f>
        <v>Audífonos</v>
      </c>
      <c r="D1725" s="4">
        <f>VLOOKUP(A1725,'Datos generales'!A:L,6,0)</f>
        <v>1681.02</v>
      </c>
      <c r="E1725" s="4">
        <f>VLOOKUP(A1725,'Datos generales'!A:L,12,0)</f>
        <v>1681.02</v>
      </c>
      <c r="F1725" s="4" t="str">
        <f>VLOOKUP(A1725,'Datos generales'!A:L,7,0)</f>
        <v>Accesorios</v>
      </c>
      <c r="G1725" s="4">
        <v>2025</v>
      </c>
    </row>
    <row r="1726" spans="1:7" x14ac:dyDescent="0.25">
      <c r="A1726" t="s">
        <v>136</v>
      </c>
      <c r="B1726" s="4">
        <f>VLOOKUP(A1726,'Datos generales'!A:L,5,0)</f>
        <v>2</v>
      </c>
      <c r="C1726" s="4" t="str">
        <f>VLOOKUP(A1726,'Datos generales'!A:L,4,0)</f>
        <v>Monitor</v>
      </c>
      <c r="D1726" s="4">
        <f>VLOOKUP(A1726,'Datos generales'!A:L,6,0)</f>
        <v>1198.72</v>
      </c>
      <c r="E1726" s="4">
        <f>VLOOKUP(A1726,'Datos generales'!A:L,12,0)</f>
        <v>1198.72</v>
      </c>
      <c r="F1726" s="4" t="str">
        <f>VLOOKUP(A1726,'Datos generales'!A:L,7,0)</f>
        <v>Electrónica</v>
      </c>
      <c r="G1726" s="4">
        <v>2025</v>
      </c>
    </row>
    <row r="1727" spans="1:7" x14ac:dyDescent="0.25">
      <c r="A1727" t="s">
        <v>137</v>
      </c>
      <c r="B1727" s="4">
        <f>VLOOKUP(A1727,'Datos generales'!A:L,5,0)</f>
        <v>2</v>
      </c>
      <c r="C1727" s="4" t="str">
        <f>VLOOKUP(A1727,'Datos generales'!A:L,4,0)</f>
        <v>Audífonos</v>
      </c>
      <c r="D1727" s="4">
        <f>VLOOKUP(A1727,'Datos generales'!A:L,6,0)</f>
        <v>1040.2</v>
      </c>
      <c r="E1727" s="4">
        <f>VLOOKUP(A1727,'Datos generales'!A:L,12,0)</f>
        <v>1040.2</v>
      </c>
      <c r="F1727" s="4" t="str">
        <f>VLOOKUP(A1727,'Datos generales'!A:L,7,0)</f>
        <v>Accesorios</v>
      </c>
      <c r="G1727" s="4">
        <v>2023</v>
      </c>
    </row>
    <row r="1728" spans="1:7" x14ac:dyDescent="0.25">
      <c r="A1728" t="s">
        <v>138</v>
      </c>
      <c r="B1728" s="4">
        <f>VLOOKUP(A1728,'Datos generales'!A:L,5,0)</f>
        <v>3</v>
      </c>
      <c r="C1728" s="4" t="str">
        <f>VLOOKUP(A1728,'Datos generales'!A:L,4,0)</f>
        <v>Teclado</v>
      </c>
      <c r="D1728" s="4">
        <f>VLOOKUP(A1728,'Datos generales'!A:L,6,0)</f>
        <v>107.53</v>
      </c>
      <c r="E1728" s="4">
        <f>VLOOKUP(A1728,'Datos generales'!A:L,12,0)</f>
        <v>107.53</v>
      </c>
      <c r="F1728" s="4" t="str">
        <f>VLOOKUP(A1728,'Datos generales'!A:L,7,0)</f>
        <v>Accesorios</v>
      </c>
      <c r="G1728" s="4">
        <v>2025</v>
      </c>
    </row>
    <row r="1729" spans="1:7" x14ac:dyDescent="0.25">
      <c r="A1729" t="s">
        <v>139</v>
      </c>
      <c r="B1729" s="4">
        <f>VLOOKUP(A1729,'Datos generales'!A:L,5,0)</f>
        <v>4</v>
      </c>
      <c r="C1729" s="4" t="str">
        <f>VLOOKUP(A1729,'Datos generales'!A:L,4,0)</f>
        <v>Impresora</v>
      </c>
      <c r="D1729" s="4">
        <f>VLOOKUP(A1729,'Datos generales'!A:L,6,0)</f>
        <v>380.66</v>
      </c>
      <c r="E1729" s="4">
        <f>VLOOKUP(A1729,'Datos generales'!A:L,12,0)</f>
        <v>380.66</v>
      </c>
      <c r="F1729" s="4" t="str">
        <f>VLOOKUP(A1729,'Datos generales'!A:L,7,0)</f>
        <v>Electrónica</v>
      </c>
      <c r="G1729" s="4">
        <v>2025</v>
      </c>
    </row>
    <row r="1730" spans="1:7" x14ac:dyDescent="0.25">
      <c r="A1730" t="s">
        <v>140</v>
      </c>
      <c r="B1730" s="4">
        <f>VLOOKUP(A1730,'Datos generales'!A:L,5,0)</f>
        <v>2</v>
      </c>
      <c r="C1730" s="4" t="str">
        <f>VLOOKUP(A1730,'Datos generales'!A:L,4,0)</f>
        <v>Monitor</v>
      </c>
      <c r="D1730" s="4">
        <f>VLOOKUP(A1730,'Datos generales'!A:L,6,0)</f>
        <v>700.11</v>
      </c>
      <c r="E1730" s="4">
        <f>VLOOKUP(A1730,'Datos generales'!A:L,12,0)</f>
        <v>700.11</v>
      </c>
      <c r="F1730" s="4" t="str">
        <f>VLOOKUP(A1730,'Datos generales'!A:L,7,0)</f>
        <v>Electrónica</v>
      </c>
      <c r="G1730" s="4">
        <v>2025</v>
      </c>
    </row>
    <row r="1731" spans="1:7" x14ac:dyDescent="0.25">
      <c r="A1731" t="s">
        <v>141</v>
      </c>
      <c r="B1731" s="4">
        <f>VLOOKUP(A1731,'Datos generales'!A:L,5,0)</f>
        <v>5</v>
      </c>
      <c r="C1731" s="4" t="str">
        <f>VLOOKUP(A1731,'Datos generales'!A:L,4,0)</f>
        <v>Impresora</v>
      </c>
      <c r="D1731" s="4">
        <f>VLOOKUP(A1731,'Datos generales'!A:L,6,0)</f>
        <v>358.48</v>
      </c>
      <c r="E1731" s="4">
        <f>VLOOKUP(A1731,'Datos generales'!A:L,12,0)</f>
        <v>358.48</v>
      </c>
      <c r="F1731" s="4" t="str">
        <f>VLOOKUP(A1731,'Datos generales'!A:L,7,0)</f>
        <v>Electrónica</v>
      </c>
      <c r="G1731" s="4">
        <v>2023</v>
      </c>
    </row>
    <row r="1732" spans="1:7" x14ac:dyDescent="0.25">
      <c r="A1732" t="s">
        <v>142</v>
      </c>
      <c r="B1732" s="4">
        <f>VLOOKUP(A1732,'Datos generales'!A:L,5,0)</f>
        <v>4</v>
      </c>
      <c r="C1732" s="4" t="str">
        <f>VLOOKUP(A1732,'Datos generales'!A:L,4,0)</f>
        <v>Silla Gamer</v>
      </c>
      <c r="D1732" s="4">
        <f>VLOOKUP(A1732,'Datos generales'!A:L,6,0)</f>
        <v>746.6</v>
      </c>
      <c r="E1732" s="4">
        <f>VLOOKUP(A1732,'Datos generales'!A:L,12,0)</f>
        <v>746.6</v>
      </c>
      <c r="F1732" s="4" t="str">
        <f>VLOOKUP(A1732,'Datos generales'!A:L,7,0)</f>
        <v>Muebles</v>
      </c>
      <c r="G1732" s="4">
        <v>2024</v>
      </c>
    </row>
    <row r="1733" spans="1:7" x14ac:dyDescent="0.25">
      <c r="A1733" t="s">
        <v>143</v>
      </c>
      <c r="B1733" s="4">
        <f>VLOOKUP(A1733,'Datos generales'!A:L,5,0)</f>
        <v>1</v>
      </c>
      <c r="C1733" s="4" t="str">
        <f>VLOOKUP(A1733,'Datos generales'!A:L,4,0)</f>
        <v>Laptop</v>
      </c>
      <c r="D1733" s="4">
        <f>VLOOKUP(A1733,'Datos generales'!A:L,6,0)</f>
        <v>751.43</v>
      </c>
      <c r="E1733" s="4">
        <f>VLOOKUP(A1733,'Datos generales'!A:L,12,0)</f>
        <v>751.43</v>
      </c>
      <c r="F1733" s="4" t="str">
        <f>VLOOKUP(A1733,'Datos generales'!A:L,7,0)</f>
        <v>Electrónica</v>
      </c>
      <c r="G1733" s="4">
        <v>2024</v>
      </c>
    </row>
    <row r="1734" spans="1:7" x14ac:dyDescent="0.25">
      <c r="A1734" t="s">
        <v>144</v>
      </c>
      <c r="B1734" s="4">
        <f>VLOOKUP(A1734,'Datos generales'!A:L,5,0)</f>
        <v>5</v>
      </c>
      <c r="C1734" s="4" t="str">
        <f>VLOOKUP(A1734,'Datos generales'!A:L,4,0)</f>
        <v>Mouse</v>
      </c>
      <c r="D1734" s="4">
        <f>VLOOKUP(A1734,'Datos generales'!A:L,6,0)</f>
        <v>1109.08</v>
      </c>
      <c r="E1734" s="4">
        <f>VLOOKUP(A1734,'Datos generales'!A:L,12,0)</f>
        <v>1109.08</v>
      </c>
      <c r="F1734" s="4" t="str">
        <f>VLOOKUP(A1734,'Datos generales'!A:L,7,0)</f>
        <v>Accesorios</v>
      </c>
      <c r="G1734" s="4">
        <v>2023</v>
      </c>
    </row>
    <row r="1735" spans="1:7" x14ac:dyDescent="0.25">
      <c r="A1735" t="s">
        <v>145</v>
      </c>
      <c r="B1735" s="4">
        <f>VLOOKUP(A1735,'Datos generales'!A:L,5,0)</f>
        <v>5</v>
      </c>
      <c r="C1735" s="4" t="str">
        <f>VLOOKUP(A1735,'Datos generales'!A:L,4,0)</f>
        <v>Monitor</v>
      </c>
      <c r="D1735" s="4">
        <f>VLOOKUP(A1735,'Datos generales'!A:L,6,0)</f>
        <v>642.74</v>
      </c>
      <c r="E1735" s="4">
        <f>VLOOKUP(A1735,'Datos generales'!A:L,12,0)</f>
        <v>642.74</v>
      </c>
      <c r="F1735" s="4" t="str">
        <f>VLOOKUP(A1735,'Datos generales'!A:L,7,0)</f>
        <v>Electrónica</v>
      </c>
      <c r="G1735" s="4">
        <v>2024</v>
      </c>
    </row>
    <row r="1736" spans="1:7" x14ac:dyDescent="0.25">
      <c r="A1736" t="s">
        <v>146</v>
      </c>
      <c r="B1736" s="4">
        <f>VLOOKUP(A1736,'Datos generales'!A:L,5,0)</f>
        <v>5</v>
      </c>
      <c r="C1736" s="4" t="str">
        <f>VLOOKUP(A1736,'Datos generales'!A:L,4,0)</f>
        <v>Audífonos</v>
      </c>
      <c r="D1736" s="4">
        <f>VLOOKUP(A1736,'Datos generales'!A:L,6,0)</f>
        <v>245.73</v>
      </c>
      <c r="E1736" s="4">
        <f>VLOOKUP(A1736,'Datos generales'!A:L,12,0)</f>
        <v>245.73</v>
      </c>
      <c r="F1736" s="4" t="str">
        <f>VLOOKUP(A1736,'Datos generales'!A:L,7,0)</f>
        <v>Accesorios</v>
      </c>
      <c r="G1736" s="4">
        <v>2024</v>
      </c>
    </row>
    <row r="1737" spans="1:7" x14ac:dyDescent="0.25">
      <c r="A1737" t="s">
        <v>147</v>
      </c>
      <c r="B1737" s="4">
        <f>VLOOKUP(A1737,'Datos generales'!A:L,5,0)</f>
        <v>3</v>
      </c>
      <c r="C1737" s="4" t="str">
        <f>VLOOKUP(A1737,'Datos generales'!A:L,4,0)</f>
        <v>Webcam</v>
      </c>
      <c r="D1737" s="4">
        <f>VLOOKUP(A1737,'Datos generales'!A:L,6,0)</f>
        <v>1782.13</v>
      </c>
      <c r="E1737" s="4">
        <f>VLOOKUP(A1737,'Datos generales'!A:L,12,0)</f>
        <v>1782.13</v>
      </c>
      <c r="F1737" s="4" t="str">
        <f>VLOOKUP(A1737,'Datos generales'!A:L,7,0)</f>
        <v>Accesorios</v>
      </c>
      <c r="G1737" s="4">
        <v>2023</v>
      </c>
    </row>
    <row r="1738" spans="1:7" x14ac:dyDescent="0.25">
      <c r="A1738" t="s">
        <v>148</v>
      </c>
      <c r="B1738" s="4">
        <f>VLOOKUP(A1738,'Datos generales'!A:L,5,0)</f>
        <v>5</v>
      </c>
      <c r="C1738" s="4" t="str">
        <f>VLOOKUP(A1738,'Datos generales'!A:L,4,0)</f>
        <v>Impresora</v>
      </c>
      <c r="D1738" s="4">
        <f>VLOOKUP(A1738,'Datos generales'!A:L,6,0)</f>
        <v>1137.1400000000001</v>
      </c>
      <c r="E1738" s="4">
        <f>VLOOKUP(A1738,'Datos generales'!A:L,12,0)</f>
        <v>1137.1400000000001</v>
      </c>
      <c r="F1738" s="4" t="str">
        <f>VLOOKUP(A1738,'Datos generales'!A:L,7,0)</f>
        <v>Electrónica</v>
      </c>
      <c r="G1738" s="4">
        <v>2024</v>
      </c>
    </row>
    <row r="1739" spans="1:7" x14ac:dyDescent="0.25">
      <c r="A1739" t="s">
        <v>149</v>
      </c>
      <c r="B1739" s="4">
        <f>VLOOKUP(A1739,'Datos generales'!A:L,5,0)</f>
        <v>4</v>
      </c>
      <c r="C1739" s="4" t="str">
        <f>VLOOKUP(A1739,'Datos generales'!A:L,4,0)</f>
        <v>Teclado</v>
      </c>
      <c r="D1739" s="4">
        <f>VLOOKUP(A1739,'Datos generales'!A:L,6,0)</f>
        <v>966.72</v>
      </c>
      <c r="E1739" s="4">
        <f>VLOOKUP(A1739,'Datos generales'!A:L,12,0)</f>
        <v>966.72</v>
      </c>
      <c r="F1739" s="4" t="str">
        <f>VLOOKUP(A1739,'Datos generales'!A:L,7,0)</f>
        <v>Accesorios</v>
      </c>
      <c r="G1739" s="4">
        <v>2024</v>
      </c>
    </row>
    <row r="1740" spans="1:7" x14ac:dyDescent="0.25">
      <c r="A1740" t="s">
        <v>150</v>
      </c>
      <c r="B1740" s="4">
        <f>VLOOKUP(A1740,'Datos generales'!A:L,5,0)</f>
        <v>5</v>
      </c>
      <c r="C1740" s="4" t="str">
        <f>VLOOKUP(A1740,'Datos generales'!A:L,4,0)</f>
        <v>Impresora</v>
      </c>
      <c r="D1740" s="4">
        <f>VLOOKUP(A1740,'Datos generales'!A:L,6,0)</f>
        <v>754.88</v>
      </c>
      <c r="E1740" s="4">
        <f>VLOOKUP(A1740,'Datos generales'!A:L,12,0)</f>
        <v>754.88</v>
      </c>
      <c r="F1740" s="4" t="str">
        <f>VLOOKUP(A1740,'Datos generales'!A:L,7,0)</f>
        <v>Electrónica</v>
      </c>
      <c r="G1740" s="4">
        <v>2024</v>
      </c>
    </row>
    <row r="1741" spans="1:7" x14ac:dyDescent="0.25">
      <c r="A1741" t="s">
        <v>151</v>
      </c>
      <c r="B1741" s="4">
        <f>VLOOKUP(A1741,'Datos generales'!A:L,5,0)</f>
        <v>4</v>
      </c>
      <c r="C1741" s="4" t="str">
        <f>VLOOKUP(A1741,'Datos generales'!A:L,4,0)</f>
        <v>Webcam</v>
      </c>
      <c r="D1741" s="4">
        <f>VLOOKUP(A1741,'Datos generales'!A:L,6,0)</f>
        <v>902.5</v>
      </c>
      <c r="E1741" s="4">
        <f>VLOOKUP(A1741,'Datos generales'!A:L,12,0)</f>
        <v>902.5</v>
      </c>
      <c r="F1741" s="4" t="str">
        <f>VLOOKUP(A1741,'Datos generales'!A:L,7,0)</f>
        <v>Accesorios</v>
      </c>
      <c r="G1741" s="4">
        <v>2025</v>
      </c>
    </row>
    <row r="1742" spans="1:7" x14ac:dyDescent="0.25">
      <c r="A1742" t="s">
        <v>152</v>
      </c>
      <c r="B1742" s="4">
        <f>VLOOKUP(A1742,'Datos generales'!A:L,5,0)</f>
        <v>2</v>
      </c>
      <c r="C1742" s="4" t="str">
        <f>VLOOKUP(A1742,'Datos generales'!A:L,4,0)</f>
        <v>Mouse</v>
      </c>
      <c r="D1742" s="4">
        <f>VLOOKUP(A1742,'Datos generales'!A:L,6,0)</f>
        <v>78.180000000000007</v>
      </c>
      <c r="E1742" s="4">
        <f>VLOOKUP(A1742,'Datos generales'!A:L,12,0)</f>
        <v>78.180000000000007</v>
      </c>
      <c r="F1742" s="4" t="str">
        <f>VLOOKUP(A1742,'Datos generales'!A:L,7,0)</f>
        <v>Accesorios</v>
      </c>
      <c r="G1742" s="4">
        <v>2025</v>
      </c>
    </row>
    <row r="1743" spans="1:7" x14ac:dyDescent="0.25">
      <c r="A1743" t="s">
        <v>153</v>
      </c>
      <c r="B1743" s="4">
        <f>VLOOKUP(A1743,'Datos generales'!A:L,5,0)</f>
        <v>2</v>
      </c>
      <c r="C1743" s="4" t="str">
        <f>VLOOKUP(A1743,'Datos generales'!A:L,4,0)</f>
        <v>Monitor</v>
      </c>
      <c r="D1743" s="4">
        <f>VLOOKUP(A1743,'Datos generales'!A:L,6,0)</f>
        <v>1615.41</v>
      </c>
      <c r="E1743" s="4">
        <f>VLOOKUP(A1743,'Datos generales'!A:L,12,0)</f>
        <v>1615.41</v>
      </c>
      <c r="F1743" s="4" t="str">
        <f>VLOOKUP(A1743,'Datos generales'!A:L,7,0)</f>
        <v>Electrónica</v>
      </c>
      <c r="G1743" s="4">
        <v>2025</v>
      </c>
    </row>
    <row r="1744" spans="1:7" x14ac:dyDescent="0.25">
      <c r="A1744" t="s">
        <v>154</v>
      </c>
      <c r="B1744" s="4">
        <f>VLOOKUP(A1744,'Datos generales'!A:L,5,0)</f>
        <v>5</v>
      </c>
      <c r="C1744" s="4" t="str">
        <f>VLOOKUP(A1744,'Datos generales'!A:L,4,0)</f>
        <v>Monitor</v>
      </c>
      <c r="D1744" s="4">
        <f>VLOOKUP(A1744,'Datos generales'!A:L,6,0)</f>
        <v>149.54</v>
      </c>
      <c r="E1744" s="4">
        <f>VLOOKUP(A1744,'Datos generales'!A:L,12,0)</f>
        <v>149.54</v>
      </c>
      <c r="F1744" s="4" t="str">
        <f>VLOOKUP(A1744,'Datos generales'!A:L,7,0)</f>
        <v>Electrónica</v>
      </c>
      <c r="G1744" s="4">
        <v>2024</v>
      </c>
    </row>
    <row r="1745" spans="1:7" x14ac:dyDescent="0.25">
      <c r="A1745" t="s">
        <v>155</v>
      </c>
      <c r="B1745" s="4">
        <f>VLOOKUP(A1745,'Datos generales'!A:L,5,0)</f>
        <v>5</v>
      </c>
      <c r="C1745" s="4" t="str">
        <f>VLOOKUP(A1745,'Datos generales'!A:L,4,0)</f>
        <v>Teclado</v>
      </c>
      <c r="D1745" s="4">
        <f>VLOOKUP(A1745,'Datos generales'!A:L,6,0)</f>
        <v>955.39</v>
      </c>
      <c r="E1745" s="4">
        <f>VLOOKUP(A1745,'Datos generales'!A:L,12,0)</f>
        <v>955.39</v>
      </c>
      <c r="F1745" s="4" t="str">
        <f>VLOOKUP(A1745,'Datos generales'!A:L,7,0)</f>
        <v>Accesorios</v>
      </c>
      <c r="G1745" s="4">
        <v>2025</v>
      </c>
    </row>
    <row r="1746" spans="1:7" x14ac:dyDescent="0.25">
      <c r="A1746" t="s">
        <v>156</v>
      </c>
      <c r="B1746" s="4">
        <f>VLOOKUP(A1746,'Datos generales'!A:L,5,0)</f>
        <v>2</v>
      </c>
      <c r="C1746" s="4" t="str">
        <f>VLOOKUP(A1746,'Datos generales'!A:L,4,0)</f>
        <v>Silla Gamer</v>
      </c>
      <c r="D1746" s="4">
        <f>VLOOKUP(A1746,'Datos generales'!A:L,6,0)</f>
        <v>1963.63</v>
      </c>
      <c r="E1746" s="4">
        <f>VLOOKUP(A1746,'Datos generales'!A:L,12,0)</f>
        <v>1963.63</v>
      </c>
      <c r="F1746" s="4" t="str">
        <f>VLOOKUP(A1746,'Datos generales'!A:L,7,0)</f>
        <v>Muebles</v>
      </c>
      <c r="G1746" s="4">
        <v>2024</v>
      </c>
    </row>
    <row r="1747" spans="1:7" x14ac:dyDescent="0.25">
      <c r="A1747" t="s">
        <v>157</v>
      </c>
      <c r="B1747" s="4">
        <f>VLOOKUP(A1747,'Datos generales'!A:L,5,0)</f>
        <v>5</v>
      </c>
      <c r="C1747" s="4" t="str">
        <f>VLOOKUP(A1747,'Datos generales'!A:L,4,0)</f>
        <v>Webcam</v>
      </c>
      <c r="D1747" s="4">
        <f>VLOOKUP(A1747,'Datos generales'!A:L,6,0)</f>
        <v>1440.14</v>
      </c>
      <c r="E1747" s="4">
        <f>VLOOKUP(A1747,'Datos generales'!A:L,12,0)</f>
        <v>1440.14</v>
      </c>
      <c r="F1747" s="4" t="str">
        <f>VLOOKUP(A1747,'Datos generales'!A:L,7,0)</f>
        <v>Accesorios</v>
      </c>
      <c r="G1747" s="4">
        <v>2024</v>
      </c>
    </row>
    <row r="1748" spans="1:7" x14ac:dyDescent="0.25">
      <c r="A1748" t="s">
        <v>158</v>
      </c>
      <c r="B1748" s="4">
        <f>VLOOKUP(A1748,'Datos generales'!A:L,5,0)</f>
        <v>4</v>
      </c>
      <c r="C1748" s="4" t="str">
        <f>VLOOKUP(A1748,'Datos generales'!A:L,4,0)</f>
        <v>Monitor</v>
      </c>
      <c r="D1748" s="4">
        <f>VLOOKUP(A1748,'Datos generales'!A:L,6,0)</f>
        <v>283.7</v>
      </c>
      <c r="E1748" s="4">
        <f>VLOOKUP(A1748,'Datos generales'!A:L,12,0)</f>
        <v>283.7</v>
      </c>
      <c r="F1748" s="4" t="str">
        <f>VLOOKUP(A1748,'Datos generales'!A:L,7,0)</f>
        <v>Electrónica</v>
      </c>
      <c r="G1748" s="4">
        <v>2023</v>
      </c>
    </row>
    <row r="1749" spans="1:7" x14ac:dyDescent="0.25">
      <c r="A1749" t="s">
        <v>159</v>
      </c>
      <c r="B1749" s="4">
        <f>VLOOKUP(A1749,'Datos generales'!A:L,5,0)</f>
        <v>3</v>
      </c>
      <c r="C1749" s="4" t="str">
        <f>VLOOKUP(A1749,'Datos generales'!A:L,4,0)</f>
        <v>Impresora</v>
      </c>
      <c r="D1749" s="4">
        <f>VLOOKUP(A1749,'Datos generales'!A:L,6,0)</f>
        <v>687.51</v>
      </c>
      <c r="E1749" s="4">
        <f>VLOOKUP(A1749,'Datos generales'!A:L,12,0)</f>
        <v>687.50999999999988</v>
      </c>
      <c r="F1749" s="4" t="str">
        <f>VLOOKUP(A1749,'Datos generales'!A:L,7,0)</f>
        <v>Electrónica</v>
      </c>
      <c r="G1749" s="4">
        <v>2024</v>
      </c>
    </row>
    <row r="1750" spans="1:7" x14ac:dyDescent="0.25">
      <c r="A1750" t="s">
        <v>160</v>
      </c>
      <c r="B1750" s="4">
        <f>VLOOKUP(A1750,'Datos generales'!A:L,5,0)</f>
        <v>2</v>
      </c>
      <c r="C1750" s="4" t="str">
        <f>VLOOKUP(A1750,'Datos generales'!A:L,4,0)</f>
        <v>Webcam</v>
      </c>
      <c r="D1750" s="4">
        <f>VLOOKUP(A1750,'Datos generales'!A:L,6,0)</f>
        <v>282</v>
      </c>
      <c r="E1750" s="4">
        <f>VLOOKUP(A1750,'Datos generales'!A:L,12,0)</f>
        <v>282</v>
      </c>
      <c r="F1750" s="4" t="str">
        <f>VLOOKUP(A1750,'Datos generales'!A:L,7,0)</f>
        <v>Accesorios</v>
      </c>
      <c r="G1750" s="4">
        <v>2023</v>
      </c>
    </row>
    <row r="1751" spans="1:7" x14ac:dyDescent="0.25">
      <c r="A1751" t="s">
        <v>161</v>
      </c>
      <c r="B1751" s="4">
        <f>VLOOKUP(A1751,'Datos generales'!A:L,5,0)</f>
        <v>4</v>
      </c>
      <c r="C1751" s="4" t="str">
        <f>VLOOKUP(A1751,'Datos generales'!A:L,4,0)</f>
        <v>Impresora</v>
      </c>
      <c r="D1751" s="4">
        <f>VLOOKUP(A1751,'Datos generales'!A:L,6,0)</f>
        <v>1471.38</v>
      </c>
      <c r="E1751" s="4">
        <f>VLOOKUP(A1751,'Datos generales'!A:L,12,0)</f>
        <v>1471.38</v>
      </c>
      <c r="F1751" s="4" t="str">
        <f>VLOOKUP(A1751,'Datos generales'!A:L,7,0)</f>
        <v>Electrónica</v>
      </c>
      <c r="G1751" s="4">
        <v>2025</v>
      </c>
    </row>
    <row r="1752" spans="1:7" x14ac:dyDescent="0.25">
      <c r="A1752" t="s">
        <v>162</v>
      </c>
      <c r="B1752" s="4">
        <f>VLOOKUP(A1752,'Datos generales'!A:L,5,0)</f>
        <v>1</v>
      </c>
      <c r="C1752" s="4" t="str">
        <f>VLOOKUP(A1752,'Datos generales'!A:L,4,0)</f>
        <v>Webcam</v>
      </c>
      <c r="D1752" s="4">
        <f>VLOOKUP(A1752,'Datos generales'!A:L,6,0)</f>
        <v>1463.91</v>
      </c>
      <c r="E1752" s="4">
        <f>VLOOKUP(A1752,'Datos generales'!A:L,12,0)</f>
        <v>1463.91</v>
      </c>
      <c r="F1752" s="4" t="str">
        <f>VLOOKUP(A1752,'Datos generales'!A:L,7,0)</f>
        <v>Accesorios</v>
      </c>
      <c r="G1752" s="4">
        <v>2025</v>
      </c>
    </row>
    <row r="1753" spans="1:7" x14ac:dyDescent="0.25">
      <c r="A1753" t="s">
        <v>163</v>
      </c>
      <c r="B1753" s="4">
        <f>VLOOKUP(A1753,'Datos generales'!A:L,5,0)</f>
        <v>4</v>
      </c>
      <c r="C1753" s="4" t="str">
        <f>VLOOKUP(A1753,'Datos generales'!A:L,4,0)</f>
        <v>Teclado</v>
      </c>
      <c r="D1753" s="4">
        <f>VLOOKUP(A1753,'Datos generales'!A:L,6,0)</f>
        <v>1585.49</v>
      </c>
      <c r="E1753" s="4">
        <f>VLOOKUP(A1753,'Datos generales'!A:L,12,0)</f>
        <v>1585.49</v>
      </c>
      <c r="F1753" s="4" t="str">
        <f>VLOOKUP(A1753,'Datos generales'!A:L,7,0)</f>
        <v>Accesorios</v>
      </c>
      <c r="G1753" s="4">
        <v>2024</v>
      </c>
    </row>
    <row r="1754" spans="1:7" x14ac:dyDescent="0.25">
      <c r="A1754" t="s">
        <v>164</v>
      </c>
      <c r="B1754" s="4">
        <f>VLOOKUP(A1754,'Datos generales'!A:L,5,0)</f>
        <v>1</v>
      </c>
      <c r="C1754" s="4" t="str">
        <f>VLOOKUP(A1754,'Datos generales'!A:L,4,0)</f>
        <v>Teclado</v>
      </c>
      <c r="D1754" s="4">
        <f>VLOOKUP(A1754,'Datos generales'!A:L,6,0)</f>
        <v>662.17</v>
      </c>
      <c r="E1754" s="4">
        <f>VLOOKUP(A1754,'Datos generales'!A:L,12,0)</f>
        <v>662.17</v>
      </c>
      <c r="F1754" s="4" t="str">
        <f>VLOOKUP(A1754,'Datos generales'!A:L,7,0)</f>
        <v>Accesorios</v>
      </c>
      <c r="G1754" s="4">
        <v>2024</v>
      </c>
    </row>
    <row r="1755" spans="1:7" x14ac:dyDescent="0.25">
      <c r="A1755" t="s">
        <v>165</v>
      </c>
      <c r="B1755" s="4">
        <f>VLOOKUP(A1755,'Datos generales'!A:L,5,0)</f>
        <v>2</v>
      </c>
      <c r="C1755" s="4" t="str">
        <f>VLOOKUP(A1755,'Datos generales'!A:L,4,0)</f>
        <v>Webcam</v>
      </c>
      <c r="D1755" s="4">
        <f>VLOOKUP(A1755,'Datos generales'!A:L,6,0)</f>
        <v>136.68</v>
      </c>
      <c r="E1755" s="4">
        <f>VLOOKUP(A1755,'Datos generales'!A:L,12,0)</f>
        <v>136.68</v>
      </c>
      <c r="F1755" s="4" t="str">
        <f>VLOOKUP(A1755,'Datos generales'!A:L,7,0)</f>
        <v>Accesorios</v>
      </c>
      <c r="G1755" s="4">
        <v>2024</v>
      </c>
    </row>
    <row r="1756" spans="1:7" x14ac:dyDescent="0.25">
      <c r="A1756" t="s">
        <v>166</v>
      </c>
      <c r="B1756" s="4">
        <f>VLOOKUP(A1756,'Datos generales'!A:L,5,0)</f>
        <v>4</v>
      </c>
      <c r="C1756" s="4" t="str">
        <f>VLOOKUP(A1756,'Datos generales'!A:L,4,0)</f>
        <v>Impresora</v>
      </c>
      <c r="D1756" s="4">
        <f>VLOOKUP(A1756,'Datos generales'!A:L,6,0)</f>
        <v>118.64</v>
      </c>
      <c r="E1756" s="4">
        <f>VLOOKUP(A1756,'Datos generales'!A:L,12,0)</f>
        <v>118.64</v>
      </c>
      <c r="F1756" s="4" t="str">
        <f>VLOOKUP(A1756,'Datos generales'!A:L,7,0)</f>
        <v>Electrónica</v>
      </c>
      <c r="G1756" s="4">
        <v>2025</v>
      </c>
    </row>
    <row r="1757" spans="1:7" x14ac:dyDescent="0.25">
      <c r="A1757" t="s">
        <v>167</v>
      </c>
      <c r="B1757" s="4">
        <f>VLOOKUP(A1757,'Datos generales'!A:L,5,0)</f>
        <v>3</v>
      </c>
      <c r="C1757" s="4" t="str">
        <f>VLOOKUP(A1757,'Datos generales'!A:L,4,0)</f>
        <v>Laptop</v>
      </c>
      <c r="D1757" s="4">
        <f>VLOOKUP(A1757,'Datos generales'!A:L,6,0)</f>
        <v>933.49</v>
      </c>
      <c r="E1757" s="4">
        <f>VLOOKUP(A1757,'Datos generales'!A:L,12,0)</f>
        <v>933.49000000000012</v>
      </c>
      <c r="F1757" s="4" t="str">
        <f>VLOOKUP(A1757,'Datos generales'!A:L,7,0)</f>
        <v>Electrónica</v>
      </c>
      <c r="G1757" s="4">
        <v>2024</v>
      </c>
    </row>
    <row r="1758" spans="1:7" x14ac:dyDescent="0.25">
      <c r="A1758" t="s">
        <v>168</v>
      </c>
      <c r="B1758" s="4">
        <f>VLOOKUP(A1758,'Datos generales'!A:L,5,0)</f>
        <v>2</v>
      </c>
      <c r="C1758" s="4" t="str">
        <f>VLOOKUP(A1758,'Datos generales'!A:L,4,0)</f>
        <v>Audífonos</v>
      </c>
      <c r="D1758" s="4">
        <f>VLOOKUP(A1758,'Datos generales'!A:L,6,0)</f>
        <v>1035.0899999999999</v>
      </c>
      <c r="E1758" s="4">
        <f>VLOOKUP(A1758,'Datos generales'!A:L,12,0)</f>
        <v>1035.0899999999999</v>
      </c>
      <c r="F1758" s="4" t="str">
        <f>VLOOKUP(A1758,'Datos generales'!A:L,7,0)</f>
        <v>Accesorios</v>
      </c>
      <c r="G1758" s="4">
        <v>2023</v>
      </c>
    </row>
    <row r="1759" spans="1:7" x14ac:dyDescent="0.25">
      <c r="A1759" t="s">
        <v>169</v>
      </c>
      <c r="B1759" s="4">
        <f>VLOOKUP(A1759,'Datos generales'!A:L,5,0)</f>
        <v>2</v>
      </c>
      <c r="C1759" s="4" t="str">
        <f>VLOOKUP(A1759,'Datos generales'!A:L,4,0)</f>
        <v>Impresora</v>
      </c>
      <c r="D1759" s="4">
        <f>VLOOKUP(A1759,'Datos generales'!A:L,6,0)</f>
        <v>1325.01</v>
      </c>
      <c r="E1759" s="4">
        <f>VLOOKUP(A1759,'Datos generales'!A:L,12,0)</f>
        <v>1325.01</v>
      </c>
      <c r="F1759" s="4" t="str">
        <f>VLOOKUP(A1759,'Datos generales'!A:L,7,0)</f>
        <v>Electrónica</v>
      </c>
      <c r="G1759" s="4">
        <v>2024</v>
      </c>
    </row>
    <row r="1760" spans="1:7" x14ac:dyDescent="0.25">
      <c r="A1760" t="s">
        <v>170</v>
      </c>
      <c r="B1760" s="4">
        <f>VLOOKUP(A1760,'Datos generales'!A:L,5,0)</f>
        <v>4</v>
      </c>
      <c r="C1760" s="4" t="str">
        <f>VLOOKUP(A1760,'Datos generales'!A:L,4,0)</f>
        <v>Teclado</v>
      </c>
      <c r="D1760" s="4">
        <f>VLOOKUP(A1760,'Datos generales'!A:L,6,0)</f>
        <v>710.84</v>
      </c>
      <c r="E1760" s="4">
        <f>VLOOKUP(A1760,'Datos generales'!A:L,12,0)</f>
        <v>710.84</v>
      </c>
      <c r="F1760" s="4" t="str">
        <f>VLOOKUP(A1760,'Datos generales'!A:L,7,0)</f>
        <v>Accesorios</v>
      </c>
      <c r="G1760" s="4">
        <v>2023</v>
      </c>
    </row>
    <row r="1761" spans="1:7" x14ac:dyDescent="0.25">
      <c r="A1761" t="s">
        <v>171</v>
      </c>
      <c r="B1761" s="4">
        <f>VLOOKUP(A1761,'Datos generales'!A:L,5,0)</f>
        <v>3</v>
      </c>
      <c r="C1761" s="4" t="str">
        <f>VLOOKUP(A1761,'Datos generales'!A:L,4,0)</f>
        <v>Silla Gamer</v>
      </c>
      <c r="D1761" s="4">
        <f>VLOOKUP(A1761,'Datos generales'!A:L,6,0)</f>
        <v>97.27</v>
      </c>
      <c r="E1761" s="4">
        <f>VLOOKUP(A1761,'Datos generales'!A:L,12,0)</f>
        <v>97.27</v>
      </c>
      <c r="F1761" s="4" t="str">
        <f>VLOOKUP(A1761,'Datos generales'!A:L,7,0)</f>
        <v>Muebles</v>
      </c>
      <c r="G1761" s="4">
        <v>2025</v>
      </c>
    </row>
    <row r="1762" spans="1:7" x14ac:dyDescent="0.25">
      <c r="A1762" t="s">
        <v>172</v>
      </c>
      <c r="B1762" s="4">
        <f>VLOOKUP(A1762,'Datos generales'!A:L,5,0)</f>
        <v>5</v>
      </c>
      <c r="C1762" s="4" t="str">
        <f>VLOOKUP(A1762,'Datos generales'!A:L,4,0)</f>
        <v>Impresora</v>
      </c>
      <c r="D1762" s="4">
        <f>VLOOKUP(A1762,'Datos generales'!A:L,6,0)</f>
        <v>498.36</v>
      </c>
      <c r="E1762" s="4">
        <f>VLOOKUP(A1762,'Datos generales'!A:L,12,0)</f>
        <v>498.36</v>
      </c>
      <c r="F1762" s="4" t="str">
        <f>VLOOKUP(A1762,'Datos generales'!A:L,7,0)</f>
        <v>Electrónica</v>
      </c>
      <c r="G1762" s="4">
        <v>2024</v>
      </c>
    </row>
    <row r="1763" spans="1:7" x14ac:dyDescent="0.25">
      <c r="A1763" t="s">
        <v>173</v>
      </c>
      <c r="B1763" s="4">
        <f>VLOOKUP(A1763,'Datos generales'!A:L,5,0)</f>
        <v>5</v>
      </c>
      <c r="C1763" s="4" t="str">
        <f>VLOOKUP(A1763,'Datos generales'!A:L,4,0)</f>
        <v>Silla Gamer</v>
      </c>
      <c r="D1763" s="4">
        <f>VLOOKUP(A1763,'Datos generales'!A:L,6,0)</f>
        <v>980.89</v>
      </c>
      <c r="E1763" s="4">
        <f>VLOOKUP(A1763,'Datos generales'!A:L,12,0)</f>
        <v>980.89</v>
      </c>
      <c r="F1763" s="4" t="str">
        <f>VLOOKUP(A1763,'Datos generales'!A:L,7,0)</f>
        <v>Muebles</v>
      </c>
      <c r="G1763" s="4">
        <v>2024</v>
      </c>
    </row>
    <row r="1764" spans="1:7" x14ac:dyDescent="0.25">
      <c r="A1764" t="s">
        <v>174</v>
      </c>
      <c r="B1764" s="4">
        <f>VLOOKUP(A1764,'Datos generales'!A:L,5,0)</f>
        <v>1</v>
      </c>
      <c r="C1764" s="4" t="str">
        <f>VLOOKUP(A1764,'Datos generales'!A:L,4,0)</f>
        <v>Teclado</v>
      </c>
      <c r="D1764" s="4">
        <f>VLOOKUP(A1764,'Datos generales'!A:L,6,0)</f>
        <v>1390.33</v>
      </c>
      <c r="E1764" s="4">
        <f>VLOOKUP(A1764,'Datos generales'!A:L,12,0)</f>
        <v>1390.33</v>
      </c>
      <c r="F1764" s="4" t="str">
        <f>VLOOKUP(A1764,'Datos generales'!A:L,7,0)</f>
        <v>Accesorios</v>
      </c>
      <c r="G1764" s="4">
        <v>2024</v>
      </c>
    </row>
    <row r="1765" spans="1:7" x14ac:dyDescent="0.25">
      <c r="A1765" t="s">
        <v>175</v>
      </c>
      <c r="B1765" s="4">
        <f>VLOOKUP(A1765,'Datos generales'!A:L,5,0)</f>
        <v>5</v>
      </c>
      <c r="C1765" s="4" t="str">
        <f>VLOOKUP(A1765,'Datos generales'!A:L,4,0)</f>
        <v>Laptop</v>
      </c>
      <c r="D1765" s="4">
        <f>VLOOKUP(A1765,'Datos generales'!A:L,6,0)</f>
        <v>1708.09</v>
      </c>
      <c r="E1765" s="4">
        <f>VLOOKUP(A1765,'Datos generales'!A:L,12,0)</f>
        <v>1708.09</v>
      </c>
      <c r="F1765" s="4" t="str">
        <f>VLOOKUP(A1765,'Datos generales'!A:L,7,0)</f>
        <v>Electrónica</v>
      </c>
      <c r="G1765" s="4">
        <v>2023</v>
      </c>
    </row>
    <row r="1766" spans="1:7" x14ac:dyDescent="0.25">
      <c r="A1766" t="s">
        <v>176</v>
      </c>
      <c r="B1766" s="4">
        <f>VLOOKUP(A1766,'Datos generales'!A:L,5,0)</f>
        <v>3</v>
      </c>
      <c r="C1766" s="4" t="str">
        <f>VLOOKUP(A1766,'Datos generales'!A:L,4,0)</f>
        <v>Audífonos</v>
      </c>
      <c r="D1766" s="4">
        <f>VLOOKUP(A1766,'Datos generales'!A:L,6,0)</f>
        <v>459.4</v>
      </c>
      <c r="E1766" s="4">
        <f>VLOOKUP(A1766,'Datos generales'!A:L,12,0)</f>
        <v>459.39999999999992</v>
      </c>
      <c r="F1766" s="4" t="str">
        <f>VLOOKUP(A1766,'Datos generales'!A:L,7,0)</f>
        <v>Accesorios</v>
      </c>
      <c r="G1766" s="4">
        <v>2023</v>
      </c>
    </row>
    <row r="1767" spans="1:7" x14ac:dyDescent="0.25">
      <c r="A1767" t="s">
        <v>177</v>
      </c>
      <c r="B1767" s="4">
        <f>VLOOKUP(A1767,'Datos generales'!A:L,5,0)</f>
        <v>1</v>
      </c>
      <c r="C1767" s="4" t="str">
        <f>VLOOKUP(A1767,'Datos generales'!A:L,4,0)</f>
        <v>Impresora</v>
      </c>
      <c r="D1767" s="4">
        <f>VLOOKUP(A1767,'Datos generales'!A:L,6,0)</f>
        <v>1578.33</v>
      </c>
      <c r="E1767" s="4">
        <f>VLOOKUP(A1767,'Datos generales'!A:L,12,0)</f>
        <v>1578.33</v>
      </c>
      <c r="F1767" s="4" t="str">
        <f>VLOOKUP(A1767,'Datos generales'!A:L,7,0)</f>
        <v>Electrónica</v>
      </c>
      <c r="G1767" s="4">
        <v>2023</v>
      </c>
    </row>
    <row r="1768" spans="1:7" x14ac:dyDescent="0.25">
      <c r="A1768" t="s">
        <v>178</v>
      </c>
      <c r="B1768" s="4">
        <f>VLOOKUP(A1768,'Datos generales'!A:L,5,0)</f>
        <v>5</v>
      </c>
      <c r="C1768" s="4" t="str">
        <f>VLOOKUP(A1768,'Datos generales'!A:L,4,0)</f>
        <v>Teclado</v>
      </c>
      <c r="D1768" s="4">
        <f>VLOOKUP(A1768,'Datos generales'!A:L,6,0)</f>
        <v>1602.39</v>
      </c>
      <c r="E1768" s="4">
        <f>VLOOKUP(A1768,'Datos generales'!A:L,12,0)</f>
        <v>1602.39</v>
      </c>
      <c r="F1768" s="4" t="str">
        <f>VLOOKUP(A1768,'Datos generales'!A:L,7,0)</f>
        <v>Accesorios</v>
      </c>
      <c r="G1768" s="4">
        <v>2024</v>
      </c>
    </row>
    <row r="1769" spans="1:7" x14ac:dyDescent="0.25">
      <c r="A1769" t="s">
        <v>179</v>
      </c>
      <c r="B1769" s="4">
        <f>VLOOKUP(A1769,'Datos generales'!A:L,5,0)</f>
        <v>2</v>
      </c>
      <c r="C1769" s="4" t="str">
        <f>VLOOKUP(A1769,'Datos generales'!A:L,4,0)</f>
        <v>Teclado</v>
      </c>
      <c r="D1769" s="4">
        <f>VLOOKUP(A1769,'Datos generales'!A:L,6,0)</f>
        <v>714.55</v>
      </c>
      <c r="E1769" s="4">
        <f>VLOOKUP(A1769,'Datos generales'!A:L,12,0)</f>
        <v>714.55</v>
      </c>
      <c r="F1769" s="4" t="str">
        <f>VLOOKUP(A1769,'Datos generales'!A:L,7,0)</f>
        <v>Accesorios</v>
      </c>
      <c r="G1769" s="4">
        <v>2023</v>
      </c>
    </row>
    <row r="1770" spans="1:7" x14ac:dyDescent="0.25">
      <c r="A1770" t="s">
        <v>180</v>
      </c>
      <c r="B1770" s="4">
        <f>VLOOKUP(A1770,'Datos generales'!A:L,5,0)</f>
        <v>2</v>
      </c>
      <c r="C1770" s="4" t="str">
        <f>VLOOKUP(A1770,'Datos generales'!A:L,4,0)</f>
        <v>Silla Gamer</v>
      </c>
      <c r="D1770" s="4">
        <f>VLOOKUP(A1770,'Datos generales'!A:L,6,0)</f>
        <v>140.54</v>
      </c>
      <c r="E1770" s="4">
        <f>VLOOKUP(A1770,'Datos generales'!A:L,12,0)</f>
        <v>140.54</v>
      </c>
      <c r="F1770" s="4" t="str">
        <f>VLOOKUP(A1770,'Datos generales'!A:L,7,0)</f>
        <v>Muebles</v>
      </c>
      <c r="G1770" s="4">
        <v>2025</v>
      </c>
    </row>
    <row r="1771" spans="1:7" x14ac:dyDescent="0.25">
      <c r="A1771" t="s">
        <v>181</v>
      </c>
      <c r="B1771" s="4">
        <f>VLOOKUP(A1771,'Datos generales'!A:L,5,0)</f>
        <v>5</v>
      </c>
      <c r="C1771" s="4" t="str">
        <f>VLOOKUP(A1771,'Datos generales'!A:L,4,0)</f>
        <v>Mouse</v>
      </c>
      <c r="D1771" s="4">
        <f>VLOOKUP(A1771,'Datos generales'!A:L,6,0)</f>
        <v>286.87</v>
      </c>
      <c r="E1771" s="4">
        <f>VLOOKUP(A1771,'Datos generales'!A:L,12,0)</f>
        <v>286.87</v>
      </c>
      <c r="F1771" s="4" t="str">
        <f>VLOOKUP(A1771,'Datos generales'!A:L,7,0)</f>
        <v>Accesorios</v>
      </c>
      <c r="G1771" s="4">
        <v>2024</v>
      </c>
    </row>
    <row r="1772" spans="1:7" x14ac:dyDescent="0.25">
      <c r="A1772" t="s">
        <v>182</v>
      </c>
      <c r="B1772" s="4">
        <f>VLOOKUP(A1772,'Datos generales'!A:L,5,0)</f>
        <v>5</v>
      </c>
      <c r="C1772" s="4" t="str">
        <f>VLOOKUP(A1772,'Datos generales'!A:L,4,0)</f>
        <v>Webcam</v>
      </c>
      <c r="D1772" s="4">
        <f>VLOOKUP(A1772,'Datos generales'!A:L,6,0)</f>
        <v>1897.97</v>
      </c>
      <c r="E1772" s="4">
        <f>VLOOKUP(A1772,'Datos generales'!A:L,12,0)</f>
        <v>1897.97</v>
      </c>
      <c r="F1772" s="4" t="str">
        <f>VLOOKUP(A1772,'Datos generales'!A:L,7,0)</f>
        <v>Accesorios</v>
      </c>
      <c r="G1772" s="4">
        <v>2024</v>
      </c>
    </row>
    <row r="1773" spans="1:7" x14ac:dyDescent="0.25">
      <c r="A1773" t="s">
        <v>183</v>
      </c>
      <c r="B1773" s="4">
        <f>VLOOKUP(A1773,'Datos generales'!A:L,5,0)</f>
        <v>2</v>
      </c>
      <c r="C1773" s="4" t="str">
        <f>VLOOKUP(A1773,'Datos generales'!A:L,4,0)</f>
        <v>Teclado</v>
      </c>
      <c r="D1773" s="4">
        <f>VLOOKUP(A1773,'Datos generales'!A:L,6,0)</f>
        <v>587.71</v>
      </c>
      <c r="E1773" s="4">
        <f>VLOOKUP(A1773,'Datos generales'!A:L,12,0)</f>
        <v>587.71</v>
      </c>
      <c r="F1773" s="4" t="str">
        <f>VLOOKUP(A1773,'Datos generales'!A:L,7,0)</f>
        <v>Accesorios</v>
      </c>
      <c r="G1773" s="4">
        <v>2024</v>
      </c>
    </row>
    <row r="1774" spans="1:7" x14ac:dyDescent="0.25">
      <c r="A1774" t="s">
        <v>184</v>
      </c>
      <c r="B1774" s="4">
        <f>VLOOKUP(A1774,'Datos generales'!A:L,5,0)</f>
        <v>4</v>
      </c>
      <c r="C1774" s="4" t="str">
        <f>VLOOKUP(A1774,'Datos generales'!A:L,4,0)</f>
        <v>Webcam</v>
      </c>
      <c r="D1774" s="4">
        <f>VLOOKUP(A1774,'Datos generales'!A:L,6,0)</f>
        <v>895.13</v>
      </c>
      <c r="E1774" s="4">
        <f>VLOOKUP(A1774,'Datos generales'!A:L,12,0)</f>
        <v>895.13</v>
      </c>
      <c r="F1774" s="4" t="str">
        <f>VLOOKUP(A1774,'Datos generales'!A:L,7,0)</f>
        <v>Accesorios</v>
      </c>
      <c r="G1774" s="4">
        <v>2023</v>
      </c>
    </row>
    <row r="1775" spans="1:7" x14ac:dyDescent="0.25">
      <c r="A1775" t="s">
        <v>185</v>
      </c>
      <c r="B1775" s="4">
        <f>VLOOKUP(A1775,'Datos generales'!A:L,5,0)</f>
        <v>3</v>
      </c>
      <c r="C1775" s="4" t="str">
        <f>VLOOKUP(A1775,'Datos generales'!A:L,4,0)</f>
        <v>Impresora</v>
      </c>
      <c r="D1775" s="4">
        <f>VLOOKUP(A1775,'Datos generales'!A:L,6,0)</f>
        <v>1457.35</v>
      </c>
      <c r="E1775" s="4">
        <f>VLOOKUP(A1775,'Datos generales'!A:L,12,0)</f>
        <v>1457.35</v>
      </c>
      <c r="F1775" s="4" t="str">
        <f>VLOOKUP(A1775,'Datos generales'!A:L,7,0)</f>
        <v>Electrónica</v>
      </c>
      <c r="G1775" s="4">
        <v>2024</v>
      </c>
    </row>
    <row r="1776" spans="1:7" x14ac:dyDescent="0.25">
      <c r="A1776" t="s">
        <v>186</v>
      </c>
      <c r="B1776" s="4">
        <f>VLOOKUP(A1776,'Datos generales'!A:L,5,0)</f>
        <v>3</v>
      </c>
      <c r="C1776" s="4" t="str">
        <f>VLOOKUP(A1776,'Datos generales'!A:L,4,0)</f>
        <v>Silla Gamer</v>
      </c>
      <c r="D1776" s="4">
        <f>VLOOKUP(A1776,'Datos generales'!A:L,6,0)</f>
        <v>1083.32</v>
      </c>
      <c r="E1776" s="4">
        <f>VLOOKUP(A1776,'Datos generales'!A:L,12,0)</f>
        <v>1083.32</v>
      </c>
      <c r="F1776" s="4" t="str">
        <f>VLOOKUP(A1776,'Datos generales'!A:L,7,0)</f>
        <v>Muebles</v>
      </c>
      <c r="G1776" s="4">
        <v>2024</v>
      </c>
    </row>
    <row r="1777" spans="1:7" x14ac:dyDescent="0.25">
      <c r="A1777" t="s">
        <v>187</v>
      </c>
      <c r="B1777" s="4">
        <f>VLOOKUP(A1777,'Datos generales'!A:L,5,0)</f>
        <v>3</v>
      </c>
      <c r="C1777" s="4" t="str">
        <f>VLOOKUP(A1777,'Datos generales'!A:L,4,0)</f>
        <v>Laptop</v>
      </c>
      <c r="D1777" s="4">
        <f>VLOOKUP(A1777,'Datos generales'!A:L,6,0)</f>
        <v>1542.71</v>
      </c>
      <c r="E1777" s="4">
        <f>VLOOKUP(A1777,'Datos generales'!A:L,12,0)</f>
        <v>1542.71</v>
      </c>
      <c r="F1777" s="4" t="str">
        <f>VLOOKUP(A1777,'Datos generales'!A:L,7,0)</f>
        <v>Electrónica</v>
      </c>
      <c r="G1777" s="4">
        <v>2025</v>
      </c>
    </row>
    <row r="1778" spans="1:7" x14ac:dyDescent="0.25">
      <c r="A1778" t="s">
        <v>188</v>
      </c>
      <c r="B1778" s="4">
        <f>VLOOKUP(A1778,'Datos generales'!A:L,5,0)</f>
        <v>5</v>
      </c>
      <c r="C1778" s="4" t="str">
        <f>VLOOKUP(A1778,'Datos generales'!A:L,4,0)</f>
        <v>Impresora</v>
      </c>
      <c r="D1778" s="4">
        <f>VLOOKUP(A1778,'Datos generales'!A:L,6,0)</f>
        <v>723.8</v>
      </c>
      <c r="E1778" s="4">
        <f>VLOOKUP(A1778,'Datos generales'!A:L,12,0)</f>
        <v>723.8</v>
      </c>
      <c r="F1778" s="4" t="str">
        <f>VLOOKUP(A1778,'Datos generales'!A:L,7,0)</f>
        <v>Electrónica</v>
      </c>
      <c r="G1778" s="4">
        <v>2025</v>
      </c>
    </row>
    <row r="1779" spans="1:7" x14ac:dyDescent="0.25">
      <c r="A1779" t="s">
        <v>189</v>
      </c>
      <c r="B1779" s="4">
        <f>VLOOKUP(A1779,'Datos generales'!A:L,5,0)</f>
        <v>5</v>
      </c>
      <c r="C1779" s="4" t="str">
        <f>VLOOKUP(A1779,'Datos generales'!A:L,4,0)</f>
        <v>Teclado</v>
      </c>
      <c r="D1779" s="4">
        <f>VLOOKUP(A1779,'Datos generales'!A:L,6,0)</f>
        <v>179.97</v>
      </c>
      <c r="E1779" s="4">
        <f>VLOOKUP(A1779,'Datos generales'!A:L,12,0)</f>
        <v>179.97</v>
      </c>
      <c r="F1779" s="4" t="str">
        <f>VLOOKUP(A1779,'Datos generales'!A:L,7,0)</f>
        <v>Accesorios</v>
      </c>
      <c r="G1779" s="4">
        <v>2023</v>
      </c>
    </row>
    <row r="1780" spans="1:7" x14ac:dyDescent="0.25">
      <c r="A1780" t="s">
        <v>190</v>
      </c>
      <c r="B1780" s="4">
        <f>VLOOKUP(A1780,'Datos generales'!A:L,5,0)</f>
        <v>1</v>
      </c>
      <c r="C1780" s="4" t="str">
        <f>VLOOKUP(A1780,'Datos generales'!A:L,4,0)</f>
        <v>Laptop</v>
      </c>
      <c r="D1780" s="4">
        <f>VLOOKUP(A1780,'Datos generales'!A:L,6,0)</f>
        <v>1318.43</v>
      </c>
      <c r="E1780" s="4">
        <f>VLOOKUP(A1780,'Datos generales'!A:L,12,0)</f>
        <v>1318.43</v>
      </c>
      <c r="F1780" s="4" t="str">
        <f>VLOOKUP(A1780,'Datos generales'!A:L,7,0)</f>
        <v>Electrónica</v>
      </c>
      <c r="G1780" s="4">
        <v>2024</v>
      </c>
    </row>
    <row r="1781" spans="1:7" x14ac:dyDescent="0.25">
      <c r="A1781" t="s">
        <v>191</v>
      </c>
      <c r="B1781" s="4">
        <f>VLOOKUP(A1781,'Datos generales'!A:L,5,0)</f>
        <v>2</v>
      </c>
      <c r="C1781" s="4" t="str">
        <f>VLOOKUP(A1781,'Datos generales'!A:L,4,0)</f>
        <v>Impresora</v>
      </c>
      <c r="D1781" s="4">
        <f>VLOOKUP(A1781,'Datos generales'!A:L,6,0)</f>
        <v>307.37</v>
      </c>
      <c r="E1781" s="4">
        <f>VLOOKUP(A1781,'Datos generales'!A:L,12,0)</f>
        <v>307.37</v>
      </c>
      <c r="F1781" s="4" t="str">
        <f>VLOOKUP(A1781,'Datos generales'!A:L,7,0)</f>
        <v>Electrónica</v>
      </c>
      <c r="G1781" s="4">
        <v>2023</v>
      </c>
    </row>
    <row r="1782" spans="1:7" x14ac:dyDescent="0.25">
      <c r="A1782" t="s">
        <v>192</v>
      </c>
      <c r="B1782" s="4">
        <f>VLOOKUP(A1782,'Datos generales'!A:L,5,0)</f>
        <v>1</v>
      </c>
      <c r="C1782" s="4" t="str">
        <f>VLOOKUP(A1782,'Datos generales'!A:L,4,0)</f>
        <v>Silla Gamer</v>
      </c>
      <c r="D1782" s="4">
        <f>VLOOKUP(A1782,'Datos generales'!A:L,6,0)</f>
        <v>1364.97</v>
      </c>
      <c r="E1782" s="4">
        <f>VLOOKUP(A1782,'Datos generales'!A:L,12,0)</f>
        <v>1364.97</v>
      </c>
      <c r="F1782" s="4" t="str">
        <f>VLOOKUP(A1782,'Datos generales'!A:L,7,0)</f>
        <v>Muebles</v>
      </c>
      <c r="G1782" s="4">
        <v>2023</v>
      </c>
    </row>
    <row r="1783" spans="1:7" x14ac:dyDescent="0.25">
      <c r="A1783" t="s">
        <v>193</v>
      </c>
      <c r="B1783" s="4">
        <f>VLOOKUP(A1783,'Datos generales'!A:L,5,0)</f>
        <v>3</v>
      </c>
      <c r="C1783" s="4" t="str">
        <f>VLOOKUP(A1783,'Datos generales'!A:L,4,0)</f>
        <v>Audífonos</v>
      </c>
      <c r="D1783" s="4">
        <f>VLOOKUP(A1783,'Datos generales'!A:L,6,0)</f>
        <v>244.23</v>
      </c>
      <c r="E1783" s="4">
        <f>VLOOKUP(A1783,'Datos generales'!A:L,12,0)</f>
        <v>244.23</v>
      </c>
      <c r="F1783" s="4" t="str">
        <f>VLOOKUP(A1783,'Datos generales'!A:L,7,0)</f>
        <v>Accesorios</v>
      </c>
      <c r="G1783" s="4">
        <v>2024</v>
      </c>
    </row>
    <row r="1784" spans="1:7" x14ac:dyDescent="0.25">
      <c r="A1784" t="s">
        <v>194</v>
      </c>
      <c r="B1784" s="4">
        <f>VLOOKUP(A1784,'Datos generales'!A:L,5,0)</f>
        <v>3</v>
      </c>
      <c r="C1784" s="4" t="str">
        <f>VLOOKUP(A1784,'Datos generales'!A:L,4,0)</f>
        <v>Webcam</v>
      </c>
      <c r="D1784" s="4">
        <f>VLOOKUP(A1784,'Datos generales'!A:L,6,0)</f>
        <v>245.64</v>
      </c>
      <c r="E1784" s="4">
        <f>VLOOKUP(A1784,'Datos generales'!A:L,12,0)</f>
        <v>245.64</v>
      </c>
      <c r="F1784" s="4" t="str">
        <f>VLOOKUP(A1784,'Datos generales'!A:L,7,0)</f>
        <v>Accesorios</v>
      </c>
      <c r="G1784" s="4">
        <v>2023</v>
      </c>
    </row>
    <row r="1785" spans="1:7" x14ac:dyDescent="0.25">
      <c r="A1785" t="s">
        <v>195</v>
      </c>
      <c r="B1785" s="4">
        <f>VLOOKUP(A1785,'Datos generales'!A:L,5,0)</f>
        <v>1</v>
      </c>
      <c r="C1785" s="4" t="str">
        <f>VLOOKUP(A1785,'Datos generales'!A:L,4,0)</f>
        <v>Webcam</v>
      </c>
      <c r="D1785" s="4">
        <f>VLOOKUP(A1785,'Datos generales'!A:L,6,0)</f>
        <v>1501.34</v>
      </c>
      <c r="E1785" s="4">
        <f>VLOOKUP(A1785,'Datos generales'!A:L,12,0)</f>
        <v>1501.34</v>
      </c>
      <c r="F1785" s="4" t="str">
        <f>VLOOKUP(A1785,'Datos generales'!A:L,7,0)</f>
        <v>Accesorios</v>
      </c>
      <c r="G1785" s="4">
        <v>2024</v>
      </c>
    </row>
    <row r="1786" spans="1:7" x14ac:dyDescent="0.25">
      <c r="A1786" t="s">
        <v>196</v>
      </c>
      <c r="B1786" s="4">
        <f>VLOOKUP(A1786,'Datos generales'!A:L,5,0)</f>
        <v>4</v>
      </c>
      <c r="C1786" s="4" t="str">
        <f>VLOOKUP(A1786,'Datos generales'!A:L,4,0)</f>
        <v>Teclado</v>
      </c>
      <c r="D1786" s="4">
        <f>VLOOKUP(A1786,'Datos generales'!A:L,6,0)</f>
        <v>995.18</v>
      </c>
      <c r="E1786" s="4">
        <f>VLOOKUP(A1786,'Datos generales'!A:L,12,0)</f>
        <v>995.18</v>
      </c>
      <c r="F1786" s="4" t="str">
        <f>VLOOKUP(A1786,'Datos generales'!A:L,7,0)</f>
        <v>Accesorios</v>
      </c>
      <c r="G1786" s="4">
        <v>2024</v>
      </c>
    </row>
    <row r="1787" spans="1:7" x14ac:dyDescent="0.25">
      <c r="A1787" t="s">
        <v>197</v>
      </c>
      <c r="B1787" s="4">
        <f>VLOOKUP(A1787,'Datos generales'!A:L,5,0)</f>
        <v>2</v>
      </c>
      <c r="C1787" s="4" t="str">
        <f>VLOOKUP(A1787,'Datos generales'!A:L,4,0)</f>
        <v>Teclado</v>
      </c>
      <c r="D1787" s="4">
        <f>VLOOKUP(A1787,'Datos generales'!A:L,6,0)</f>
        <v>1834.72</v>
      </c>
      <c r="E1787" s="4">
        <f>VLOOKUP(A1787,'Datos generales'!A:L,12,0)</f>
        <v>1834.72</v>
      </c>
      <c r="F1787" s="4" t="str">
        <f>VLOOKUP(A1787,'Datos generales'!A:L,7,0)</f>
        <v>Accesorios</v>
      </c>
      <c r="G1787" s="4">
        <v>2023</v>
      </c>
    </row>
    <row r="1788" spans="1:7" x14ac:dyDescent="0.25">
      <c r="A1788" t="s">
        <v>198</v>
      </c>
      <c r="B1788" s="4">
        <f>VLOOKUP(A1788,'Datos generales'!A:L,5,0)</f>
        <v>2</v>
      </c>
      <c r="C1788" s="4" t="str">
        <f>VLOOKUP(A1788,'Datos generales'!A:L,4,0)</f>
        <v>Audífonos</v>
      </c>
      <c r="D1788" s="4">
        <f>VLOOKUP(A1788,'Datos generales'!A:L,6,0)</f>
        <v>1942.31</v>
      </c>
      <c r="E1788" s="4">
        <f>VLOOKUP(A1788,'Datos generales'!A:L,12,0)</f>
        <v>1942.31</v>
      </c>
      <c r="F1788" s="4" t="str">
        <f>VLOOKUP(A1788,'Datos generales'!A:L,7,0)</f>
        <v>Accesorios</v>
      </c>
      <c r="G1788" s="4">
        <v>2024</v>
      </c>
    </row>
    <row r="1789" spans="1:7" x14ac:dyDescent="0.25">
      <c r="A1789" t="s">
        <v>199</v>
      </c>
      <c r="B1789" s="4">
        <f>VLOOKUP(A1789,'Datos generales'!A:L,5,0)</f>
        <v>3</v>
      </c>
      <c r="C1789" s="4" t="str">
        <f>VLOOKUP(A1789,'Datos generales'!A:L,4,0)</f>
        <v>Audífonos</v>
      </c>
      <c r="D1789" s="4">
        <f>VLOOKUP(A1789,'Datos generales'!A:L,6,0)</f>
        <v>1025.57</v>
      </c>
      <c r="E1789" s="4">
        <f>VLOOKUP(A1789,'Datos generales'!A:L,12,0)</f>
        <v>1025.57</v>
      </c>
      <c r="F1789" s="4" t="str">
        <f>VLOOKUP(A1789,'Datos generales'!A:L,7,0)</f>
        <v>Accesorios</v>
      </c>
      <c r="G1789" s="4">
        <v>2025</v>
      </c>
    </row>
    <row r="1790" spans="1:7" x14ac:dyDescent="0.25">
      <c r="A1790" t="s">
        <v>200</v>
      </c>
      <c r="B1790" s="4">
        <f>VLOOKUP(A1790,'Datos generales'!A:L,5,0)</f>
        <v>4</v>
      </c>
      <c r="C1790" s="4" t="str">
        <f>VLOOKUP(A1790,'Datos generales'!A:L,4,0)</f>
        <v>Impresora</v>
      </c>
      <c r="D1790" s="4">
        <f>VLOOKUP(A1790,'Datos generales'!A:L,6,0)</f>
        <v>555.19000000000005</v>
      </c>
      <c r="E1790" s="4">
        <f>VLOOKUP(A1790,'Datos generales'!A:L,12,0)</f>
        <v>555.19000000000005</v>
      </c>
      <c r="F1790" s="4" t="str">
        <f>VLOOKUP(A1790,'Datos generales'!A:L,7,0)</f>
        <v>Electrónica</v>
      </c>
      <c r="G1790" s="4">
        <v>2023</v>
      </c>
    </row>
    <row r="1791" spans="1:7" x14ac:dyDescent="0.25">
      <c r="A1791" t="s">
        <v>201</v>
      </c>
      <c r="B1791" s="4">
        <f>VLOOKUP(A1791,'Datos generales'!A:L,5,0)</f>
        <v>5</v>
      </c>
      <c r="C1791" s="4" t="str">
        <f>VLOOKUP(A1791,'Datos generales'!A:L,4,0)</f>
        <v>Silla Gamer</v>
      </c>
      <c r="D1791" s="4">
        <f>VLOOKUP(A1791,'Datos generales'!A:L,6,0)</f>
        <v>750.82</v>
      </c>
      <c r="E1791" s="4">
        <f>VLOOKUP(A1791,'Datos generales'!A:L,12,0)</f>
        <v>750.82</v>
      </c>
      <c r="F1791" s="4" t="str">
        <f>VLOOKUP(A1791,'Datos generales'!A:L,7,0)</f>
        <v>Muebles</v>
      </c>
      <c r="G1791" s="4">
        <v>2023</v>
      </c>
    </row>
    <row r="1792" spans="1:7" x14ac:dyDescent="0.25">
      <c r="A1792" t="s">
        <v>202</v>
      </c>
      <c r="B1792" s="4">
        <f>VLOOKUP(A1792,'Datos generales'!A:L,5,0)</f>
        <v>2</v>
      </c>
      <c r="C1792" s="4" t="str">
        <f>VLOOKUP(A1792,'Datos generales'!A:L,4,0)</f>
        <v>Impresora</v>
      </c>
      <c r="D1792" s="4">
        <f>VLOOKUP(A1792,'Datos generales'!A:L,6,0)</f>
        <v>1609.9</v>
      </c>
      <c r="E1792" s="4">
        <f>VLOOKUP(A1792,'Datos generales'!A:L,12,0)</f>
        <v>1609.9</v>
      </c>
      <c r="F1792" s="4" t="str">
        <f>VLOOKUP(A1792,'Datos generales'!A:L,7,0)</f>
        <v>Electrónica</v>
      </c>
      <c r="G1792" s="4">
        <v>2025</v>
      </c>
    </row>
    <row r="1793" spans="1:7" x14ac:dyDescent="0.25">
      <c r="A1793" t="s">
        <v>203</v>
      </c>
      <c r="B1793" s="4">
        <f>VLOOKUP(A1793,'Datos generales'!A:L,5,0)</f>
        <v>3</v>
      </c>
      <c r="C1793" s="4" t="str">
        <f>VLOOKUP(A1793,'Datos generales'!A:L,4,0)</f>
        <v>Silla Gamer</v>
      </c>
      <c r="D1793" s="4">
        <f>VLOOKUP(A1793,'Datos generales'!A:L,6,0)</f>
        <v>27.89</v>
      </c>
      <c r="E1793" s="4">
        <f>VLOOKUP(A1793,'Datos generales'!A:L,12,0)</f>
        <v>27.89</v>
      </c>
      <c r="F1793" s="4" t="str">
        <f>VLOOKUP(A1793,'Datos generales'!A:L,7,0)</f>
        <v>Muebles</v>
      </c>
      <c r="G1793" s="4">
        <v>2025</v>
      </c>
    </row>
    <row r="1794" spans="1:7" x14ac:dyDescent="0.25">
      <c r="A1794" t="s">
        <v>204</v>
      </c>
      <c r="B1794" s="4">
        <f>VLOOKUP(A1794,'Datos generales'!A:L,5,0)</f>
        <v>1</v>
      </c>
      <c r="C1794" s="4" t="str">
        <f>VLOOKUP(A1794,'Datos generales'!A:L,4,0)</f>
        <v>Audífonos</v>
      </c>
      <c r="D1794" s="4">
        <f>VLOOKUP(A1794,'Datos generales'!A:L,6,0)</f>
        <v>1700.54</v>
      </c>
      <c r="E1794" s="4">
        <f>VLOOKUP(A1794,'Datos generales'!A:L,12,0)</f>
        <v>1700.54</v>
      </c>
      <c r="F1794" s="4" t="str">
        <f>VLOOKUP(A1794,'Datos generales'!A:L,7,0)</f>
        <v>Accesorios</v>
      </c>
      <c r="G1794" s="4">
        <v>2025</v>
      </c>
    </row>
    <row r="1795" spans="1:7" x14ac:dyDescent="0.25">
      <c r="A1795" t="s">
        <v>205</v>
      </c>
      <c r="B1795" s="4">
        <f>VLOOKUP(A1795,'Datos generales'!A:L,5,0)</f>
        <v>3</v>
      </c>
      <c r="C1795" s="4" t="str">
        <f>VLOOKUP(A1795,'Datos generales'!A:L,4,0)</f>
        <v>Audífonos</v>
      </c>
      <c r="D1795" s="4">
        <f>VLOOKUP(A1795,'Datos generales'!A:L,6,0)</f>
        <v>473.4</v>
      </c>
      <c r="E1795" s="4">
        <f>VLOOKUP(A1795,'Datos generales'!A:L,12,0)</f>
        <v>473.39999999999992</v>
      </c>
      <c r="F1795" s="4" t="str">
        <f>VLOOKUP(A1795,'Datos generales'!A:L,7,0)</f>
        <v>Accesorios</v>
      </c>
      <c r="G1795" s="4">
        <v>2025</v>
      </c>
    </row>
    <row r="1796" spans="1:7" x14ac:dyDescent="0.25">
      <c r="A1796" t="s">
        <v>206</v>
      </c>
      <c r="B1796" s="4">
        <f>VLOOKUP(A1796,'Datos generales'!A:L,5,0)</f>
        <v>1</v>
      </c>
      <c r="C1796" s="4" t="str">
        <f>VLOOKUP(A1796,'Datos generales'!A:L,4,0)</f>
        <v>Impresora</v>
      </c>
      <c r="D1796" s="4">
        <f>VLOOKUP(A1796,'Datos generales'!A:L,6,0)</f>
        <v>521.32000000000005</v>
      </c>
      <c r="E1796" s="4">
        <f>VLOOKUP(A1796,'Datos generales'!A:L,12,0)</f>
        <v>521.32000000000005</v>
      </c>
      <c r="F1796" s="4" t="str">
        <f>VLOOKUP(A1796,'Datos generales'!A:L,7,0)</f>
        <v>Electrónica</v>
      </c>
      <c r="G1796" s="4">
        <v>2023</v>
      </c>
    </row>
    <row r="1797" spans="1:7" x14ac:dyDescent="0.25">
      <c r="A1797" t="s">
        <v>207</v>
      </c>
      <c r="B1797" s="4">
        <f>VLOOKUP(A1797,'Datos generales'!A:L,5,0)</f>
        <v>1</v>
      </c>
      <c r="C1797" s="4" t="str">
        <f>VLOOKUP(A1797,'Datos generales'!A:L,4,0)</f>
        <v>Teclado</v>
      </c>
      <c r="D1797" s="4">
        <f>VLOOKUP(A1797,'Datos generales'!A:L,6,0)</f>
        <v>1067.6400000000001</v>
      </c>
      <c r="E1797" s="4">
        <f>VLOOKUP(A1797,'Datos generales'!A:L,12,0)</f>
        <v>1067.6400000000001</v>
      </c>
      <c r="F1797" s="4" t="str">
        <f>VLOOKUP(A1797,'Datos generales'!A:L,7,0)</f>
        <v>Accesorios</v>
      </c>
      <c r="G1797" s="4">
        <v>2025</v>
      </c>
    </row>
    <row r="1798" spans="1:7" x14ac:dyDescent="0.25">
      <c r="A1798" t="s">
        <v>208</v>
      </c>
      <c r="B1798" s="4">
        <f>VLOOKUP(A1798,'Datos generales'!A:L,5,0)</f>
        <v>1</v>
      </c>
      <c r="C1798" s="4" t="str">
        <f>VLOOKUP(A1798,'Datos generales'!A:L,4,0)</f>
        <v>Mouse</v>
      </c>
      <c r="D1798" s="4">
        <f>VLOOKUP(A1798,'Datos generales'!A:L,6,0)</f>
        <v>1903.64</v>
      </c>
      <c r="E1798" s="4">
        <f>VLOOKUP(A1798,'Datos generales'!A:L,12,0)</f>
        <v>1903.64</v>
      </c>
      <c r="F1798" s="4" t="str">
        <f>VLOOKUP(A1798,'Datos generales'!A:L,7,0)</f>
        <v>Accesorios</v>
      </c>
      <c r="G1798" s="4">
        <v>2023</v>
      </c>
    </row>
    <row r="1799" spans="1:7" x14ac:dyDescent="0.25">
      <c r="A1799" t="s">
        <v>209</v>
      </c>
      <c r="B1799" s="4">
        <f>VLOOKUP(A1799,'Datos generales'!A:L,5,0)</f>
        <v>2</v>
      </c>
      <c r="C1799" s="4" t="str">
        <f>VLOOKUP(A1799,'Datos generales'!A:L,4,0)</f>
        <v>Silla Gamer</v>
      </c>
      <c r="D1799" s="4">
        <f>VLOOKUP(A1799,'Datos generales'!A:L,6,0)</f>
        <v>1460.16</v>
      </c>
      <c r="E1799" s="4">
        <f>VLOOKUP(A1799,'Datos generales'!A:L,12,0)</f>
        <v>1460.16</v>
      </c>
      <c r="F1799" s="4" t="str">
        <f>VLOOKUP(A1799,'Datos generales'!A:L,7,0)</f>
        <v>Muebles</v>
      </c>
      <c r="G1799" s="4">
        <v>2023</v>
      </c>
    </row>
    <row r="1800" spans="1:7" x14ac:dyDescent="0.25">
      <c r="A1800" t="s">
        <v>210</v>
      </c>
      <c r="B1800" s="4">
        <f>VLOOKUP(A1800,'Datos generales'!A:L,5,0)</f>
        <v>4</v>
      </c>
      <c r="C1800" s="4" t="str">
        <f>VLOOKUP(A1800,'Datos generales'!A:L,4,0)</f>
        <v>Monitor</v>
      </c>
      <c r="D1800" s="4">
        <f>VLOOKUP(A1800,'Datos generales'!A:L,6,0)</f>
        <v>847</v>
      </c>
      <c r="E1800" s="4">
        <f>VLOOKUP(A1800,'Datos generales'!A:L,12,0)</f>
        <v>847</v>
      </c>
      <c r="F1800" s="4" t="str">
        <f>VLOOKUP(A1800,'Datos generales'!A:L,7,0)</f>
        <v>Electrónica</v>
      </c>
      <c r="G1800" s="4">
        <v>2025</v>
      </c>
    </row>
    <row r="1801" spans="1:7" x14ac:dyDescent="0.25">
      <c r="A1801" t="s">
        <v>211</v>
      </c>
      <c r="B1801" s="4">
        <f>VLOOKUP(A1801,'Datos generales'!A:L,5,0)</f>
        <v>2</v>
      </c>
      <c r="C1801" s="4" t="str">
        <f>VLOOKUP(A1801,'Datos generales'!A:L,4,0)</f>
        <v>Mouse</v>
      </c>
      <c r="D1801" s="4">
        <f>VLOOKUP(A1801,'Datos generales'!A:L,6,0)</f>
        <v>1243.3399999999999</v>
      </c>
      <c r="E1801" s="4">
        <f>VLOOKUP(A1801,'Datos generales'!A:L,12,0)</f>
        <v>1243.3399999999999</v>
      </c>
      <c r="F1801" s="4" t="str">
        <f>VLOOKUP(A1801,'Datos generales'!A:L,7,0)</f>
        <v>Accesorios</v>
      </c>
      <c r="G1801" s="4">
        <v>2023</v>
      </c>
    </row>
    <row r="1802" spans="1:7" x14ac:dyDescent="0.25">
      <c r="A1802" t="s">
        <v>12</v>
      </c>
      <c r="B1802" s="4">
        <f>VLOOKUP(A1802,'Datos generales'!A:L,5,0)</f>
        <v>5</v>
      </c>
      <c r="C1802" s="4" t="str">
        <f>VLOOKUP(A1802,'Datos generales'!A:L,4,0)</f>
        <v>Monitor</v>
      </c>
      <c r="D1802" s="4">
        <f>VLOOKUP(A1802,'Datos generales'!A:L,6,0)</f>
        <v>1497.24</v>
      </c>
      <c r="E1802" s="4">
        <f>VLOOKUP(A1802,'Datos generales'!A:L,12,0)</f>
        <v>1497.24</v>
      </c>
      <c r="F1802" s="4" t="str">
        <f>VLOOKUP(A1802,'Datos generales'!A:L,7,0)</f>
        <v>Electrónica</v>
      </c>
      <c r="G1802" s="4">
        <v>2023</v>
      </c>
    </row>
    <row r="1803" spans="1:7" x14ac:dyDescent="0.25">
      <c r="A1803" t="s">
        <v>13</v>
      </c>
      <c r="B1803" s="4">
        <f>VLOOKUP(A1803,'Datos generales'!A:L,5,0)</f>
        <v>1</v>
      </c>
      <c r="C1803" s="4" t="str">
        <f>VLOOKUP(A1803,'Datos generales'!A:L,4,0)</f>
        <v>Monitor</v>
      </c>
      <c r="D1803" s="4">
        <f>VLOOKUP(A1803,'Datos generales'!A:L,6,0)</f>
        <v>1687.54</v>
      </c>
      <c r="E1803" s="4">
        <f>VLOOKUP(A1803,'Datos generales'!A:L,12,0)</f>
        <v>1687.54</v>
      </c>
      <c r="F1803" s="4" t="str">
        <f>VLOOKUP(A1803,'Datos generales'!A:L,7,0)</f>
        <v>Electrónica</v>
      </c>
      <c r="G1803" s="4">
        <v>2023</v>
      </c>
    </row>
    <row r="1804" spans="1:7" x14ac:dyDescent="0.25">
      <c r="A1804" t="s">
        <v>14</v>
      </c>
      <c r="B1804" s="4">
        <f>VLOOKUP(A1804,'Datos generales'!A:L,5,0)</f>
        <v>3</v>
      </c>
      <c r="C1804" s="4" t="str">
        <f>VLOOKUP(A1804,'Datos generales'!A:L,4,0)</f>
        <v>Teclado</v>
      </c>
      <c r="D1804" s="4">
        <f>VLOOKUP(A1804,'Datos generales'!A:L,6,0)</f>
        <v>768.8</v>
      </c>
      <c r="E1804" s="4">
        <f>VLOOKUP(A1804,'Datos generales'!A:L,12,0)</f>
        <v>768.79999999999984</v>
      </c>
      <c r="F1804" s="4" t="str">
        <f>VLOOKUP(A1804,'Datos generales'!A:L,7,0)</f>
        <v>Accesorios</v>
      </c>
      <c r="G1804" s="4">
        <v>2024</v>
      </c>
    </row>
    <row r="1805" spans="1:7" x14ac:dyDescent="0.25">
      <c r="A1805" t="s">
        <v>15</v>
      </c>
      <c r="B1805" s="4">
        <f>VLOOKUP(A1805,'Datos generales'!A:L,5,0)</f>
        <v>1</v>
      </c>
      <c r="C1805" s="4" t="str">
        <f>VLOOKUP(A1805,'Datos generales'!A:L,4,0)</f>
        <v>Silla Gamer</v>
      </c>
      <c r="D1805" s="4">
        <f>VLOOKUP(A1805,'Datos generales'!A:L,6,0)</f>
        <v>1532.67</v>
      </c>
      <c r="E1805" s="4">
        <f>VLOOKUP(A1805,'Datos generales'!A:L,12,0)</f>
        <v>1532.67</v>
      </c>
      <c r="F1805" s="4" t="str">
        <f>VLOOKUP(A1805,'Datos generales'!A:L,7,0)</f>
        <v>Muebles</v>
      </c>
      <c r="G1805" s="4">
        <v>2025</v>
      </c>
    </row>
    <row r="1806" spans="1:7" x14ac:dyDescent="0.25">
      <c r="A1806" t="s">
        <v>16</v>
      </c>
      <c r="B1806" s="4">
        <f>VLOOKUP(A1806,'Datos generales'!A:L,5,0)</f>
        <v>3</v>
      </c>
      <c r="C1806" s="4" t="str">
        <f>VLOOKUP(A1806,'Datos generales'!A:L,4,0)</f>
        <v>Silla Gamer</v>
      </c>
      <c r="D1806" s="4">
        <f>VLOOKUP(A1806,'Datos generales'!A:L,6,0)</f>
        <v>1709.47</v>
      </c>
      <c r="E1806" s="4">
        <f>VLOOKUP(A1806,'Datos generales'!A:L,12,0)</f>
        <v>1709.47</v>
      </c>
      <c r="F1806" s="4" t="str">
        <f>VLOOKUP(A1806,'Datos generales'!A:L,7,0)</f>
        <v>Muebles</v>
      </c>
      <c r="G1806" s="4">
        <v>2025</v>
      </c>
    </row>
    <row r="1807" spans="1:7" x14ac:dyDescent="0.25">
      <c r="A1807" t="s">
        <v>17</v>
      </c>
      <c r="B1807" s="4">
        <f>VLOOKUP(A1807,'Datos generales'!A:L,5,0)</f>
        <v>3</v>
      </c>
      <c r="C1807" s="4" t="str">
        <f>VLOOKUP(A1807,'Datos generales'!A:L,4,0)</f>
        <v>Impresora</v>
      </c>
      <c r="D1807" s="4">
        <f>VLOOKUP(A1807,'Datos generales'!A:L,6,0)</f>
        <v>297.54000000000002</v>
      </c>
      <c r="E1807" s="4">
        <f>VLOOKUP(A1807,'Datos generales'!A:L,12,0)</f>
        <v>297.54000000000002</v>
      </c>
      <c r="F1807" s="4" t="str">
        <f>VLOOKUP(A1807,'Datos generales'!A:L,7,0)</f>
        <v>Electrónica</v>
      </c>
      <c r="G1807" s="4">
        <v>2023</v>
      </c>
    </row>
    <row r="1808" spans="1:7" x14ac:dyDescent="0.25">
      <c r="A1808" t="s">
        <v>18</v>
      </c>
      <c r="B1808" s="4">
        <f>VLOOKUP(A1808,'Datos generales'!A:L,5,0)</f>
        <v>4</v>
      </c>
      <c r="C1808" s="4" t="str">
        <f>VLOOKUP(A1808,'Datos generales'!A:L,4,0)</f>
        <v>Webcam</v>
      </c>
      <c r="D1808" s="4">
        <f>VLOOKUP(A1808,'Datos generales'!A:L,6,0)</f>
        <v>1546.65</v>
      </c>
      <c r="E1808" s="4">
        <f>VLOOKUP(A1808,'Datos generales'!A:L,12,0)</f>
        <v>1546.65</v>
      </c>
      <c r="F1808" s="4" t="str">
        <f>VLOOKUP(A1808,'Datos generales'!A:L,7,0)</f>
        <v>Accesorios</v>
      </c>
      <c r="G1808" s="4">
        <v>2025</v>
      </c>
    </row>
    <row r="1809" spans="1:7" x14ac:dyDescent="0.25">
      <c r="A1809" t="s">
        <v>19</v>
      </c>
      <c r="B1809" s="4">
        <f>VLOOKUP(A1809,'Datos generales'!A:L,5,0)</f>
        <v>1</v>
      </c>
      <c r="C1809" s="4" t="str">
        <f>VLOOKUP(A1809,'Datos generales'!A:L,4,0)</f>
        <v>Monitor</v>
      </c>
      <c r="D1809" s="4">
        <f>VLOOKUP(A1809,'Datos generales'!A:L,6,0)</f>
        <v>1575.18</v>
      </c>
      <c r="E1809" s="4">
        <f>VLOOKUP(A1809,'Datos generales'!A:L,12,0)</f>
        <v>1575.18</v>
      </c>
      <c r="F1809" s="4" t="str">
        <f>VLOOKUP(A1809,'Datos generales'!A:L,7,0)</f>
        <v>Electrónica</v>
      </c>
      <c r="G1809" s="4">
        <v>2025</v>
      </c>
    </row>
    <row r="1810" spans="1:7" x14ac:dyDescent="0.25">
      <c r="A1810" t="s">
        <v>20</v>
      </c>
      <c r="B1810" s="4">
        <f>VLOOKUP(A1810,'Datos generales'!A:L,5,0)</f>
        <v>5</v>
      </c>
      <c r="C1810" s="4" t="str">
        <f>VLOOKUP(A1810,'Datos generales'!A:L,4,0)</f>
        <v>Laptop</v>
      </c>
      <c r="D1810" s="4">
        <f>VLOOKUP(A1810,'Datos generales'!A:L,6,0)</f>
        <v>1815.86</v>
      </c>
      <c r="E1810" s="4">
        <f>VLOOKUP(A1810,'Datos generales'!A:L,12,0)</f>
        <v>1815.86</v>
      </c>
      <c r="F1810" s="4" t="str">
        <f>VLOOKUP(A1810,'Datos generales'!A:L,7,0)</f>
        <v>Electrónica</v>
      </c>
      <c r="G1810" s="4">
        <v>2024</v>
      </c>
    </row>
    <row r="1811" spans="1:7" x14ac:dyDescent="0.25">
      <c r="A1811" t="s">
        <v>21</v>
      </c>
      <c r="B1811" s="4">
        <f>VLOOKUP(A1811,'Datos generales'!A:L,5,0)</f>
        <v>1</v>
      </c>
      <c r="C1811" s="4" t="str">
        <f>VLOOKUP(A1811,'Datos generales'!A:L,4,0)</f>
        <v>Monitor</v>
      </c>
      <c r="D1811" s="4">
        <f>VLOOKUP(A1811,'Datos generales'!A:L,6,0)</f>
        <v>564.11</v>
      </c>
      <c r="E1811" s="4">
        <f>VLOOKUP(A1811,'Datos generales'!A:L,12,0)</f>
        <v>564.11</v>
      </c>
      <c r="F1811" s="4" t="str">
        <f>VLOOKUP(A1811,'Datos generales'!A:L,7,0)</f>
        <v>Electrónica</v>
      </c>
      <c r="G1811" s="4">
        <v>2024</v>
      </c>
    </row>
    <row r="1812" spans="1:7" x14ac:dyDescent="0.25">
      <c r="A1812" t="s">
        <v>22</v>
      </c>
      <c r="B1812" s="4">
        <f>VLOOKUP(A1812,'Datos generales'!A:L,5,0)</f>
        <v>1</v>
      </c>
      <c r="C1812" s="4" t="str">
        <f>VLOOKUP(A1812,'Datos generales'!A:L,4,0)</f>
        <v>Laptop</v>
      </c>
      <c r="D1812" s="4">
        <f>VLOOKUP(A1812,'Datos generales'!A:L,6,0)</f>
        <v>454.9</v>
      </c>
      <c r="E1812" s="4">
        <f>VLOOKUP(A1812,'Datos generales'!A:L,12,0)</f>
        <v>454.9</v>
      </c>
      <c r="F1812" s="4" t="str">
        <f>VLOOKUP(A1812,'Datos generales'!A:L,7,0)</f>
        <v>Electrónica</v>
      </c>
      <c r="G1812" s="4">
        <v>2024</v>
      </c>
    </row>
    <row r="1813" spans="1:7" x14ac:dyDescent="0.25">
      <c r="A1813" t="s">
        <v>23</v>
      </c>
      <c r="B1813" s="4">
        <f>VLOOKUP(A1813,'Datos generales'!A:L,5,0)</f>
        <v>3</v>
      </c>
      <c r="C1813" s="4" t="str">
        <f>VLOOKUP(A1813,'Datos generales'!A:L,4,0)</f>
        <v>Mouse</v>
      </c>
      <c r="D1813" s="4">
        <f>VLOOKUP(A1813,'Datos generales'!A:L,6,0)</f>
        <v>1277.51</v>
      </c>
      <c r="E1813" s="4">
        <f>VLOOKUP(A1813,'Datos generales'!A:L,12,0)</f>
        <v>1277.51</v>
      </c>
      <c r="F1813" s="4" t="str">
        <f>VLOOKUP(A1813,'Datos generales'!A:L,7,0)</f>
        <v>Accesorios</v>
      </c>
      <c r="G1813" s="4">
        <v>2024</v>
      </c>
    </row>
    <row r="1814" spans="1:7" x14ac:dyDescent="0.25">
      <c r="A1814" t="s">
        <v>24</v>
      </c>
      <c r="B1814" s="4">
        <f>VLOOKUP(A1814,'Datos generales'!A:L,5,0)</f>
        <v>2</v>
      </c>
      <c r="C1814" s="4" t="str">
        <f>VLOOKUP(A1814,'Datos generales'!A:L,4,0)</f>
        <v>Silla Gamer</v>
      </c>
      <c r="D1814" s="4">
        <f>VLOOKUP(A1814,'Datos generales'!A:L,6,0)</f>
        <v>1870.95</v>
      </c>
      <c r="E1814" s="4">
        <f>VLOOKUP(A1814,'Datos generales'!A:L,12,0)</f>
        <v>1870.95</v>
      </c>
      <c r="F1814" s="4" t="str">
        <f>VLOOKUP(A1814,'Datos generales'!A:L,7,0)</f>
        <v>Muebles</v>
      </c>
      <c r="G1814" s="4">
        <v>2023</v>
      </c>
    </row>
    <row r="1815" spans="1:7" x14ac:dyDescent="0.25">
      <c r="A1815" t="s">
        <v>25</v>
      </c>
      <c r="B1815" s="4">
        <f>VLOOKUP(A1815,'Datos generales'!A:L,5,0)</f>
        <v>4</v>
      </c>
      <c r="C1815" s="4" t="str">
        <f>VLOOKUP(A1815,'Datos generales'!A:L,4,0)</f>
        <v>Monitor</v>
      </c>
      <c r="D1815" s="4">
        <f>VLOOKUP(A1815,'Datos generales'!A:L,6,0)</f>
        <v>1227.23</v>
      </c>
      <c r="E1815" s="4">
        <f>VLOOKUP(A1815,'Datos generales'!A:L,12,0)</f>
        <v>1227.23</v>
      </c>
      <c r="F1815" s="4" t="str">
        <f>VLOOKUP(A1815,'Datos generales'!A:L,7,0)</f>
        <v>Electrónica</v>
      </c>
      <c r="G1815" s="4">
        <v>2023</v>
      </c>
    </row>
    <row r="1816" spans="1:7" x14ac:dyDescent="0.25">
      <c r="A1816" t="s">
        <v>26</v>
      </c>
      <c r="B1816" s="4">
        <f>VLOOKUP(A1816,'Datos generales'!A:L,5,0)</f>
        <v>1</v>
      </c>
      <c r="C1816" s="4" t="str">
        <f>VLOOKUP(A1816,'Datos generales'!A:L,4,0)</f>
        <v>Impresora</v>
      </c>
      <c r="D1816" s="4">
        <f>VLOOKUP(A1816,'Datos generales'!A:L,6,0)</f>
        <v>1329.6</v>
      </c>
      <c r="E1816" s="4">
        <f>VLOOKUP(A1816,'Datos generales'!A:L,12,0)</f>
        <v>1329.6</v>
      </c>
      <c r="F1816" s="4" t="str">
        <f>VLOOKUP(A1816,'Datos generales'!A:L,7,0)</f>
        <v>Electrónica</v>
      </c>
      <c r="G1816" s="4">
        <v>2024</v>
      </c>
    </row>
    <row r="1817" spans="1:7" x14ac:dyDescent="0.25">
      <c r="A1817" t="s">
        <v>27</v>
      </c>
      <c r="B1817" s="4">
        <f>VLOOKUP(A1817,'Datos generales'!A:L,5,0)</f>
        <v>3</v>
      </c>
      <c r="C1817" s="4" t="str">
        <f>VLOOKUP(A1817,'Datos generales'!A:L,4,0)</f>
        <v>Monitor</v>
      </c>
      <c r="D1817" s="4">
        <f>VLOOKUP(A1817,'Datos generales'!A:L,6,0)</f>
        <v>1734.12</v>
      </c>
      <c r="E1817" s="4">
        <f>VLOOKUP(A1817,'Datos generales'!A:L,12,0)</f>
        <v>1734.12</v>
      </c>
      <c r="F1817" s="4" t="str">
        <f>VLOOKUP(A1817,'Datos generales'!A:L,7,0)</f>
        <v>Electrónica</v>
      </c>
      <c r="G1817" s="4">
        <v>2023</v>
      </c>
    </row>
    <row r="1818" spans="1:7" x14ac:dyDescent="0.25">
      <c r="A1818" t="s">
        <v>28</v>
      </c>
      <c r="B1818" s="4">
        <f>VLOOKUP(A1818,'Datos generales'!A:L,5,0)</f>
        <v>1</v>
      </c>
      <c r="C1818" s="4" t="str">
        <f>VLOOKUP(A1818,'Datos generales'!A:L,4,0)</f>
        <v>Monitor</v>
      </c>
      <c r="D1818" s="4">
        <f>VLOOKUP(A1818,'Datos generales'!A:L,6,0)</f>
        <v>1209.6199999999999</v>
      </c>
      <c r="E1818" s="4">
        <f>VLOOKUP(A1818,'Datos generales'!A:L,12,0)</f>
        <v>1209.6199999999999</v>
      </c>
      <c r="F1818" s="4" t="str">
        <f>VLOOKUP(A1818,'Datos generales'!A:L,7,0)</f>
        <v>Electrónica</v>
      </c>
      <c r="G1818" s="4">
        <v>2024</v>
      </c>
    </row>
    <row r="1819" spans="1:7" x14ac:dyDescent="0.25">
      <c r="A1819" t="s">
        <v>29</v>
      </c>
      <c r="B1819" s="4">
        <f>VLOOKUP(A1819,'Datos generales'!A:L,5,0)</f>
        <v>3</v>
      </c>
      <c r="C1819" s="4" t="str">
        <f>VLOOKUP(A1819,'Datos generales'!A:L,4,0)</f>
        <v>Mouse</v>
      </c>
      <c r="D1819" s="4">
        <f>VLOOKUP(A1819,'Datos generales'!A:L,6,0)</f>
        <v>922.33</v>
      </c>
      <c r="E1819" s="4">
        <f>VLOOKUP(A1819,'Datos generales'!A:L,12,0)</f>
        <v>922.33</v>
      </c>
      <c r="F1819" s="4" t="str">
        <f>VLOOKUP(A1819,'Datos generales'!A:L,7,0)</f>
        <v>Accesorios</v>
      </c>
      <c r="G1819" s="4">
        <v>2024</v>
      </c>
    </row>
    <row r="1820" spans="1:7" x14ac:dyDescent="0.25">
      <c r="A1820" t="s">
        <v>30</v>
      </c>
      <c r="B1820" s="4">
        <f>VLOOKUP(A1820,'Datos generales'!A:L,5,0)</f>
        <v>4</v>
      </c>
      <c r="C1820" s="4" t="str">
        <f>VLOOKUP(A1820,'Datos generales'!A:L,4,0)</f>
        <v>Webcam</v>
      </c>
      <c r="D1820" s="4">
        <f>VLOOKUP(A1820,'Datos generales'!A:L,6,0)</f>
        <v>54.42</v>
      </c>
      <c r="E1820" s="4">
        <f>VLOOKUP(A1820,'Datos generales'!A:L,12,0)</f>
        <v>54.42</v>
      </c>
      <c r="F1820" s="4" t="str">
        <f>VLOOKUP(A1820,'Datos generales'!A:L,7,0)</f>
        <v>Accesorios</v>
      </c>
      <c r="G1820" s="4">
        <v>2025</v>
      </c>
    </row>
    <row r="1821" spans="1:7" x14ac:dyDescent="0.25">
      <c r="A1821" t="s">
        <v>31</v>
      </c>
      <c r="B1821" s="4">
        <f>VLOOKUP(A1821,'Datos generales'!A:L,5,0)</f>
        <v>2</v>
      </c>
      <c r="C1821" s="4" t="str">
        <f>VLOOKUP(A1821,'Datos generales'!A:L,4,0)</f>
        <v>Mouse</v>
      </c>
      <c r="D1821" s="4">
        <f>VLOOKUP(A1821,'Datos generales'!A:L,6,0)</f>
        <v>1567.18</v>
      </c>
      <c r="E1821" s="4">
        <f>VLOOKUP(A1821,'Datos generales'!A:L,12,0)</f>
        <v>1567.18</v>
      </c>
      <c r="F1821" s="4" t="str">
        <f>VLOOKUP(A1821,'Datos generales'!A:L,7,0)</f>
        <v>Accesorios</v>
      </c>
      <c r="G1821" s="4">
        <v>2023</v>
      </c>
    </row>
    <row r="1822" spans="1:7" x14ac:dyDescent="0.25">
      <c r="A1822" t="s">
        <v>32</v>
      </c>
      <c r="B1822" s="4">
        <f>VLOOKUP(A1822,'Datos generales'!A:L,5,0)</f>
        <v>2</v>
      </c>
      <c r="C1822" s="4" t="str">
        <f>VLOOKUP(A1822,'Datos generales'!A:L,4,0)</f>
        <v>Teclado</v>
      </c>
      <c r="D1822" s="4">
        <f>VLOOKUP(A1822,'Datos generales'!A:L,6,0)</f>
        <v>519.79999999999995</v>
      </c>
      <c r="E1822" s="4">
        <f>VLOOKUP(A1822,'Datos generales'!A:L,12,0)</f>
        <v>519.79999999999995</v>
      </c>
      <c r="F1822" s="4" t="str">
        <f>VLOOKUP(A1822,'Datos generales'!A:L,7,0)</f>
        <v>Accesorios</v>
      </c>
      <c r="G1822" s="4">
        <v>2023</v>
      </c>
    </row>
    <row r="1823" spans="1:7" x14ac:dyDescent="0.25">
      <c r="A1823" t="s">
        <v>33</v>
      </c>
      <c r="B1823" s="4">
        <f>VLOOKUP(A1823,'Datos generales'!A:L,5,0)</f>
        <v>1</v>
      </c>
      <c r="C1823" s="4" t="str">
        <f>VLOOKUP(A1823,'Datos generales'!A:L,4,0)</f>
        <v>Silla Gamer</v>
      </c>
      <c r="D1823" s="4">
        <f>VLOOKUP(A1823,'Datos generales'!A:L,6,0)</f>
        <v>1267.01</v>
      </c>
      <c r="E1823" s="4">
        <f>VLOOKUP(A1823,'Datos generales'!A:L,12,0)</f>
        <v>1267.01</v>
      </c>
      <c r="F1823" s="4" t="str">
        <f>VLOOKUP(A1823,'Datos generales'!A:L,7,0)</f>
        <v>Muebles</v>
      </c>
      <c r="G1823" s="4">
        <v>2024</v>
      </c>
    </row>
    <row r="1824" spans="1:7" x14ac:dyDescent="0.25">
      <c r="A1824" t="s">
        <v>34</v>
      </c>
      <c r="B1824" s="4">
        <f>VLOOKUP(A1824,'Datos generales'!A:L,5,0)</f>
        <v>4</v>
      </c>
      <c r="C1824" s="4" t="str">
        <f>VLOOKUP(A1824,'Datos generales'!A:L,4,0)</f>
        <v>Monitor</v>
      </c>
      <c r="D1824" s="4">
        <f>VLOOKUP(A1824,'Datos generales'!A:L,6,0)</f>
        <v>1027.81</v>
      </c>
      <c r="E1824" s="4">
        <f>VLOOKUP(A1824,'Datos generales'!A:L,12,0)</f>
        <v>1027.81</v>
      </c>
      <c r="F1824" s="4" t="str">
        <f>VLOOKUP(A1824,'Datos generales'!A:L,7,0)</f>
        <v>Electrónica</v>
      </c>
      <c r="G1824" s="4">
        <v>2024</v>
      </c>
    </row>
    <row r="1825" spans="1:7" x14ac:dyDescent="0.25">
      <c r="A1825" t="s">
        <v>35</v>
      </c>
      <c r="B1825" s="4">
        <f>VLOOKUP(A1825,'Datos generales'!A:L,5,0)</f>
        <v>3</v>
      </c>
      <c r="C1825" s="4" t="str">
        <f>VLOOKUP(A1825,'Datos generales'!A:L,4,0)</f>
        <v>Webcam</v>
      </c>
      <c r="D1825" s="4">
        <f>VLOOKUP(A1825,'Datos generales'!A:L,6,0)</f>
        <v>925.62</v>
      </c>
      <c r="E1825" s="4">
        <f>VLOOKUP(A1825,'Datos generales'!A:L,12,0)</f>
        <v>925.62</v>
      </c>
      <c r="F1825" s="4" t="str">
        <f>VLOOKUP(A1825,'Datos generales'!A:L,7,0)</f>
        <v>Accesorios</v>
      </c>
      <c r="G1825" s="4">
        <v>2024</v>
      </c>
    </row>
    <row r="1826" spans="1:7" x14ac:dyDescent="0.25">
      <c r="A1826" t="s">
        <v>36</v>
      </c>
      <c r="B1826" s="4">
        <f>VLOOKUP(A1826,'Datos generales'!A:L,5,0)</f>
        <v>3</v>
      </c>
      <c r="C1826" s="4" t="str">
        <f>VLOOKUP(A1826,'Datos generales'!A:L,4,0)</f>
        <v>Monitor</v>
      </c>
      <c r="D1826" s="4">
        <f>VLOOKUP(A1826,'Datos generales'!A:L,6,0)</f>
        <v>213.71</v>
      </c>
      <c r="E1826" s="4">
        <f>VLOOKUP(A1826,'Datos generales'!A:L,12,0)</f>
        <v>213.71</v>
      </c>
      <c r="F1826" s="4" t="str">
        <f>VLOOKUP(A1826,'Datos generales'!A:L,7,0)</f>
        <v>Electrónica</v>
      </c>
      <c r="G1826" s="4">
        <v>2025</v>
      </c>
    </row>
    <row r="1827" spans="1:7" x14ac:dyDescent="0.25">
      <c r="A1827" t="s">
        <v>37</v>
      </c>
      <c r="B1827" s="4">
        <f>VLOOKUP(A1827,'Datos generales'!A:L,5,0)</f>
        <v>2</v>
      </c>
      <c r="C1827" s="4" t="str">
        <f>VLOOKUP(A1827,'Datos generales'!A:L,4,0)</f>
        <v>Laptop</v>
      </c>
      <c r="D1827" s="4">
        <f>VLOOKUP(A1827,'Datos generales'!A:L,6,0)</f>
        <v>1146.75</v>
      </c>
      <c r="E1827" s="4">
        <f>VLOOKUP(A1827,'Datos generales'!A:L,12,0)</f>
        <v>1146.75</v>
      </c>
      <c r="F1827" s="4" t="str">
        <f>VLOOKUP(A1827,'Datos generales'!A:L,7,0)</f>
        <v>Electrónica</v>
      </c>
      <c r="G1827" s="4">
        <v>2024</v>
      </c>
    </row>
    <row r="1828" spans="1:7" x14ac:dyDescent="0.25">
      <c r="A1828" t="s">
        <v>38</v>
      </c>
      <c r="B1828" s="4">
        <f>VLOOKUP(A1828,'Datos generales'!A:L,5,0)</f>
        <v>5</v>
      </c>
      <c r="C1828" s="4" t="str">
        <f>VLOOKUP(A1828,'Datos generales'!A:L,4,0)</f>
        <v>Laptop</v>
      </c>
      <c r="D1828" s="4">
        <f>VLOOKUP(A1828,'Datos generales'!A:L,6,0)</f>
        <v>907.28</v>
      </c>
      <c r="E1828" s="4">
        <f>VLOOKUP(A1828,'Datos generales'!A:L,12,0)</f>
        <v>907.28</v>
      </c>
      <c r="F1828" s="4" t="str">
        <f>VLOOKUP(A1828,'Datos generales'!A:L,7,0)</f>
        <v>Electrónica</v>
      </c>
      <c r="G1828" s="4">
        <v>2023</v>
      </c>
    </row>
    <row r="1829" spans="1:7" x14ac:dyDescent="0.25">
      <c r="A1829" t="s">
        <v>39</v>
      </c>
      <c r="B1829" s="4">
        <f>VLOOKUP(A1829,'Datos generales'!A:L,5,0)</f>
        <v>2</v>
      </c>
      <c r="C1829" s="4" t="str">
        <f>VLOOKUP(A1829,'Datos generales'!A:L,4,0)</f>
        <v>Webcam</v>
      </c>
      <c r="D1829" s="4">
        <f>VLOOKUP(A1829,'Datos generales'!A:L,6,0)</f>
        <v>1734.44</v>
      </c>
      <c r="E1829" s="4">
        <f>VLOOKUP(A1829,'Datos generales'!A:L,12,0)</f>
        <v>1734.44</v>
      </c>
      <c r="F1829" s="4" t="str">
        <f>VLOOKUP(A1829,'Datos generales'!A:L,7,0)</f>
        <v>Accesorios</v>
      </c>
      <c r="G1829" s="4">
        <v>2023</v>
      </c>
    </row>
    <row r="1830" spans="1:7" x14ac:dyDescent="0.25">
      <c r="A1830" t="s">
        <v>40</v>
      </c>
      <c r="B1830" s="4">
        <f>VLOOKUP(A1830,'Datos generales'!A:L,5,0)</f>
        <v>1</v>
      </c>
      <c r="C1830" s="4" t="str">
        <f>VLOOKUP(A1830,'Datos generales'!A:L,4,0)</f>
        <v>Teclado</v>
      </c>
      <c r="D1830" s="4">
        <f>VLOOKUP(A1830,'Datos generales'!A:L,6,0)</f>
        <v>424.35</v>
      </c>
      <c r="E1830" s="4">
        <f>VLOOKUP(A1830,'Datos generales'!A:L,12,0)</f>
        <v>424.35</v>
      </c>
      <c r="F1830" s="4" t="str">
        <f>VLOOKUP(A1830,'Datos generales'!A:L,7,0)</f>
        <v>Accesorios</v>
      </c>
      <c r="G1830" s="4">
        <v>2024</v>
      </c>
    </row>
    <row r="1831" spans="1:7" x14ac:dyDescent="0.25">
      <c r="A1831" t="s">
        <v>41</v>
      </c>
      <c r="B1831" s="4">
        <f>VLOOKUP(A1831,'Datos generales'!A:L,5,0)</f>
        <v>1</v>
      </c>
      <c r="C1831" s="4" t="str">
        <f>VLOOKUP(A1831,'Datos generales'!A:L,4,0)</f>
        <v>Monitor</v>
      </c>
      <c r="D1831" s="4">
        <f>VLOOKUP(A1831,'Datos generales'!A:L,6,0)</f>
        <v>252.57</v>
      </c>
      <c r="E1831" s="4">
        <f>VLOOKUP(A1831,'Datos generales'!A:L,12,0)</f>
        <v>252.57</v>
      </c>
      <c r="F1831" s="4" t="str">
        <f>VLOOKUP(A1831,'Datos generales'!A:L,7,0)</f>
        <v>Electrónica</v>
      </c>
      <c r="G1831" s="4">
        <v>2025</v>
      </c>
    </row>
    <row r="1832" spans="1:7" x14ac:dyDescent="0.25">
      <c r="A1832" t="s">
        <v>42</v>
      </c>
      <c r="B1832" s="4">
        <f>VLOOKUP(A1832,'Datos generales'!A:L,5,0)</f>
        <v>3</v>
      </c>
      <c r="C1832" s="4" t="str">
        <f>VLOOKUP(A1832,'Datos generales'!A:L,4,0)</f>
        <v>Mouse</v>
      </c>
      <c r="D1832" s="4">
        <f>VLOOKUP(A1832,'Datos generales'!A:L,6,0)</f>
        <v>21.56</v>
      </c>
      <c r="E1832" s="4">
        <f>VLOOKUP(A1832,'Datos generales'!A:L,12,0)</f>
        <v>21.56</v>
      </c>
      <c r="F1832" s="4" t="str">
        <f>VLOOKUP(A1832,'Datos generales'!A:L,7,0)</f>
        <v>Accesorios</v>
      </c>
      <c r="G1832" s="4">
        <v>2024</v>
      </c>
    </row>
    <row r="1833" spans="1:7" x14ac:dyDescent="0.25">
      <c r="A1833" t="s">
        <v>43</v>
      </c>
      <c r="B1833" s="4">
        <f>VLOOKUP(A1833,'Datos generales'!A:L,5,0)</f>
        <v>1</v>
      </c>
      <c r="C1833" s="4" t="str">
        <f>VLOOKUP(A1833,'Datos generales'!A:L,4,0)</f>
        <v>Silla Gamer</v>
      </c>
      <c r="D1833" s="4">
        <f>VLOOKUP(A1833,'Datos generales'!A:L,6,0)</f>
        <v>446.81</v>
      </c>
      <c r="E1833" s="4">
        <f>VLOOKUP(A1833,'Datos generales'!A:L,12,0)</f>
        <v>446.81</v>
      </c>
      <c r="F1833" s="4" t="str">
        <f>VLOOKUP(A1833,'Datos generales'!A:L,7,0)</f>
        <v>Muebles</v>
      </c>
      <c r="G1833" s="4">
        <v>2024</v>
      </c>
    </row>
    <row r="1834" spans="1:7" x14ac:dyDescent="0.25">
      <c r="A1834" t="s">
        <v>44</v>
      </c>
      <c r="B1834" s="4">
        <f>VLOOKUP(A1834,'Datos generales'!A:L,5,0)</f>
        <v>2</v>
      </c>
      <c r="C1834" s="4" t="str">
        <f>VLOOKUP(A1834,'Datos generales'!A:L,4,0)</f>
        <v>Mouse</v>
      </c>
      <c r="D1834" s="4">
        <f>VLOOKUP(A1834,'Datos generales'!A:L,6,0)</f>
        <v>64.67</v>
      </c>
      <c r="E1834" s="4">
        <f>VLOOKUP(A1834,'Datos generales'!A:L,12,0)</f>
        <v>64.67</v>
      </c>
      <c r="F1834" s="4" t="str">
        <f>VLOOKUP(A1834,'Datos generales'!A:L,7,0)</f>
        <v>Accesorios</v>
      </c>
      <c r="G1834" s="4">
        <v>2023</v>
      </c>
    </row>
    <row r="1835" spans="1:7" x14ac:dyDescent="0.25">
      <c r="A1835" t="s">
        <v>45</v>
      </c>
      <c r="B1835" s="4">
        <f>VLOOKUP(A1835,'Datos generales'!A:L,5,0)</f>
        <v>5</v>
      </c>
      <c r="C1835" s="4" t="str">
        <f>VLOOKUP(A1835,'Datos generales'!A:L,4,0)</f>
        <v>Webcam</v>
      </c>
      <c r="D1835" s="4">
        <f>VLOOKUP(A1835,'Datos generales'!A:L,6,0)</f>
        <v>1168.3499999999999</v>
      </c>
      <c r="E1835" s="4">
        <f>VLOOKUP(A1835,'Datos generales'!A:L,12,0)</f>
        <v>1168.3499999999999</v>
      </c>
      <c r="F1835" s="4" t="str">
        <f>VLOOKUP(A1835,'Datos generales'!A:L,7,0)</f>
        <v>Accesorios</v>
      </c>
      <c r="G1835" s="4">
        <v>2024</v>
      </c>
    </row>
    <row r="1836" spans="1:7" x14ac:dyDescent="0.25">
      <c r="A1836" t="s">
        <v>46</v>
      </c>
      <c r="B1836" s="4">
        <f>VLOOKUP(A1836,'Datos generales'!A:L,5,0)</f>
        <v>2</v>
      </c>
      <c r="C1836" s="4" t="str">
        <f>VLOOKUP(A1836,'Datos generales'!A:L,4,0)</f>
        <v>Silla Gamer</v>
      </c>
      <c r="D1836" s="4">
        <f>VLOOKUP(A1836,'Datos generales'!A:L,6,0)</f>
        <v>349.3</v>
      </c>
      <c r="E1836" s="4">
        <f>VLOOKUP(A1836,'Datos generales'!A:L,12,0)</f>
        <v>349.3</v>
      </c>
      <c r="F1836" s="4" t="str">
        <f>VLOOKUP(A1836,'Datos generales'!A:L,7,0)</f>
        <v>Muebles</v>
      </c>
      <c r="G1836" s="4">
        <v>2025</v>
      </c>
    </row>
    <row r="1837" spans="1:7" x14ac:dyDescent="0.25">
      <c r="A1837" t="s">
        <v>47</v>
      </c>
      <c r="B1837" s="4">
        <f>VLOOKUP(A1837,'Datos generales'!A:L,5,0)</f>
        <v>3</v>
      </c>
      <c r="C1837" s="4" t="str">
        <f>VLOOKUP(A1837,'Datos generales'!A:L,4,0)</f>
        <v>Webcam</v>
      </c>
      <c r="D1837" s="4">
        <f>VLOOKUP(A1837,'Datos generales'!A:L,6,0)</f>
        <v>1154.06</v>
      </c>
      <c r="E1837" s="4">
        <f>VLOOKUP(A1837,'Datos generales'!A:L,12,0)</f>
        <v>1154.06</v>
      </c>
      <c r="F1837" s="4" t="str">
        <f>VLOOKUP(A1837,'Datos generales'!A:L,7,0)</f>
        <v>Accesorios</v>
      </c>
      <c r="G1837" s="4">
        <v>2024</v>
      </c>
    </row>
    <row r="1838" spans="1:7" x14ac:dyDescent="0.25">
      <c r="A1838" t="s">
        <v>48</v>
      </c>
      <c r="B1838" s="4">
        <f>VLOOKUP(A1838,'Datos generales'!A:L,5,0)</f>
        <v>4</v>
      </c>
      <c r="C1838" s="4" t="str">
        <f>VLOOKUP(A1838,'Datos generales'!A:L,4,0)</f>
        <v>Impresora</v>
      </c>
      <c r="D1838" s="4">
        <f>VLOOKUP(A1838,'Datos generales'!A:L,6,0)</f>
        <v>1566.37</v>
      </c>
      <c r="E1838" s="4">
        <f>VLOOKUP(A1838,'Datos generales'!A:L,12,0)</f>
        <v>1566.37</v>
      </c>
      <c r="F1838" s="4" t="str">
        <f>VLOOKUP(A1838,'Datos generales'!A:L,7,0)</f>
        <v>Electrónica</v>
      </c>
      <c r="G1838" s="4">
        <v>2025</v>
      </c>
    </row>
    <row r="1839" spans="1:7" x14ac:dyDescent="0.25">
      <c r="A1839" t="s">
        <v>49</v>
      </c>
      <c r="B1839" s="4">
        <f>VLOOKUP(A1839,'Datos generales'!A:L,5,0)</f>
        <v>2</v>
      </c>
      <c r="C1839" s="4" t="str">
        <f>VLOOKUP(A1839,'Datos generales'!A:L,4,0)</f>
        <v>Monitor</v>
      </c>
      <c r="D1839" s="4">
        <f>VLOOKUP(A1839,'Datos generales'!A:L,6,0)</f>
        <v>674.48</v>
      </c>
      <c r="E1839" s="4">
        <f>VLOOKUP(A1839,'Datos generales'!A:L,12,0)</f>
        <v>674.48</v>
      </c>
      <c r="F1839" s="4" t="str">
        <f>VLOOKUP(A1839,'Datos generales'!A:L,7,0)</f>
        <v>Electrónica</v>
      </c>
      <c r="G1839" s="4">
        <v>2024</v>
      </c>
    </row>
    <row r="1840" spans="1:7" x14ac:dyDescent="0.25">
      <c r="A1840" t="s">
        <v>50</v>
      </c>
      <c r="B1840" s="4">
        <f>VLOOKUP(A1840,'Datos generales'!A:L,5,0)</f>
        <v>2</v>
      </c>
      <c r="C1840" s="4" t="str">
        <f>VLOOKUP(A1840,'Datos generales'!A:L,4,0)</f>
        <v>Monitor</v>
      </c>
      <c r="D1840" s="4">
        <f>VLOOKUP(A1840,'Datos generales'!A:L,6,0)</f>
        <v>1543.98</v>
      </c>
      <c r="E1840" s="4">
        <f>VLOOKUP(A1840,'Datos generales'!A:L,12,0)</f>
        <v>1543.98</v>
      </c>
      <c r="F1840" s="4" t="str">
        <f>VLOOKUP(A1840,'Datos generales'!A:L,7,0)</f>
        <v>Electrónica</v>
      </c>
      <c r="G1840" s="4">
        <v>2024</v>
      </c>
    </row>
    <row r="1841" spans="1:7" x14ac:dyDescent="0.25">
      <c r="A1841" t="s">
        <v>51</v>
      </c>
      <c r="B1841" s="4">
        <f>VLOOKUP(A1841,'Datos generales'!A:L,5,0)</f>
        <v>5</v>
      </c>
      <c r="C1841" s="4" t="str">
        <f>VLOOKUP(A1841,'Datos generales'!A:L,4,0)</f>
        <v>Laptop</v>
      </c>
      <c r="D1841" s="4">
        <f>VLOOKUP(A1841,'Datos generales'!A:L,6,0)</f>
        <v>917.31</v>
      </c>
      <c r="E1841" s="4">
        <f>VLOOKUP(A1841,'Datos generales'!A:L,12,0)</f>
        <v>917.30999999999983</v>
      </c>
      <c r="F1841" s="4" t="str">
        <f>VLOOKUP(A1841,'Datos generales'!A:L,7,0)</f>
        <v>Electrónica</v>
      </c>
      <c r="G1841" s="4">
        <v>2023</v>
      </c>
    </row>
    <row r="1842" spans="1:7" x14ac:dyDescent="0.25">
      <c r="A1842" t="s">
        <v>52</v>
      </c>
      <c r="B1842" s="4">
        <f>VLOOKUP(A1842,'Datos generales'!A:L,5,0)</f>
        <v>4</v>
      </c>
      <c r="C1842" s="4" t="str">
        <f>VLOOKUP(A1842,'Datos generales'!A:L,4,0)</f>
        <v>Audífonos</v>
      </c>
      <c r="D1842" s="4">
        <f>VLOOKUP(A1842,'Datos generales'!A:L,6,0)</f>
        <v>450.36</v>
      </c>
      <c r="E1842" s="4">
        <f>VLOOKUP(A1842,'Datos generales'!A:L,12,0)</f>
        <v>450.36</v>
      </c>
      <c r="F1842" s="4" t="str">
        <f>VLOOKUP(A1842,'Datos generales'!A:L,7,0)</f>
        <v>Accesorios</v>
      </c>
      <c r="G1842" s="4">
        <v>2024</v>
      </c>
    </row>
    <row r="1843" spans="1:7" x14ac:dyDescent="0.25">
      <c r="A1843" t="s">
        <v>53</v>
      </c>
      <c r="B1843" s="4">
        <f>VLOOKUP(A1843,'Datos generales'!A:L,5,0)</f>
        <v>2</v>
      </c>
      <c r="C1843" s="4" t="str">
        <f>VLOOKUP(A1843,'Datos generales'!A:L,4,0)</f>
        <v>Impresora</v>
      </c>
      <c r="D1843" s="4">
        <f>VLOOKUP(A1843,'Datos generales'!A:L,6,0)</f>
        <v>755.48</v>
      </c>
      <c r="E1843" s="4">
        <f>VLOOKUP(A1843,'Datos generales'!A:L,12,0)</f>
        <v>755.48</v>
      </c>
      <c r="F1843" s="4" t="str">
        <f>VLOOKUP(A1843,'Datos generales'!A:L,7,0)</f>
        <v>Electrónica</v>
      </c>
      <c r="G1843" s="4">
        <v>2023</v>
      </c>
    </row>
    <row r="1844" spans="1:7" x14ac:dyDescent="0.25">
      <c r="A1844" t="s">
        <v>54</v>
      </c>
      <c r="B1844" s="4">
        <f>VLOOKUP(A1844,'Datos generales'!A:L,5,0)</f>
        <v>3</v>
      </c>
      <c r="C1844" s="4" t="str">
        <f>VLOOKUP(A1844,'Datos generales'!A:L,4,0)</f>
        <v>Teclado</v>
      </c>
      <c r="D1844" s="4">
        <f>VLOOKUP(A1844,'Datos generales'!A:L,6,0)</f>
        <v>1855.55</v>
      </c>
      <c r="E1844" s="4">
        <f>VLOOKUP(A1844,'Datos generales'!A:L,12,0)</f>
        <v>1855.55</v>
      </c>
      <c r="F1844" s="4" t="str">
        <f>VLOOKUP(A1844,'Datos generales'!A:L,7,0)</f>
        <v>Accesorios</v>
      </c>
      <c r="G1844" s="4">
        <v>2024</v>
      </c>
    </row>
    <row r="1845" spans="1:7" x14ac:dyDescent="0.25">
      <c r="A1845" t="s">
        <v>55</v>
      </c>
      <c r="B1845" s="4">
        <f>VLOOKUP(A1845,'Datos generales'!A:L,5,0)</f>
        <v>5</v>
      </c>
      <c r="C1845" s="4" t="str">
        <f>VLOOKUP(A1845,'Datos generales'!A:L,4,0)</f>
        <v>Webcam</v>
      </c>
      <c r="D1845" s="4">
        <f>VLOOKUP(A1845,'Datos generales'!A:L,6,0)</f>
        <v>1011.75</v>
      </c>
      <c r="E1845" s="4">
        <f>VLOOKUP(A1845,'Datos generales'!A:L,12,0)</f>
        <v>1011.75</v>
      </c>
      <c r="F1845" s="4" t="str">
        <f>VLOOKUP(A1845,'Datos generales'!A:L,7,0)</f>
        <v>Accesorios</v>
      </c>
      <c r="G1845" s="4">
        <v>2023</v>
      </c>
    </row>
    <row r="1846" spans="1:7" x14ac:dyDescent="0.25">
      <c r="A1846" t="s">
        <v>56</v>
      </c>
      <c r="B1846" s="4">
        <f>VLOOKUP(A1846,'Datos generales'!A:L,5,0)</f>
        <v>5</v>
      </c>
      <c r="C1846" s="4" t="str">
        <f>VLOOKUP(A1846,'Datos generales'!A:L,4,0)</f>
        <v>Teclado</v>
      </c>
      <c r="D1846" s="4">
        <f>VLOOKUP(A1846,'Datos generales'!A:L,6,0)</f>
        <v>1218.3399999999999</v>
      </c>
      <c r="E1846" s="4">
        <f>VLOOKUP(A1846,'Datos generales'!A:L,12,0)</f>
        <v>1218.3399999999999</v>
      </c>
      <c r="F1846" s="4" t="str">
        <f>VLOOKUP(A1846,'Datos generales'!A:L,7,0)</f>
        <v>Accesorios</v>
      </c>
      <c r="G1846" s="4">
        <v>2023</v>
      </c>
    </row>
    <row r="1847" spans="1:7" x14ac:dyDescent="0.25">
      <c r="A1847" t="s">
        <v>57</v>
      </c>
      <c r="B1847" s="4">
        <f>VLOOKUP(A1847,'Datos generales'!A:L,5,0)</f>
        <v>2</v>
      </c>
      <c r="C1847" s="4" t="str">
        <f>VLOOKUP(A1847,'Datos generales'!A:L,4,0)</f>
        <v>Webcam</v>
      </c>
      <c r="D1847" s="4">
        <f>VLOOKUP(A1847,'Datos generales'!A:L,6,0)</f>
        <v>361.59</v>
      </c>
      <c r="E1847" s="4">
        <f>VLOOKUP(A1847,'Datos generales'!A:L,12,0)</f>
        <v>361.59</v>
      </c>
      <c r="F1847" s="4" t="str">
        <f>VLOOKUP(A1847,'Datos generales'!A:L,7,0)</f>
        <v>Accesorios</v>
      </c>
      <c r="G1847" s="4">
        <v>2023</v>
      </c>
    </row>
    <row r="1848" spans="1:7" x14ac:dyDescent="0.25">
      <c r="A1848" t="s">
        <v>58</v>
      </c>
      <c r="B1848" s="4">
        <f>VLOOKUP(A1848,'Datos generales'!A:L,5,0)</f>
        <v>5</v>
      </c>
      <c r="C1848" s="4" t="str">
        <f>VLOOKUP(A1848,'Datos generales'!A:L,4,0)</f>
        <v>Teclado</v>
      </c>
      <c r="D1848" s="4">
        <f>VLOOKUP(A1848,'Datos generales'!A:L,6,0)</f>
        <v>958.8</v>
      </c>
      <c r="E1848" s="4">
        <f>VLOOKUP(A1848,'Datos generales'!A:L,12,0)</f>
        <v>958.8</v>
      </c>
      <c r="F1848" s="4" t="str">
        <f>VLOOKUP(A1848,'Datos generales'!A:L,7,0)</f>
        <v>Accesorios</v>
      </c>
      <c r="G1848" s="4">
        <v>2023</v>
      </c>
    </row>
    <row r="1849" spans="1:7" x14ac:dyDescent="0.25">
      <c r="A1849" t="s">
        <v>59</v>
      </c>
      <c r="B1849" s="4">
        <f>VLOOKUP(A1849,'Datos generales'!A:L,5,0)</f>
        <v>5</v>
      </c>
      <c r="C1849" s="4" t="str">
        <f>VLOOKUP(A1849,'Datos generales'!A:L,4,0)</f>
        <v>Silla Gamer</v>
      </c>
      <c r="D1849" s="4">
        <f>VLOOKUP(A1849,'Datos generales'!A:L,6,0)</f>
        <v>1776.87</v>
      </c>
      <c r="E1849" s="4">
        <f>VLOOKUP(A1849,'Datos generales'!A:L,12,0)</f>
        <v>1776.87</v>
      </c>
      <c r="F1849" s="4" t="str">
        <f>VLOOKUP(A1849,'Datos generales'!A:L,7,0)</f>
        <v>Muebles</v>
      </c>
      <c r="G1849" s="4">
        <v>2025</v>
      </c>
    </row>
    <row r="1850" spans="1:7" x14ac:dyDescent="0.25">
      <c r="A1850" t="s">
        <v>60</v>
      </c>
      <c r="B1850" s="4">
        <f>VLOOKUP(A1850,'Datos generales'!A:L,5,0)</f>
        <v>1</v>
      </c>
      <c r="C1850" s="4" t="str">
        <f>VLOOKUP(A1850,'Datos generales'!A:L,4,0)</f>
        <v>Audífonos</v>
      </c>
      <c r="D1850" s="4">
        <f>VLOOKUP(A1850,'Datos generales'!A:L,6,0)</f>
        <v>1467.34</v>
      </c>
      <c r="E1850" s="4">
        <f>VLOOKUP(A1850,'Datos generales'!A:L,12,0)</f>
        <v>1467.34</v>
      </c>
      <c r="F1850" s="4" t="str">
        <f>VLOOKUP(A1850,'Datos generales'!A:L,7,0)</f>
        <v>Accesorios</v>
      </c>
      <c r="G1850" s="4">
        <v>2025</v>
      </c>
    </row>
    <row r="1851" spans="1:7" x14ac:dyDescent="0.25">
      <c r="A1851" t="s">
        <v>61</v>
      </c>
      <c r="B1851" s="4">
        <f>VLOOKUP(A1851,'Datos generales'!A:L,5,0)</f>
        <v>3</v>
      </c>
      <c r="C1851" s="4" t="str">
        <f>VLOOKUP(A1851,'Datos generales'!A:L,4,0)</f>
        <v>Silla Gamer</v>
      </c>
      <c r="D1851" s="4">
        <f>VLOOKUP(A1851,'Datos generales'!A:L,6,0)</f>
        <v>683.91</v>
      </c>
      <c r="E1851" s="4">
        <f>VLOOKUP(A1851,'Datos generales'!A:L,12,0)</f>
        <v>683.91</v>
      </c>
      <c r="F1851" s="4" t="str">
        <f>VLOOKUP(A1851,'Datos generales'!A:L,7,0)</f>
        <v>Muebles</v>
      </c>
      <c r="G1851" s="4">
        <v>2025</v>
      </c>
    </row>
    <row r="1852" spans="1:7" x14ac:dyDescent="0.25">
      <c r="A1852" t="s">
        <v>62</v>
      </c>
      <c r="B1852" s="4">
        <f>VLOOKUP(A1852,'Datos generales'!A:L,5,0)</f>
        <v>1</v>
      </c>
      <c r="C1852" s="4" t="str">
        <f>VLOOKUP(A1852,'Datos generales'!A:L,4,0)</f>
        <v>Silla Gamer</v>
      </c>
      <c r="D1852" s="4">
        <f>VLOOKUP(A1852,'Datos generales'!A:L,6,0)</f>
        <v>1083.8599999999999</v>
      </c>
      <c r="E1852" s="4">
        <f>VLOOKUP(A1852,'Datos generales'!A:L,12,0)</f>
        <v>1083.8599999999999</v>
      </c>
      <c r="F1852" s="4" t="str">
        <f>VLOOKUP(A1852,'Datos generales'!A:L,7,0)</f>
        <v>Muebles</v>
      </c>
      <c r="G1852" s="4">
        <v>2024</v>
      </c>
    </row>
    <row r="1853" spans="1:7" x14ac:dyDescent="0.25">
      <c r="A1853" t="s">
        <v>63</v>
      </c>
      <c r="B1853" s="4">
        <f>VLOOKUP(A1853,'Datos generales'!A:L,5,0)</f>
        <v>2</v>
      </c>
      <c r="C1853" s="4" t="str">
        <f>VLOOKUP(A1853,'Datos generales'!A:L,4,0)</f>
        <v>Monitor</v>
      </c>
      <c r="D1853" s="4">
        <f>VLOOKUP(A1853,'Datos generales'!A:L,6,0)</f>
        <v>1551.85</v>
      </c>
      <c r="E1853" s="4">
        <f>VLOOKUP(A1853,'Datos generales'!A:L,12,0)</f>
        <v>1551.85</v>
      </c>
      <c r="F1853" s="4" t="str">
        <f>VLOOKUP(A1853,'Datos generales'!A:L,7,0)</f>
        <v>Electrónica</v>
      </c>
      <c r="G1853" s="4">
        <v>2023</v>
      </c>
    </row>
    <row r="1854" spans="1:7" x14ac:dyDescent="0.25">
      <c r="A1854" t="s">
        <v>64</v>
      </c>
      <c r="B1854" s="4">
        <f>VLOOKUP(A1854,'Datos generales'!A:L,5,0)</f>
        <v>5</v>
      </c>
      <c r="C1854" s="4" t="str">
        <f>VLOOKUP(A1854,'Datos generales'!A:L,4,0)</f>
        <v>Laptop</v>
      </c>
      <c r="D1854" s="4">
        <f>VLOOKUP(A1854,'Datos generales'!A:L,6,0)</f>
        <v>1368.27</v>
      </c>
      <c r="E1854" s="4">
        <f>VLOOKUP(A1854,'Datos generales'!A:L,12,0)</f>
        <v>1368.27</v>
      </c>
      <c r="F1854" s="4" t="str">
        <f>VLOOKUP(A1854,'Datos generales'!A:L,7,0)</f>
        <v>Electrónica</v>
      </c>
      <c r="G1854" s="4">
        <v>2024</v>
      </c>
    </row>
    <row r="1855" spans="1:7" x14ac:dyDescent="0.25">
      <c r="A1855" t="s">
        <v>65</v>
      </c>
      <c r="B1855" s="4">
        <f>VLOOKUP(A1855,'Datos generales'!A:L,5,0)</f>
        <v>4</v>
      </c>
      <c r="C1855" s="4" t="str">
        <f>VLOOKUP(A1855,'Datos generales'!A:L,4,0)</f>
        <v>Laptop</v>
      </c>
      <c r="D1855" s="4">
        <f>VLOOKUP(A1855,'Datos generales'!A:L,6,0)</f>
        <v>1818.88</v>
      </c>
      <c r="E1855" s="4">
        <f>VLOOKUP(A1855,'Datos generales'!A:L,12,0)</f>
        <v>1818.88</v>
      </c>
      <c r="F1855" s="4" t="str">
        <f>VLOOKUP(A1855,'Datos generales'!A:L,7,0)</f>
        <v>Electrónica</v>
      </c>
      <c r="G1855" s="4">
        <v>2024</v>
      </c>
    </row>
    <row r="1856" spans="1:7" x14ac:dyDescent="0.25">
      <c r="A1856" t="s">
        <v>66</v>
      </c>
      <c r="B1856" s="4">
        <f>VLOOKUP(A1856,'Datos generales'!A:L,5,0)</f>
        <v>4</v>
      </c>
      <c r="C1856" s="4" t="str">
        <f>VLOOKUP(A1856,'Datos generales'!A:L,4,0)</f>
        <v>Mouse</v>
      </c>
      <c r="D1856" s="4">
        <f>VLOOKUP(A1856,'Datos generales'!A:L,6,0)</f>
        <v>1601.32</v>
      </c>
      <c r="E1856" s="4">
        <f>VLOOKUP(A1856,'Datos generales'!A:L,12,0)</f>
        <v>1601.32</v>
      </c>
      <c r="F1856" s="4" t="str">
        <f>VLOOKUP(A1856,'Datos generales'!A:L,7,0)</f>
        <v>Accesorios</v>
      </c>
      <c r="G1856" s="4">
        <v>2023</v>
      </c>
    </row>
    <row r="1857" spans="1:7" x14ac:dyDescent="0.25">
      <c r="A1857" t="s">
        <v>67</v>
      </c>
      <c r="B1857" s="4">
        <f>VLOOKUP(A1857,'Datos generales'!A:L,5,0)</f>
        <v>4</v>
      </c>
      <c r="C1857" s="4" t="str">
        <f>VLOOKUP(A1857,'Datos generales'!A:L,4,0)</f>
        <v>Teclado</v>
      </c>
      <c r="D1857" s="4">
        <f>VLOOKUP(A1857,'Datos generales'!A:L,6,0)</f>
        <v>177.79</v>
      </c>
      <c r="E1857" s="4">
        <f>VLOOKUP(A1857,'Datos generales'!A:L,12,0)</f>
        <v>177.79</v>
      </c>
      <c r="F1857" s="4" t="str">
        <f>VLOOKUP(A1857,'Datos generales'!A:L,7,0)</f>
        <v>Accesorios</v>
      </c>
      <c r="G1857" s="4">
        <v>2023</v>
      </c>
    </row>
    <row r="1858" spans="1:7" x14ac:dyDescent="0.25">
      <c r="A1858" t="s">
        <v>68</v>
      </c>
      <c r="B1858" s="4">
        <f>VLOOKUP(A1858,'Datos generales'!A:L,5,0)</f>
        <v>1</v>
      </c>
      <c r="C1858" s="4" t="str">
        <f>VLOOKUP(A1858,'Datos generales'!A:L,4,0)</f>
        <v>Teclado</v>
      </c>
      <c r="D1858" s="4">
        <f>VLOOKUP(A1858,'Datos generales'!A:L,6,0)</f>
        <v>83.48</v>
      </c>
      <c r="E1858" s="4">
        <f>VLOOKUP(A1858,'Datos generales'!A:L,12,0)</f>
        <v>83.48</v>
      </c>
      <c r="F1858" s="4" t="str">
        <f>VLOOKUP(A1858,'Datos generales'!A:L,7,0)</f>
        <v>Accesorios</v>
      </c>
      <c r="G1858" s="4">
        <v>2023</v>
      </c>
    </row>
    <row r="1859" spans="1:7" x14ac:dyDescent="0.25">
      <c r="A1859" t="s">
        <v>69</v>
      </c>
      <c r="B1859" s="4">
        <f>VLOOKUP(A1859,'Datos generales'!A:L,5,0)</f>
        <v>1</v>
      </c>
      <c r="C1859" s="4" t="str">
        <f>VLOOKUP(A1859,'Datos generales'!A:L,4,0)</f>
        <v>Audífonos</v>
      </c>
      <c r="D1859" s="4">
        <f>VLOOKUP(A1859,'Datos generales'!A:L,6,0)</f>
        <v>1372.72</v>
      </c>
      <c r="E1859" s="4">
        <f>VLOOKUP(A1859,'Datos generales'!A:L,12,0)</f>
        <v>1372.72</v>
      </c>
      <c r="F1859" s="4" t="str">
        <f>VLOOKUP(A1859,'Datos generales'!A:L,7,0)</f>
        <v>Accesorios</v>
      </c>
      <c r="G1859" s="4">
        <v>2023</v>
      </c>
    </row>
    <row r="1860" spans="1:7" x14ac:dyDescent="0.25">
      <c r="A1860" t="s">
        <v>70</v>
      </c>
      <c r="B1860" s="4">
        <f>VLOOKUP(A1860,'Datos generales'!A:L,5,0)</f>
        <v>1</v>
      </c>
      <c r="C1860" s="4" t="str">
        <f>VLOOKUP(A1860,'Datos generales'!A:L,4,0)</f>
        <v>Monitor</v>
      </c>
      <c r="D1860" s="4">
        <f>VLOOKUP(A1860,'Datos generales'!A:L,6,0)</f>
        <v>1618.91</v>
      </c>
      <c r="E1860" s="4">
        <f>VLOOKUP(A1860,'Datos generales'!A:L,12,0)</f>
        <v>1618.91</v>
      </c>
      <c r="F1860" s="4" t="str">
        <f>VLOOKUP(A1860,'Datos generales'!A:L,7,0)</f>
        <v>Electrónica</v>
      </c>
      <c r="G1860" s="4">
        <v>2024</v>
      </c>
    </row>
    <row r="1861" spans="1:7" x14ac:dyDescent="0.25">
      <c r="A1861" t="s">
        <v>71</v>
      </c>
      <c r="B1861" s="4">
        <f>VLOOKUP(A1861,'Datos generales'!A:L,5,0)</f>
        <v>4</v>
      </c>
      <c r="C1861" s="4" t="str">
        <f>VLOOKUP(A1861,'Datos generales'!A:L,4,0)</f>
        <v>Impresora</v>
      </c>
      <c r="D1861" s="4">
        <f>VLOOKUP(A1861,'Datos generales'!A:L,6,0)</f>
        <v>530.65</v>
      </c>
      <c r="E1861" s="4">
        <f>VLOOKUP(A1861,'Datos generales'!A:L,12,0)</f>
        <v>530.65</v>
      </c>
      <c r="F1861" s="4" t="str">
        <f>VLOOKUP(A1861,'Datos generales'!A:L,7,0)</f>
        <v>Electrónica</v>
      </c>
      <c r="G1861" s="4">
        <v>2024</v>
      </c>
    </row>
    <row r="1862" spans="1:7" x14ac:dyDescent="0.25">
      <c r="A1862" t="s">
        <v>72</v>
      </c>
      <c r="B1862" s="4">
        <f>VLOOKUP(A1862,'Datos generales'!A:L,5,0)</f>
        <v>5</v>
      </c>
      <c r="C1862" s="4" t="str">
        <f>VLOOKUP(A1862,'Datos generales'!A:L,4,0)</f>
        <v>Webcam</v>
      </c>
      <c r="D1862" s="4">
        <f>VLOOKUP(A1862,'Datos generales'!A:L,6,0)</f>
        <v>418.83</v>
      </c>
      <c r="E1862" s="4">
        <f>VLOOKUP(A1862,'Datos generales'!A:L,12,0)</f>
        <v>418.83</v>
      </c>
      <c r="F1862" s="4" t="str">
        <f>VLOOKUP(A1862,'Datos generales'!A:L,7,0)</f>
        <v>Accesorios</v>
      </c>
      <c r="G1862" s="4">
        <v>2024</v>
      </c>
    </row>
    <row r="1863" spans="1:7" x14ac:dyDescent="0.25">
      <c r="A1863" t="s">
        <v>73</v>
      </c>
      <c r="B1863" s="4">
        <f>VLOOKUP(A1863,'Datos generales'!A:L,5,0)</f>
        <v>3</v>
      </c>
      <c r="C1863" s="4" t="str">
        <f>VLOOKUP(A1863,'Datos generales'!A:L,4,0)</f>
        <v>Silla Gamer</v>
      </c>
      <c r="D1863" s="4">
        <f>VLOOKUP(A1863,'Datos generales'!A:L,6,0)</f>
        <v>664.98</v>
      </c>
      <c r="E1863" s="4">
        <f>VLOOKUP(A1863,'Datos generales'!A:L,12,0)</f>
        <v>664.98</v>
      </c>
      <c r="F1863" s="4" t="str">
        <f>VLOOKUP(A1863,'Datos generales'!A:L,7,0)</f>
        <v>Muebles</v>
      </c>
      <c r="G1863" s="4">
        <v>2025</v>
      </c>
    </row>
    <row r="1864" spans="1:7" x14ac:dyDescent="0.25">
      <c r="A1864" t="s">
        <v>74</v>
      </c>
      <c r="B1864" s="4">
        <f>VLOOKUP(A1864,'Datos generales'!A:L,5,0)</f>
        <v>1</v>
      </c>
      <c r="C1864" s="4" t="str">
        <f>VLOOKUP(A1864,'Datos generales'!A:L,4,0)</f>
        <v>Laptop</v>
      </c>
      <c r="D1864" s="4">
        <f>VLOOKUP(A1864,'Datos generales'!A:L,6,0)</f>
        <v>1322.41</v>
      </c>
      <c r="E1864" s="4">
        <f>VLOOKUP(A1864,'Datos generales'!A:L,12,0)</f>
        <v>1322.41</v>
      </c>
      <c r="F1864" s="4" t="str">
        <f>VLOOKUP(A1864,'Datos generales'!A:L,7,0)</f>
        <v>Electrónica</v>
      </c>
      <c r="G1864" s="4">
        <v>2024</v>
      </c>
    </row>
    <row r="1865" spans="1:7" x14ac:dyDescent="0.25">
      <c r="A1865" t="s">
        <v>75</v>
      </c>
      <c r="B1865" s="4">
        <f>VLOOKUP(A1865,'Datos generales'!A:L,5,0)</f>
        <v>4</v>
      </c>
      <c r="C1865" s="4" t="str">
        <f>VLOOKUP(A1865,'Datos generales'!A:L,4,0)</f>
        <v>Monitor</v>
      </c>
      <c r="D1865" s="4">
        <f>VLOOKUP(A1865,'Datos generales'!A:L,6,0)</f>
        <v>1467.27</v>
      </c>
      <c r="E1865" s="4">
        <f>VLOOKUP(A1865,'Datos generales'!A:L,12,0)</f>
        <v>1467.27</v>
      </c>
      <c r="F1865" s="4" t="str">
        <f>VLOOKUP(A1865,'Datos generales'!A:L,7,0)</f>
        <v>Electrónica</v>
      </c>
      <c r="G1865" s="4">
        <v>2023</v>
      </c>
    </row>
    <row r="1866" spans="1:7" x14ac:dyDescent="0.25">
      <c r="A1866" t="s">
        <v>76</v>
      </c>
      <c r="B1866" s="4">
        <f>VLOOKUP(A1866,'Datos generales'!A:L,5,0)</f>
        <v>4</v>
      </c>
      <c r="C1866" s="4" t="str">
        <f>VLOOKUP(A1866,'Datos generales'!A:L,4,0)</f>
        <v>Impresora</v>
      </c>
      <c r="D1866" s="4">
        <f>VLOOKUP(A1866,'Datos generales'!A:L,6,0)</f>
        <v>1804.12</v>
      </c>
      <c r="E1866" s="4">
        <f>VLOOKUP(A1866,'Datos generales'!A:L,12,0)</f>
        <v>1804.12</v>
      </c>
      <c r="F1866" s="4" t="str">
        <f>VLOOKUP(A1866,'Datos generales'!A:L,7,0)</f>
        <v>Electrónica</v>
      </c>
      <c r="G1866" s="4">
        <v>2024</v>
      </c>
    </row>
    <row r="1867" spans="1:7" x14ac:dyDescent="0.25">
      <c r="A1867" t="s">
        <v>77</v>
      </c>
      <c r="B1867" s="4">
        <f>VLOOKUP(A1867,'Datos generales'!A:L,5,0)</f>
        <v>1</v>
      </c>
      <c r="C1867" s="4" t="str">
        <f>VLOOKUP(A1867,'Datos generales'!A:L,4,0)</f>
        <v>Audífonos</v>
      </c>
      <c r="D1867" s="4">
        <f>VLOOKUP(A1867,'Datos generales'!A:L,6,0)</f>
        <v>1172.72</v>
      </c>
      <c r="E1867" s="4">
        <f>VLOOKUP(A1867,'Datos generales'!A:L,12,0)</f>
        <v>1172.72</v>
      </c>
      <c r="F1867" s="4" t="str">
        <f>VLOOKUP(A1867,'Datos generales'!A:L,7,0)</f>
        <v>Accesorios</v>
      </c>
      <c r="G1867" s="4">
        <v>2024</v>
      </c>
    </row>
    <row r="1868" spans="1:7" x14ac:dyDescent="0.25">
      <c r="A1868" t="s">
        <v>78</v>
      </c>
      <c r="B1868" s="4">
        <f>VLOOKUP(A1868,'Datos generales'!A:L,5,0)</f>
        <v>1</v>
      </c>
      <c r="C1868" s="4" t="str">
        <f>VLOOKUP(A1868,'Datos generales'!A:L,4,0)</f>
        <v>Mouse</v>
      </c>
      <c r="D1868" s="4">
        <f>VLOOKUP(A1868,'Datos generales'!A:L,6,0)</f>
        <v>725.07</v>
      </c>
      <c r="E1868" s="4">
        <f>VLOOKUP(A1868,'Datos generales'!A:L,12,0)</f>
        <v>725.07</v>
      </c>
      <c r="F1868" s="4" t="str">
        <f>VLOOKUP(A1868,'Datos generales'!A:L,7,0)</f>
        <v>Accesorios</v>
      </c>
      <c r="G1868" s="4">
        <v>2023</v>
      </c>
    </row>
    <row r="1869" spans="1:7" x14ac:dyDescent="0.25">
      <c r="A1869" t="s">
        <v>79</v>
      </c>
      <c r="B1869" s="4">
        <f>VLOOKUP(A1869,'Datos generales'!A:L,5,0)</f>
        <v>5</v>
      </c>
      <c r="C1869" s="4" t="str">
        <f>VLOOKUP(A1869,'Datos generales'!A:L,4,0)</f>
        <v>Monitor</v>
      </c>
      <c r="D1869" s="4">
        <f>VLOOKUP(A1869,'Datos generales'!A:L,6,0)</f>
        <v>563.69000000000005</v>
      </c>
      <c r="E1869" s="4">
        <f>VLOOKUP(A1869,'Datos generales'!A:L,12,0)</f>
        <v>563.69000000000005</v>
      </c>
      <c r="F1869" s="4" t="str">
        <f>VLOOKUP(A1869,'Datos generales'!A:L,7,0)</f>
        <v>Electrónica</v>
      </c>
      <c r="G1869" s="4">
        <v>2025</v>
      </c>
    </row>
    <row r="1870" spans="1:7" x14ac:dyDescent="0.25">
      <c r="A1870" t="s">
        <v>80</v>
      </c>
      <c r="B1870" s="4">
        <f>VLOOKUP(A1870,'Datos generales'!A:L,5,0)</f>
        <v>5</v>
      </c>
      <c r="C1870" s="4" t="str">
        <f>VLOOKUP(A1870,'Datos generales'!A:L,4,0)</f>
        <v>Audífonos</v>
      </c>
      <c r="D1870" s="4">
        <f>VLOOKUP(A1870,'Datos generales'!A:L,6,0)</f>
        <v>1547.41</v>
      </c>
      <c r="E1870" s="4">
        <f>VLOOKUP(A1870,'Datos generales'!A:L,12,0)</f>
        <v>1547.41</v>
      </c>
      <c r="F1870" s="4" t="str">
        <f>VLOOKUP(A1870,'Datos generales'!A:L,7,0)</f>
        <v>Accesorios</v>
      </c>
      <c r="G1870" s="4">
        <v>2023</v>
      </c>
    </row>
    <row r="1871" spans="1:7" x14ac:dyDescent="0.25">
      <c r="A1871" t="s">
        <v>81</v>
      </c>
      <c r="B1871" s="4">
        <f>VLOOKUP(A1871,'Datos generales'!A:L,5,0)</f>
        <v>2</v>
      </c>
      <c r="C1871" s="4" t="str">
        <f>VLOOKUP(A1871,'Datos generales'!A:L,4,0)</f>
        <v>Webcam</v>
      </c>
      <c r="D1871" s="4">
        <f>VLOOKUP(A1871,'Datos generales'!A:L,6,0)</f>
        <v>1903.65</v>
      </c>
      <c r="E1871" s="4">
        <f>VLOOKUP(A1871,'Datos generales'!A:L,12,0)</f>
        <v>1903.65</v>
      </c>
      <c r="F1871" s="4" t="str">
        <f>VLOOKUP(A1871,'Datos generales'!A:L,7,0)</f>
        <v>Accesorios</v>
      </c>
      <c r="G1871" s="4">
        <v>2023</v>
      </c>
    </row>
    <row r="1872" spans="1:7" x14ac:dyDescent="0.25">
      <c r="A1872" t="s">
        <v>82</v>
      </c>
      <c r="B1872" s="4">
        <f>VLOOKUP(A1872,'Datos generales'!A:L,5,0)</f>
        <v>2</v>
      </c>
      <c r="C1872" s="4" t="str">
        <f>VLOOKUP(A1872,'Datos generales'!A:L,4,0)</f>
        <v>Impresora</v>
      </c>
      <c r="D1872" s="4">
        <f>VLOOKUP(A1872,'Datos generales'!A:L,6,0)</f>
        <v>1198.2</v>
      </c>
      <c r="E1872" s="4">
        <f>VLOOKUP(A1872,'Datos generales'!A:L,12,0)</f>
        <v>1198.2</v>
      </c>
      <c r="F1872" s="4" t="str">
        <f>VLOOKUP(A1872,'Datos generales'!A:L,7,0)</f>
        <v>Electrónica</v>
      </c>
      <c r="G1872" s="4">
        <v>2024</v>
      </c>
    </row>
    <row r="1873" spans="1:7" x14ac:dyDescent="0.25">
      <c r="A1873" t="s">
        <v>83</v>
      </c>
      <c r="B1873" s="4">
        <f>VLOOKUP(A1873,'Datos generales'!A:L,5,0)</f>
        <v>3</v>
      </c>
      <c r="C1873" s="4" t="str">
        <f>VLOOKUP(A1873,'Datos generales'!A:L,4,0)</f>
        <v>Teclado</v>
      </c>
      <c r="D1873" s="4">
        <f>VLOOKUP(A1873,'Datos generales'!A:L,6,0)</f>
        <v>543.72</v>
      </c>
      <c r="E1873" s="4">
        <f>VLOOKUP(A1873,'Datos generales'!A:L,12,0)</f>
        <v>543.72</v>
      </c>
      <c r="F1873" s="4" t="str">
        <f>VLOOKUP(A1873,'Datos generales'!A:L,7,0)</f>
        <v>Accesorios</v>
      </c>
      <c r="G1873" s="4">
        <v>2025</v>
      </c>
    </row>
    <row r="1874" spans="1:7" x14ac:dyDescent="0.25">
      <c r="A1874" t="s">
        <v>84</v>
      </c>
      <c r="B1874" s="4">
        <f>VLOOKUP(A1874,'Datos generales'!A:L,5,0)</f>
        <v>2</v>
      </c>
      <c r="C1874" s="4" t="str">
        <f>VLOOKUP(A1874,'Datos generales'!A:L,4,0)</f>
        <v>Webcam</v>
      </c>
      <c r="D1874" s="4">
        <f>VLOOKUP(A1874,'Datos generales'!A:L,6,0)</f>
        <v>1449.53</v>
      </c>
      <c r="E1874" s="4">
        <f>VLOOKUP(A1874,'Datos generales'!A:L,12,0)</f>
        <v>1449.53</v>
      </c>
      <c r="F1874" s="4" t="str">
        <f>VLOOKUP(A1874,'Datos generales'!A:L,7,0)</f>
        <v>Accesorios</v>
      </c>
      <c r="G1874" s="4">
        <v>2023</v>
      </c>
    </row>
    <row r="1875" spans="1:7" x14ac:dyDescent="0.25">
      <c r="A1875" t="s">
        <v>85</v>
      </c>
      <c r="B1875" s="4">
        <f>VLOOKUP(A1875,'Datos generales'!A:L,5,0)</f>
        <v>5</v>
      </c>
      <c r="C1875" s="4" t="str">
        <f>VLOOKUP(A1875,'Datos generales'!A:L,4,0)</f>
        <v>Silla Gamer</v>
      </c>
      <c r="D1875" s="4">
        <f>VLOOKUP(A1875,'Datos generales'!A:L,6,0)</f>
        <v>472.42</v>
      </c>
      <c r="E1875" s="4">
        <f>VLOOKUP(A1875,'Datos generales'!A:L,12,0)</f>
        <v>472.42</v>
      </c>
      <c r="F1875" s="4" t="str">
        <f>VLOOKUP(A1875,'Datos generales'!A:L,7,0)</f>
        <v>Muebles</v>
      </c>
      <c r="G1875" s="4">
        <v>2024</v>
      </c>
    </row>
    <row r="1876" spans="1:7" x14ac:dyDescent="0.25">
      <c r="A1876" t="s">
        <v>86</v>
      </c>
      <c r="B1876" s="4">
        <f>VLOOKUP(A1876,'Datos generales'!A:L,5,0)</f>
        <v>3</v>
      </c>
      <c r="C1876" s="4" t="str">
        <f>VLOOKUP(A1876,'Datos generales'!A:L,4,0)</f>
        <v>Audífonos</v>
      </c>
      <c r="D1876" s="4">
        <f>VLOOKUP(A1876,'Datos generales'!A:L,6,0)</f>
        <v>367.9</v>
      </c>
      <c r="E1876" s="4">
        <f>VLOOKUP(A1876,'Datos generales'!A:L,12,0)</f>
        <v>367.89999999999992</v>
      </c>
      <c r="F1876" s="4" t="str">
        <f>VLOOKUP(A1876,'Datos generales'!A:L,7,0)</f>
        <v>Accesorios</v>
      </c>
      <c r="G1876" s="4">
        <v>2023</v>
      </c>
    </row>
    <row r="1877" spans="1:7" x14ac:dyDescent="0.25">
      <c r="A1877" t="s">
        <v>87</v>
      </c>
      <c r="B1877" s="4">
        <f>VLOOKUP(A1877,'Datos generales'!A:L,5,0)</f>
        <v>5</v>
      </c>
      <c r="C1877" s="4" t="str">
        <f>VLOOKUP(A1877,'Datos generales'!A:L,4,0)</f>
        <v>Audífonos</v>
      </c>
      <c r="D1877" s="4">
        <f>VLOOKUP(A1877,'Datos generales'!A:L,6,0)</f>
        <v>739.51</v>
      </c>
      <c r="E1877" s="4">
        <f>VLOOKUP(A1877,'Datos generales'!A:L,12,0)</f>
        <v>739.51</v>
      </c>
      <c r="F1877" s="4" t="str">
        <f>VLOOKUP(A1877,'Datos generales'!A:L,7,0)</f>
        <v>Accesorios</v>
      </c>
      <c r="G1877" s="4">
        <v>2025</v>
      </c>
    </row>
    <row r="1878" spans="1:7" x14ac:dyDescent="0.25">
      <c r="A1878" t="s">
        <v>88</v>
      </c>
      <c r="B1878" s="4">
        <f>VLOOKUP(A1878,'Datos generales'!A:L,5,0)</f>
        <v>2</v>
      </c>
      <c r="C1878" s="4" t="str">
        <f>VLOOKUP(A1878,'Datos generales'!A:L,4,0)</f>
        <v>Laptop</v>
      </c>
      <c r="D1878" s="4">
        <f>VLOOKUP(A1878,'Datos generales'!A:L,6,0)</f>
        <v>1089.1300000000001</v>
      </c>
      <c r="E1878" s="4">
        <f>VLOOKUP(A1878,'Datos generales'!A:L,12,0)</f>
        <v>1089.1300000000001</v>
      </c>
      <c r="F1878" s="4" t="str">
        <f>VLOOKUP(A1878,'Datos generales'!A:L,7,0)</f>
        <v>Electrónica</v>
      </c>
      <c r="G1878" s="4">
        <v>2023</v>
      </c>
    </row>
    <row r="1879" spans="1:7" x14ac:dyDescent="0.25">
      <c r="A1879" t="s">
        <v>89</v>
      </c>
      <c r="B1879" s="4">
        <f>VLOOKUP(A1879,'Datos generales'!A:L,5,0)</f>
        <v>5</v>
      </c>
      <c r="C1879" s="4" t="str">
        <f>VLOOKUP(A1879,'Datos generales'!A:L,4,0)</f>
        <v>Webcam</v>
      </c>
      <c r="D1879" s="4">
        <f>VLOOKUP(A1879,'Datos generales'!A:L,6,0)</f>
        <v>1632.75</v>
      </c>
      <c r="E1879" s="4">
        <f>VLOOKUP(A1879,'Datos generales'!A:L,12,0)</f>
        <v>1632.75</v>
      </c>
      <c r="F1879" s="4" t="str">
        <f>VLOOKUP(A1879,'Datos generales'!A:L,7,0)</f>
        <v>Accesorios</v>
      </c>
      <c r="G1879" s="4">
        <v>2024</v>
      </c>
    </row>
    <row r="1880" spans="1:7" x14ac:dyDescent="0.25">
      <c r="A1880" t="s">
        <v>90</v>
      </c>
      <c r="B1880" s="4">
        <f>VLOOKUP(A1880,'Datos generales'!A:L,5,0)</f>
        <v>3</v>
      </c>
      <c r="C1880" s="4" t="str">
        <f>VLOOKUP(A1880,'Datos generales'!A:L,4,0)</f>
        <v>Monitor</v>
      </c>
      <c r="D1880" s="4">
        <f>VLOOKUP(A1880,'Datos generales'!A:L,6,0)</f>
        <v>817.35</v>
      </c>
      <c r="E1880" s="4">
        <f>VLOOKUP(A1880,'Datos generales'!A:L,12,0)</f>
        <v>817.35</v>
      </c>
      <c r="F1880" s="4" t="str">
        <f>VLOOKUP(A1880,'Datos generales'!A:L,7,0)</f>
        <v>Electrónica</v>
      </c>
      <c r="G1880" s="4">
        <v>2023</v>
      </c>
    </row>
    <row r="1881" spans="1:7" x14ac:dyDescent="0.25">
      <c r="A1881" t="s">
        <v>91</v>
      </c>
      <c r="B1881" s="4">
        <f>VLOOKUP(A1881,'Datos generales'!A:L,5,0)</f>
        <v>2</v>
      </c>
      <c r="C1881" s="4" t="str">
        <f>VLOOKUP(A1881,'Datos generales'!A:L,4,0)</f>
        <v>Teclado</v>
      </c>
      <c r="D1881" s="4">
        <f>VLOOKUP(A1881,'Datos generales'!A:L,6,0)</f>
        <v>1186.58</v>
      </c>
      <c r="E1881" s="4">
        <f>VLOOKUP(A1881,'Datos generales'!A:L,12,0)</f>
        <v>1186.58</v>
      </c>
      <c r="F1881" s="4" t="str">
        <f>VLOOKUP(A1881,'Datos generales'!A:L,7,0)</f>
        <v>Accesorios</v>
      </c>
      <c r="G1881" s="4">
        <v>2024</v>
      </c>
    </row>
    <row r="1882" spans="1:7" x14ac:dyDescent="0.25">
      <c r="A1882" t="s">
        <v>92</v>
      </c>
      <c r="B1882" s="4">
        <f>VLOOKUP(A1882,'Datos generales'!A:L,5,0)</f>
        <v>2</v>
      </c>
      <c r="C1882" s="4" t="str">
        <f>VLOOKUP(A1882,'Datos generales'!A:L,4,0)</f>
        <v>Impresora</v>
      </c>
      <c r="D1882" s="4">
        <f>VLOOKUP(A1882,'Datos generales'!A:L,6,0)</f>
        <v>1872.8</v>
      </c>
      <c r="E1882" s="4">
        <f>VLOOKUP(A1882,'Datos generales'!A:L,12,0)</f>
        <v>1872.8</v>
      </c>
      <c r="F1882" s="4" t="str">
        <f>VLOOKUP(A1882,'Datos generales'!A:L,7,0)</f>
        <v>Electrónica</v>
      </c>
      <c r="G1882" s="4">
        <v>2023</v>
      </c>
    </row>
    <row r="1883" spans="1:7" x14ac:dyDescent="0.25">
      <c r="A1883" t="s">
        <v>93</v>
      </c>
      <c r="B1883" s="4">
        <f>VLOOKUP(A1883,'Datos generales'!A:L,5,0)</f>
        <v>3</v>
      </c>
      <c r="C1883" s="4" t="str">
        <f>VLOOKUP(A1883,'Datos generales'!A:L,4,0)</f>
        <v>Silla Gamer</v>
      </c>
      <c r="D1883" s="4">
        <f>VLOOKUP(A1883,'Datos generales'!A:L,6,0)</f>
        <v>680.19</v>
      </c>
      <c r="E1883" s="4">
        <f>VLOOKUP(A1883,'Datos generales'!A:L,12,0)</f>
        <v>680.19</v>
      </c>
      <c r="F1883" s="4" t="str">
        <f>VLOOKUP(A1883,'Datos generales'!A:L,7,0)</f>
        <v>Muebles</v>
      </c>
      <c r="G1883" s="4">
        <v>2023</v>
      </c>
    </row>
    <row r="1884" spans="1:7" x14ac:dyDescent="0.25">
      <c r="A1884" t="s">
        <v>94</v>
      </c>
      <c r="B1884" s="4">
        <f>VLOOKUP(A1884,'Datos generales'!A:L,5,0)</f>
        <v>4</v>
      </c>
      <c r="C1884" s="4" t="str">
        <f>VLOOKUP(A1884,'Datos generales'!A:L,4,0)</f>
        <v>Webcam</v>
      </c>
      <c r="D1884" s="4">
        <f>VLOOKUP(A1884,'Datos generales'!A:L,6,0)</f>
        <v>262.82</v>
      </c>
      <c r="E1884" s="4">
        <f>VLOOKUP(A1884,'Datos generales'!A:L,12,0)</f>
        <v>262.82</v>
      </c>
      <c r="F1884" s="4" t="str">
        <f>VLOOKUP(A1884,'Datos generales'!A:L,7,0)</f>
        <v>Accesorios</v>
      </c>
      <c r="G1884" s="4">
        <v>2023</v>
      </c>
    </row>
    <row r="1885" spans="1:7" x14ac:dyDescent="0.25">
      <c r="A1885" t="s">
        <v>95</v>
      </c>
      <c r="B1885" s="4">
        <f>VLOOKUP(A1885,'Datos generales'!A:L,5,0)</f>
        <v>4</v>
      </c>
      <c r="C1885" s="4" t="str">
        <f>VLOOKUP(A1885,'Datos generales'!A:L,4,0)</f>
        <v>Impresora</v>
      </c>
      <c r="D1885" s="4">
        <f>VLOOKUP(A1885,'Datos generales'!A:L,6,0)</f>
        <v>1531.75</v>
      </c>
      <c r="E1885" s="4">
        <f>VLOOKUP(A1885,'Datos generales'!A:L,12,0)</f>
        <v>1531.75</v>
      </c>
      <c r="F1885" s="4" t="str">
        <f>VLOOKUP(A1885,'Datos generales'!A:L,7,0)</f>
        <v>Electrónica</v>
      </c>
      <c r="G1885" s="4">
        <v>2025</v>
      </c>
    </row>
    <row r="1886" spans="1:7" x14ac:dyDescent="0.25">
      <c r="A1886" t="s">
        <v>96</v>
      </c>
      <c r="B1886" s="4">
        <f>VLOOKUP(A1886,'Datos generales'!A:L,5,0)</f>
        <v>1</v>
      </c>
      <c r="C1886" s="4" t="str">
        <f>VLOOKUP(A1886,'Datos generales'!A:L,4,0)</f>
        <v>Impresora</v>
      </c>
      <c r="D1886" s="4">
        <f>VLOOKUP(A1886,'Datos generales'!A:L,6,0)</f>
        <v>503.84</v>
      </c>
      <c r="E1886" s="4">
        <f>VLOOKUP(A1886,'Datos generales'!A:L,12,0)</f>
        <v>503.84</v>
      </c>
      <c r="F1886" s="4" t="str">
        <f>VLOOKUP(A1886,'Datos generales'!A:L,7,0)</f>
        <v>Electrónica</v>
      </c>
      <c r="G1886" s="4">
        <v>2023</v>
      </c>
    </row>
    <row r="1887" spans="1:7" x14ac:dyDescent="0.25">
      <c r="A1887" t="s">
        <v>97</v>
      </c>
      <c r="B1887" s="4">
        <f>VLOOKUP(A1887,'Datos generales'!A:L,5,0)</f>
        <v>4</v>
      </c>
      <c r="C1887" s="4" t="str">
        <f>VLOOKUP(A1887,'Datos generales'!A:L,4,0)</f>
        <v>Laptop</v>
      </c>
      <c r="D1887" s="4">
        <f>VLOOKUP(A1887,'Datos generales'!A:L,6,0)</f>
        <v>1908.41</v>
      </c>
      <c r="E1887" s="4">
        <f>VLOOKUP(A1887,'Datos generales'!A:L,12,0)</f>
        <v>1908.41</v>
      </c>
      <c r="F1887" s="4" t="str">
        <f>VLOOKUP(A1887,'Datos generales'!A:L,7,0)</f>
        <v>Electrónica</v>
      </c>
      <c r="G1887" s="4">
        <v>2024</v>
      </c>
    </row>
    <row r="1888" spans="1:7" x14ac:dyDescent="0.25">
      <c r="A1888" t="s">
        <v>98</v>
      </c>
      <c r="B1888" s="4">
        <f>VLOOKUP(A1888,'Datos generales'!A:L,5,0)</f>
        <v>2</v>
      </c>
      <c r="C1888" s="4" t="str">
        <f>VLOOKUP(A1888,'Datos generales'!A:L,4,0)</f>
        <v>Impresora</v>
      </c>
      <c r="D1888" s="4">
        <f>VLOOKUP(A1888,'Datos generales'!A:L,6,0)</f>
        <v>114.6</v>
      </c>
      <c r="E1888" s="4">
        <f>VLOOKUP(A1888,'Datos generales'!A:L,12,0)</f>
        <v>114.6</v>
      </c>
      <c r="F1888" s="4" t="str">
        <f>VLOOKUP(A1888,'Datos generales'!A:L,7,0)</f>
        <v>Electrónica</v>
      </c>
      <c r="G1888" s="4">
        <v>2024</v>
      </c>
    </row>
    <row r="1889" spans="1:7" x14ac:dyDescent="0.25">
      <c r="A1889" t="s">
        <v>99</v>
      </c>
      <c r="B1889" s="4">
        <f>VLOOKUP(A1889,'Datos generales'!A:L,5,0)</f>
        <v>2</v>
      </c>
      <c r="C1889" s="4" t="str">
        <f>VLOOKUP(A1889,'Datos generales'!A:L,4,0)</f>
        <v>Impresora</v>
      </c>
      <c r="D1889" s="4">
        <f>VLOOKUP(A1889,'Datos generales'!A:L,6,0)</f>
        <v>595.78</v>
      </c>
      <c r="E1889" s="4">
        <f>VLOOKUP(A1889,'Datos generales'!A:L,12,0)</f>
        <v>595.78</v>
      </c>
      <c r="F1889" s="4" t="str">
        <f>VLOOKUP(A1889,'Datos generales'!A:L,7,0)</f>
        <v>Electrónica</v>
      </c>
      <c r="G1889" s="4">
        <v>2023</v>
      </c>
    </row>
    <row r="1890" spans="1:7" x14ac:dyDescent="0.25">
      <c r="A1890" t="s">
        <v>100</v>
      </c>
      <c r="B1890" s="4">
        <f>VLOOKUP(A1890,'Datos generales'!A:L,5,0)</f>
        <v>2</v>
      </c>
      <c r="C1890" s="4" t="str">
        <f>VLOOKUP(A1890,'Datos generales'!A:L,4,0)</f>
        <v>Laptop</v>
      </c>
      <c r="D1890" s="4">
        <f>VLOOKUP(A1890,'Datos generales'!A:L,6,0)</f>
        <v>75.02</v>
      </c>
      <c r="E1890" s="4">
        <f>VLOOKUP(A1890,'Datos generales'!A:L,12,0)</f>
        <v>75.02</v>
      </c>
      <c r="F1890" s="4" t="str">
        <f>VLOOKUP(A1890,'Datos generales'!A:L,7,0)</f>
        <v>Electrónica</v>
      </c>
      <c r="G1890" s="4">
        <v>2024</v>
      </c>
    </row>
    <row r="1891" spans="1:7" x14ac:dyDescent="0.25">
      <c r="A1891" t="s">
        <v>101</v>
      </c>
      <c r="B1891" s="4">
        <f>VLOOKUP(A1891,'Datos generales'!A:L,5,0)</f>
        <v>5</v>
      </c>
      <c r="C1891" s="4" t="str">
        <f>VLOOKUP(A1891,'Datos generales'!A:L,4,0)</f>
        <v>Webcam</v>
      </c>
      <c r="D1891" s="4">
        <f>VLOOKUP(A1891,'Datos generales'!A:L,6,0)</f>
        <v>540.91999999999996</v>
      </c>
      <c r="E1891" s="4">
        <f>VLOOKUP(A1891,'Datos generales'!A:L,12,0)</f>
        <v>540.91999999999996</v>
      </c>
      <c r="F1891" s="4" t="str">
        <f>VLOOKUP(A1891,'Datos generales'!A:L,7,0)</f>
        <v>Accesorios</v>
      </c>
      <c r="G1891" s="4">
        <v>2024</v>
      </c>
    </row>
    <row r="1892" spans="1:7" x14ac:dyDescent="0.25">
      <c r="A1892" t="s">
        <v>102</v>
      </c>
      <c r="B1892" s="4">
        <f>VLOOKUP(A1892,'Datos generales'!A:L,5,0)</f>
        <v>2</v>
      </c>
      <c r="C1892" s="4" t="str">
        <f>VLOOKUP(A1892,'Datos generales'!A:L,4,0)</f>
        <v>Monitor</v>
      </c>
      <c r="D1892" s="4">
        <f>VLOOKUP(A1892,'Datos generales'!A:L,6,0)</f>
        <v>356.91</v>
      </c>
      <c r="E1892" s="4">
        <f>VLOOKUP(A1892,'Datos generales'!A:L,12,0)</f>
        <v>356.91</v>
      </c>
      <c r="F1892" s="4" t="str">
        <f>VLOOKUP(A1892,'Datos generales'!A:L,7,0)</f>
        <v>Electrónica</v>
      </c>
      <c r="G1892" s="4">
        <v>2025</v>
      </c>
    </row>
    <row r="1893" spans="1:7" x14ac:dyDescent="0.25">
      <c r="A1893" t="s">
        <v>103</v>
      </c>
      <c r="B1893" s="4">
        <f>VLOOKUP(A1893,'Datos generales'!A:L,5,0)</f>
        <v>3</v>
      </c>
      <c r="C1893" s="4" t="str">
        <f>VLOOKUP(A1893,'Datos generales'!A:L,4,0)</f>
        <v>Audífonos</v>
      </c>
      <c r="D1893" s="4">
        <f>VLOOKUP(A1893,'Datos generales'!A:L,6,0)</f>
        <v>1135.67</v>
      </c>
      <c r="E1893" s="4">
        <f>VLOOKUP(A1893,'Datos generales'!A:L,12,0)</f>
        <v>1135.67</v>
      </c>
      <c r="F1893" s="4" t="str">
        <f>VLOOKUP(A1893,'Datos generales'!A:L,7,0)</f>
        <v>Accesorios</v>
      </c>
      <c r="G1893" s="4">
        <v>2025</v>
      </c>
    </row>
    <row r="1894" spans="1:7" x14ac:dyDescent="0.25">
      <c r="A1894" t="s">
        <v>104</v>
      </c>
      <c r="B1894" s="4">
        <f>VLOOKUP(A1894,'Datos generales'!A:L,5,0)</f>
        <v>3</v>
      </c>
      <c r="C1894" s="4" t="str">
        <f>VLOOKUP(A1894,'Datos generales'!A:L,4,0)</f>
        <v>Impresora</v>
      </c>
      <c r="D1894" s="4">
        <f>VLOOKUP(A1894,'Datos generales'!A:L,6,0)</f>
        <v>805.69</v>
      </c>
      <c r="E1894" s="4">
        <f>VLOOKUP(A1894,'Datos generales'!A:L,12,0)</f>
        <v>805.69</v>
      </c>
      <c r="F1894" s="4" t="str">
        <f>VLOOKUP(A1894,'Datos generales'!A:L,7,0)</f>
        <v>Electrónica</v>
      </c>
      <c r="G1894" s="4">
        <v>2025</v>
      </c>
    </row>
    <row r="1895" spans="1:7" x14ac:dyDescent="0.25">
      <c r="A1895" t="s">
        <v>105</v>
      </c>
      <c r="B1895" s="4">
        <f>VLOOKUP(A1895,'Datos generales'!A:L,5,0)</f>
        <v>2</v>
      </c>
      <c r="C1895" s="4" t="str">
        <f>VLOOKUP(A1895,'Datos generales'!A:L,4,0)</f>
        <v>Laptop</v>
      </c>
      <c r="D1895" s="4">
        <f>VLOOKUP(A1895,'Datos generales'!A:L,6,0)</f>
        <v>1259.07</v>
      </c>
      <c r="E1895" s="4">
        <f>VLOOKUP(A1895,'Datos generales'!A:L,12,0)</f>
        <v>1259.07</v>
      </c>
      <c r="F1895" s="4" t="str">
        <f>VLOOKUP(A1895,'Datos generales'!A:L,7,0)</f>
        <v>Electrónica</v>
      </c>
      <c r="G1895" s="4">
        <v>2023</v>
      </c>
    </row>
    <row r="1896" spans="1:7" x14ac:dyDescent="0.25">
      <c r="A1896" t="s">
        <v>106</v>
      </c>
      <c r="B1896" s="4">
        <f>VLOOKUP(A1896,'Datos generales'!A:L,5,0)</f>
        <v>3</v>
      </c>
      <c r="C1896" s="4" t="str">
        <f>VLOOKUP(A1896,'Datos generales'!A:L,4,0)</f>
        <v>Mouse</v>
      </c>
      <c r="D1896" s="4">
        <f>VLOOKUP(A1896,'Datos generales'!A:L,6,0)</f>
        <v>600.4</v>
      </c>
      <c r="E1896" s="4">
        <f>VLOOKUP(A1896,'Datos generales'!A:L,12,0)</f>
        <v>600.4</v>
      </c>
      <c r="F1896" s="4" t="str">
        <f>VLOOKUP(A1896,'Datos generales'!A:L,7,0)</f>
        <v>Accesorios</v>
      </c>
      <c r="G1896" s="4">
        <v>2024</v>
      </c>
    </row>
    <row r="1897" spans="1:7" x14ac:dyDescent="0.25">
      <c r="A1897" t="s">
        <v>107</v>
      </c>
      <c r="B1897" s="4">
        <f>VLOOKUP(A1897,'Datos generales'!A:L,5,0)</f>
        <v>2</v>
      </c>
      <c r="C1897" s="4" t="str">
        <f>VLOOKUP(A1897,'Datos generales'!A:L,4,0)</f>
        <v>Silla Gamer</v>
      </c>
      <c r="D1897" s="4">
        <f>VLOOKUP(A1897,'Datos generales'!A:L,6,0)</f>
        <v>479.81</v>
      </c>
      <c r="E1897" s="4">
        <f>VLOOKUP(A1897,'Datos generales'!A:L,12,0)</f>
        <v>479.81</v>
      </c>
      <c r="F1897" s="4" t="str">
        <f>VLOOKUP(A1897,'Datos generales'!A:L,7,0)</f>
        <v>Muebles</v>
      </c>
      <c r="G1897" s="4">
        <v>2024</v>
      </c>
    </row>
    <row r="1898" spans="1:7" x14ac:dyDescent="0.25">
      <c r="A1898" t="s">
        <v>108</v>
      </c>
      <c r="B1898" s="4">
        <f>VLOOKUP(A1898,'Datos generales'!A:L,5,0)</f>
        <v>1</v>
      </c>
      <c r="C1898" s="4" t="str">
        <f>VLOOKUP(A1898,'Datos generales'!A:L,4,0)</f>
        <v>Webcam</v>
      </c>
      <c r="D1898" s="4">
        <f>VLOOKUP(A1898,'Datos generales'!A:L,6,0)</f>
        <v>1888.86</v>
      </c>
      <c r="E1898" s="4">
        <f>VLOOKUP(A1898,'Datos generales'!A:L,12,0)</f>
        <v>1888.86</v>
      </c>
      <c r="F1898" s="4" t="str">
        <f>VLOOKUP(A1898,'Datos generales'!A:L,7,0)</f>
        <v>Accesorios</v>
      </c>
      <c r="G1898" s="4">
        <v>2024</v>
      </c>
    </row>
    <row r="1899" spans="1:7" x14ac:dyDescent="0.25">
      <c r="A1899" t="s">
        <v>109</v>
      </c>
      <c r="B1899" s="4">
        <f>VLOOKUP(A1899,'Datos generales'!A:L,5,0)</f>
        <v>4</v>
      </c>
      <c r="C1899" s="4" t="str">
        <f>VLOOKUP(A1899,'Datos generales'!A:L,4,0)</f>
        <v>Laptop</v>
      </c>
      <c r="D1899" s="4">
        <f>VLOOKUP(A1899,'Datos generales'!A:L,6,0)</f>
        <v>1821.05</v>
      </c>
      <c r="E1899" s="4">
        <f>VLOOKUP(A1899,'Datos generales'!A:L,12,0)</f>
        <v>1821.05</v>
      </c>
      <c r="F1899" s="4" t="str">
        <f>VLOOKUP(A1899,'Datos generales'!A:L,7,0)</f>
        <v>Electrónica</v>
      </c>
      <c r="G1899" s="4">
        <v>2024</v>
      </c>
    </row>
    <row r="1900" spans="1:7" x14ac:dyDescent="0.25">
      <c r="A1900" t="s">
        <v>110</v>
      </c>
      <c r="B1900" s="4">
        <f>VLOOKUP(A1900,'Datos generales'!A:L,5,0)</f>
        <v>3</v>
      </c>
      <c r="C1900" s="4" t="str">
        <f>VLOOKUP(A1900,'Datos generales'!A:L,4,0)</f>
        <v>Mouse</v>
      </c>
      <c r="D1900" s="4">
        <f>VLOOKUP(A1900,'Datos generales'!A:L,6,0)</f>
        <v>1537.23</v>
      </c>
      <c r="E1900" s="4">
        <f>VLOOKUP(A1900,'Datos generales'!A:L,12,0)</f>
        <v>1537.23</v>
      </c>
      <c r="F1900" s="4" t="str">
        <f>VLOOKUP(A1900,'Datos generales'!A:L,7,0)</f>
        <v>Accesorios</v>
      </c>
      <c r="G1900" s="4">
        <v>2025</v>
      </c>
    </row>
    <row r="1901" spans="1:7" x14ac:dyDescent="0.25">
      <c r="A1901" t="s">
        <v>111</v>
      </c>
      <c r="B1901" s="4">
        <f>VLOOKUP(A1901,'Datos generales'!A:L,5,0)</f>
        <v>3</v>
      </c>
      <c r="C1901" s="4" t="str">
        <f>VLOOKUP(A1901,'Datos generales'!A:L,4,0)</f>
        <v>Silla Gamer</v>
      </c>
      <c r="D1901" s="4">
        <f>VLOOKUP(A1901,'Datos generales'!A:L,6,0)</f>
        <v>311.66000000000003</v>
      </c>
      <c r="E1901" s="4">
        <f>VLOOKUP(A1901,'Datos generales'!A:L,12,0)</f>
        <v>311.66000000000003</v>
      </c>
      <c r="F1901" s="4" t="str">
        <f>VLOOKUP(A1901,'Datos generales'!A:L,7,0)</f>
        <v>Muebles</v>
      </c>
      <c r="G1901" s="4">
        <v>2024</v>
      </c>
    </row>
    <row r="1902" spans="1:7" x14ac:dyDescent="0.25">
      <c r="A1902" t="s">
        <v>112</v>
      </c>
      <c r="B1902" s="4">
        <f>VLOOKUP(A1902,'Datos generales'!A:L,5,0)</f>
        <v>5</v>
      </c>
      <c r="C1902" s="4" t="str">
        <f>VLOOKUP(A1902,'Datos generales'!A:L,4,0)</f>
        <v>Teclado</v>
      </c>
      <c r="D1902" s="4">
        <f>VLOOKUP(A1902,'Datos generales'!A:L,6,0)</f>
        <v>149.09</v>
      </c>
      <c r="E1902" s="4">
        <f>VLOOKUP(A1902,'Datos generales'!A:L,12,0)</f>
        <v>149.09</v>
      </c>
      <c r="F1902" s="4" t="str">
        <f>VLOOKUP(A1902,'Datos generales'!A:L,7,0)</f>
        <v>Accesorios</v>
      </c>
      <c r="G1902" s="4">
        <v>2024</v>
      </c>
    </row>
    <row r="1903" spans="1:7" x14ac:dyDescent="0.25">
      <c r="A1903" t="s">
        <v>113</v>
      </c>
      <c r="B1903" s="4">
        <f>VLOOKUP(A1903,'Datos generales'!A:L,5,0)</f>
        <v>5</v>
      </c>
      <c r="C1903" s="4" t="str">
        <f>VLOOKUP(A1903,'Datos generales'!A:L,4,0)</f>
        <v>Laptop</v>
      </c>
      <c r="D1903" s="4">
        <f>VLOOKUP(A1903,'Datos generales'!A:L,6,0)</f>
        <v>1885.48</v>
      </c>
      <c r="E1903" s="4">
        <f>VLOOKUP(A1903,'Datos generales'!A:L,12,0)</f>
        <v>1885.48</v>
      </c>
      <c r="F1903" s="4" t="str">
        <f>VLOOKUP(A1903,'Datos generales'!A:L,7,0)</f>
        <v>Electrónica</v>
      </c>
      <c r="G1903" s="4">
        <v>2023</v>
      </c>
    </row>
    <row r="1904" spans="1:7" x14ac:dyDescent="0.25">
      <c r="A1904" t="s">
        <v>114</v>
      </c>
      <c r="B1904" s="4">
        <f>VLOOKUP(A1904,'Datos generales'!A:L,5,0)</f>
        <v>3</v>
      </c>
      <c r="C1904" s="4" t="str">
        <f>VLOOKUP(A1904,'Datos generales'!A:L,4,0)</f>
        <v>Webcam</v>
      </c>
      <c r="D1904" s="4">
        <f>VLOOKUP(A1904,'Datos generales'!A:L,6,0)</f>
        <v>1591.92</v>
      </c>
      <c r="E1904" s="4">
        <f>VLOOKUP(A1904,'Datos generales'!A:L,12,0)</f>
        <v>1591.92</v>
      </c>
      <c r="F1904" s="4" t="str">
        <f>VLOOKUP(A1904,'Datos generales'!A:L,7,0)</f>
        <v>Accesorios</v>
      </c>
      <c r="G1904" s="4">
        <v>2023</v>
      </c>
    </row>
    <row r="1905" spans="1:7" x14ac:dyDescent="0.25">
      <c r="A1905" t="s">
        <v>115</v>
      </c>
      <c r="B1905" s="4">
        <f>VLOOKUP(A1905,'Datos generales'!A:L,5,0)</f>
        <v>5</v>
      </c>
      <c r="C1905" s="4" t="str">
        <f>VLOOKUP(A1905,'Datos generales'!A:L,4,0)</f>
        <v>Webcam</v>
      </c>
      <c r="D1905" s="4">
        <f>VLOOKUP(A1905,'Datos generales'!A:L,6,0)</f>
        <v>1383.33</v>
      </c>
      <c r="E1905" s="4">
        <f>VLOOKUP(A1905,'Datos generales'!A:L,12,0)</f>
        <v>1383.33</v>
      </c>
      <c r="F1905" s="4" t="str">
        <f>VLOOKUP(A1905,'Datos generales'!A:L,7,0)</f>
        <v>Accesorios</v>
      </c>
      <c r="G1905" s="4">
        <v>2025</v>
      </c>
    </row>
    <row r="1906" spans="1:7" x14ac:dyDescent="0.25">
      <c r="A1906" t="s">
        <v>116</v>
      </c>
      <c r="B1906" s="4">
        <f>VLOOKUP(A1906,'Datos generales'!A:L,5,0)</f>
        <v>2</v>
      </c>
      <c r="C1906" s="4" t="str">
        <f>VLOOKUP(A1906,'Datos generales'!A:L,4,0)</f>
        <v>Silla Gamer</v>
      </c>
      <c r="D1906" s="4">
        <f>VLOOKUP(A1906,'Datos generales'!A:L,6,0)</f>
        <v>1051.23</v>
      </c>
      <c r="E1906" s="4">
        <f>VLOOKUP(A1906,'Datos generales'!A:L,12,0)</f>
        <v>1051.23</v>
      </c>
      <c r="F1906" s="4" t="str">
        <f>VLOOKUP(A1906,'Datos generales'!A:L,7,0)</f>
        <v>Muebles</v>
      </c>
      <c r="G1906" s="4">
        <v>2025</v>
      </c>
    </row>
    <row r="1907" spans="1:7" x14ac:dyDescent="0.25">
      <c r="A1907" t="s">
        <v>117</v>
      </c>
      <c r="B1907" s="4">
        <f>VLOOKUP(A1907,'Datos generales'!A:L,5,0)</f>
        <v>4</v>
      </c>
      <c r="C1907" s="4" t="str">
        <f>VLOOKUP(A1907,'Datos generales'!A:L,4,0)</f>
        <v>Audífonos</v>
      </c>
      <c r="D1907" s="4">
        <f>VLOOKUP(A1907,'Datos generales'!A:L,6,0)</f>
        <v>1274.46</v>
      </c>
      <c r="E1907" s="4">
        <f>VLOOKUP(A1907,'Datos generales'!A:L,12,0)</f>
        <v>1274.46</v>
      </c>
      <c r="F1907" s="4" t="str">
        <f>VLOOKUP(A1907,'Datos generales'!A:L,7,0)</f>
        <v>Accesorios</v>
      </c>
      <c r="G1907" s="4">
        <v>2023</v>
      </c>
    </row>
    <row r="1908" spans="1:7" x14ac:dyDescent="0.25">
      <c r="A1908" t="s">
        <v>118</v>
      </c>
      <c r="B1908" s="4">
        <f>VLOOKUP(A1908,'Datos generales'!A:L,5,0)</f>
        <v>1</v>
      </c>
      <c r="C1908" s="4" t="str">
        <f>VLOOKUP(A1908,'Datos generales'!A:L,4,0)</f>
        <v>Monitor</v>
      </c>
      <c r="D1908" s="4">
        <f>VLOOKUP(A1908,'Datos generales'!A:L,6,0)</f>
        <v>1251.08</v>
      </c>
      <c r="E1908" s="4">
        <f>VLOOKUP(A1908,'Datos generales'!A:L,12,0)</f>
        <v>1251.08</v>
      </c>
      <c r="F1908" s="4" t="str">
        <f>VLOOKUP(A1908,'Datos generales'!A:L,7,0)</f>
        <v>Electrónica</v>
      </c>
      <c r="G1908" s="4">
        <v>2025</v>
      </c>
    </row>
    <row r="1909" spans="1:7" x14ac:dyDescent="0.25">
      <c r="A1909" t="s">
        <v>119</v>
      </c>
      <c r="B1909" s="4">
        <f>VLOOKUP(A1909,'Datos generales'!A:L,5,0)</f>
        <v>5</v>
      </c>
      <c r="C1909" s="4" t="str">
        <f>VLOOKUP(A1909,'Datos generales'!A:L,4,0)</f>
        <v>Audífonos</v>
      </c>
      <c r="D1909" s="4">
        <f>VLOOKUP(A1909,'Datos generales'!A:L,6,0)</f>
        <v>1582.2</v>
      </c>
      <c r="E1909" s="4">
        <f>VLOOKUP(A1909,'Datos generales'!A:L,12,0)</f>
        <v>1582.2</v>
      </c>
      <c r="F1909" s="4" t="str">
        <f>VLOOKUP(A1909,'Datos generales'!A:L,7,0)</f>
        <v>Accesorios</v>
      </c>
      <c r="G1909" s="4">
        <v>2025</v>
      </c>
    </row>
    <row r="1910" spans="1:7" x14ac:dyDescent="0.25">
      <c r="A1910" t="s">
        <v>120</v>
      </c>
      <c r="B1910" s="4">
        <f>VLOOKUP(A1910,'Datos generales'!A:L,5,0)</f>
        <v>1</v>
      </c>
      <c r="C1910" s="4" t="str">
        <f>VLOOKUP(A1910,'Datos generales'!A:L,4,0)</f>
        <v>Silla Gamer</v>
      </c>
      <c r="D1910" s="4">
        <f>VLOOKUP(A1910,'Datos generales'!A:L,6,0)</f>
        <v>81.92</v>
      </c>
      <c r="E1910" s="4">
        <f>VLOOKUP(A1910,'Datos generales'!A:L,12,0)</f>
        <v>81.92</v>
      </c>
      <c r="F1910" s="4" t="str">
        <f>VLOOKUP(A1910,'Datos generales'!A:L,7,0)</f>
        <v>Muebles</v>
      </c>
      <c r="G1910" s="4">
        <v>2023</v>
      </c>
    </row>
    <row r="1911" spans="1:7" x14ac:dyDescent="0.25">
      <c r="A1911" t="s">
        <v>121</v>
      </c>
      <c r="B1911" s="4">
        <f>VLOOKUP(A1911,'Datos generales'!A:L,5,0)</f>
        <v>1</v>
      </c>
      <c r="C1911" s="4" t="str">
        <f>VLOOKUP(A1911,'Datos generales'!A:L,4,0)</f>
        <v>Mouse</v>
      </c>
      <c r="D1911" s="4">
        <f>VLOOKUP(A1911,'Datos generales'!A:L,6,0)</f>
        <v>1153.31</v>
      </c>
      <c r="E1911" s="4">
        <f>VLOOKUP(A1911,'Datos generales'!A:L,12,0)</f>
        <v>1153.31</v>
      </c>
      <c r="F1911" s="4" t="str">
        <f>VLOOKUP(A1911,'Datos generales'!A:L,7,0)</f>
        <v>Accesorios</v>
      </c>
      <c r="G1911" s="4">
        <v>2024</v>
      </c>
    </row>
    <row r="1912" spans="1:7" x14ac:dyDescent="0.25">
      <c r="A1912" t="s">
        <v>122</v>
      </c>
      <c r="B1912" s="4">
        <f>VLOOKUP(A1912,'Datos generales'!A:L,5,0)</f>
        <v>3</v>
      </c>
      <c r="C1912" s="4" t="str">
        <f>VLOOKUP(A1912,'Datos generales'!A:L,4,0)</f>
        <v>Mouse</v>
      </c>
      <c r="D1912" s="4">
        <f>VLOOKUP(A1912,'Datos generales'!A:L,6,0)</f>
        <v>1078.08</v>
      </c>
      <c r="E1912" s="4">
        <f>VLOOKUP(A1912,'Datos generales'!A:L,12,0)</f>
        <v>1078.08</v>
      </c>
      <c r="F1912" s="4" t="str">
        <f>VLOOKUP(A1912,'Datos generales'!A:L,7,0)</f>
        <v>Accesorios</v>
      </c>
      <c r="G1912" s="4">
        <v>2025</v>
      </c>
    </row>
    <row r="1913" spans="1:7" x14ac:dyDescent="0.25">
      <c r="A1913" t="s">
        <v>123</v>
      </c>
      <c r="B1913" s="4">
        <f>VLOOKUP(A1913,'Datos generales'!A:L,5,0)</f>
        <v>1</v>
      </c>
      <c r="C1913" s="4" t="str">
        <f>VLOOKUP(A1913,'Datos generales'!A:L,4,0)</f>
        <v>Impresora</v>
      </c>
      <c r="D1913" s="4">
        <f>VLOOKUP(A1913,'Datos generales'!A:L,6,0)</f>
        <v>201.91</v>
      </c>
      <c r="E1913" s="4">
        <f>VLOOKUP(A1913,'Datos generales'!A:L,12,0)</f>
        <v>201.91</v>
      </c>
      <c r="F1913" s="4" t="str">
        <f>VLOOKUP(A1913,'Datos generales'!A:L,7,0)</f>
        <v>Electrónica</v>
      </c>
      <c r="G1913" s="4">
        <v>2024</v>
      </c>
    </row>
    <row r="1914" spans="1:7" x14ac:dyDescent="0.25">
      <c r="A1914" t="s">
        <v>124</v>
      </c>
      <c r="B1914" s="4">
        <f>VLOOKUP(A1914,'Datos generales'!A:L,5,0)</f>
        <v>3</v>
      </c>
      <c r="C1914" s="4" t="str">
        <f>VLOOKUP(A1914,'Datos generales'!A:L,4,0)</f>
        <v>Webcam</v>
      </c>
      <c r="D1914" s="4">
        <f>VLOOKUP(A1914,'Datos generales'!A:L,6,0)</f>
        <v>727.36</v>
      </c>
      <c r="E1914" s="4">
        <f>VLOOKUP(A1914,'Datos generales'!A:L,12,0)</f>
        <v>727.36</v>
      </c>
      <c r="F1914" s="4" t="str">
        <f>VLOOKUP(A1914,'Datos generales'!A:L,7,0)</f>
        <v>Accesorios</v>
      </c>
      <c r="G1914" s="4">
        <v>2024</v>
      </c>
    </row>
    <row r="1915" spans="1:7" x14ac:dyDescent="0.25">
      <c r="A1915" t="s">
        <v>125</v>
      </c>
      <c r="B1915" s="4">
        <f>VLOOKUP(A1915,'Datos generales'!A:L,5,0)</f>
        <v>3</v>
      </c>
      <c r="C1915" s="4" t="str">
        <f>VLOOKUP(A1915,'Datos generales'!A:L,4,0)</f>
        <v>Audífonos</v>
      </c>
      <c r="D1915" s="4">
        <f>VLOOKUP(A1915,'Datos generales'!A:L,6,0)</f>
        <v>1645.43</v>
      </c>
      <c r="E1915" s="4">
        <f>VLOOKUP(A1915,'Datos generales'!A:L,12,0)</f>
        <v>1645.43</v>
      </c>
      <c r="F1915" s="4" t="str">
        <f>VLOOKUP(A1915,'Datos generales'!A:L,7,0)</f>
        <v>Accesorios</v>
      </c>
      <c r="G1915" s="4">
        <v>2023</v>
      </c>
    </row>
    <row r="1916" spans="1:7" x14ac:dyDescent="0.25">
      <c r="A1916" t="s">
        <v>126</v>
      </c>
      <c r="B1916" s="4">
        <f>VLOOKUP(A1916,'Datos generales'!A:L,5,0)</f>
        <v>3</v>
      </c>
      <c r="C1916" s="4" t="str">
        <f>VLOOKUP(A1916,'Datos generales'!A:L,4,0)</f>
        <v>Laptop</v>
      </c>
      <c r="D1916" s="4">
        <f>VLOOKUP(A1916,'Datos generales'!A:L,6,0)</f>
        <v>420.05</v>
      </c>
      <c r="E1916" s="4">
        <f>VLOOKUP(A1916,'Datos generales'!A:L,12,0)</f>
        <v>420.05</v>
      </c>
      <c r="F1916" s="4" t="str">
        <f>VLOOKUP(A1916,'Datos generales'!A:L,7,0)</f>
        <v>Electrónica</v>
      </c>
      <c r="G1916" s="4">
        <v>2024</v>
      </c>
    </row>
    <row r="1917" spans="1:7" x14ac:dyDescent="0.25">
      <c r="A1917" t="s">
        <v>127</v>
      </c>
      <c r="B1917" s="4">
        <f>VLOOKUP(A1917,'Datos generales'!A:L,5,0)</f>
        <v>4</v>
      </c>
      <c r="C1917" s="4" t="str">
        <f>VLOOKUP(A1917,'Datos generales'!A:L,4,0)</f>
        <v>Silla Gamer</v>
      </c>
      <c r="D1917" s="4">
        <f>VLOOKUP(A1917,'Datos generales'!A:L,6,0)</f>
        <v>496.9</v>
      </c>
      <c r="E1917" s="4">
        <f>VLOOKUP(A1917,'Datos generales'!A:L,12,0)</f>
        <v>496.9</v>
      </c>
      <c r="F1917" s="4" t="str">
        <f>VLOOKUP(A1917,'Datos generales'!A:L,7,0)</f>
        <v>Muebles</v>
      </c>
      <c r="G1917" s="4">
        <v>2024</v>
      </c>
    </row>
    <row r="1918" spans="1:7" x14ac:dyDescent="0.25">
      <c r="A1918" t="s">
        <v>128</v>
      </c>
      <c r="B1918" s="4">
        <f>VLOOKUP(A1918,'Datos generales'!A:L,5,0)</f>
        <v>2</v>
      </c>
      <c r="C1918" s="4" t="str">
        <f>VLOOKUP(A1918,'Datos generales'!A:L,4,0)</f>
        <v>Teclado</v>
      </c>
      <c r="D1918" s="4">
        <f>VLOOKUP(A1918,'Datos generales'!A:L,6,0)</f>
        <v>721.56</v>
      </c>
      <c r="E1918" s="4">
        <f>VLOOKUP(A1918,'Datos generales'!A:L,12,0)</f>
        <v>721.56</v>
      </c>
      <c r="F1918" s="4" t="str">
        <f>VLOOKUP(A1918,'Datos generales'!A:L,7,0)</f>
        <v>Accesorios</v>
      </c>
      <c r="G1918" s="4">
        <v>2023</v>
      </c>
    </row>
    <row r="1919" spans="1:7" x14ac:dyDescent="0.25">
      <c r="A1919" t="s">
        <v>129</v>
      </c>
      <c r="B1919" s="4">
        <f>VLOOKUP(A1919,'Datos generales'!A:L,5,0)</f>
        <v>4</v>
      </c>
      <c r="C1919" s="4" t="str">
        <f>VLOOKUP(A1919,'Datos generales'!A:L,4,0)</f>
        <v>Audífonos</v>
      </c>
      <c r="D1919" s="4">
        <f>VLOOKUP(A1919,'Datos generales'!A:L,6,0)</f>
        <v>1353.9</v>
      </c>
      <c r="E1919" s="4">
        <f>VLOOKUP(A1919,'Datos generales'!A:L,12,0)</f>
        <v>1353.9</v>
      </c>
      <c r="F1919" s="4" t="str">
        <f>VLOOKUP(A1919,'Datos generales'!A:L,7,0)</f>
        <v>Accesorios</v>
      </c>
      <c r="G1919" s="4">
        <v>2023</v>
      </c>
    </row>
    <row r="1920" spans="1:7" x14ac:dyDescent="0.25">
      <c r="A1920" t="s">
        <v>130</v>
      </c>
      <c r="B1920" s="4">
        <f>VLOOKUP(A1920,'Datos generales'!A:L,5,0)</f>
        <v>2</v>
      </c>
      <c r="C1920" s="4" t="str">
        <f>VLOOKUP(A1920,'Datos generales'!A:L,4,0)</f>
        <v>Impresora</v>
      </c>
      <c r="D1920" s="4">
        <f>VLOOKUP(A1920,'Datos generales'!A:L,6,0)</f>
        <v>429.52</v>
      </c>
      <c r="E1920" s="4">
        <f>VLOOKUP(A1920,'Datos generales'!A:L,12,0)</f>
        <v>429.52</v>
      </c>
      <c r="F1920" s="4" t="str">
        <f>VLOOKUP(A1920,'Datos generales'!A:L,7,0)</f>
        <v>Electrónica</v>
      </c>
      <c r="G1920" s="4">
        <v>2024</v>
      </c>
    </row>
    <row r="1921" spans="1:7" x14ac:dyDescent="0.25">
      <c r="A1921" t="s">
        <v>131</v>
      </c>
      <c r="B1921" s="4">
        <f>VLOOKUP(A1921,'Datos generales'!A:L,5,0)</f>
        <v>2</v>
      </c>
      <c r="C1921" s="4" t="str">
        <f>VLOOKUP(A1921,'Datos generales'!A:L,4,0)</f>
        <v>Silla Gamer</v>
      </c>
      <c r="D1921" s="4">
        <f>VLOOKUP(A1921,'Datos generales'!A:L,6,0)</f>
        <v>1824.96</v>
      </c>
      <c r="E1921" s="4">
        <f>VLOOKUP(A1921,'Datos generales'!A:L,12,0)</f>
        <v>1824.96</v>
      </c>
      <c r="F1921" s="4" t="str">
        <f>VLOOKUP(A1921,'Datos generales'!A:L,7,0)</f>
        <v>Muebles</v>
      </c>
      <c r="G1921" s="4">
        <v>2024</v>
      </c>
    </row>
    <row r="1922" spans="1:7" x14ac:dyDescent="0.25">
      <c r="A1922" t="s">
        <v>132</v>
      </c>
      <c r="B1922" s="4">
        <f>VLOOKUP(A1922,'Datos generales'!A:L,5,0)</f>
        <v>5</v>
      </c>
      <c r="C1922" s="4" t="str">
        <f>VLOOKUP(A1922,'Datos generales'!A:L,4,0)</f>
        <v>Mouse</v>
      </c>
      <c r="D1922" s="4">
        <f>VLOOKUP(A1922,'Datos generales'!A:L,6,0)</f>
        <v>1059.81</v>
      </c>
      <c r="E1922" s="4">
        <f>VLOOKUP(A1922,'Datos generales'!A:L,12,0)</f>
        <v>1059.81</v>
      </c>
      <c r="F1922" s="4" t="str">
        <f>VLOOKUP(A1922,'Datos generales'!A:L,7,0)</f>
        <v>Accesorios</v>
      </c>
      <c r="G1922" s="4">
        <v>2024</v>
      </c>
    </row>
    <row r="1923" spans="1:7" x14ac:dyDescent="0.25">
      <c r="A1923" t="s">
        <v>133</v>
      </c>
      <c r="B1923" s="4">
        <f>VLOOKUP(A1923,'Datos generales'!A:L,5,0)</f>
        <v>4</v>
      </c>
      <c r="C1923" s="4" t="str">
        <f>VLOOKUP(A1923,'Datos generales'!A:L,4,0)</f>
        <v>Silla Gamer</v>
      </c>
      <c r="D1923" s="4">
        <f>VLOOKUP(A1923,'Datos generales'!A:L,6,0)</f>
        <v>46.39</v>
      </c>
      <c r="E1923" s="4">
        <f>VLOOKUP(A1923,'Datos generales'!A:L,12,0)</f>
        <v>46.39</v>
      </c>
      <c r="F1923" s="4" t="str">
        <f>VLOOKUP(A1923,'Datos generales'!A:L,7,0)</f>
        <v>Muebles</v>
      </c>
      <c r="G1923" s="4">
        <v>2023</v>
      </c>
    </row>
    <row r="1924" spans="1:7" x14ac:dyDescent="0.25">
      <c r="A1924" t="s">
        <v>134</v>
      </c>
      <c r="B1924" s="4">
        <f>VLOOKUP(A1924,'Datos generales'!A:L,5,0)</f>
        <v>1</v>
      </c>
      <c r="C1924" s="4" t="str">
        <f>VLOOKUP(A1924,'Datos generales'!A:L,4,0)</f>
        <v>Laptop</v>
      </c>
      <c r="D1924" s="4">
        <f>VLOOKUP(A1924,'Datos generales'!A:L,6,0)</f>
        <v>754.07</v>
      </c>
      <c r="E1924" s="4">
        <f>VLOOKUP(A1924,'Datos generales'!A:L,12,0)</f>
        <v>754.07</v>
      </c>
      <c r="F1924" s="4" t="str">
        <f>VLOOKUP(A1924,'Datos generales'!A:L,7,0)</f>
        <v>Electrónica</v>
      </c>
      <c r="G1924" s="4">
        <v>2023</v>
      </c>
    </row>
    <row r="1925" spans="1:7" x14ac:dyDescent="0.25">
      <c r="A1925" t="s">
        <v>135</v>
      </c>
      <c r="B1925" s="4">
        <f>VLOOKUP(A1925,'Datos generales'!A:L,5,0)</f>
        <v>1</v>
      </c>
      <c r="C1925" s="4" t="str">
        <f>VLOOKUP(A1925,'Datos generales'!A:L,4,0)</f>
        <v>Audífonos</v>
      </c>
      <c r="D1925" s="4">
        <f>VLOOKUP(A1925,'Datos generales'!A:L,6,0)</f>
        <v>1681.02</v>
      </c>
      <c r="E1925" s="4">
        <f>VLOOKUP(A1925,'Datos generales'!A:L,12,0)</f>
        <v>1681.02</v>
      </c>
      <c r="F1925" s="4" t="str">
        <f>VLOOKUP(A1925,'Datos generales'!A:L,7,0)</f>
        <v>Accesorios</v>
      </c>
      <c r="G1925" s="4">
        <v>2025</v>
      </c>
    </row>
    <row r="1926" spans="1:7" x14ac:dyDescent="0.25">
      <c r="A1926" t="s">
        <v>136</v>
      </c>
      <c r="B1926" s="4">
        <f>VLOOKUP(A1926,'Datos generales'!A:L,5,0)</f>
        <v>2</v>
      </c>
      <c r="C1926" s="4" t="str">
        <f>VLOOKUP(A1926,'Datos generales'!A:L,4,0)</f>
        <v>Monitor</v>
      </c>
      <c r="D1926" s="4">
        <f>VLOOKUP(A1926,'Datos generales'!A:L,6,0)</f>
        <v>1198.72</v>
      </c>
      <c r="E1926" s="4">
        <f>VLOOKUP(A1926,'Datos generales'!A:L,12,0)</f>
        <v>1198.72</v>
      </c>
      <c r="F1926" s="4" t="str">
        <f>VLOOKUP(A1926,'Datos generales'!A:L,7,0)</f>
        <v>Electrónica</v>
      </c>
      <c r="G1926" s="4">
        <v>2025</v>
      </c>
    </row>
    <row r="1927" spans="1:7" x14ac:dyDescent="0.25">
      <c r="A1927" t="s">
        <v>137</v>
      </c>
      <c r="B1927" s="4">
        <f>VLOOKUP(A1927,'Datos generales'!A:L,5,0)</f>
        <v>2</v>
      </c>
      <c r="C1927" s="4" t="str">
        <f>VLOOKUP(A1927,'Datos generales'!A:L,4,0)</f>
        <v>Audífonos</v>
      </c>
      <c r="D1927" s="4">
        <f>VLOOKUP(A1927,'Datos generales'!A:L,6,0)</f>
        <v>1040.2</v>
      </c>
      <c r="E1927" s="4">
        <f>VLOOKUP(A1927,'Datos generales'!A:L,12,0)</f>
        <v>1040.2</v>
      </c>
      <c r="F1927" s="4" t="str">
        <f>VLOOKUP(A1927,'Datos generales'!A:L,7,0)</f>
        <v>Accesorios</v>
      </c>
      <c r="G1927" s="4">
        <v>2023</v>
      </c>
    </row>
    <row r="1928" spans="1:7" x14ac:dyDescent="0.25">
      <c r="A1928" t="s">
        <v>138</v>
      </c>
      <c r="B1928" s="4">
        <f>VLOOKUP(A1928,'Datos generales'!A:L,5,0)</f>
        <v>3</v>
      </c>
      <c r="C1928" s="4" t="str">
        <f>VLOOKUP(A1928,'Datos generales'!A:L,4,0)</f>
        <v>Teclado</v>
      </c>
      <c r="D1928" s="4">
        <f>VLOOKUP(A1928,'Datos generales'!A:L,6,0)</f>
        <v>107.53</v>
      </c>
      <c r="E1928" s="4">
        <f>VLOOKUP(A1928,'Datos generales'!A:L,12,0)</f>
        <v>107.53</v>
      </c>
      <c r="F1928" s="4" t="str">
        <f>VLOOKUP(A1928,'Datos generales'!A:L,7,0)</f>
        <v>Accesorios</v>
      </c>
      <c r="G1928" s="4">
        <v>2025</v>
      </c>
    </row>
    <row r="1929" spans="1:7" x14ac:dyDescent="0.25">
      <c r="A1929" t="s">
        <v>139</v>
      </c>
      <c r="B1929" s="4">
        <f>VLOOKUP(A1929,'Datos generales'!A:L,5,0)</f>
        <v>4</v>
      </c>
      <c r="C1929" s="4" t="str">
        <f>VLOOKUP(A1929,'Datos generales'!A:L,4,0)</f>
        <v>Impresora</v>
      </c>
      <c r="D1929" s="4">
        <f>VLOOKUP(A1929,'Datos generales'!A:L,6,0)</f>
        <v>380.66</v>
      </c>
      <c r="E1929" s="4">
        <f>VLOOKUP(A1929,'Datos generales'!A:L,12,0)</f>
        <v>380.66</v>
      </c>
      <c r="F1929" s="4" t="str">
        <f>VLOOKUP(A1929,'Datos generales'!A:L,7,0)</f>
        <v>Electrónica</v>
      </c>
      <c r="G1929" s="4">
        <v>2025</v>
      </c>
    </row>
    <row r="1930" spans="1:7" x14ac:dyDescent="0.25">
      <c r="A1930" t="s">
        <v>140</v>
      </c>
      <c r="B1930" s="4">
        <f>VLOOKUP(A1930,'Datos generales'!A:L,5,0)</f>
        <v>2</v>
      </c>
      <c r="C1930" s="4" t="str">
        <f>VLOOKUP(A1930,'Datos generales'!A:L,4,0)</f>
        <v>Monitor</v>
      </c>
      <c r="D1930" s="4">
        <f>VLOOKUP(A1930,'Datos generales'!A:L,6,0)</f>
        <v>700.11</v>
      </c>
      <c r="E1930" s="4">
        <f>VLOOKUP(A1930,'Datos generales'!A:L,12,0)</f>
        <v>700.11</v>
      </c>
      <c r="F1930" s="4" t="str">
        <f>VLOOKUP(A1930,'Datos generales'!A:L,7,0)</f>
        <v>Electrónica</v>
      </c>
      <c r="G1930" s="4">
        <v>2025</v>
      </c>
    </row>
    <row r="1931" spans="1:7" x14ac:dyDescent="0.25">
      <c r="A1931" t="s">
        <v>141</v>
      </c>
      <c r="B1931" s="4">
        <f>VLOOKUP(A1931,'Datos generales'!A:L,5,0)</f>
        <v>5</v>
      </c>
      <c r="C1931" s="4" t="str">
        <f>VLOOKUP(A1931,'Datos generales'!A:L,4,0)</f>
        <v>Impresora</v>
      </c>
      <c r="D1931" s="4">
        <f>VLOOKUP(A1931,'Datos generales'!A:L,6,0)</f>
        <v>358.48</v>
      </c>
      <c r="E1931" s="4">
        <f>VLOOKUP(A1931,'Datos generales'!A:L,12,0)</f>
        <v>358.48</v>
      </c>
      <c r="F1931" s="4" t="str">
        <f>VLOOKUP(A1931,'Datos generales'!A:L,7,0)</f>
        <v>Electrónica</v>
      </c>
      <c r="G1931" s="4">
        <v>2023</v>
      </c>
    </row>
    <row r="1932" spans="1:7" x14ac:dyDescent="0.25">
      <c r="A1932" t="s">
        <v>142</v>
      </c>
      <c r="B1932" s="4">
        <f>VLOOKUP(A1932,'Datos generales'!A:L,5,0)</f>
        <v>4</v>
      </c>
      <c r="C1932" s="4" t="str">
        <f>VLOOKUP(A1932,'Datos generales'!A:L,4,0)</f>
        <v>Silla Gamer</v>
      </c>
      <c r="D1932" s="4">
        <f>VLOOKUP(A1932,'Datos generales'!A:L,6,0)</f>
        <v>746.6</v>
      </c>
      <c r="E1932" s="4">
        <f>VLOOKUP(A1932,'Datos generales'!A:L,12,0)</f>
        <v>746.6</v>
      </c>
      <c r="F1932" s="4" t="str">
        <f>VLOOKUP(A1932,'Datos generales'!A:L,7,0)</f>
        <v>Muebles</v>
      </c>
      <c r="G1932" s="4">
        <v>2024</v>
      </c>
    </row>
    <row r="1933" spans="1:7" x14ac:dyDescent="0.25">
      <c r="A1933" t="s">
        <v>143</v>
      </c>
      <c r="B1933" s="4">
        <f>VLOOKUP(A1933,'Datos generales'!A:L,5,0)</f>
        <v>1</v>
      </c>
      <c r="C1933" s="4" t="str">
        <f>VLOOKUP(A1933,'Datos generales'!A:L,4,0)</f>
        <v>Laptop</v>
      </c>
      <c r="D1933" s="4">
        <f>VLOOKUP(A1933,'Datos generales'!A:L,6,0)</f>
        <v>751.43</v>
      </c>
      <c r="E1933" s="4">
        <f>VLOOKUP(A1933,'Datos generales'!A:L,12,0)</f>
        <v>751.43</v>
      </c>
      <c r="F1933" s="4" t="str">
        <f>VLOOKUP(A1933,'Datos generales'!A:L,7,0)</f>
        <v>Electrónica</v>
      </c>
      <c r="G1933" s="4">
        <v>2024</v>
      </c>
    </row>
    <row r="1934" spans="1:7" x14ac:dyDescent="0.25">
      <c r="A1934" t="s">
        <v>144</v>
      </c>
      <c r="B1934" s="4">
        <f>VLOOKUP(A1934,'Datos generales'!A:L,5,0)</f>
        <v>5</v>
      </c>
      <c r="C1934" s="4" t="str">
        <f>VLOOKUP(A1934,'Datos generales'!A:L,4,0)</f>
        <v>Mouse</v>
      </c>
      <c r="D1934" s="4">
        <f>VLOOKUP(A1934,'Datos generales'!A:L,6,0)</f>
        <v>1109.08</v>
      </c>
      <c r="E1934" s="4">
        <f>VLOOKUP(A1934,'Datos generales'!A:L,12,0)</f>
        <v>1109.08</v>
      </c>
      <c r="F1934" s="4" t="str">
        <f>VLOOKUP(A1934,'Datos generales'!A:L,7,0)</f>
        <v>Accesorios</v>
      </c>
      <c r="G1934" s="4">
        <v>2023</v>
      </c>
    </row>
    <row r="1935" spans="1:7" x14ac:dyDescent="0.25">
      <c r="A1935" t="s">
        <v>145</v>
      </c>
      <c r="B1935" s="4">
        <f>VLOOKUP(A1935,'Datos generales'!A:L,5,0)</f>
        <v>5</v>
      </c>
      <c r="C1935" s="4" t="str">
        <f>VLOOKUP(A1935,'Datos generales'!A:L,4,0)</f>
        <v>Monitor</v>
      </c>
      <c r="D1935" s="4">
        <f>VLOOKUP(A1935,'Datos generales'!A:L,6,0)</f>
        <v>642.74</v>
      </c>
      <c r="E1935" s="4">
        <f>VLOOKUP(A1935,'Datos generales'!A:L,12,0)</f>
        <v>642.74</v>
      </c>
      <c r="F1935" s="4" t="str">
        <f>VLOOKUP(A1935,'Datos generales'!A:L,7,0)</f>
        <v>Electrónica</v>
      </c>
      <c r="G1935" s="4">
        <v>2024</v>
      </c>
    </row>
    <row r="1936" spans="1:7" x14ac:dyDescent="0.25">
      <c r="A1936" t="s">
        <v>146</v>
      </c>
      <c r="B1936" s="4">
        <f>VLOOKUP(A1936,'Datos generales'!A:L,5,0)</f>
        <v>5</v>
      </c>
      <c r="C1936" s="4" t="str">
        <f>VLOOKUP(A1936,'Datos generales'!A:L,4,0)</f>
        <v>Audífonos</v>
      </c>
      <c r="D1936" s="4">
        <f>VLOOKUP(A1936,'Datos generales'!A:L,6,0)</f>
        <v>245.73</v>
      </c>
      <c r="E1936" s="4">
        <f>VLOOKUP(A1936,'Datos generales'!A:L,12,0)</f>
        <v>245.73</v>
      </c>
      <c r="F1936" s="4" t="str">
        <f>VLOOKUP(A1936,'Datos generales'!A:L,7,0)</f>
        <v>Accesorios</v>
      </c>
      <c r="G1936" s="4">
        <v>2024</v>
      </c>
    </row>
    <row r="1937" spans="1:7" x14ac:dyDescent="0.25">
      <c r="A1937" t="s">
        <v>147</v>
      </c>
      <c r="B1937" s="4">
        <f>VLOOKUP(A1937,'Datos generales'!A:L,5,0)</f>
        <v>3</v>
      </c>
      <c r="C1937" s="4" t="str">
        <f>VLOOKUP(A1937,'Datos generales'!A:L,4,0)</f>
        <v>Webcam</v>
      </c>
      <c r="D1937" s="4">
        <f>VLOOKUP(A1937,'Datos generales'!A:L,6,0)</f>
        <v>1782.13</v>
      </c>
      <c r="E1937" s="4">
        <f>VLOOKUP(A1937,'Datos generales'!A:L,12,0)</f>
        <v>1782.13</v>
      </c>
      <c r="F1937" s="4" t="str">
        <f>VLOOKUP(A1937,'Datos generales'!A:L,7,0)</f>
        <v>Accesorios</v>
      </c>
      <c r="G1937" s="4">
        <v>2023</v>
      </c>
    </row>
    <row r="1938" spans="1:7" x14ac:dyDescent="0.25">
      <c r="A1938" t="s">
        <v>148</v>
      </c>
      <c r="B1938" s="4">
        <f>VLOOKUP(A1938,'Datos generales'!A:L,5,0)</f>
        <v>5</v>
      </c>
      <c r="C1938" s="4" t="str">
        <f>VLOOKUP(A1938,'Datos generales'!A:L,4,0)</f>
        <v>Impresora</v>
      </c>
      <c r="D1938" s="4">
        <f>VLOOKUP(A1938,'Datos generales'!A:L,6,0)</f>
        <v>1137.1400000000001</v>
      </c>
      <c r="E1938" s="4">
        <f>VLOOKUP(A1938,'Datos generales'!A:L,12,0)</f>
        <v>1137.1400000000001</v>
      </c>
      <c r="F1938" s="4" t="str">
        <f>VLOOKUP(A1938,'Datos generales'!A:L,7,0)</f>
        <v>Electrónica</v>
      </c>
      <c r="G1938" s="4">
        <v>2024</v>
      </c>
    </row>
    <row r="1939" spans="1:7" x14ac:dyDescent="0.25">
      <c r="A1939" t="s">
        <v>149</v>
      </c>
      <c r="B1939" s="4">
        <f>VLOOKUP(A1939,'Datos generales'!A:L,5,0)</f>
        <v>4</v>
      </c>
      <c r="C1939" s="4" t="str">
        <f>VLOOKUP(A1939,'Datos generales'!A:L,4,0)</f>
        <v>Teclado</v>
      </c>
      <c r="D1939" s="4">
        <f>VLOOKUP(A1939,'Datos generales'!A:L,6,0)</f>
        <v>966.72</v>
      </c>
      <c r="E1939" s="4">
        <f>VLOOKUP(A1939,'Datos generales'!A:L,12,0)</f>
        <v>966.72</v>
      </c>
      <c r="F1939" s="4" t="str">
        <f>VLOOKUP(A1939,'Datos generales'!A:L,7,0)</f>
        <v>Accesorios</v>
      </c>
      <c r="G1939" s="4">
        <v>2024</v>
      </c>
    </row>
    <row r="1940" spans="1:7" x14ac:dyDescent="0.25">
      <c r="A1940" t="s">
        <v>150</v>
      </c>
      <c r="B1940" s="4">
        <f>VLOOKUP(A1940,'Datos generales'!A:L,5,0)</f>
        <v>5</v>
      </c>
      <c r="C1940" s="4" t="str">
        <f>VLOOKUP(A1940,'Datos generales'!A:L,4,0)</f>
        <v>Impresora</v>
      </c>
      <c r="D1940" s="4">
        <f>VLOOKUP(A1940,'Datos generales'!A:L,6,0)</f>
        <v>754.88</v>
      </c>
      <c r="E1940" s="4">
        <f>VLOOKUP(A1940,'Datos generales'!A:L,12,0)</f>
        <v>754.88</v>
      </c>
      <c r="F1940" s="4" t="str">
        <f>VLOOKUP(A1940,'Datos generales'!A:L,7,0)</f>
        <v>Electrónica</v>
      </c>
      <c r="G1940" s="4">
        <v>2024</v>
      </c>
    </row>
    <row r="1941" spans="1:7" x14ac:dyDescent="0.25">
      <c r="A1941" t="s">
        <v>151</v>
      </c>
      <c r="B1941" s="4">
        <f>VLOOKUP(A1941,'Datos generales'!A:L,5,0)</f>
        <v>4</v>
      </c>
      <c r="C1941" s="4" t="str">
        <f>VLOOKUP(A1941,'Datos generales'!A:L,4,0)</f>
        <v>Webcam</v>
      </c>
      <c r="D1941" s="4">
        <f>VLOOKUP(A1941,'Datos generales'!A:L,6,0)</f>
        <v>902.5</v>
      </c>
      <c r="E1941" s="4">
        <f>VLOOKUP(A1941,'Datos generales'!A:L,12,0)</f>
        <v>902.5</v>
      </c>
      <c r="F1941" s="4" t="str">
        <f>VLOOKUP(A1941,'Datos generales'!A:L,7,0)</f>
        <v>Accesorios</v>
      </c>
      <c r="G1941" s="4">
        <v>2025</v>
      </c>
    </row>
    <row r="1942" spans="1:7" x14ac:dyDescent="0.25">
      <c r="A1942" t="s">
        <v>152</v>
      </c>
      <c r="B1942" s="4">
        <f>VLOOKUP(A1942,'Datos generales'!A:L,5,0)</f>
        <v>2</v>
      </c>
      <c r="C1942" s="4" t="str">
        <f>VLOOKUP(A1942,'Datos generales'!A:L,4,0)</f>
        <v>Mouse</v>
      </c>
      <c r="D1942" s="4">
        <f>VLOOKUP(A1942,'Datos generales'!A:L,6,0)</f>
        <v>78.180000000000007</v>
      </c>
      <c r="E1942" s="4">
        <f>VLOOKUP(A1942,'Datos generales'!A:L,12,0)</f>
        <v>78.180000000000007</v>
      </c>
      <c r="F1942" s="4" t="str">
        <f>VLOOKUP(A1942,'Datos generales'!A:L,7,0)</f>
        <v>Accesorios</v>
      </c>
      <c r="G1942" s="4">
        <v>2025</v>
      </c>
    </row>
    <row r="1943" spans="1:7" x14ac:dyDescent="0.25">
      <c r="A1943" t="s">
        <v>153</v>
      </c>
      <c r="B1943" s="4">
        <f>VLOOKUP(A1943,'Datos generales'!A:L,5,0)</f>
        <v>2</v>
      </c>
      <c r="C1943" s="4" t="str">
        <f>VLOOKUP(A1943,'Datos generales'!A:L,4,0)</f>
        <v>Monitor</v>
      </c>
      <c r="D1943" s="4">
        <f>VLOOKUP(A1943,'Datos generales'!A:L,6,0)</f>
        <v>1615.41</v>
      </c>
      <c r="E1943" s="4">
        <f>VLOOKUP(A1943,'Datos generales'!A:L,12,0)</f>
        <v>1615.41</v>
      </c>
      <c r="F1943" s="4" t="str">
        <f>VLOOKUP(A1943,'Datos generales'!A:L,7,0)</f>
        <v>Electrónica</v>
      </c>
      <c r="G1943" s="4">
        <v>2025</v>
      </c>
    </row>
    <row r="1944" spans="1:7" x14ac:dyDescent="0.25">
      <c r="A1944" t="s">
        <v>154</v>
      </c>
      <c r="B1944" s="4">
        <f>VLOOKUP(A1944,'Datos generales'!A:L,5,0)</f>
        <v>5</v>
      </c>
      <c r="C1944" s="4" t="str">
        <f>VLOOKUP(A1944,'Datos generales'!A:L,4,0)</f>
        <v>Monitor</v>
      </c>
      <c r="D1944" s="4">
        <f>VLOOKUP(A1944,'Datos generales'!A:L,6,0)</f>
        <v>149.54</v>
      </c>
      <c r="E1944" s="4">
        <f>VLOOKUP(A1944,'Datos generales'!A:L,12,0)</f>
        <v>149.54</v>
      </c>
      <c r="F1944" s="4" t="str">
        <f>VLOOKUP(A1944,'Datos generales'!A:L,7,0)</f>
        <v>Electrónica</v>
      </c>
      <c r="G1944" s="4">
        <v>2024</v>
      </c>
    </row>
    <row r="1945" spans="1:7" x14ac:dyDescent="0.25">
      <c r="A1945" t="s">
        <v>155</v>
      </c>
      <c r="B1945" s="4">
        <f>VLOOKUP(A1945,'Datos generales'!A:L,5,0)</f>
        <v>5</v>
      </c>
      <c r="C1945" s="4" t="str">
        <f>VLOOKUP(A1945,'Datos generales'!A:L,4,0)</f>
        <v>Teclado</v>
      </c>
      <c r="D1945" s="4">
        <f>VLOOKUP(A1945,'Datos generales'!A:L,6,0)</f>
        <v>955.39</v>
      </c>
      <c r="E1945" s="4">
        <f>VLOOKUP(A1945,'Datos generales'!A:L,12,0)</f>
        <v>955.39</v>
      </c>
      <c r="F1945" s="4" t="str">
        <f>VLOOKUP(A1945,'Datos generales'!A:L,7,0)</f>
        <v>Accesorios</v>
      </c>
      <c r="G1945" s="4">
        <v>2025</v>
      </c>
    </row>
    <row r="1946" spans="1:7" x14ac:dyDescent="0.25">
      <c r="A1946" t="s">
        <v>156</v>
      </c>
      <c r="B1946" s="4">
        <f>VLOOKUP(A1946,'Datos generales'!A:L,5,0)</f>
        <v>2</v>
      </c>
      <c r="C1946" s="4" t="str">
        <f>VLOOKUP(A1946,'Datos generales'!A:L,4,0)</f>
        <v>Silla Gamer</v>
      </c>
      <c r="D1946" s="4">
        <f>VLOOKUP(A1946,'Datos generales'!A:L,6,0)</f>
        <v>1963.63</v>
      </c>
      <c r="E1946" s="4">
        <f>VLOOKUP(A1946,'Datos generales'!A:L,12,0)</f>
        <v>1963.63</v>
      </c>
      <c r="F1946" s="4" t="str">
        <f>VLOOKUP(A1946,'Datos generales'!A:L,7,0)</f>
        <v>Muebles</v>
      </c>
      <c r="G1946" s="4">
        <v>2024</v>
      </c>
    </row>
    <row r="1947" spans="1:7" x14ac:dyDescent="0.25">
      <c r="A1947" t="s">
        <v>157</v>
      </c>
      <c r="B1947" s="4">
        <f>VLOOKUP(A1947,'Datos generales'!A:L,5,0)</f>
        <v>5</v>
      </c>
      <c r="C1947" s="4" t="str">
        <f>VLOOKUP(A1947,'Datos generales'!A:L,4,0)</f>
        <v>Webcam</v>
      </c>
      <c r="D1947" s="4">
        <f>VLOOKUP(A1947,'Datos generales'!A:L,6,0)</f>
        <v>1440.14</v>
      </c>
      <c r="E1947" s="4">
        <f>VLOOKUP(A1947,'Datos generales'!A:L,12,0)</f>
        <v>1440.14</v>
      </c>
      <c r="F1947" s="4" t="str">
        <f>VLOOKUP(A1947,'Datos generales'!A:L,7,0)</f>
        <v>Accesorios</v>
      </c>
      <c r="G1947" s="4">
        <v>2024</v>
      </c>
    </row>
    <row r="1948" spans="1:7" x14ac:dyDescent="0.25">
      <c r="A1948" t="s">
        <v>158</v>
      </c>
      <c r="B1948" s="4">
        <f>VLOOKUP(A1948,'Datos generales'!A:L,5,0)</f>
        <v>4</v>
      </c>
      <c r="C1948" s="4" t="str">
        <f>VLOOKUP(A1948,'Datos generales'!A:L,4,0)</f>
        <v>Monitor</v>
      </c>
      <c r="D1948" s="4">
        <f>VLOOKUP(A1948,'Datos generales'!A:L,6,0)</f>
        <v>283.7</v>
      </c>
      <c r="E1948" s="4">
        <f>VLOOKUP(A1948,'Datos generales'!A:L,12,0)</f>
        <v>283.7</v>
      </c>
      <c r="F1948" s="4" t="str">
        <f>VLOOKUP(A1948,'Datos generales'!A:L,7,0)</f>
        <v>Electrónica</v>
      </c>
      <c r="G1948" s="4">
        <v>2023</v>
      </c>
    </row>
    <row r="1949" spans="1:7" x14ac:dyDescent="0.25">
      <c r="A1949" t="s">
        <v>159</v>
      </c>
      <c r="B1949" s="4">
        <f>VLOOKUP(A1949,'Datos generales'!A:L,5,0)</f>
        <v>3</v>
      </c>
      <c r="C1949" s="4" t="str">
        <f>VLOOKUP(A1949,'Datos generales'!A:L,4,0)</f>
        <v>Impresora</v>
      </c>
      <c r="D1949" s="4">
        <f>VLOOKUP(A1949,'Datos generales'!A:L,6,0)</f>
        <v>687.51</v>
      </c>
      <c r="E1949" s="4">
        <f>VLOOKUP(A1949,'Datos generales'!A:L,12,0)</f>
        <v>687.50999999999988</v>
      </c>
      <c r="F1949" s="4" t="str">
        <f>VLOOKUP(A1949,'Datos generales'!A:L,7,0)</f>
        <v>Electrónica</v>
      </c>
      <c r="G1949" s="4">
        <v>2024</v>
      </c>
    </row>
    <row r="1950" spans="1:7" x14ac:dyDescent="0.25">
      <c r="A1950" t="s">
        <v>160</v>
      </c>
      <c r="B1950" s="4">
        <f>VLOOKUP(A1950,'Datos generales'!A:L,5,0)</f>
        <v>2</v>
      </c>
      <c r="C1950" s="4" t="str">
        <f>VLOOKUP(A1950,'Datos generales'!A:L,4,0)</f>
        <v>Webcam</v>
      </c>
      <c r="D1950" s="4">
        <f>VLOOKUP(A1950,'Datos generales'!A:L,6,0)</f>
        <v>282</v>
      </c>
      <c r="E1950" s="4">
        <f>VLOOKUP(A1950,'Datos generales'!A:L,12,0)</f>
        <v>282</v>
      </c>
      <c r="F1950" s="4" t="str">
        <f>VLOOKUP(A1950,'Datos generales'!A:L,7,0)</f>
        <v>Accesorios</v>
      </c>
      <c r="G1950" s="4">
        <v>2023</v>
      </c>
    </row>
    <row r="1951" spans="1:7" x14ac:dyDescent="0.25">
      <c r="A1951" t="s">
        <v>161</v>
      </c>
      <c r="B1951" s="4">
        <f>VLOOKUP(A1951,'Datos generales'!A:L,5,0)</f>
        <v>4</v>
      </c>
      <c r="C1951" s="4" t="str">
        <f>VLOOKUP(A1951,'Datos generales'!A:L,4,0)</f>
        <v>Impresora</v>
      </c>
      <c r="D1951" s="4">
        <f>VLOOKUP(A1951,'Datos generales'!A:L,6,0)</f>
        <v>1471.38</v>
      </c>
      <c r="E1951" s="4">
        <f>VLOOKUP(A1951,'Datos generales'!A:L,12,0)</f>
        <v>1471.38</v>
      </c>
      <c r="F1951" s="4" t="str">
        <f>VLOOKUP(A1951,'Datos generales'!A:L,7,0)</f>
        <v>Electrónica</v>
      </c>
      <c r="G1951" s="4">
        <v>2025</v>
      </c>
    </row>
    <row r="1952" spans="1:7" x14ac:dyDescent="0.25">
      <c r="A1952" t="s">
        <v>162</v>
      </c>
      <c r="B1952" s="4">
        <f>VLOOKUP(A1952,'Datos generales'!A:L,5,0)</f>
        <v>1</v>
      </c>
      <c r="C1952" s="4" t="str">
        <f>VLOOKUP(A1952,'Datos generales'!A:L,4,0)</f>
        <v>Webcam</v>
      </c>
      <c r="D1952" s="4">
        <f>VLOOKUP(A1952,'Datos generales'!A:L,6,0)</f>
        <v>1463.91</v>
      </c>
      <c r="E1952" s="4">
        <f>VLOOKUP(A1952,'Datos generales'!A:L,12,0)</f>
        <v>1463.91</v>
      </c>
      <c r="F1952" s="4" t="str">
        <f>VLOOKUP(A1952,'Datos generales'!A:L,7,0)</f>
        <v>Accesorios</v>
      </c>
      <c r="G1952" s="4">
        <v>2025</v>
      </c>
    </row>
    <row r="1953" spans="1:7" x14ac:dyDescent="0.25">
      <c r="A1953" t="s">
        <v>163</v>
      </c>
      <c r="B1953" s="4">
        <f>VLOOKUP(A1953,'Datos generales'!A:L,5,0)</f>
        <v>4</v>
      </c>
      <c r="C1953" s="4" t="str">
        <f>VLOOKUP(A1953,'Datos generales'!A:L,4,0)</f>
        <v>Teclado</v>
      </c>
      <c r="D1953" s="4">
        <f>VLOOKUP(A1953,'Datos generales'!A:L,6,0)</f>
        <v>1585.49</v>
      </c>
      <c r="E1953" s="4">
        <f>VLOOKUP(A1953,'Datos generales'!A:L,12,0)</f>
        <v>1585.49</v>
      </c>
      <c r="F1953" s="4" t="str">
        <f>VLOOKUP(A1953,'Datos generales'!A:L,7,0)</f>
        <v>Accesorios</v>
      </c>
      <c r="G1953" s="4">
        <v>2024</v>
      </c>
    </row>
    <row r="1954" spans="1:7" x14ac:dyDescent="0.25">
      <c r="A1954" t="s">
        <v>164</v>
      </c>
      <c r="B1954" s="4">
        <f>VLOOKUP(A1954,'Datos generales'!A:L,5,0)</f>
        <v>1</v>
      </c>
      <c r="C1954" s="4" t="str">
        <f>VLOOKUP(A1954,'Datos generales'!A:L,4,0)</f>
        <v>Teclado</v>
      </c>
      <c r="D1954" s="4">
        <f>VLOOKUP(A1954,'Datos generales'!A:L,6,0)</f>
        <v>662.17</v>
      </c>
      <c r="E1954" s="4">
        <f>VLOOKUP(A1954,'Datos generales'!A:L,12,0)</f>
        <v>662.17</v>
      </c>
      <c r="F1954" s="4" t="str">
        <f>VLOOKUP(A1954,'Datos generales'!A:L,7,0)</f>
        <v>Accesorios</v>
      </c>
      <c r="G1954" s="4">
        <v>2024</v>
      </c>
    </row>
    <row r="1955" spans="1:7" x14ac:dyDescent="0.25">
      <c r="A1955" t="s">
        <v>165</v>
      </c>
      <c r="B1955" s="4">
        <f>VLOOKUP(A1955,'Datos generales'!A:L,5,0)</f>
        <v>2</v>
      </c>
      <c r="C1955" s="4" t="str">
        <f>VLOOKUP(A1955,'Datos generales'!A:L,4,0)</f>
        <v>Webcam</v>
      </c>
      <c r="D1955" s="4">
        <f>VLOOKUP(A1955,'Datos generales'!A:L,6,0)</f>
        <v>136.68</v>
      </c>
      <c r="E1955" s="4">
        <f>VLOOKUP(A1955,'Datos generales'!A:L,12,0)</f>
        <v>136.68</v>
      </c>
      <c r="F1955" s="4" t="str">
        <f>VLOOKUP(A1955,'Datos generales'!A:L,7,0)</f>
        <v>Accesorios</v>
      </c>
      <c r="G1955" s="4">
        <v>2024</v>
      </c>
    </row>
    <row r="1956" spans="1:7" x14ac:dyDescent="0.25">
      <c r="A1956" t="s">
        <v>166</v>
      </c>
      <c r="B1956" s="4">
        <f>VLOOKUP(A1956,'Datos generales'!A:L,5,0)</f>
        <v>4</v>
      </c>
      <c r="C1956" s="4" t="str">
        <f>VLOOKUP(A1956,'Datos generales'!A:L,4,0)</f>
        <v>Impresora</v>
      </c>
      <c r="D1956" s="4">
        <f>VLOOKUP(A1956,'Datos generales'!A:L,6,0)</f>
        <v>118.64</v>
      </c>
      <c r="E1956" s="4">
        <f>VLOOKUP(A1956,'Datos generales'!A:L,12,0)</f>
        <v>118.64</v>
      </c>
      <c r="F1956" s="4" t="str">
        <f>VLOOKUP(A1956,'Datos generales'!A:L,7,0)</f>
        <v>Electrónica</v>
      </c>
      <c r="G1956" s="4">
        <v>2025</v>
      </c>
    </row>
    <row r="1957" spans="1:7" x14ac:dyDescent="0.25">
      <c r="A1957" t="s">
        <v>167</v>
      </c>
      <c r="B1957" s="4">
        <f>VLOOKUP(A1957,'Datos generales'!A:L,5,0)</f>
        <v>3</v>
      </c>
      <c r="C1957" s="4" t="str">
        <f>VLOOKUP(A1957,'Datos generales'!A:L,4,0)</f>
        <v>Laptop</v>
      </c>
      <c r="D1957" s="4">
        <f>VLOOKUP(A1957,'Datos generales'!A:L,6,0)</f>
        <v>933.49</v>
      </c>
      <c r="E1957" s="4">
        <f>VLOOKUP(A1957,'Datos generales'!A:L,12,0)</f>
        <v>933.49000000000012</v>
      </c>
      <c r="F1957" s="4" t="str">
        <f>VLOOKUP(A1957,'Datos generales'!A:L,7,0)</f>
        <v>Electrónica</v>
      </c>
      <c r="G1957" s="4">
        <v>2024</v>
      </c>
    </row>
    <row r="1958" spans="1:7" x14ac:dyDescent="0.25">
      <c r="A1958" t="s">
        <v>168</v>
      </c>
      <c r="B1958" s="4">
        <f>VLOOKUP(A1958,'Datos generales'!A:L,5,0)</f>
        <v>2</v>
      </c>
      <c r="C1958" s="4" t="str">
        <f>VLOOKUP(A1958,'Datos generales'!A:L,4,0)</f>
        <v>Audífonos</v>
      </c>
      <c r="D1958" s="4">
        <f>VLOOKUP(A1958,'Datos generales'!A:L,6,0)</f>
        <v>1035.0899999999999</v>
      </c>
      <c r="E1958" s="4">
        <f>VLOOKUP(A1958,'Datos generales'!A:L,12,0)</f>
        <v>1035.0899999999999</v>
      </c>
      <c r="F1958" s="4" t="str">
        <f>VLOOKUP(A1958,'Datos generales'!A:L,7,0)</f>
        <v>Accesorios</v>
      </c>
      <c r="G1958" s="4">
        <v>2023</v>
      </c>
    </row>
    <row r="1959" spans="1:7" x14ac:dyDescent="0.25">
      <c r="A1959" t="s">
        <v>169</v>
      </c>
      <c r="B1959" s="4">
        <f>VLOOKUP(A1959,'Datos generales'!A:L,5,0)</f>
        <v>2</v>
      </c>
      <c r="C1959" s="4" t="str">
        <f>VLOOKUP(A1959,'Datos generales'!A:L,4,0)</f>
        <v>Impresora</v>
      </c>
      <c r="D1959" s="4">
        <f>VLOOKUP(A1959,'Datos generales'!A:L,6,0)</f>
        <v>1325.01</v>
      </c>
      <c r="E1959" s="4">
        <f>VLOOKUP(A1959,'Datos generales'!A:L,12,0)</f>
        <v>1325.01</v>
      </c>
      <c r="F1959" s="4" t="str">
        <f>VLOOKUP(A1959,'Datos generales'!A:L,7,0)</f>
        <v>Electrónica</v>
      </c>
      <c r="G1959" s="4">
        <v>2024</v>
      </c>
    </row>
    <row r="1960" spans="1:7" x14ac:dyDescent="0.25">
      <c r="A1960" t="s">
        <v>170</v>
      </c>
      <c r="B1960" s="4">
        <f>VLOOKUP(A1960,'Datos generales'!A:L,5,0)</f>
        <v>4</v>
      </c>
      <c r="C1960" s="4" t="str">
        <f>VLOOKUP(A1960,'Datos generales'!A:L,4,0)</f>
        <v>Teclado</v>
      </c>
      <c r="D1960" s="4">
        <f>VLOOKUP(A1960,'Datos generales'!A:L,6,0)</f>
        <v>710.84</v>
      </c>
      <c r="E1960" s="4">
        <f>VLOOKUP(A1960,'Datos generales'!A:L,12,0)</f>
        <v>710.84</v>
      </c>
      <c r="F1960" s="4" t="str">
        <f>VLOOKUP(A1960,'Datos generales'!A:L,7,0)</f>
        <v>Accesorios</v>
      </c>
      <c r="G1960" s="4">
        <v>2023</v>
      </c>
    </row>
    <row r="1961" spans="1:7" x14ac:dyDescent="0.25">
      <c r="A1961" t="s">
        <v>171</v>
      </c>
      <c r="B1961" s="4">
        <f>VLOOKUP(A1961,'Datos generales'!A:L,5,0)</f>
        <v>3</v>
      </c>
      <c r="C1961" s="4" t="str">
        <f>VLOOKUP(A1961,'Datos generales'!A:L,4,0)</f>
        <v>Silla Gamer</v>
      </c>
      <c r="D1961" s="4">
        <f>VLOOKUP(A1961,'Datos generales'!A:L,6,0)</f>
        <v>97.27</v>
      </c>
      <c r="E1961" s="4">
        <f>VLOOKUP(A1961,'Datos generales'!A:L,12,0)</f>
        <v>97.27</v>
      </c>
      <c r="F1961" s="4" t="str">
        <f>VLOOKUP(A1961,'Datos generales'!A:L,7,0)</f>
        <v>Muebles</v>
      </c>
      <c r="G1961" s="4">
        <v>2025</v>
      </c>
    </row>
    <row r="1962" spans="1:7" x14ac:dyDescent="0.25">
      <c r="A1962" t="s">
        <v>172</v>
      </c>
      <c r="B1962" s="4">
        <f>VLOOKUP(A1962,'Datos generales'!A:L,5,0)</f>
        <v>5</v>
      </c>
      <c r="C1962" s="4" t="str">
        <f>VLOOKUP(A1962,'Datos generales'!A:L,4,0)</f>
        <v>Impresora</v>
      </c>
      <c r="D1962" s="4">
        <f>VLOOKUP(A1962,'Datos generales'!A:L,6,0)</f>
        <v>498.36</v>
      </c>
      <c r="E1962" s="4">
        <f>VLOOKUP(A1962,'Datos generales'!A:L,12,0)</f>
        <v>498.36</v>
      </c>
      <c r="F1962" s="4" t="str">
        <f>VLOOKUP(A1962,'Datos generales'!A:L,7,0)</f>
        <v>Electrónica</v>
      </c>
      <c r="G1962" s="4">
        <v>2024</v>
      </c>
    </row>
    <row r="1963" spans="1:7" x14ac:dyDescent="0.25">
      <c r="A1963" t="s">
        <v>173</v>
      </c>
      <c r="B1963" s="4">
        <f>VLOOKUP(A1963,'Datos generales'!A:L,5,0)</f>
        <v>5</v>
      </c>
      <c r="C1963" s="4" t="str">
        <f>VLOOKUP(A1963,'Datos generales'!A:L,4,0)</f>
        <v>Silla Gamer</v>
      </c>
      <c r="D1963" s="4">
        <f>VLOOKUP(A1963,'Datos generales'!A:L,6,0)</f>
        <v>980.89</v>
      </c>
      <c r="E1963" s="4">
        <f>VLOOKUP(A1963,'Datos generales'!A:L,12,0)</f>
        <v>980.89</v>
      </c>
      <c r="F1963" s="4" t="str">
        <f>VLOOKUP(A1963,'Datos generales'!A:L,7,0)</f>
        <v>Muebles</v>
      </c>
      <c r="G1963" s="4">
        <v>2024</v>
      </c>
    </row>
    <row r="1964" spans="1:7" x14ac:dyDescent="0.25">
      <c r="A1964" t="s">
        <v>174</v>
      </c>
      <c r="B1964" s="4">
        <f>VLOOKUP(A1964,'Datos generales'!A:L,5,0)</f>
        <v>1</v>
      </c>
      <c r="C1964" s="4" t="str">
        <f>VLOOKUP(A1964,'Datos generales'!A:L,4,0)</f>
        <v>Teclado</v>
      </c>
      <c r="D1964" s="4">
        <f>VLOOKUP(A1964,'Datos generales'!A:L,6,0)</f>
        <v>1390.33</v>
      </c>
      <c r="E1964" s="4">
        <f>VLOOKUP(A1964,'Datos generales'!A:L,12,0)</f>
        <v>1390.33</v>
      </c>
      <c r="F1964" s="4" t="str">
        <f>VLOOKUP(A1964,'Datos generales'!A:L,7,0)</f>
        <v>Accesorios</v>
      </c>
      <c r="G1964" s="4">
        <v>2024</v>
      </c>
    </row>
    <row r="1965" spans="1:7" x14ac:dyDescent="0.25">
      <c r="A1965" t="s">
        <v>175</v>
      </c>
      <c r="B1965" s="4">
        <f>VLOOKUP(A1965,'Datos generales'!A:L,5,0)</f>
        <v>5</v>
      </c>
      <c r="C1965" s="4" t="str">
        <f>VLOOKUP(A1965,'Datos generales'!A:L,4,0)</f>
        <v>Laptop</v>
      </c>
      <c r="D1965" s="4">
        <f>VLOOKUP(A1965,'Datos generales'!A:L,6,0)</f>
        <v>1708.09</v>
      </c>
      <c r="E1965" s="4">
        <f>VLOOKUP(A1965,'Datos generales'!A:L,12,0)</f>
        <v>1708.09</v>
      </c>
      <c r="F1965" s="4" t="str">
        <f>VLOOKUP(A1965,'Datos generales'!A:L,7,0)</f>
        <v>Electrónica</v>
      </c>
      <c r="G1965" s="4">
        <v>2023</v>
      </c>
    </row>
    <row r="1966" spans="1:7" x14ac:dyDescent="0.25">
      <c r="A1966" t="s">
        <v>176</v>
      </c>
      <c r="B1966" s="4">
        <f>VLOOKUP(A1966,'Datos generales'!A:L,5,0)</f>
        <v>3</v>
      </c>
      <c r="C1966" s="4" t="str">
        <f>VLOOKUP(A1966,'Datos generales'!A:L,4,0)</f>
        <v>Audífonos</v>
      </c>
      <c r="D1966" s="4">
        <f>VLOOKUP(A1966,'Datos generales'!A:L,6,0)</f>
        <v>459.4</v>
      </c>
      <c r="E1966" s="4">
        <f>VLOOKUP(A1966,'Datos generales'!A:L,12,0)</f>
        <v>459.39999999999992</v>
      </c>
      <c r="F1966" s="4" t="str">
        <f>VLOOKUP(A1966,'Datos generales'!A:L,7,0)</f>
        <v>Accesorios</v>
      </c>
      <c r="G1966" s="4">
        <v>2023</v>
      </c>
    </row>
    <row r="1967" spans="1:7" x14ac:dyDescent="0.25">
      <c r="A1967" t="s">
        <v>177</v>
      </c>
      <c r="B1967" s="4">
        <f>VLOOKUP(A1967,'Datos generales'!A:L,5,0)</f>
        <v>1</v>
      </c>
      <c r="C1967" s="4" t="str">
        <f>VLOOKUP(A1967,'Datos generales'!A:L,4,0)</f>
        <v>Impresora</v>
      </c>
      <c r="D1967" s="4">
        <f>VLOOKUP(A1967,'Datos generales'!A:L,6,0)</f>
        <v>1578.33</v>
      </c>
      <c r="E1967" s="4">
        <f>VLOOKUP(A1967,'Datos generales'!A:L,12,0)</f>
        <v>1578.33</v>
      </c>
      <c r="F1967" s="4" t="str">
        <f>VLOOKUP(A1967,'Datos generales'!A:L,7,0)</f>
        <v>Electrónica</v>
      </c>
      <c r="G1967" s="4">
        <v>2023</v>
      </c>
    </row>
    <row r="1968" spans="1:7" x14ac:dyDescent="0.25">
      <c r="A1968" t="s">
        <v>178</v>
      </c>
      <c r="B1968" s="4">
        <f>VLOOKUP(A1968,'Datos generales'!A:L,5,0)</f>
        <v>5</v>
      </c>
      <c r="C1968" s="4" t="str">
        <f>VLOOKUP(A1968,'Datos generales'!A:L,4,0)</f>
        <v>Teclado</v>
      </c>
      <c r="D1968" s="4">
        <f>VLOOKUP(A1968,'Datos generales'!A:L,6,0)</f>
        <v>1602.39</v>
      </c>
      <c r="E1968" s="4">
        <f>VLOOKUP(A1968,'Datos generales'!A:L,12,0)</f>
        <v>1602.39</v>
      </c>
      <c r="F1968" s="4" t="str">
        <f>VLOOKUP(A1968,'Datos generales'!A:L,7,0)</f>
        <v>Accesorios</v>
      </c>
      <c r="G1968" s="4">
        <v>2024</v>
      </c>
    </row>
    <row r="1969" spans="1:7" x14ac:dyDescent="0.25">
      <c r="A1969" t="s">
        <v>179</v>
      </c>
      <c r="B1969" s="4">
        <f>VLOOKUP(A1969,'Datos generales'!A:L,5,0)</f>
        <v>2</v>
      </c>
      <c r="C1969" s="4" t="str">
        <f>VLOOKUP(A1969,'Datos generales'!A:L,4,0)</f>
        <v>Teclado</v>
      </c>
      <c r="D1969" s="4">
        <f>VLOOKUP(A1969,'Datos generales'!A:L,6,0)</f>
        <v>714.55</v>
      </c>
      <c r="E1969" s="4">
        <f>VLOOKUP(A1969,'Datos generales'!A:L,12,0)</f>
        <v>714.55</v>
      </c>
      <c r="F1969" s="4" t="str">
        <f>VLOOKUP(A1969,'Datos generales'!A:L,7,0)</f>
        <v>Accesorios</v>
      </c>
      <c r="G1969" s="4">
        <v>2023</v>
      </c>
    </row>
    <row r="1970" spans="1:7" x14ac:dyDescent="0.25">
      <c r="A1970" t="s">
        <v>180</v>
      </c>
      <c r="B1970" s="4">
        <f>VLOOKUP(A1970,'Datos generales'!A:L,5,0)</f>
        <v>2</v>
      </c>
      <c r="C1970" s="4" t="str">
        <f>VLOOKUP(A1970,'Datos generales'!A:L,4,0)</f>
        <v>Silla Gamer</v>
      </c>
      <c r="D1970" s="4">
        <f>VLOOKUP(A1970,'Datos generales'!A:L,6,0)</f>
        <v>140.54</v>
      </c>
      <c r="E1970" s="4">
        <f>VLOOKUP(A1970,'Datos generales'!A:L,12,0)</f>
        <v>140.54</v>
      </c>
      <c r="F1970" s="4" t="str">
        <f>VLOOKUP(A1970,'Datos generales'!A:L,7,0)</f>
        <v>Muebles</v>
      </c>
      <c r="G1970" s="4">
        <v>2025</v>
      </c>
    </row>
    <row r="1971" spans="1:7" x14ac:dyDescent="0.25">
      <c r="A1971" t="s">
        <v>181</v>
      </c>
      <c r="B1971" s="4">
        <f>VLOOKUP(A1971,'Datos generales'!A:L,5,0)</f>
        <v>5</v>
      </c>
      <c r="C1971" s="4" t="str">
        <f>VLOOKUP(A1971,'Datos generales'!A:L,4,0)</f>
        <v>Mouse</v>
      </c>
      <c r="D1971" s="4">
        <f>VLOOKUP(A1971,'Datos generales'!A:L,6,0)</f>
        <v>286.87</v>
      </c>
      <c r="E1971" s="4">
        <f>VLOOKUP(A1971,'Datos generales'!A:L,12,0)</f>
        <v>286.87</v>
      </c>
      <c r="F1971" s="4" t="str">
        <f>VLOOKUP(A1971,'Datos generales'!A:L,7,0)</f>
        <v>Accesorios</v>
      </c>
      <c r="G1971" s="4">
        <v>2024</v>
      </c>
    </row>
    <row r="1972" spans="1:7" x14ac:dyDescent="0.25">
      <c r="A1972" t="s">
        <v>182</v>
      </c>
      <c r="B1972" s="4">
        <f>VLOOKUP(A1972,'Datos generales'!A:L,5,0)</f>
        <v>5</v>
      </c>
      <c r="C1972" s="4" t="str">
        <f>VLOOKUP(A1972,'Datos generales'!A:L,4,0)</f>
        <v>Webcam</v>
      </c>
      <c r="D1972" s="4">
        <f>VLOOKUP(A1972,'Datos generales'!A:L,6,0)</f>
        <v>1897.97</v>
      </c>
      <c r="E1972" s="4">
        <f>VLOOKUP(A1972,'Datos generales'!A:L,12,0)</f>
        <v>1897.97</v>
      </c>
      <c r="F1972" s="4" t="str">
        <f>VLOOKUP(A1972,'Datos generales'!A:L,7,0)</f>
        <v>Accesorios</v>
      </c>
      <c r="G1972" s="4">
        <v>2024</v>
      </c>
    </row>
    <row r="1973" spans="1:7" x14ac:dyDescent="0.25">
      <c r="A1973" t="s">
        <v>183</v>
      </c>
      <c r="B1973" s="4">
        <f>VLOOKUP(A1973,'Datos generales'!A:L,5,0)</f>
        <v>2</v>
      </c>
      <c r="C1973" s="4" t="str">
        <f>VLOOKUP(A1973,'Datos generales'!A:L,4,0)</f>
        <v>Teclado</v>
      </c>
      <c r="D1973" s="4">
        <f>VLOOKUP(A1973,'Datos generales'!A:L,6,0)</f>
        <v>587.71</v>
      </c>
      <c r="E1973" s="4">
        <f>VLOOKUP(A1973,'Datos generales'!A:L,12,0)</f>
        <v>587.71</v>
      </c>
      <c r="F1973" s="4" t="str">
        <f>VLOOKUP(A1973,'Datos generales'!A:L,7,0)</f>
        <v>Accesorios</v>
      </c>
      <c r="G1973" s="4">
        <v>2024</v>
      </c>
    </row>
    <row r="1974" spans="1:7" x14ac:dyDescent="0.25">
      <c r="A1974" t="s">
        <v>184</v>
      </c>
      <c r="B1974" s="4">
        <f>VLOOKUP(A1974,'Datos generales'!A:L,5,0)</f>
        <v>4</v>
      </c>
      <c r="C1974" s="4" t="str">
        <f>VLOOKUP(A1974,'Datos generales'!A:L,4,0)</f>
        <v>Webcam</v>
      </c>
      <c r="D1974" s="4">
        <f>VLOOKUP(A1974,'Datos generales'!A:L,6,0)</f>
        <v>895.13</v>
      </c>
      <c r="E1974" s="4">
        <f>VLOOKUP(A1974,'Datos generales'!A:L,12,0)</f>
        <v>895.13</v>
      </c>
      <c r="F1974" s="4" t="str">
        <f>VLOOKUP(A1974,'Datos generales'!A:L,7,0)</f>
        <v>Accesorios</v>
      </c>
      <c r="G1974" s="4">
        <v>2023</v>
      </c>
    </row>
    <row r="1975" spans="1:7" x14ac:dyDescent="0.25">
      <c r="A1975" t="s">
        <v>185</v>
      </c>
      <c r="B1975" s="4">
        <f>VLOOKUP(A1975,'Datos generales'!A:L,5,0)</f>
        <v>3</v>
      </c>
      <c r="C1975" s="4" t="str">
        <f>VLOOKUP(A1975,'Datos generales'!A:L,4,0)</f>
        <v>Impresora</v>
      </c>
      <c r="D1975" s="4">
        <f>VLOOKUP(A1975,'Datos generales'!A:L,6,0)</f>
        <v>1457.35</v>
      </c>
      <c r="E1975" s="4">
        <f>VLOOKUP(A1975,'Datos generales'!A:L,12,0)</f>
        <v>1457.35</v>
      </c>
      <c r="F1975" s="4" t="str">
        <f>VLOOKUP(A1975,'Datos generales'!A:L,7,0)</f>
        <v>Electrónica</v>
      </c>
      <c r="G1975" s="4">
        <v>2024</v>
      </c>
    </row>
    <row r="1976" spans="1:7" x14ac:dyDescent="0.25">
      <c r="A1976" t="s">
        <v>186</v>
      </c>
      <c r="B1976" s="4">
        <f>VLOOKUP(A1976,'Datos generales'!A:L,5,0)</f>
        <v>3</v>
      </c>
      <c r="C1976" s="4" t="str">
        <f>VLOOKUP(A1976,'Datos generales'!A:L,4,0)</f>
        <v>Silla Gamer</v>
      </c>
      <c r="D1976" s="4">
        <f>VLOOKUP(A1976,'Datos generales'!A:L,6,0)</f>
        <v>1083.32</v>
      </c>
      <c r="E1976" s="4">
        <f>VLOOKUP(A1976,'Datos generales'!A:L,12,0)</f>
        <v>1083.32</v>
      </c>
      <c r="F1976" s="4" t="str">
        <f>VLOOKUP(A1976,'Datos generales'!A:L,7,0)</f>
        <v>Muebles</v>
      </c>
      <c r="G1976" s="4">
        <v>2024</v>
      </c>
    </row>
    <row r="1977" spans="1:7" x14ac:dyDescent="0.25">
      <c r="A1977" t="s">
        <v>187</v>
      </c>
      <c r="B1977" s="4">
        <f>VLOOKUP(A1977,'Datos generales'!A:L,5,0)</f>
        <v>3</v>
      </c>
      <c r="C1977" s="4" t="str">
        <f>VLOOKUP(A1977,'Datos generales'!A:L,4,0)</f>
        <v>Laptop</v>
      </c>
      <c r="D1977" s="4">
        <f>VLOOKUP(A1977,'Datos generales'!A:L,6,0)</f>
        <v>1542.71</v>
      </c>
      <c r="E1977" s="4">
        <f>VLOOKUP(A1977,'Datos generales'!A:L,12,0)</f>
        <v>1542.71</v>
      </c>
      <c r="F1977" s="4" t="str">
        <f>VLOOKUP(A1977,'Datos generales'!A:L,7,0)</f>
        <v>Electrónica</v>
      </c>
      <c r="G1977" s="4">
        <v>2025</v>
      </c>
    </row>
    <row r="1978" spans="1:7" x14ac:dyDescent="0.25">
      <c r="A1978" t="s">
        <v>188</v>
      </c>
      <c r="B1978" s="4">
        <f>VLOOKUP(A1978,'Datos generales'!A:L,5,0)</f>
        <v>5</v>
      </c>
      <c r="C1978" s="4" t="str">
        <f>VLOOKUP(A1978,'Datos generales'!A:L,4,0)</f>
        <v>Impresora</v>
      </c>
      <c r="D1978" s="4">
        <f>VLOOKUP(A1978,'Datos generales'!A:L,6,0)</f>
        <v>723.8</v>
      </c>
      <c r="E1978" s="4">
        <f>VLOOKUP(A1978,'Datos generales'!A:L,12,0)</f>
        <v>723.8</v>
      </c>
      <c r="F1978" s="4" t="str">
        <f>VLOOKUP(A1978,'Datos generales'!A:L,7,0)</f>
        <v>Electrónica</v>
      </c>
      <c r="G1978" s="4">
        <v>2025</v>
      </c>
    </row>
    <row r="1979" spans="1:7" x14ac:dyDescent="0.25">
      <c r="A1979" t="s">
        <v>189</v>
      </c>
      <c r="B1979" s="4">
        <f>VLOOKUP(A1979,'Datos generales'!A:L,5,0)</f>
        <v>5</v>
      </c>
      <c r="C1979" s="4" t="str">
        <f>VLOOKUP(A1979,'Datos generales'!A:L,4,0)</f>
        <v>Teclado</v>
      </c>
      <c r="D1979" s="4">
        <f>VLOOKUP(A1979,'Datos generales'!A:L,6,0)</f>
        <v>179.97</v>
      </c>
      <c r="E1979" s="4">
        <f>VLOOKUP(A1979,'Datos generales'!A:L,12,0)</f>
        <v>179.97</v>
      </c>
      <c r="F1979" s="4" t="str">
        <f>VLOOKUP(A1979,'Datos generales'!A:L,7,0)</f>
        <v>Accesorios</v>
      </c>
      <c r="G1979" s="4">
        <v>2023</v>
      </c>
    </row>
    <row r="1980" spans="1:7" x14ac:dyDescent="0.25">
      <c r="A1980" t="s">
        <v>190</v>
      </c>
      <c r="B1980" s="4">
        <f>VLOOKUP(A1980,'Datos generales'!A:L,5,0)</f>
        <v>1</v>
      </c>
      <c r="C1980" s="4" t="str">
        <f>VLOOKUP(A1980,'Datos generales'!A:L,4,0)</f>
        <v>Laptop</v>
      </c>
      <c r="D1980" s="4">
        <f>VLOOKUP(A1980,'Datos generales'!A:L,6,0)</f>
        <v>1318.43</v>
      </c>
      <c r="E1980" s="4">
        <f>VLOOKUP(A1980,'Datos generales'!A:L,12,0)</f>
        <v>1318.43</v>
      </c>
      <c r="F1980" s="4" t="str">
        <f>VLOOKUP(A1980,'Datos generales'!A:L,7,0)</f>
        <v>Electrónica</v>
      </c>
      <c r="G1980" s="4">
        <v>2024</v>
      </c>
    </row>
    <row r="1981" spans="1:7" x14ac:dyDescent="0.25">
      <c r="A1981" t="s">
        <v>191</v>
      </c>
      <c r="B1981" s="4">
        <f>VLOOKUP(A1981,'Datos generales'!A:L,5,0)</f>
        <v>2</v>
      </c>
      <c r="C1981" s="4" t="str">
        <f>VLOOKUP(A1981,'Datos generales'!A:L,4,0)</f>
        <v>Impresora</v>
      </c>
      <c r="D1981" s="4">
        <f>VLOOKUP(A1981,'Datos generales'!A:L,6,0)</f>
        <v>307.37</v>
      </c>
      <c r="E1981" s="4">
        <f>VLOOKUP(A1981,'Datos generales'!A:L,12,0)</f>
        <v>307.37</v>
      </c>
      <c r="F1981" s="4" t="str">
        <f>VLOOKUP(A1981,'Datos generales'!A:L,7,0)</f>
        <v>Electrónica</v>
      </c>
      <c r="G1981" s="4">
        <v>2023</v>
      </c>
    </row>
    <row r="1982" spans="1:7" x14ac:dyDescent="0.25">
      <c r="A1982" t="s">
        <v>192</v>
      </c>
      <c r="B1982" s="4">
        <f>VLOOKUP(A1982,'Datos generales'!A:L,5,0)</f>
        <v>1</v>
      </c>
      <c r="C1982" s="4" t="str">
        <f>VLOOKUP(A1982,'Datos generales'!A:L,4,0)</f>
        <v>Silla Gamer</v>
      </c>
      <c r="D1982" s="4">
        <f>VLOOKUP(A1982,'Datos generales'!A:L,6,0)</f>
        <v>1364.97</v>
      </c>
      <c r="E1982" s="4">
        <f>VLOOKUP(A1982,'Datos generales'!A:L,12,0)</f>
        <v>1364.97</v>
      </c>
      <c r="F1982" s="4" t="str">
        <f>VLOOKUP(A1982,'Datos generales'!A:L,7,0)</f>
        <v>Muebles</v>
      </c>
      <c r="G1982" s="4">
        <v>2023</v>
      </c>
    </row>
    <row r="1983" spans="1:7" x14ac:dyDescent="0.25">
      <c r="A1983" t="s">
        <v>193</v>
      </c>
      <c r="B1983" s="4">
        <f>VLOOKUP(A1983,'Datos generales'!A:L,5,0)</f>
        <v>3</v>
      </c>
      <c r="C1983" s="4" t="str">
        <f>VLOOKUP(A1983,'Datos generales'!A:L,4,0)</f>
        <v>Audífonos</v>
      </c>
      <c r="D1983" s="4">
        <f>VLOOKUP(A1983,'Datos generales'!A:L,6,0)</f>
        <v>244.23</v>
      </c>
      <c r="E1983" s="4">
        <f>VLOOKUP(A1983,'Datos generales'!A:L,12,0)</f>
        <v>244.23</v>
      </c>
      <c r="F1983" s="4" t="str">
        <f>VLOOKUP(A1983,'Datos generales'!A:L,7,0)</f>
        <v>Accesorios</v>
      </c>
      <c r="G1983" s="4">
        <v>2024</v>
      </c>
    </row>
    <row r="1984" spans="1:7" x14ac:dyDescent="0.25">
      <c r="A1984" t="s">
        <v>194</v>
      </c>
      <c r="B1984" s="4">
        <f>VLOOKUP(A1984,'Datos generales'!A:L,5,0)</f>
        <v>3</v>
      </c>
      <c r="C1984" s="4" t="str">
        <f>VLOOKUP(A1984,'Datos generales'!A:L,4,0)</f>
        <v>Webcam</v>
      </c>
      <c r="D1984" s="4">
        <f>VLOOKUP(A1984,'Datos generales'!A:L,6,0)</f>
        <v>245.64</v>
      </c>
      <c r="E1984" s="4">
        <f>VLOOKUP(A1984,'Datos generales'!A:L,12,0)</f>
        <v>245.64</v>
      </c>
      <c r="F1984" s="4" t="str">
        <f>VLOOKUP(A1984,'Datos generales'!A:L,7,0)</f>
        <v>Accesorios</v>
      </c>
      <c r="G1984" s="4">
        <v>2023</v>
      </c>
    </row>
    <row r="1985" spans="1:7" x14ac:dyDescent="0.25">
      <c r="A1985" t="s">
        <v>195</v>
      </c>
      <c r="B1985" s="4">
        <f>VLOOKUP(A1985,'Datos generales'!A:L,5,0)</f>
        <v>1</v>
      </c>
      <c r="C1985" s="4" t="str">
        <f>VLOOKUP(A1985,'Datos generales'!A:L,4,0)</f>
        <v>Webcam</v>
      </c>
      <c r="D1985" s="4">
        <f>VLOOKUP(A1985,'Datos generales'!A:L,6,0)</f>
        <v>1501.34</v>
      </c>
      <c r="E1985" s="4">
        <f>VLOOKUP(A1985,'Datos generales'!A:L,12,0)</f>
        <v>1501.34</v>
      </c>
      <c r="F1985" s="4" t="str">
        <f>VLOOKUP(A1985,'Datos generales'!A:L,7,0)</f>
        <v>Accesorios</v>
      </c>
      <c r="G1985" s="4">
        <v>2024</v>
      </c>
    </row>
    <row r="1986" spans="1:7" x14ac:dyDescent="0.25">
      <c r="A1986" t="s">
        <v>196</v>
      </c>
      <c r="B1986" s="4">
        <f>VLOOKUP(A1986,'Datos generales'!A:L,5,0)</f>
        <v>4</v>
      </c>
      <c r="C1986" s="4" t="str">
        <f>VLOOKUP(A1986,'Datos generales'!A:L,4,0)</f>
        <v>Teclado</v>
      </c>
      <c r="D1986" s="4">
        <f>VLOOKUP(A1986,'Datos generales'!A:L,6,0)</f>
        <v>995.18</v>
      </c>
      <c r="E1986" s="4">
        <f>VLOOKUP(A1986,'Datos generales'!A:L,12,0)</f>
        <v>995.18</v>
      </c>
      <c r="F1986" s="4" t="str">
        <f>VLOOKUP(A1986,'Datos generales'!A:L,7,0)</f>
        <v>Accesorios</v>
      </c>
      <c r="G1986" s="4">
        <v>2024</v>
      </c>
    </row>
    <row r="1987" spans="1:7" x14ac:dyDescent="0.25">
      <c r="A1987" t="s">
        <v>197</v>
      </c>
      <c r="B1987" s="4">
        <f>VLOOKUP(A1987,'Datos generales'!A:L,5,0)</f>
        <v>2</v>
      </c>
      <c r="C1987" s="4" t="str">
        <f>VLOOKUP(A1987,'Datos generales'!A:L,4,0)</f>
        <v>Teclado</v>
      </c>
      <c r="D1987" s="4">
        <f>VLOOKUP(A1987,'Datos generales'!A:L,6,0)</f>
        <v>1834.72</v>
      </c>
      <c r="E1987" s="4">
        <f>VLOOKUP(A1987,'Datos generales'!A:L,12,0)</f>
        <v>1834.72</v>
      </c>
      <c r="F1987" s="4" t="str">
        <f>VLOOKUP(A1987,'Datos generales'!A:L,7,0)</f>
        <v>Accesorios</v>
      </c>
      <c r="G1987" s="4">
        <v>2023</v>
      </c>
    </row>
    <row r="1988" spans="1:7" x14ac:dyDescent="0.25">
      <c r="A1988" t="s">
        <v>198</v>
      </c>
      <c r="B1988" s="4">
        <f>VLOOKUP(A1988,'Datos generales'!A:L,5,0)</f>
        <v>2</v>
      </c>
      <c r="C1988" s="4" t="str">
        <f>VLOOKUP(A1988,'Datos generales'!A:L,4,0)</f>
        <v>Audífonos</v>
      </c>
      <c r="D1988" s="4">
        <f>VLOOKUP(A1988,'Datos generales'!A:L,6,0)</f>
        <v>1942.31</v>
      </c>
      <c r="E1988" s="4">
        <f>VLOOKUP(A1988,'Datos generales'!A:L,12,0)</f>
        <v>1942.31</v>
      </c>
      <c r="F1988" s="4" t="str">
        <f>VLOOKUP(A1988,'Datos generales'!A:L,7,0)</f>
        <v>Accesorios</v>
      </c>
      <c r="G1988" s="4">
        <v>2024</v>
      </c>
    </row>
    <row r="1989" spans="1:7" x14ac:dyDescent="0.25">
      <c r="A1989" t="s">
        <v>199</v>
      </c>
      <c r="B1989" s="4">
        <f>VLOOKUP(A1989,'Datos generales'!A:L,5,0)</f>
        <v>3</v>
      </c>
      <c r="C1989" s="4" t="str">
        <f>VLOOKUP(A1989,'Datos generales'!A:L,4,0)</f>
        <v>Audífonos</v>
      </c>
      <c r="D1989" s="4">
        <f>VLOOKUP(A1989,'Datos generales'!A:L,6,0)</f>
        <v>1025.57</v>
      </c>
      <c r="E1989" s="4">
        <f>VLOOKUP(A1989,'Datos generales'!A:L,12,0)</f>
        <v>1025.57</v>
      </c>
      <c r="F1989" s="4" t="str">
        <f>VLOOKUP(A1989,'Datos generales'!A:L,7,0)</f>
        <v>Accesorios</v>
      </c>
      <c r="G1989" s="4">
        <v>2025</v>
      </c>
    </row>
    <row r="1990" spans="1:7" x14ac:dyDescent="0.25">
      <c r="A1990" t="s">
        <v>200</v>
      </c>
      <c r="B1990" s="4">
        <f>VLOOKUP(A1990,'Datos generales'!A:L,5,0)</f>
        <v>4</v>
      </c>
      <c r="C1990" s="4" t="str">
        <f>VLOOKUP(A1990,'Datos generales'!A:L,4,0)</f>
        <v>Impresora</v>
      </c>
      <c r="D1990" s="4">
        <f>VLOOKUP(A1990,'Datos generales'!A:L,6,0)</f>
        <v>555.19000000000005</v>
      </c>
      <c r="E1990" s="4">
        <f>VLOOKUP(A1990,'Datos generales'!A:L,12,0)</f>
        <v>555.19000000000005</v>
      </c>
      <c r="F1990" s="4" t="str">
        <f>VLOOKUP(A1990,'Datos generales'!A:L,7,0)</f>
        <v>Electrónica</v>
      </c>
      <c r="G1990" s="4">
        <v>2023</v>
      </c>
    </row>
    <row r="1991" spans="1:7" x14ac:dyDescent="0.25">
      <c r="A1991" t="s">
        <v>201</v>
      </c>
      <c r="B1991" s="4">
        <f>VLOOKUP(A1991,'Datos generales'!A:L,5,0)</f>
        <v>5</v>
      </c>
      <c r="C1991" s="4" t="str">
        <f>VLOOKUP(A1991,'Datos generales'!A:L,4,0)</f>
        <v>Silla Gamer</v>
      </c>
      <c r="D1991" s="4">
        <f>VLOOKUP(A1991,'Datos generales'!A:L,6,0)</f>
        <v>750.82</v>
      </c>
      <c r="E1991" s="4">
        <f>VLOOKUP(A1991,'Datos generales'!A:L,12,0)</f>
        <v>750.82</v>
      </c>
      <c r="F1991" s="4" t="str">
        <f>VLOOKUP(A1991,'Datos generales'!A:L,7,0)</f>
        <v>Muebles</v>
      </c>
      <c r="G1991" s="4">
        <v>2023</v>
      </c>
    </row>
    <row r="1992" spans="1:7" x14ac:dyDescent="0.25">
      <c r="A1992" t="s">
        <v>202</v>
      </c>
      <c r="B1992" s="4">
        <f>VLOOKUP(A1992,'Datos generales'!A:L,5,0)</f>
        <v>2</v>
      </c>
      <c r="C1992" s="4" t="str">
        <f>VLOOKUP(A1992,'Datos generales'!A:L,4,0)</f>
        <v>Impresora</v>
      </c>
      <c r="D1992" s="4">
        <f>VLOOKUP(A1992,'Datos generales'!A:L,6,0)</f>
        <v>1609.9</v>
      </c>
      <c r="E1992" s="4">
        <f>VLOOKUP(A1992,'Datos generales'!A:L,12,0)</f>
        <v>1609.9</v>
      </c>
      <c r="F1992" s="4" t="str">
        <f>VLOOKUP(A1992,'Datos generales'!A:L,7,0)</f>
        <v>Electrónica</v>
      </c>
      <c r="G1992" s="4">
        <v>2025</v>
      </c>
    </row>
    <row r="1993" spans="1:7" x14ac:dyDescent="0.25">
      <c r="A1993" t="s">
        <v>203</v>
      </c>
      <c r="B1993" s="4">
        <f>VLOOKUP(A1993,'Datos generales'!A:L,5,0)</f>
        <v>3</v>
      </c>
      <c r="C1993" s="4" t="str">
        <f>VLOOKUP(A1993,'Datos generales'!A:L,4,0)</f>
        <v>Silla Gamer</v>
      </c>
      <c r="D1993" s="4">
        <f>VLOOKUP(A1993,'Datos generales'!A:L,6,0)</f>
        <v>27.89</v>
      </c>
      <c r="E1993" s="4">
        <f>VLOOKUP(A1993,'Datos generales'!A:L,12,0)</f>
        <v>27.89</v>
      </c>
      <c r="F1993" s="4" t="str">
        <f>VLOOKUP(A1993,'Datos generales'!A:L,7,0)</f>
        <v>Muebles</v>
      </c>
      <c r="G1993" s="4">
        <v>2025</v>
      </c>
    </row>
    <row r="1994" spans="1:7" x14ac:dyDescent="0.25">
      <c r="A1994" t="s">
        <v>204</v>
      </c>
      <c r="B1994" s="4">
        <f>VLOOKUP(A1994,'Datos generales'!A:L,5,0)</f>
        <v>1</v>
      </c>
      <c r="C1994" s="4" t="str">
        <f>VLOOKUP(A1994,'Datos generales'!A:L,4,0)</f>
        <v>Audífonos</v>
      </c>
      <c r="D1994" s="4">
        <f>VLOOKUP(A1994,'Datos generales'!A:L,6,0)</f>
        <v>1700.54</v>
      </c>
      <c r="E1994" s="4">
        <f>VLOOKUP(A1994,'Datos generales'!A:L,12,0)</f>
        <v>1700.54</v>
      </c>
      <c r="F1994" s="4" t="str">
        <f>VLOOKUP(A1994,'Datos generales'!A:L,7,0)</f>
        <v>Accesorios</v>
      </c>
      <c r="G1994" s="4">
        <v>2025</v>
      </c>
    </row>
    <row r="1995" spans="1:7" x14ac:dyDescent="0.25">
      <c r="A1995" t="s">
        <v>205</v>
      </c>
      <c r="B1995" s="4">
        <f>VLOOKUP(A1995,'Datos generales'!A:L,5,0)</f>
        <v>3</v>
      </c>
      <c r="C1995" s="4" t="str">
        <f>VLOOKUP(A1995,'Datos generales'!A:L,4,0)</f>
        <v>Audífonos</v>
      </c>
      <c r="D1995" s="4">
        <f>VLOOKUP(A1995,'Datos generales'!A:L,6,0)</f>
        <v>473.4</v>
      </c>
      <c r="E1995" s="4">
        <f>VLOOKUP(A1995,'Datos generales'!A:L,12,0)</f>
        <v>473.39999999999992</v>
      </c>
      <c r="F1995" s="4" t="str">
        <f>VLOOKUP(A1995,'Datos generales'!A:L,7,0)</f>
        <v>Accesorios</v>
      </c>
      <c r="G1995" s="4">
        <v>2025</v>
      </c>
    </row>
    <row r="1996" spans="1:7" x14ac:dyDescent="0.25">
      <c r="A1996" t="s">
        <v>206</v>
      </c>
      <c r="B1996" s="4">
        <f>VLOOKUP(A1996,'Datos generales'!A:L,5,0)</f>
        <v>1</v>
      </c>
      <c r="C1996" s="4" t="str">
        <f>VLOOKUP(A1996,'Datos generales'!A:L,4,0)</f>
        <v>Impresora</v>
      </c>
      <c r="D1996" s="4">
        <f>VLOOKUP(A1996,'Datos generales'!A:L,6,0)</f>
        <v>521.32000000000005</v>
      </c>
      <c r="E1996" s="4">
        <f>VLOOKUP(A1996,'Datos generales'!A:L,12,0)</f>
        <v>521.32000000000005</v>
      </c>
      <c r="F1996" s="4" t="str">
        <f>VLOOKUP(A1996,'Datos generales'!A:L,7,0)</f>
        <v>Electrónica</v>
      </c>
      <c r="G1996" s="4">
        <v>2023</v>
      </c>
    </row>
    <row r="1997" spans="1:7" x14ac:dyDescent="0.25">
      <c r="A1997" t="s">
        <v>207</v>
      </c>
      <c r="B1997" s="4">
        <f>VLOOKUP(A1997,'Datos generales'!A:L,5,0)</f>
        <v>1</v>
      </c>
      <c r="C1997" s="4" t="str">
        <f>VLOOKUP(A1997,'Datos generales'!A:L,4,0)</f>
        <v>Teclado</v>
      </c>
      <c r="D1997" s="4">
        <f>VLOOKUP(A1997,'Datos generales'!A:L,6,0)</f>
        <v>1067.6400000000001</v>
      </c>
      <c r="E1997" s="4">
        <f>VLOOKUP(A1997,'Datos generales'!A:L,12,0)</f>
        <v>1067.6400000000001</v>
      </c>
      <c r="F1997" s="4" t="str">
        <f>VLOOKUP(A1997,'Datos generales'!A:L,7,0)</f>
        <v>Accesorios</v>
      </c>
      <c r="G1997" s="4">
        <v>2025</v>
      </c>
    </row>
    <row r="1998" spans="1:7" x14ac:dyDescent="0.25">
      <c r="A1998" t="s">
        <v>208</v>
      </c>
      <c r="B1998" s="4">
        <f>VLOOKUP(A1998,'Datos generales'!A:L,5,0)</f>
        <v>1</v>
      </c>
      <c r="C1998" s="4" t="str">
        <f>VLOOKUP(A1998,'Datos generales'!A:L,4,0)</f>
        <v>Mouse</v>
      </c>
      <c r="D1998" s="4">
        <f>VLOOKUP(A1998,'Datos generales'!A:L,6,0)</f>
        <v>1903.64</v>
      </c>
      <c r="E1998" s="4">
        <f>VLOOKUP(A1998,'Datos generales'!A:L,12,0)</f>
        <v>1903.64</v>
      </c>
      <c r="F1998" s="4" t="str">
        <f>VLOOKUP(A1998,'Datos generales'!A:L,7,0)</f>
        <v>Accesorios</v>
      </c>
      <c r="G1998" s="4">
        <v>2023</v>
      </c>
    </row>
    <row r="1999" spans="1:7" x14ac:dyDescent="0.25">
      <c r="A1999" t="s">
        <v>209</v>
      </c>
      <c r="B1999" s="4">
        <f>VLOOKUP(A1999,'Datos generales'!A:L,5,0)</f>
        <v>2</v>
      </c>
      <c r="C1999" s="4" t="str">
        <f>VLOOKUP(A1999,'Datos generales'!A:L,4,0)</f>
        <v>Silla Gamer</v>
      </c>
      <c r="D1999" s="4">
        <f>VLOOKUP(A1999,'Datos generales'!A:L,6,0)</f>
        <v>1460.16</v>
      </c>
      <c r="E1999" s="4">
        <f>VLOOKUP(A1999,'Datos generales'!A:L,12,0)</f>
        <v>1460.16</v>
      </c>
      <c r="F1999" s="4" t="str">
        <f>VLOOKUP(A1999,'Datos generales'!A:L,7,0)</f>
        <v>Muebles</v>
      </c>
      <c r="G1999" s="4">
        <v>2023</v>
      </c>
    </row>
    <row r="2000" spans="1:7" x14ac:dyDescent="0.25">
      <c r="A2000" t="s">
        <v>210</v>
      </c>
      <c r="B2000" s="4">
        <f>VLOOKUP(A2000,'Datos generales'!A:L,5,0)</f>
        <v>4</v>
      </c>
      <c r="C2000" s="4" t="str">
        <f>VLOOKUP(A2000,'Datos generales'!A:L,4,0)</f>
        <v>Monitor</v>
      </c>
      <c r="D2000" s="4">
        <f>VLOOKUP(A2000,'Datos generales'!A:L,6,0)</f>
        <v>847</v>
      </c>
      <c r="E2000" s="4">
        <f>VLOOKUP(A2000,'Datos generales'!A:L,12,0)</f>
        <v>847</v>
      </c>
      <c r="F2000" s="4" t="str">
        <f>VLOOKUP(A2000,'Datos generales'!A:L,7,0)</f>
        <v>Electrónica</v>
      </c>
      <c r="G2000" s="4">
        <v>2025</v>
      </c>
    </row>
    <row r="2001" spans="1:7" x14ac:dyDescent="0.25">
      <c r="A2001" t="s">
        <v>211</v>
      </c>
      <c r="B2001" s="4">
        <f>VLOOKUP(A2001,'Datos generales'!A:L,5,0)</f>
        <v>2</v>
      </c>
      <c r="C2001" s="4" t="str">
        <f>VLOOKUP(A2001,'Datos generales'!A:L,4,0)</f>
        <v>Mouse</v>
      </c>
      <c r="D2001" s="4">
        <f>VLOOKUP(A2001,'Datos generales'!A:L,6,0)</f>
        <v>1243.3399999999999</v>
      </c>
      <c r="E2001" s="4">
        <f>VLOOKUP(A2001,'Datos generales'!A:L,12,0)</f>
        <v>1243.3399999999999</v>
      </c>
      <c r="F2001" s="4" t="str">
        <f>VLOOKUP(A2001,'Datos generales'!A:L,7,0)</f>
        <v>Accesorios</v>
      </c>
      <c r="G2001" s="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Conclusiones</vt:lpstr>
      <vt:lpstr>Tablas</vt:lpstr>
      <vt:lpstr>Graficos</vt:lpstr>
      <vt:lpstr>TD - Datos generales</vt:lpstr>
      <vt:lpstr>Datos generales</vt:lpstr>
      <vt:lpstr>Ventas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Pina</cp:lastModifiedBy>
  <dcterms:created xsi:type="dcterms:W3CDTF">2025-09-29T11:17:54Z</dcterms:created>
  <dcterms:modified xsi:type="dcterms:W3CDTF">2025-10-09T15:11:25Z</dcterms:modified>
</cp:coreProperties>
</file>